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900000034</v>
      </c>
      <c r="D3" s="7">
        <f>IFERROR(VLOOKUP(C3,TRAOPE!$G:$H,2,0),"")</f>
        <v/>
      </c>
      <c r="E3" s="8" t="inlineStr">
        <is>
          <t>DW70</t>
        </is>
      </c>
      <c r="F3" s="8" t="inlineStr">
        <is>
          <t>D074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10000623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20250701</t>
        </is>
      </c>
      <c r="M3" s="8" t="inlineStr">
        <is>
          <t>99991231</t>
        </is>
      </c>
      <c r="N3" s="10" t="n">
        <v>100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900000034</v>
      </c>
      <c r="D4" s="7">
        <f>IFERROR(VLOOKUP(C4,TRAOPE!$G:$H,2,0),"")</f>
        <v/>
      </c>
      <c r="E4" s="8" t="inlineStr">
        <is>
          <t>DW70</t>
        </is>
      </c>
      <c r="F4" s="8" t="inlineStr">
        <is>
          <t>D074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10000811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20230501</t>
        </is>
      </c>
      <c r="M4" s="8" t="inlineStr">
        <is>
          <t>20250131</t>
        </is>
      </c>
      <c r="N4" s="10" t="n">
        <v>100.01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900000034</v>
      </c>
      <c r="D5" s="7">
        <f>IFERROR(VLOOKUP(C5,TRAOPE!$G:$H,2,0),"")</f>
        <v/>
      </c>
      <c r="E5" s="8" t="inlineStr">
        <is>
          <t>DW70</t>
        </is>
      </c>
      <c r="F5" s="8" t="inlineStr">
        <is>
          <t>D075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10000623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20250701</t>
        </is>
      </c>
      <c r="M5" s="8" t="inlineStr">
        <is>
          <t>99991231</t>
        </is>
      </c>
      <c r="N5" s="10" t="n">
        <v>100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900000034</v>
      </c>
      <c r="D6" s="7">
        <f>IFERROR(VLOOKUP(C6,TRAOPE!$G:$H,2,0),"")</f>
        <v/>
      </c>
      <c r="E6" s="8" t="inlineStr">
        <is>
          <t>DW70</t>
        </is>
      </c>
      <c r="F6" s="8" t="inlineStr">
        <is>
          <t>D075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10000811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20230501</t>
        </is>
      </c>
      <c r="M6" s="8" t="inlineStr">
        <is>
          <t>20250131</t>
        </is>
      </c>
      <c r="N6" s="10" t="n">
        <v>100.01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900000034</v>
      </c>
      <c r="D7" s="7">
        <f>IFERROR(VLOOKUP(C7,TRAOPE!$G:$H,2,0),"")</f>
        <v/>
      </c>
      <c r="E7" s="8" t="inlineStr">
        <is>
          <t>DW70</t>
        </is>
      </c>
      <c r="F7" s="8" t="inlineStr">
        <is>
          <t>D077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10000623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20260508</t>
        </is>
      </c>
      <c r="M7" s="8" t="inlineStr">
        <is>
          <t>99991231</t>
        </is>
      </c>
      <c r="N7" s="10" t="n">
        <v>100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900000034</v>
      </c>
      <c r="D8" s="7">
        <f>IFERROR(VLOOKUP(C8,TRAOPE!$G:$H,2,0),"")</f>
        <v/>
      </c>
      <c r="E8" s="8" t="inlineStr">
        <is>
          <t>DW70</t>
        </is>
      </c>
      <c r="F8" s="8" t="inlineStr">
        <is>
          <t>D077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10000811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20230501</t>
        </is>
      </c>
      <c r="M8" s="8" t="inlineStr">
        <is>
          <t>20250131</t>
        </is>
      </c>
      <c r="N8" s="10" t="n">
        <v>100.01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900000034</v>
      </c>
      <c r="D9" s="7">
        <f>IFERROR(VLOOKUP(C9,TRAOPE!$G:$H,2,0),"")</f>
        <v/>
      </c>
      <c r="E9" s="8" t="inlineStr">
        <is>
          <t>DW70</t>
        </is>
      </c>
      <c r="F9" s="8" t="inlineStr">
        <is>
          <t>D079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10000623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20250701</t>
        </is>
      </c>
      <c r="M9" s="8" t="inlineStr">
        <is>
          <t>99991231</t>
        </is>
      </c>
      <c r="N9" s="10" t="n">
        <v>100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900000034</v>
      </c>
      <c r="D10" s="7">
        <f>IFERROR(VLOOKUP(C10,TRAOPE!$G:$H,2,0),"")</f>
        <v/>
      </c>
      <c r="E10" s="8" t="inlineStr">
        <is>
          <t>DW70</t>
        </is>
      </c>
      <c r="F10" s="8" t="inlineStr">
        <is>
          <t>D079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10000811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20230501</t>
        </is>
      </c>
      <c r="M10" s="8" t="inlineStr">
        <is>
          <t>20250131</t>
        </is>
      </c>
      <c r="N10" s="10" t="n">
        <v>100.01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900000034</v>
      </c>
      <c r="D11" s="7">
        <f>IFERROR(VLOOKUP(C11,TRAOPE!$G:$H,2,0),"")</f>
        <v/>
      </c>
      <c r="E11" s="8" t="inlineStr">
        <is>
          <t>DW70</t>
        </is>
      </c>
      <c r="F11" s="8" t="inlineStr">
        <is>
          <t>D080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10000623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20250701</t>
        </is>
      </c>
      <c r="M11" s="8" t="inlineStr">
        <is>
          <t>99991231</t>
        </is>
      </c>
      <c r="N11" s="10" t="n">
        <v>100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900000034</v>
      </c>
      <c r="D12" s="7">
        <f>IFERROR(VLOOKUP(C12,TRAOPE!$G:$H,2,0),"")</f>
        <v/>
      </c>
      <c r="E12" s="8" t="inlineStr">
        <is>
          <t>DW70</t>
        </is>
      </c>
      <c r="F12" s="8" t="inlineStr">
        <is>
          <t>D080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10000811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20230501</t>
        </is>
      </c>
      <c r="M12" s="8" t="inlineStr">
        <is>
          <t>20250131</t>
        </is>
      </c>
      <c r="N12" s="10" t="n">
        <v>100.01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900000034</v>
      </c>
      <c r="D13" s="7">
        <f>IFERROR(VLOOKUP(C13,TRAOPE!$G:$H,2,0),"")</f>
        <v/>
      </c>
      <c r="E13" s="8" t="inlineStr">
        <is>
          <t>DW70</t>
        </is>
      </c>
      <c r="F13" s="8" t="inlineStr">
        <is>
          <t>D081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10000623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20250701</t>
        </is>
      </c>
      <c r="M13" s="8" t="inlineStr">
        <is>
          <t>99991231</t>
        </is>
      </c>
      <c r="N13" s="10" t="n">
        <v>100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900000034</v>
      </c>
      <c r="D14" s="7">
        <f>IFERROR(VLOOKUP(C14,TRAOPE!$G:$H,2,0),"")</f>
        <v/>
      </c>
      <c r="E14" s="8" t="inlineStr">
        <is>
          <t>DW70</t>
        </is>
      </c>
      <c r="F14" s="8" t="inlineStr">
        <is>
          <t>D081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10000811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20230501</t>
        </is>
      </c>
      <c r="M14" s="8" t="inlineStr">
        <is>
          <t>20250131</t>
        </is>
      </c>
      <c r="N14" s="10" t="n">
        <v>100.01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900000034</v>
      </c>
      <c r="D15" s="7">
        <f>IFERROR(VLOOKUP(C15,TRAOPE!$G:$H,2,0),"")</f>
        <v/>
      </c>
      <c r="E15" s="8" t="inlineStr">
        <is>
          <t>DW70</t>
        </is>
      </c>
      <c r="F15" s="8" t="inlineStr">
        <is>
          <t>D083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10000623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20250701</t>
        </is>
      </c>
      <c r="M15" s="8" t="inlineStr">
        <is>
          <t>99991231</t>
        </is>
      </c>
      <c r="N15" s="10" t="n">
        <v>100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900000034</v>
      </c>
      <c r="D16" s="7">
        <f>IFERROR(VLOOKUP(C16,TRAOPE!$G:$H,2,0),"")</f>
        <v/>
      </c>
      <c r="E16" s="8" t="inlineStr">
        <is>
          <t>DW70</t>
        </is>
      </c>
      <c r="F16" s="8" t="inlineStr">
        <is>
          <t>D083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10000811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20230501</t>
        </is>
      </c>
      <c r="M16" s="8" t="inlineStr">
        <is>
          <t>20250131</t>
        </is>
      </c>
      <c r="N16" s="10" t="n">
        <v>100.01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900000034</v>
      </c>
      <c r="D17" s="7">
        <f>IFERROR(VLOOKUP(C17,TRAOPE!$G:$H,2,0),"")</f>
        <v/>
      </c>
      <c r="E17" s="8" t="inlineStr">
        <is>
          <t>DW70</t>
        </is>
      </c>
      <c r="F17" s="8" t="inlineStr">
        <is>
          <t>D084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10000623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20250701</t>
        </is>
      </c>
      <c r="M17" s="8" t="inlineStr">
        <is>
          <t>99991231</t>
        </is>
      </c>
      <c r="N17" s="10" t="n">
        <v>100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900000034</v>
      </c>
      <c r="D18" s="7">
        <f>IFERROR(VLOOKUP(C18,TRAOPE!$G:$H,2,0),"")</f>
        <v/>
      </c>
      <c r="E18" s="8" t="inlineStr">
        <is>
          <t>DW70</t>
        </is>
      </c>
      <c r="F18" s="8" t="inlineStr">
        <is>
          <t>D084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10000811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20230501</t>
        </is>
      </c>
      <c r="M18" s="8" t="inlineStr">
        <is>
          <t>20250131</t>
        </is>
      </c>
      <c r="N18" s="10" t="n">
        <v>100.01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900000034</v>
      </c>
      <c r="D19" s="7">
        <f>IFERROR(VLOOKUP(C19,TRAOPE!$G:$H,2,0),"")</f>
        <v/>
      </c>
      <c r="E19" s="8" t="inlineStr">
        <is>
          <t>DW70</t>
        </is>
      </c>
      <c r="F19" s="8" t="inlineStr">
        <is>
          <t>D085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10000623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20250701</t>
        </is>
      </c>
      <c r="M19" s="8" t="inlineStr">
        <is>
          <t>99991231</t>
        </is>
      </c>
      <c r="N19" s="10" t="n">
        <v>100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900000034</v>
      </c>
      <c r="D20" s="7">
        <f>IFERROR(VLOOKUP(C20,TRAOPE!$G:$H,2,0),"")</f>
        <v/>
      </c>
      <c r="E20" s="8" t="inlineStr">
        <is>
          <t>DW70</t>
        </is>
      </c>
      <c r="F20" s="8" t="inlineStr">
        <is>
          <t>D085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10000811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20230501</t>
        </is>
      </c>
      <c r="M20" s="8" t="inlineStr">
        <is>
          <t>20250131</t>
        </is>
      </c>
      <c r="N20" s="10" t="n">
        <v>100.01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900000034</v>
      </c>
      <c r="D21" s="7">
        <f>IFERROR(VLOOKUP(C21,TRAOPE!$G:$H,2,0),"")</f>
        <v/>
      </c>
      <c r="E21" s="8" t="inlineStr">
        <is>
          <t>DW70</t>
        </is>
      </c>
      <c r="F21" s="8" t="inlineStr">
        <is>
          <t>D086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10000623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20260326</t>
        </is>
      </c>
      <c r="M21" s="8" t="inlineStr">
        <is>
          <t>99991231</t>
        </is>
      </c>
      <c r="N21" s="10" t="n">
        <v>100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900000034</v>
      </c>
      <c r="D22" s="7">
        <f>IFERROR(VLOOKUP(C22,TRAOPE!$G:$H,2,0),"")</f>
        <v/>
      </c>
      <c r="E22" s="8" t="inlineStr">
        <is>
          <t>DW70</t>
        </is>
      </c>
      <c r="F22" s="8" t="inlineStr">
        <is>
          <t>D086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10000811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20230501</t>
        </is>
      </c>
      <c r="M22" s="8" t="inlineStr">
        <is>
          <t>20250131</t>
        </is>
      </c>
      <c r="N22" s="10" t="n">
        <v>100.01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900000034</v>
      </c>
      <c r="D23" s="7">
        <f>IFERROR(VLOOKUP(C23,TRAOPE!$G:$H,2,0),"")</f>
        <v/>
      </c>
      <c r="E23" s="8" t="inlineStr">
        <is>
          <t>DW70</t>
        </is>
      </c>
      <c r="F23" s="8" t="inlineStr">
        <is>
          <t>D088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10000623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20250701</t>
        </is>
      </c>
      <c r="M23" s="8" t="inlineStr">
        <is>
          <t>20251031</t>
        </is>
      </c>
      <c r="N23" s="10" t="n">
        <v>100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900000034</v>
      </c>
      <c r="D24" s="7">
        <f>IFERROR(VLOOKUP(C24,TRAOPE!$G:$H,2,0),"")</f>
        <v/>
      </c>
      <c r="E24" s="8" t="inlineStr">
        <is>
          <t>DW70</t>
        </is>
      </c>
      <c r="F24" s="8" t="inlineStr">
        <is>
          <t>D088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10000811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20230501</t>
        </is>
      </c>
      <c r="M24" s="8" t="inlineStr">
        <is>
          <t>20250131</t>
        </is>
      </c>
      <c r="N24" s="10" t="n">
        <v>100.01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900000034</v>
      </c>
      <c r="D25" s="7">
        <f>IFERROR(VLOOKUP(C25,TRAOPE!$G:$H,2,0),"")</f>
        <v/>
      </c>
      <c r="E25" s="8" t="inlineStr">
        <is>
          <t>DW70</t>
        </is>
      </c>
      <c r="F25" s="8" t="inlineStr">
        <is>
          <t>D089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10000811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20230501</t>
        </is>
      </c>
      <c r="M25" s="8" t="inlineStr">
        <is>
          <t>20250131</t>
        </is>
      </c>
      <c r="N25" s="10" t="n">
        <v>100.01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900000034</v>
      </c>
      <c r="D26" s="7">
        <f>IFERROR(VLOOKUP(C26,TRAOPE!$G:$H,2,0),"")</f>
        <v/>
      </c>
      <c r="E26" s="8" t="inlineStr">
        <is>
          <t>DW70</t>
        </is>
      </c>
      <c r="F26" s="8" t="inlineStr">
        <is>
          <t>D093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10000623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20250701</t>
        </is>
      </c>
      <c r="M26" s="8" t="inlineStr">
        <is>
          <t>99991231</t>
        </is>
      </c>
      <c r="N26" s="10" t="n">
        <v>100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900000034</v>
      </c>
      <c r="D27" s="7">
        <f>IFERROR(VLOOKUP(C27,TRAOPE!$G:$H,2,0),"")</f>
        <v/>
      </c>
      <c r="E27" s="8" t="inlineStr">
        <is>
          <t>DW70</t>
        </is>
      </c>
      <c r="F27" s="8" t="inlineStr">
        <is>
          <t>D093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10000811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20230501</t>
        </is>
      </c>
      <c r="M27" s="8" t="inlineStr">
        <is>
          <t>20250131</t>
        </is>
      </c>
      <c r="N27" s="10" t="n">
        <v>100.01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900000034</v>
      </c>
      <c r="D28" s="7">
        <f>IFERROR(VLOOKUP(C28,TRAOPE!$G:$H,2,0),"")</f>
        <v/>
      </c>
      <c r="E28" s="8" t="inlineStr">
        <is>
          <t>DW70</t>
        </is>
      </c>
      <c r="F28" s="8" t="inlineStr">
        <is>
          <t>D098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10000623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20250701</t>
        </is>
      </c>
      <c r="M28" s="8" t="inlineStr">
        <is>
          <t>99991231</t>
        </is>
      </c>
      <c r="N28" s="10" t="n">
        <v>100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900000034</v>
      </c>
      <c r="D29" s="7">
        <f>IFERROR(VLOOKUP(C29,TRAOPE!$G:$H,2,0),"")</f>
        <v/>
      </c>
      <c r="E29" s="8" t="inlineStr">
        <is>
          <t>DW70</t>
        </is>
      </c>
      <c r="F29" s="8" t="inlineStr">
        <is>
          <t>D098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10000811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20230501</t>
        </is>
      </c>
      <c r="M29" s="8" t="inlineStr">
        <is>
          <t>20250131</t>
        </is>
      </c>
      <c r="N29" s="10" t="n">
        <v>100.01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900000034</v>
      </c>
      <c r="D30" s="7">
        <f>IFERROR(VLOOKUP(C30,TRAOPE!$G:$H,2,0),"")</f>
        <v/>
      </c>
      <c r="E30" s="8" t="inlineStr">
        <is>
          <t>DW70</t>
        </is>
      </c>
      <c r="F30" s="8" t="inlineStr">
        <is>
          <t>D105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10000623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20250701</t>
        </is>
      </c>
      <c r="M30" s="8" t="inlineStr">
        <is>
          <t>20251031</t>
        </is>
      </c>
      <c r="N30" s="10" t="n">
        <v>100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900000034</v>
      </c>
      <c r="D31" s="7">
        <f>IFERROR(VLOOKUP(C31,TRAOPE!$G:$H,2,0),"")</f>
        <v/>
      </c>
      <c r="E31" s="8" t="inlineStr">
        <is>
          <t>DW70</t>
        </is>
      </c>
      <c r="F31" s="8" t="inlineStr">
        <is>
          <t>D105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10000811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20230501</t>
        </is>
      </c>
      <c r="M31" s="8" t="inlineStr">
        <is>
          <t>20250131</t>
        </is>
      </c>
      <c r="N31" s="10" t="n">
        <v>100.01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900000034</v>
      </c>
      <c r="D32" s="7">
        <f>IFERROR(VLOOKUP(C32,TRAOPE!$G:$H,2,0),"")</f>
        <v/>
      </c>
      <c r="E32" s="8" t="inlineStr">
        <is>
          <t>DW70</t>
        </is>
      </c>
      <c r="F32" s="8" t="inlineStr">
        <is>
          <t>D110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10000811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20230501</t>
        </is>
      </c>
      <c r="M32" s="8" t="inlineStr">
        <is>
          <t>20250131</t>
        </is>
      </c>
      <c r="N32" s="10" t="n">
        <v>100.01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900000034</v>
      </c>
      <c r="D33" s="7">
        <f>IFERROR(VLOOKUP(C33,TRAOPE!$G:$H,2,0),"")</f>
        <v/>
      </c>
      <c r="E33" s="8" t="inlineStr">
        <is>
          <t>DW70</t>
        </is>
      </c>
      <c r="F33" s="8" t="inlineStr">
        <is>
          <t>D136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10000623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20250701</t>
        </is>
      </c>
      <c r="M33" s="8" t="inlineStr">
        <is>
          <t>99991231</t>
        </is>
      </c>
      <c r="N33" s="10" t="n">
        <v>100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900000034</v>
      </c>
      <c r="D34" s="7">
        <f>IFERROR(VLOOKUP(C34,TRAOPE!$G:$H,2,0),"")</f>
        <v/>
      </c>
      <c r="E34" s="8" t="inlineStr">
        <is>
          <t>DW70</t>
        </is>
      </c>
      <c r="F34" s="8" t="inlineStr">
        <is>
          <t>D136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10000811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20230501</t>
        </is>
      </c>
      <c r="M34" s="8" t="inlineStr">
        <is>
          <t>20250131</t>
        </is>
      </c>
      <c r="N34" s="10" t="n">
        <v>100.01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900000034</v>
      </c>
      <c r="D35" s="7">
        <f>IFERROR(VLOOKUP(C35,TRAOPE!$G:$H,2,0),"")</f>
        <v/>
      </c>
      <c r="E35" s="8" t="inlineStr">
        <is>
          <t>DW70</t>
        </is>
      </c>
      <c r="F35" s="8" t="inlineStr">
        <is>
          <t>D145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10000623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20250701</t>
        </is>
      </c>
      <c r="M35" s="8" t="inlineStr">
        <is>
          <t>99991231</t>
        </is>
      </c>
      <c r="N35" s="10" t="n">
        <v>100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900000034</v>
      </c>
      <c r="D36" s="7">
        <f>IFERROR(VLOOKUP(C36,TRAOPE!$G:$H,2,0),"")</f>
        <v/>
      </c>
      <c r="E36" s="8" t="inlineStr">
        <is>
          <t>DW70</t>
        </is>
      </c>
      <c r="F36" s="8" t="inlineStr">
        <is>
          <t>D145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10000811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20230501</t>
        </is>
      </c>
      <c r="M36" s="8" t="inlineStr">
        <is>
          <t>20250131</t>
        </is>
      </c>
      <c r="N36" s="10" t="n">
        <v>100.01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900000034</v>
      </c>
      <c r="D37" s="7">
        <f>IFERROR(VLOOKUP(C37,TRAOPE!$G:$H,2,0),"")</f>
        <v/>
      </c>
      <c r="E37" s="8" t="inlineStr">
        <is>
          <t>DW70</t>
        </is>
      </c>
      <c r="F37" s="8" t="inlineStr">
        <is>
          <t>D145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10159432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20230501</t>
        </is>
      </c>
      <c r="M37" s="8" t="inlineStr">
        <is>
          <t>20250131</t>
        </is>
      </c>
      <c r="N37" s="10" t="n">
        <v>95.01000000000001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900000080</v>
      </c>
      <c r="D38" s="7">
        <f>IFERROR(VLOOKUP(C38,TRAOPE!$G:$H,2,0),"")</f>
        <v/>
      </c>
      <c r="E38" s="8" t="inlineStr">
        <is>
          <t>DW70</t>
        </is>
      </c>
      <c r="F38" s="8" t="inlineStr">
        <is>
          <t>D075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10000625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20230501</t>
        </is>
      </c>
      <c r="M38" s="8" t="inlineStr">
        <is>
          <t>20250131</t>
        </is>
      </c>
      <c r="N38" s="10" t="n">
        <v>47.23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900000080</v>
      </c>
      <c r="D39" s="7">
        <f>IFERROR(VLOOKUP(C39,TRAOPE!$G:$H,2,0),"")</f>
        <v/>
      </c>
      <c r="E39" s="8" t="inlineStr">
        <is>
          <t>DW70</t>
        </is>
      </c>
      <c r="F39" s="8" t="inlineStr">
        <is>
          <t>D080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10000625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20230501</t>
        </is>
      </c>
      <c r="M39" s="8" t="inlineStr">
        <is>
          <t>20250131</t>
        </is>
      </c>
      <c r="N39" s="10" t="n">
        <v>47.23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900000080</v>
      </c>
      <c r="D40" s="7">
        <f>IFERROR(VLOOKUP(C40,TRAOPE!$G:$H,2,0),"")</f>
        <v/>
      </c>
      <c r="E40" s="8" t="inlineStr">
        <is>
          <t>DW70</t>
        </is>
      </c>
      <c r="F40" s="8" t="inlineStr">
        <is>
          <t>D081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10000625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20230501</t>
        </is>
      </c>
      <c r="M40" s="8" t="inlineStr">
        <is>
          <t>20250131</t>
        </is>
      </c>
      <c r="N40" s="10" t="n">
        <v>47.23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900000080</v>
      </c>
      <c r="D41" s="7">
        <f>IFERROR(VLOOKUP(C41,TRAOPE!$G:$H,2,0),"")</f>
        <v/>
      </c>
      <c r="E41" s="8" t="inlineStr">
        <is>
          <t>DW70</t>
        </is>
      </c>
      <c r="F41" s="8" t="inlineStr">
        <is>
          <t>D083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10000625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20230501</t>
        </is>
      </c>
      <c r="M41" s="8" t="inlineStr">
        <is>
          <t>20250131</t>
        </is>
      </c>
      <c r="N41" s="10" t="n">
        <v>47.23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900000080</v>
      </c>
      <c r="D42" s="7">
        <f>IFERROR(VLOOKUP(C42,TRAOPE!$G:$H,2,0),"")</f>
        <v/>
      </c>
      <c r="E42" s="8" t="inlineStr">
        <is>
          <t>DW70</t>
        </is>
      </c>
      <c r="F42" s="8" t="inlineStr">
        <is>
          <t>D084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10000651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20230501</t>
        </is>
      </c>
      <c r="M42" s="8" t="inlineStr">
        <is>
          <t>20250131</t>
        </is>
      </c>
      <c r="N42" s="10" t="n">
        <v>53.21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900000080</v>
      </c>
      <c r="D43" s="7">
        <f>IFERROR(VLOOKUP(C43,TRAOPE!$G:$H,2,0),"")</f>
        <v/>
      </c>
      <c r="E43" s="8" t="inlineStr">
        <is>
          <t>DW70</t>
        </is>
      </c>
      <c r="F43" s="8" t="inlineStr">
        <is>
          <t>D085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10000625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20230501</t>
        </is>
      </c>
      <c r="M43" s="8" t="inlineStr">
        <is>
          <t>20250131</t>
        </is>
      </c>
      <c r="N43" s="10" t="n">
        <v>47.23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900000080</v>
      </c>
      <c r="D44" s="7">
        <f>IFERROR(VLOOKUP(C44,TRAOPE!$G:$H,2,0),"")</f>
        <v/>
      </c>
      <c r="E44" s="8" t="inlineStr">
        <is>
          <t>DW70</t>
        </is>
      </c>
      <c r="F44" s="8" t="inlineStr">
        <is>
          <t>D086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10000625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20230501</t>
        </is>
      </c>
      <c r="M44" s="8" t="inlineStr">
        <is>
          <t>20250131</t>
        </is>
      </c>
      <c r="N44" s="10" t="n">
        <v>47.23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900000080</v>
      </c>
      <c r="D45" s="7">
        <f>IFERROR(VLOOKUP(C45,TRAOPE!$G:$H,2,0),"")</f>
        <v/>
      </c>
      <c r="E45" s="8" t="inlineStr">
        <is>
          <t>DW70</t>
        </is>
      </c>
      <c r="F45" s="8" t="inlineStr">
        <is>
          <t>D088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10000651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20230501</t>
        </is>
      </c>
      <c r="M45" s="8" t="inlineStr">
        <is>
          <t>20250131</t>
        </is>
      </c>
      <c r="N45" s="10" t="n">
        <v>53.21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900000080</v>
      </c>
      <c r="D46" s="7">
        <f>IFERROR(VLOOKUP(C46,TRAOPE!$G:$H,2,0),"")</f>
        <v/>
      </c>
      <c r="E46" s="8" t="inlineStr">
        <is>
          <t>DW70</t>
        </is>
      </c>
      <c r="F46" s="8" t="inlineStr">
        <is>
          <t>D089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10000625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20230501</t>
        </is>
      </c>
      <c r="M46" s="8" t="inlineStr">
        <is>
          <t>20250131</t>
        </is>
      </c>
      <c r="N46" s="10" t="n">
        <v>47.23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900000080</v>
      </c>
      <c r="D47" s="7">
        <f>IFERROR(VLOOKUP(C47,TRAOPE!$G:$H,2,0),"")</f>
        <v/>
      </c>
      <c r="E47" s="8" t="inlineStr">
        <is>
          <t>DW70</t>
        </is>
      </c>
      <c r="F47" s="8" t="inlineStr">
        <is>
          <t>D093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10000625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20230501</t>
        </is>
      </c>
      <c r="M47" s="8" t="inlineStr">
        <is>
          <t>20250131</t>
        </is>
      </c>
      <c r="N47" s="10" t="n">
        <v>47.23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900000080</v>
      </c>
      <c r="D48" s="7">
        <f>IFERROR(VLOOKUP(C48,TRAOPE!$G:$H,2,0),"")</f>
        <v/>
      </c>
      <c r="E48" s="8" t="inlineStr">
        <is>
          <t>DW70</t>
        </is>
      </c>
      <c r="F48" s="8" t="inlineStr">
        <is>
          <t>D093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10000651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20220516</t>
        </is>
      </c>
      <c r="M48" s="8" t="inlineStr">
        <is>
          <t>99991231</t>
        </is>
      </c>
      <c r="N48" s="10" t="n">
        <v>53.21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900000080</v>
      </c>
      <c r="D49" s="7">
        <f>IFERROR(VLOOKUP(C49,TRAOPE!$G:$H,2,0),"")</f>
        <v/>
      </c>
      <c r="E49" s="8" t="inlineStr">
        <is>
          <t>DW70</t>
        </is>
      </c>
      <c r="F49" s="8" t="inlineStr">
        <is>
          <t>D098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10000625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20230501</t>
        </is>
      </c>
      <c r="M49" s="8" t="inlineStr">
        <is>
          <t>20250131</t>
        </is>
      </c>
      <c r="N49" s="10" t="n">
        <v>47.23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900000080</v>
      </c>
      <c r="D50" s="7">
        <f>IFERROR(VLOOKUP(C50,TRAOPE!$G:$H,2,0),"")</f>
        <v/>
      </c>
      <c r="E50" s="8" t="inlineStr">
        <is>
          <t>DW70</t>
        </is>
      </c>
      <c r="F50" s="8" t="inlineStr">
        <is>
          <t>D105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10000625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20230501</t>
        </is>
      </c>
      <c r="M50" s="8" t="inlineStr">
        <is>
          <t>20250131</t>
        </is>
      </c>
      <c r="N50" s="10" t="n">
        <v>47.23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900000080</v>
      </c>
      <c r="D51" s="7">
        <f>IFERROR(VLOOKUP(C51,TRAOPE!$G:$H,2,0),"")</f>
        <v/>
      </c>
      <c r="E51" s="8" t="inlineStr">
        <is>
          <t>DW70</t>
        </is>
      </c>
      <c r="F51" s="8" t="inlineStr">
        <is>
          <t>D136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10000625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20230501</t>
        </is>
      </c>
      <c r="M51" s="8" t="inlineStr">
        <is>
          <t>20250131</t>
        </is>
      </c>
      <c r="N51" s="10" t="n">
        <v>47.23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900000080</v>
      </c>
      <c r="D52" s="7">
        <f>IFERROR(VLOOKUP(C52,TRAOPE!$G:$H,2,0),"")</f>
        <v/>
      </c>
      <c r="E52" s="8" t="inlineStr">
        <is>
          <t>DW70</t>
        </is>
      </c>
      <c r="F52" s="8" t="inlineStr">
        <is>
          <t>D136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10000651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20250227</t>
        </is>
      </c>
      <c r="M52" s="8" t="inlineStr">
        <is>
          <t>99991231</t>
        </is>
      </c>
      <c r="N52" s="10" t="n">
        <v>53.21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900000080</v>
      </c>
      <c r="D53" s="7">
        <f>IFERROR(VLOOKUP(C53,TRAOPE!$G:$H,2,0),"")</f>
        <v/>
      </c>
      <c r="E53" s="8" t="inlineStr">
        <is>
          <t>DW70</t>
        </is>
      </c>
      <c r="F53" s="8" t="inlineStr">
        <is>
          <t>D145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10000625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20230501</t>
        </is>
      </c>
      <c r="M53" s="8" t="inlineStr">
        <is>
          <t>20250131</t>
        </is>
      </c>
      <c r="N53" s="10" t="n">
        <v>47.23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900000080</v>
      </c>
      <c r="D54" s="7">
        <f>IFERROR(VLOOKUP(C54,TRAOPE!$G:$H,2,0),"")</f>
        <v/>
      </c>
      <c r="E54" s="8" t="inlineStr">
        <is>
          <t>DW70</t>
        </is>
      </c>
      <c r="F54" s="8" t="inlineStr">
        <is>
          <t>D145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10000651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20220516</t>
        </is>
      </c>
      <c r="M54" s="8" t="inlineStr">
        <is>
          <t>99991231</t>
        </is>
      </c>
      <c r="N54" s="10" t="n">
        <v>53.21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900000137</v>
      </c>
      <c r="D55" s="7">
        <f>IFERROR(VLOOKUP(C55,TRAOPE!$G:$H,2,0),"")</f>
        <v/>
      </c>
      <c r="E55" s="8" t="inlineStr">
        <is>
          <t>DW70</t>
        </is>
      </c>
      <c r="F55" s="8" t="inlineStr">
        <is>
          <t>D074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10000624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20260408</t>
        </is>
      </c>
      <c r="M55" s="8" t="inlineStr">
        <is>
          <t>99991231</t>
        </is>
      </c>
      <c r="N55" s="10" t="n">
        <v>110.01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900000137</v>
      </c>
      <c r="D56" s="7">
        <f>IFERROR(VLOOKUP(C56,TRAOPE!$G:$H,2,0),"")</f>
        <v/>
      </c>
      <c r="E56" s="8" t="inlineStr">
        <is>
          <t>DW70</t>
        </is>
      </c>
      <c r="F56" s="8" t="inlineStr">
        <is>
          <t>D074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10000630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20260408</t>
        </is>
      </c>
      <c r="M56" s="8" t="inlineStr">
        <is>
          <t>99991231</t>
        </is>
      </c>
      <c r="N56" s="10" t="n">
        <v>108.39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900000137</v>
      </c>
      <c r="D57" s="7">
        <f>IFERROR(VLOOKUP(C57,TRAOPE!$G:$H,2,0),"")</f>
        <v/>
      </c>
      <c r="E57" s="8" t="inlineStr">
        <is>
          <t>DW70</t>
        </is>
      </c>
      <c r="F57" s="8" t="inlineStr">
        <is>
          <t>D074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10000811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20260201</t>
        </is>
      </c>
      <c r="M57" s="8" t="inlineStr">
        <is>
          <t>99991231</t>
        </is>
      </c>
      <c r="N57" s="10" t="n">
        <v>115.12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900000137</v>
      </c>
      <c r="D58" s="7">
        <f>IFERROR(VLOOKUP(C58,TRAOPE!$G:$H,2,0),"")</f>
        <v/>
      </c>
      <c r="E58" s="8" t="inlineStr">
        <is>
          <t>DW70</t>
        </is>
      </c>
      <c r="F58" s="8" t="inlineStr">
        <is>
          <t>D074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10058345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20260408</t>
        </is>
      </c>
      <c r="M58" s="8" t="inlineStr">
        <is>
          <t>99991231</t>
        </is>
      </c>
      <c r="N58" s="10" t="n">
        <v>85.70999999999999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900000137</v>
      </c>
      <c r="D59" s="7">
        <f>IFERROR(VLOOKUP(C59,TRAOPE!$G:$H,2,0),"")</f>
        <v/>
      </c>
      <c r="E59" s="8" t="inlineStr">
        <is>
          <t>DW70</t>
        </is>
      </c>
      <c r="F59" s="8" t="inlineStr">
        <is>
          <t>D075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10000624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20260408</t>
        </is>
      </c>
      <c r="M59" s="8" t="inlineStr">
        <is>
          <t>99991231</t>
        </is>
      </c>
      <c r="N59" s="10" t="n">
        <v>110.01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900000137</v>
      </c>
      <c r="D60" s="7">
        <f>IFERROR(VLOOKUP(C60,TRAOPE!$G:$H,2,0),"")</f>
        <v/>
      </c>
      <c r="E60" s="8" t="inlineStr">
        <is>
          <t>DW70</t>
        </is>
      </c>
      <c r="F60" s="8" t="inlineStr">
        <is>
          <t>D075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10000630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20260408</t>
        </is>
      </c>
      <c r="M60" s="8" t="inlineStr">
        <is>
          <t>99991231</t>
        </is>
      </c>
      <c r="N60" s="10" t="n">
        <v>108.39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900000137</v>
      </c>
      <c r="D61" s="7">
        <f>IFERROR(VLOOKUP(C61,TRAOPE!$G:$H,2,0),"")</f>
        <v/>
      </c>
      <c r="E61" s="8" t="inlineStr">
        <is>
          <t>DW70</t>
        </is>
      </c>
      <c r="F61" s="8" t="inlineStr">
        <is>
          <t>D075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10000811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20260408</t>
        </is>
      </c>
      <c r="M61" s="8" t="inlineStr">
        <is>
          <t>99991231</t>
        </is>
      </c>
      <c r="N61" s="10" t="n">
        <v>115.12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900000137</v>
      </c>
      <c r="D62" s="7">
        <f>IFERROR(VLOOKUP(C62,TRAOPE!$G:$H,2,0),"")</f>
        <v/>
      </c>
      <c r="E62" s="8" t="inlineStr">
        <is>
          <t>DW70</t>
        </is>
      </c>
      <c r="F62" s="8" t="inlineStr">
        <is>
          <t>D075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10058345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20260408</t>
        </is>
      </c>
      <c r="M62" s="8" t="inlineStr">
        <is>
          <t>99991231</t>
        </is>
      </c>
      <c r="N62" s="10" t="n">
        <v>85.70999999999999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900000137</v>
      </c>
      <c r="D63" s="7">
        <f>IFERROR(VLOOKUP(C63,TRAOPE!$G:$H,2,0),"")</f>
        <v/>
      </c>
      <c r="E63" s="8" t="inlineStr">
        <is>
          <t>DW70</t>
        </is>
      </c>
      <c r="F63" s="8" t="inlineStr">
        <is>
          <t>D077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10000624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20260408</t>
        </is>
      </c>
      <c r="M63" s="8" t="inlineStr">
        <is>
          <t>99991231</t>
        </is>
      </c>
      <c r="N63" s="10" t="n">
        <v>110.01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900000137</v>
      </c>
      <c r="D64" s="7">
        <f>IFERROR(VLOOKUP(C64,TRAOPE!$G:$H,2,0),"")</f>
        <v/>
      </c>
      <c r="E64" s="8" t="inlineStr">
        <is>
          <t>DW70</t>
        </is>
      </c>
      <c r="F64" s="8" t="inlineStr">
        <is>
          <t>D077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10000630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20260408</t>
        </is>
      </c>
      <c r="M64" s="8" t="inlineStr">
        <is>
          <t>99991231</t>
        </is>
      </c>
      <c r="N64" s="10" t="n">
        <v>108.39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900000137</v>
      </c>
      <c r="D65" s="7">
        <f>IFERROR(VLOOKUP(C65,TRAOPE!$G:$H,2,0),"")</f>
        <v/>
      </c>
      <c r="E65" s="8" t="inlineStr">
        <is>
          <t>DW70</t>
        </is>
      </c>
      <c r="F65" s="8" t="inlineStr">
        <is>
          <t>D077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10000811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20260201</t>
        </is>
      </c>
      <c r="M65" s="8" t="inlineStr">
        <is>
          <t>99991231</t>
        </is>
      </c>
      <c r="N65" s="10" t="n">
        <v>115.12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900000137</v>
      </c>
      <c r="D66" s="7">
        <f>IFERROR(VLOOKUP(C66,TRAOPE!$G:$H,2,0),"")</f>
        <v/>
      </c>
      <c r="E66" s="8" t="inlineStr">
        <is>
          <t>DW70</t>
        </is>
      </c>
      <c r="F66" s="8" t="inlineStr">
        <is>
          <t>D077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10058345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20260201</t>
        </is>
      </c>
      <c r="M66" s="8" t="inlineStr">
        <is>
          <t>99991231</t>
        </is>
      </c>
      <c r="N66" s="10" t="n">
        <v>85.70999999999999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900000137</v>
      </c>
      <c r="D67" s="7">
        <f>IFERROR(VLOOKUP(C67,TRAOPE!$G:$H,2,0),"")</f>
        <v/>
      </c>
      <c r="E67" s="8" t="inlineStr">
        <is>
          <t>DW70</t>
        </is>
      </c>
      <c r="F67" s="8" t="inlineStr">
        <is>
          <t>D079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10000624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20260408</t>
        </is>
      </c>
      <c r="M67" s="8" t="inlineStr">
        <is>
          <t>99991231</t>
        </is>
      </c>
      <c r="N67" s="10" t="n">
        <v>110.01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900000137</v>
      </c>
      <c r="D68" s="7">
        <f>IFERROR(VLOOKUP(C68,TRAOPE!$G:$H,2,0),"")</f>
        <v/>
      </c>
      <c r="E68" s="8" t="inlineStr">
        <is>
          <t>DW70</t>
        </is>
      </c>
      <c r="F68" s="8" t="inlineStr">
        <is>
          <t>D079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10000630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20260408</t>
        </is>
      </c>
      <c r="M68" s="8" t="inlineStr">
        <is>
          <t>99991231</t>
        </is>
      </c>
      <c r="N68" s="10" t="n">
        <v>108.39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900000137</v>
      </c>
      <c r="D69" s="7">
        <f>IFERROR(VLOOKUP(C69,TRAOPE!$G:$H,2,0),"")</f>
        <v/>
      </c>
      <c r="E69" s="8" t="inlineStr">
        <is>
          <t>DW70</t>
        </is>
      </c>
      <c r="F69" s="8" t="inlineStr">
        <is>
          <t>D079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10000811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20260201</t>
        </is>
      </c>
      <c r="M69" s="8" t="inlineStr">
        <is>
          <t>99991231</t>
        </is>
      </c>
      <c r="N69" s="10" t="n">
        <v>115.12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900000137</v>
      </c>
      <c r="D70" s="7">
        <f>IFERROR(VLOOKUP(C70,TRAOPE!$G:$H,2,0),"")</f>
        <v/>
      </c>
      <c r="E70" s="8" t="inlineStr">
        <is>
          <t>DW70</t>
        </is>
      </c>
      <c r="F70" s="8" t="inlineStr">
        <is>
          <t>D079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10058345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20260201</t>
        </is>
      </c>
      <c r="M70" s="8" t="inlineStr">
        <is>
          <t>99991231</t>
        </is>
      </c>
      <c r="N70" s="10" t="n">
        <v>85.70999999999999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900000137</v>
      </c>
      <c r="D71" s="7">
        <f>IFERROR(VLOOKUP(C71,TRAOPE!$G:$H,2,0),"")</f>
        <v/>
      </c>
      <c r="E71" s="8" t="inlineStr">
        <is>
          <t>DW70</t>
        </is>
      </c>
      <c r="F71" s="8" t="inlineStr">
        <is>
          <t>D080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10000624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20260408</t>
        </is>
      </c>
      <c r="M71" s="8" t="inlineStr">
        <is>
          <t>99991231</t>
        </is>
      </c>
      <c r="N71" s="10" t="n">
        <v>110.01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900000137</v>
      </c>
      <c r="D72" s="7">
        <f>IFERROR(VLOOKUP(C72,TRAOPE!$G:$H,2,0),"")</f>
        <v/>
      </c>
      <c r="E72" s="8" t="inlineStr">
        <is>
          <t>DW70</t>
        </is>
      </c>
      <c r="F72" s="8" t="inlineStr">
        <is>
          <t>D080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10000630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20260408</t>
        </is>
      </c>
      <c r="M72" s="8" t="inlineStr">
        <is>
          <t>99991231</t>
        </is>
      </c>
      <c r="N72" s="10" t="n">
        <v>108.39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900000137</v>
      </c>
      <c r="D73" s="7">
        <f>IFERROR(VLOOKUP(C73,TRAOPE!$G:$H,2,0),"")</f>
        <v/>
      </c>
      <c r="E73" s="8" t="inlineStr">
        <is>
          <t>DW70</t>
        </is>
      </c>
      <c r="F73" s="8" t="inlineStr">
        <is>
          <t>D080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10000811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20260408</t>
        </is>
      </c>
      <c r="M73" s="8" t="inlineStr">
        <is>
          <t>99991231</t>
        </is>
      </c>
      <c r="N73" s="10" t="n">
        <v>115.12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900000137</v>
      </c>
      <c r="D74" s="7">
        <f>IFERROR(VLOOKUP(C74,TRAOPE!$G:$H,2,0),"")</f>
        <v/>
      </c>
      <c r="E74" s="8" t="inlineStr">
        <is>
          <t>DW70</t>
        </is>
      </c>
      <c r="F74" s="8" t="inlineStr">
        <is>
          <t>D080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10058345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20260408</t>
        </is>
      </c>
      <c r="M74" s="8" t="inlineStr">
        <is>
          <t>99991231</t>
        </is>
      </c>
      <c r="N74" s="10" t="n">
        <v>85.70999999999999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900000137</v>
      </c>
      <c r="D75" s="7">
        <f>IFERROR(VLOOKUP(C75,TRAOPE!$G:$H,2,0),"")</f>
        <v/>
      </c>
      <c r="E75" s="8" t="inlineStr">
        <is>
          <t>DW70</t>
        </is>
      </c>
      <c r="F75" s="8" t="inlineStr">
        <is>
          <t>D081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10000624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20260201</t>
        </is>
      </c>
      <c r="M75" s="8" t="inlineStr">
        <is>
          <t>99991231</t>
        </is>
      </c>
      <c r="N75" s="10" t="n">
        <v>110.01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900000137</v>
      </c>
      <c r="D76" s="7">
        <f>IFERROR(VLOOKUP(C76,TRAOPE!$G:$H,2,0),"")</f>
        <v/>
      </c>
      <c r="E76" s="8" t="inlineStr">
        <is>
          <t>DW70</t>
        </is>
      </c>
      <c r="F76" s="8" t="inlineStr">
        <is>
          <t>D081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10000630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20260201</t>
        </is>
      </c>
      <c r="M76" s="8" t="inlineStr">
        <is>
          <t>99991231</t>
        </is>
      </c>
      <c r="N76" s="10" t="n">
        <v>108.39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900000137</v>
      </c>
      <c r="D77" s="7">
        <f>IFERROR(VLOOKUP(C77,TRAOPE!$G:$H,2,0),"")</f>
        <v/>
      </c>
      <c r="E77" s="8" t="inlineStr">
        <is>
          <t>DW70</t>
        </is>
      </c>
      <c r="F77" s="8" t="inlineStr">
        <is>
          <t>D081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10000811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20260408</t>
        </is>
      </c>
      <c r="M77" s="8" t="inlineStr">
        <is>
          <t>99991231</t>
        </is>
      </c>
      <c r="N77" s="10" t="n">
        <v>115.12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900000137</v>
      </c>
      <c r="D78" s="7">
        <f>IFERROR(VLOOKUP(C78,TRAOPE!$G:$H,2,0),"")</f>
        <v/>
      </c>
      <c r="E78" s="8" t="inlineStr">
        <is>
          <t>DW70</t>
        </is>
      </c>
      <c r="F78" s="8" t="inlineStr">
        <is>
          <t>D081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10058345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20260408</t>
        </is>
      </c>
      <c r="M78" s="8" t="inlineStr">
        <is>
          <t>99991231</t>
        </is>
      </c>
      <c r="N78" s="10" t="n">
        <v>85.70999999999999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900000137</v>
      </c>
      <c r="D79" s="7">
        <f>IFERROR(VLOOKUP(C79,TRAOPE!$G:$H,2,0),"")</f>
        <v/>
      </c>
      <c r="E79" s="8" t="inlineStr">
        <is>
          <t>DW70</t>
        </is>
      </c>
      <c r="F79" s="8" t="inlineStr">
        <is>
          <t>D083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10000624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20260408</t>
        </is>
      </c>
      <c r="M79" s="8" t="inlineStr">
        <is>
          <t>99991231</t>
        </is>
      </c>
      <c r="N79" s="10" t="n">
        <v>110.01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900000137</v>
      </c>
      <c r="D80" s="7">
        <f>IFERROR(VLOOKUP(C80,TRAOPE!$G:$H,2,0),"")</f>
        <v/>
      </c>
      <c r="E80" s="8" t="inlineStr">
        <is>
          <t>DW70</t>
        </is>
      </c>
      <c r="F80" s="8" t="inlineStr">
        <is>
          <t>D083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10000630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20260201</t>
        </is>
      </c>
      <c r="M80" s="8" t="inlineStr">
        <is>
          <t>99991231</t>
        </is>
      </c>
      <c r="N80" s="10" t="n">
        <v>108.39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900000137</v>
      </c>
      <c r="D81" s="7">
        <f>IFERROR(VLOOKUP(C81,TRAOPE!$G:$H,2,0),"")</f>
        <v/>
      </c>
      <c r="E81" s="8" t="inlineStr">
        <is>
          <t>DW70</t>
        </is>
      </c>
      <c r="F81" s="8" t="inlineStr">
        <is>
          <t>D083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10000811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20260201</t>
        </is>
      </c>
      <c r="M81" s="8" t="inlineStr">
        <is>
          <t>99991231</t>
        </is>
      </c>
      <c r="N81" s="10" t="n">
        <v>115.12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900000137</v>
      </c>
      <c r="D82" s="7">
        <f>IFERROR(VLOOKUP(C82,TRAOPE!$G:$H,2,0),"")</f>
        <v/>
      </c>
      <c r="E82" s="8" t="inlineStr">
        <is>
          <t>DW70</t>
        </is>
      </c>
      <c r="F82" s="8" t="inlineStr">
        <is>
          <t>D083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10058345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20260408</t>
        </is>
      </c>
      <c r="M82" s="8" t="inlineStr">
        <is>
          <t>99991231</t>
        </is>
      </c>
      <c r="N82" s="10" t="n">
        <v>85.70999999999999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900000137</v>
      </c>
      <c r="D83" s="7">
        <f>IFERROR(VLOOKUP(C83,TRAOPE!$G:$H,2,0),"")</f>
        <v/>
      </c>
      <c r="E83" s="8" t="inlineStr">
        <is>
          <t>DW70</t>
        </is>
      </c>
      <c r="F83" s="8" t="inlineStr">
        <is>
          <t>D084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10000624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20260408</t>
        </is>
      </c>
      <c r="M83" s="8" t="inlineStr">
        <is>
          <t>99991231</t>
        </is>
      </c>
      <c r="N83" s="10" t="n">
        <v>110.01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900000137</v>
      </c>
      <c r="D84" s="7">
        <f>IFERROR(VLOOKUP(C84,TRAOPE!$G:$H,2,0),"")</f>
        <v/>
      </c>
      <c r="E84" s="8" t="inlineStr">
        <is>
          <t>DW70</t>
        </is>
      </c>
      <c r="F84" s="8" t="inlineStr">
        <is>
          <t>D084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10000630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20260408</t>
        </is>
      </c>
      <c r="M84" s="8" t="inlineStr">
        <is>
          <t>99991231</t>
        </is>
      </c>
      <c r="N84" s="10" t="n">
        <v>108.39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900000137</v>
      </c>
      <c r="D85" s="7">
        <f>IFERROR(VLOOKUP(C85,TRAOPE!$G:$H,2,0),"")</f>
        <v/>
      </c>
      <c r="E85" s="8" t="inlineStr">
        <is>
          <t>DW70</t>
        </is>
      </c>
      <c r="F85" s="8" t="inlineStr">
        <is>
          <t>D084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10000811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20260201</t>
        </is>
      </c>
      <c r="M85" s="8" t="inlineStr">
        <is>
          <t>99991231</t>
        </is>
      </c>
      <c r="N85" s="10" t="n">
        <v>115.12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900000137</v>
      </c>
      <c r="D86" s="7">
        <f>IFERROR(VLOOKUP(C86,TRAOPE!$G:$H,2,0),"")</f>
        <v/>
      </c>
      <c r="E86" s="8" t="inlineStr">
        <is>
          <t>DW70</t>
        </is>
      </c>
      <c r="F86" s="8" t="inlineStr">
        <is>
          <t>D084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10058345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20260201</t>
        </is>
      </c>
      <c r="M86" s="8" t="inlineStr">
        <is>
          <t>99991231</t>
        </is>
      </c>
      <c r="N86" s="10" t="n">
        <v>85.70999999999999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900000137</v>
      </c>
      <c r="D87" s="7">
        <f>IFERROR(VLOOKUP(C87,TRAOPE!$G:$H,2,0),"")</f>
        <v/>
      </c>
      <c r="E87" s="8" t="inlineStr">
        <is>
          <t>DW70</t>
        </is>
      </c>
      <c r="F87" s="8" t="inlineStr">
        <is>
          <t>D085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10000624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20260408</t>
        </is>
      </c>
      <c r="M87" s="8" t="inlineStr">
        <is>
          <t>99991231</t>
        </is>
      </c>
      <c r="N87" s="10" t="n">
        <v>110.01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900000137</v>
      </c>
      <c r="D88" s="7">
        <f>IFERROR(VLOOKUP(C88,TRAOPE!$G:$H,2,0),"")</f>
        <v/>
      </c>
      <c r="E88" s="8" t="inlineStr">
        <is>
          <t>DW70</t>
        </is>
      </c>
      <c r="F88" s="8" t="inlineStr">
        <is>
          <t>D085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10000630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20260408</t>
        </is>
      </c>
      <c r="M88" s="8" t="inlineStr">
        <is>
          <t>99991231</t>
        </is>
      </c>
      <c r="N88" s="10" t="n">
        <v>108.39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900000137</v>
      </c>
      <c r="D89" s="7">
        <f>IFERROR(VLOOKUP(C89,TRAOPE!$G:$H,2,0),"")</f>
        <v/>
      </c>
      <c r="E89" s="8" t="inlineStr">
        <is>
          <t>DW70</t>
        </is>
      </c>
      <c r="F89" s="8" t="inlineStr">
        <is>
          <t>D085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10000811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20260201</t>
        </is>
      </c>
      <c r="M89" s="8" t="inlineStr">
        <is>
          <t>99991231</t>
        </is>
      </c>
      <c r="N89" s="10" t="n">
        <v>115.12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900000137</v>
      </c>
      <c r="D90" s="7">
        <f>IFERROR(VLOOKUP(C90,TRAOPE!$G:$H,2,0),"")</f>
        <v/>
      </c>
      <c r="E90" s="8" t="inlineStr">
        <is>
          <t>DW70</t>
        </is>
      </c>
      <c r="F90" s="8" t="inlineStr">
        <is>
          <t>D085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10058345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20260201</t>
        </is>
      </c>
      <c r="M90" s="8" t="inlineStr">
        <is>
          <t>99991231</t>
        </is>
      </c>
      <c r="N90" s="10" t="n">
        <v>85.70999999999999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900000137</v>
      </c>
      <c r="D91" s="7">
        <f>IFERROR(VLOOKUP(C91,TRAOPE!$G:$H,2,0),"")</f>
        <v/>
      </c>
      <c r="E91" s="8" t="inlineStr">
        <is>
          <t>DW70</t>
        </is>
      </c>
      <c r="F91" s="8" t="inlineStr">
        <is>
          <t>D086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10000624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20260408</t>
        </is>
      </c>
      <c r="M91" s="8" t="inlineStr">
        <is>
          <t>99991231</t>
        </is>
      </c>
      <c r="N91" s="10" t="n">
        <v>110.01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900000137</v>
      </c>
      <c r="D92" s="7">
        <f>IFERROR(VLOOKUP(C92,TRAOPE!$G:$H,2,0),"")</f>
        <v/>
      </c>
      <c r="E92" s="8" t="inlineStr">
        <is>
          <t>DW70</t>
        </is>
      </c>
      <c r="F92" s="8" t="inlineStr">
        <is>
          <t>D086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10000630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20260408</t>
        </is>
      </c>
      <c r="M92" s="8" t="inlineStr">
        <is>
          <t>99991231</t>
        </is>
      </c>
      <c r="N92" s="10" t="n">
        <v>108.39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900000137</v>
      </c>
      <c r="D93" s="7">
        <f>IFERROR(VLOOKUP(C93,TRAOPE!$G:$H,2,0),"")</f>
        <v/>
      </c>
      <c r="E93" s="8" t="inlineStr">
        <is>
          <t>DW70</t>
        </is>
      </c>
      <c r="F93" s="8" t="inlineStr">
        <is>
          <t>D086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10000811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20260201</t>
        </is>
      </c>
      <c r="M93" s="8" t="inlineStr">
        <is>
          <t>99991231</t>
        </is>
      </c>
      <c r="N93" s="10" t="n">
        <v>115.12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900000137</v>
      </c>
      <c r="D94" s="7">
        <f>IFERROR(VLOOKUP(C94,TRAOPE!$G:$H,2,0),"")</f>
        <v/>
      </c>
      <c r="E94" s="8" t="inlineStr">
        <is>
          <t>DW70</t>
        </is>
      </c>
      <c r="F94" s="8" t="inlineStr">
        <is>
          <t>D086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10058345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20260201</t>
        </is>
      </c>
      <c r="M94" s="8" t="inlineStr">
        <is>
          <t>99991231</t>
        </is>
      </c>
      <c r="N94" s="10" t="n">
        <v>85.70999999999999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900000137</v>
      </c>
      <c r="D95" s="7">
        <f>IFERROR(VLOOKUP(C95,TRAOPE!$G:$H,2,0),"")</f>
        <v/>
      </c>
      <c r="E95" s="8" t="inlineStr">
        <is>
          <t>DW70</t>
        </is>
      </c>
      <c r="F95" s="8" t="inlineStr">
        <is>
          <t>D088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10000624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20230501</t>
        </is>
      </c>
      <c r="M95" s="8" t="inlineStr">
        <is>
          <t>20250131</t>
        </is>
      </c>
      <c r="N95" s="10" t="n">
        <v>101.86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900000137</v>
      </c>
      <c r="D96" s="7">
        <f>IFERROR(VLOOKUP(C96,TRAOPE!$G:$H,2,0),"")</f>
        <v/>
      </c>
      <c r="E96" s="8" t="inlineStr">
        <is>
          <t>DW70</t>
        </is>
      </c>
      <c r="F96" s="8" t="inlineStr">
        <is>
          <t>D088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10000811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20230501</t>
        </is>
      </c>
      <c r="M96" s="8" t="inlineStr">
        <is>
          <t>20250131</t>
        </is>
      </c>
      <c r="N96" s="10" t="n">
        <v>106.59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900000137</v>
      </c>
      <c r="D97" s="7">
        <f>IFERROR(VLOOKUP(C97,TRAOPE!$G:$H,2,0),"")</f>
        <v/>
      </c>
      <c r="E97" s="8" t="inlineStr">
        <is>
          <t>DW70</t>
        </is>
      </c>
      <c r="F97" s="8" t="inlineStr">
        <is>
          <t>D088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10058345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20230501</t>
        </is>
      </c>
      <c r="M97" s="8" t="inlineStr">
        <is>
          <t>20250131</t>
        </is>
      </c>
      <c r="N97" s="10" t="n">
        <v>86.51000000000001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900000137</v>
      </c>
      <c r="D98" s="7">
        <f>IFERROR(VLOOKUP(C98,TRAOPE!$G:$H,2,0),"")</f>
        <v/>
      </c>
      <c r="E98" s="8" t="inlineStr">
        <is>
          <t>DW70</t>
        </is>
      </c>
      <c r="F98" s="8" t="inlineStr">
        <is>
          <t>D089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10000624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20230501</t>
        </is>
      </c>
      <c r="M98" s="8" t="inlineStr">
        <is>
          <t>20250131</t>
        </is>
      </c>
      <c r="N98" s="10" t="n">
        <v>101.86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900000137</v>
      </c>
      <c r="D99" s="7">
        <f>IFERROR(VLOOKUP(C99,TRAOPE!$G:$H,2,0),"")</f>
        <v/>
      </c>
      <c r="E99" s="8" t="inlineStr">
        <is>
          <t>DW70</t>
        </is>
      </c>
      <c r="F99" s="8" t="inlineStr">
        <is>
          <t>D089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10000811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20230501</t>
        </is>
      </c>
      <c r="M99" s="8" t="inlineStr">
        <is>
          <t>20250131</t>
        </is>
      </c>
      <c r="N99" s="10" t="n">
        <v>106.59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900000137</v>
      </c>
      <c r="D100" s="7">
        <f>IFERROR(VLOOKUP(C100,TRAOPE!$G:$H,2,0),"")</f>
        <v/>
      </c>
      <c r="E100" s="8" t="inlineStr">
        <is>
          <t>DW70</t>
        </is>
      </c>
      <c r="F100" s="8" t="inlineStr">
        <is>
          <t>D089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10058345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20230501</t>
        </is>
      </c>
      <c r="M100" s="8" t="inlineStr">
        <is>
          <t>20250131</t>
        </is>
      </c>
      <c r="N100" s="10" t="n">
        <v>86.51000000000001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900000137</v>
      </c>
      <c r="D101" s="7">
        <f>IFERROR(VLOOKUP(C101,TRAOPE!$G:$H,2,0),"")</f>
        <v/>
      </c>
      <c r="E101" s="8" t="inlineStr">
        <is>
          <t>DW70</t>
        </is>
      </c>
      <c r="F101" s="8" t="inlineStr">
        <is>
          <t>D093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10000624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20260201</t>
        </is>
      </c>
      <c r="M101" s="8" t="inlineStr">
        <is>
          <t>99991231</t>
        </is>
      </c>
      <c r="N101" s="10" t="n">
        <v>110.01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900000137</v>
      </c>
      <c r="D102" s="7">
        <f>IFERROR(VLOOKUP(C102,TRAOPE!$G:$H,2,0),"")</f>
        <v/>
      </c>
      <c r="E102" s="8" t="inlineStr">
        <is>
          <t>DW70</t>
        </is>
      </c>
      <c r="F102" s="8" t="inlineStr">
        <is>
          <t>D093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10000630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20260201</t>
        </is>
      </c>
      <c r="M102" s="8" t="inlineStr">
        <is>
          <t>99991231</t>
        </is>
      </c>
      <c r="N102" s="10" t="n">
        <v>108.39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900000137</v>
      </c>
      <c r="D103" s="7">
        <f>IFERROR(VLOOKUP(C103,TRAOPE!$G:$H,2,0),"")</f>
        <v/>
      </c>
      <c r="E103" s="8" t="inlineStr">
        <is>
          <t>DW70</t>
        </is>
      </c>
      <c r="F103" s="8" t="inlineStr">
        <is>
          <t>D093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10000811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20260201</t>
        </is>
      </c>
      <c r="M103" s="8" t="inlineStr">
        <is>
          <t>99991231</t>
        </is>
      </c>
      <c r="N103" s="10" t="n">
        <v>115.12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900000137</v>
      </c>
      <c r="D104" s="7">
        <f>IFERROR(VLOOKUP(C104,TRAOPE!$G:$H,2,0),"")</f>
        <v/>
      </c>
      <c r="E104" s="8" t="inlineStr">
        <is>
          <t>DW70</t>
        </is>
      </c>
      <c r="F104" s="8" t="inlineStr">
        <is>
          <t>D093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10058345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20260408</t>
        </is>
      </c>
      <c r="M104" s="8" t="inlineStr">
        <is>
          <t>99991231</t>
        </is>
      </c>
      <c r="N104" s="10" t="n">
        <v>85.70999999999999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900000137</v>
      </c>
      <c r="D105" s="7">
        <f>IFERROR(VLOOKUP(C105,TRAOPE!$G:$H,2,0),"")</f>
        <v/>
      </c>
      <c r="E105" s="8" t="inlineStr">
        <is>
          <t>DW70</t>
        </is>
      </c>
      <c r="F105" s="8" t="inlineStr">
        <is>
          <t>D098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10000624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20260201</t>
        </is>
      </c>
      <c r="M105" s="8" t="inlineStr">
        <is>
          <t>99991231</t>
        </is>
      </c>
      <c r="N105" s="10" t="n">
        <v>110.01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900000137</v>
      </c>
      <c r="D106" s="7">
        <f>IFERROR(VLOOKUP(C106,TRAOPE!$G:$H,2,0),"")</f>
        <v/>
      </c>
      <c r="E106" s="8" t="inlineStr">
        <is>
          <t>DW70</t>
        </is>
      </c>
      <c r="F106" s="8" t="inlineStr">
        <is>
          <t>D098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10000630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20260326</t>
        </is>
      </c>
      <c r="M106" s="8" t="inlineStr">
        <is>
          <t>99991231</t>
        </is>
      </c>
      <c r="N106" s="10" t="n">
        <v>108.39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900000137</v>
      </c>
      <c r="D107" s="7">
        <f>IFERROR(VLOOKUP(C107,TRAOPE!$G:$H,2,0),"")</f>
        <v/>
      </c>
      <c r="E107" s="8" t="inlineStr">
        <is>
          <t>DW70</t>
        </is>
      </c>
      <c r="F107" s="8" t="inlineStr">
        <is>
          <t>D098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10000811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20260201</t>
        </is>
      </c>
      <c r="M107" s="8" t="inlineStr">
        <is>
          <t>99991231</t>
        </is>
      </c>
      <c r="N107" s="10" t="n">
        <v>115.12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900000137</v>
      </c>
      <c r="D108" s="7">
        <f>IFERROR(VLOOKUP(C108,TRAOPE!$G:$H,2,0),"")</f>
        <v/>
      </c>
      <c r="E108" s="8" t="inlineStr">
        <is>
          <t>DW70</t>
        </is>
      </c>
      <c r="F108" s="8" t="inlineStr">
        <is>
          <t>D098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10058345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20260408</t>
        </is>
      </c>
      <c r="M108" s="8" t="inlineStr">
        <is>
          <t>99991231</t>
        </is>
      </c>
      <c r="N108" s="10" t="n">
        <v>85.70999999999999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900000137</v>
      </c>
      <c r="D109" s="7">
        <f>IFERROR(VLOOKUP(C109,TRAOPE!$G:$H,2,0),"")</f>
        <v/>
      </c>
      <c r="E109" s="8" t="inlineStr">
        <is>
          <t>DW70</t>
        </is>
      </c>
      <c r="F109" s="8" t="inlineStr">
        <is>
          <t>D098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10147486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20260201</t>
        </is>
      </c>
      <c r="M109" s="8" t="inlineStr">
        <is>
          <t>99991231</t>
        </is>
      </c>
      <c r="N109" s="10" t="n">
        <v>106.78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900000137</v>
      </c>
      <c r="D110" s="7">
        <f>IFERROR(VLOOKUP(C110,TRAOPE!$G:$H,2,0),"")</f>
        <v/>
      </c>
      <c r="E110" s="8" t="inlineStr">
        <is>
          <t>DW70</t>
        </is>
      </c>
      <c r="F110" s="8" t="inlineStr">
        <is>
          <t>D105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10000623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20230501</t>
        </is>
      </c>
      <c r="M110" s="8" t="inlineStr">
        <is>
          <t>20250131</t>
        </is>
      </c>
      <c r="N110" s="10" t="n">
        <v>119.53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900000137</v>
      </c>
      <c r="D111" s="7">
        <f>IFERROR(VLOOKUP(C111,TRAOPE!$G:$H,2,0),"")</f>
        <v/>
      </c>
      <c r="E111" s="8" t="inlineStr">
        <is>
          <t>DW70</t>
        </is>
      </c>
      <c r="F111" s="8" t="inlineStr">
        <is>
          <t>D105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10000624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20260120</t>
        </is>
      </c>
      <c r="M111" s="8" t="inlineStr">
        <is>
          <t>99991231</t>
        </is>
      </c>
      <c r="N111" s="10" t="n">
        <v>101.86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900000137</v>
      </c>
      <c r="D112" s="7">
        <f>IFERROR(VLOOKUP(C112,TRAOPE!$G:$H,2,0),"")</f>
        <v/>
      </c>
      <c r="E112" s="8" t="inlineStr">
        <is>
          <t>DW70</t>
        </is>
      </c>
      <c r="F112" s="8" t="inlineStr">
        <is>
          <t>D105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10000630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20260408</t>
        </is>
      </c>
      <c r="M112" s="8" t="inlineStr">
        <is>
          <t>99991231</t>
        </is>
      </c>
      <c r="N112" s="10" t="n">
        <v>108.39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900000137</v>
      </c>
      <c r="D113" s="7">
        <f>IFERROR(VLOOKUP(C113,TRAOPE!$G:$H,2,0),"")</f>
        <v/>
      </c>
      <c r="E113" s="8" t="inlineStr">
        <is>
          <t>DW70</t>
        </is>
      </c>
      <c r="F113" s="8" t="inlineStr">
        <is>
          <t>D105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10000811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20260201</t>
        </is>
      </c>
      <c r="M113" s="8" t="inlineStr">
        <is>
          <t>99991231</t>
        </is>
      </c>
      <c r="N113" s="10" t="n">
        <v>115.12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900000137</v>
      </c>
      <c r="D114" s="7">
        <f>IFERROR(VLOOKUP(C114,TRAOPE!$G:$H,2,0),"")</f>
        <v/>
      </c>
      <c r="E114" s="8" t="inlineStr">
        <is>
          <t>DW70</t>
        </is>
      </c>
      <c r="F114" s="8" t="inlineStr">
        <is>
          <t>D105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10058345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20260408</t>
        </is>
      </c>
      <c r="M114" s="8" t="inlineStr">
        <is>
          <t>99991231</t>
        </is>
      </c>
      <c r="N114" s="10" t="n">
        <v>85.70999999999999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900000137</v>
      </c>
      <c r="D115" s="7">
        <f>IFERROR(VLOOKUP(C115,TRAOPE!$G:$H,2,0),"")</f>
        <v/>
      </c>
      <c r="E115" s="8" t="inlineStr">
        <is>
          <t>DW70</t>
        </is>
      </c>
      <c r="F115" s="8" t="inlineStr">
        <is>
          <t>D111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10000624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20230501</t>
        </is>
      </c>
      <c r="M115" s="8" t="inlineStr">
        <is>
          <t>20250131</t>
        </is>
      </c>
      <c r="N115" s="10" t="n">
        <v>93.45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900000137</v>
      </c>
      <c r="D116" s="7">
        <f>IFERROR(VLOOKUP(C116,TRAOPE!$G:$H,2,0),"")</f>
        <v/>
      </c>
      <c r="E116" s="8" t="inlineStr">
        <is>
          <t>DW70</t>
        </is>
      </c>
      <c r="F116" s="8" t="inlineStr">
        <is>
          <t>D136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10000623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20230501</t>
        </is>
      </c>
      <c r="M116" s="8" t="inlineStr">
        <is>
          <t>20250131</t>
        </is>
      </c>
      <c r="N116" s="10" t="n">
        <v>119.53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900000137</v>
      </c>
      <c r="D117" s="7">
        <f>IFERROR(VLOOKUP(C117,TRAOPE!$G:$H,2,0),"")</f>
        <v/>
      </c>
      <c r="E117" s="8" t="inlineStr">
        <is>
          <t>DW70</t>
        </is>
      </c>
      <c r="F117" s="8" t="inlineStr">
        <is>
          <t>D136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10000624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20260408</t>
        </is>
      </c>
      <c r="M117" s="8" t="inlineStr">
        <is>
          <t>99991231</t>
        </is>
      </c>
      <c r="N117" s="10" t="n">
        <v>110.01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900000137</v>
      </c>
      <c r="D118" s="7">
        <f>IFERROR(VLOOKUP(C118,TRAOPE!$G:$H,2,0),"")</f>
        <v/>
      </c>
      <c r="E118" s="8" t="inlineStr">
        <is>
          <t>DW70</t>
        </is>
      </c>
      <c r="F118" s="8" t="inlineStr">
        <is>
          <t>D136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10000630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20260408</t>
        </is>
      </c>
      <c r="M118" s="8" t="inlineStr">
        <is>
          <t>99991231</t>
        </is>
      </c>
      <c r="N118" s="10" t="n">
        <v>108.39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900000137</v>
      </c>
      <c r="D119" s="7">
        <f>IFERROR(VLOOKUP(C119,TRAOPE!$G:$H,2,0),"")</f>
        <v/>
      </c>
      <c r="E119" s="8" t="inlineStr">
        <is>
          <t>DW70</t>
        </is>
      </c>
      <c r="F119" s="8" t="inlineStr">
        <is>
          <t>D136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10000811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20260201</t>
        </is>
      </c>
      <c r="M119" s="8" t="inlineStr">
        <is>
          <t>99991231</t>
        </is>
      </c>
      <c r="N119" s="10" t="n">
        <v>115.12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900000137</v>
      </c>
      <c r="D120" s="7">
        <f>IFERROR(VLOOKUP(C120,TRAOPE!$G:$H,2,0),"")</f>
        <v/>
      </c>
      <c r="E120" s="8" t="inlineStr">
        <is>
          <t>DW70</t>
        </is>
      </c>
      <c r="F120" s="8" t="inlineStr">
        <is>
          <t>D136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10058345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20260408</t>
        </is>
      </c>
      <c r="M120" s="8" t="inlineStr">
        <is>
          <t>99991231</t>
        </is>
      </c>
      <c r="N120" s="10" t="n">
        <v>85.70999999999999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900000137</v>
      </c>
      <c r="D121" s="7">
        <f>IFERROR(VLOOKUP(C121,TRAOPE!$G:$H,2,0),"")</f>
        <v/>
      </c>
      <c r="E121" s="8" t="inlineStr">
        <is>
          <t>DW70</t>
        </is>
      </c>
      <c r="F121" s="8" t="inlineStr">
        <is>
          <t>D145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10000623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20230501</t>
        </is>
      </c>
      <c r="M121" s="8" t="inlineStr">
        <is>
          <t>20250131</t>
        </is>
      </c>
      <c r="N121" s="10" t="n">
        <v>119.53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900000137</v>
      </c>
      <c r="D122" s="7">
        <f>IFERROR(VLOOKUP(C122,TRAOPE!$G:$H,2,0),"")</f>
        <v/>
      </c>
      <c r="E122" s="8" t="inlineStr">
        <is>
          <t>DW70</t>
        </is>
      </c>
      <c r="F122" s="8" t="inlineStr">
        <is>
          <t>D145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10000624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20260201</t>
        </is>
      </c>
      <c r="M122" s="8" t="inlineStr">
        <is>
          <t>99991231</t>
        </is>
      </c>
      <c r="N122" s="10" t="n">
        <v>110.01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900000137</v>
      </c>
      <c r="D123" s="7">
        <f>IFERROR(VLOOKUP(C123,TRAOPE!$G:$H,2,0),"")</f>
        <v/>
      </c>
      <c r="E123" s="8" t="inlineStr">
        <is>
          <t>DW70</t>
        </is>
      </c>
      <c r="F123" s="8" t="inlineStr">
        <is>
          <t>D145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10000630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20260201</t>
        </is>
      </c>
      <c r="M123" s="8" t="inlineStr">
        <is>
          <t>99991231</t>
        </is>
      </c>
      <c r="N123" s="10" t="n">
        <v>108.39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900000137</v>
      </c>
      <c r="D124" s="7">
        <f>IFERROR(VLOOKUP(C124,TRAOPE!$G:$H,2,0),"")</f>
        <v/>
      </c>
      <c r="E124" s="8" t="inlineStr">
        <is>
          <t>DW70</t>
        </is>
      </c>
      <c r="F124" s="8" t="inlineStr">
        <is>
          <t>D145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10000811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20260201</t>
        </is>
      </c>
      <c r="M124" s="8" t="inlineStr">
        <is>
          <t>99991231</t>
        </is>
      </c>
      <c r="N124" s="10" t="n">
        <v>115.12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900000137</v>
      </c>
      <c r="D125" s="7">
        <f>IFERROR(VLOOKUP(C125,TRAOPE!$G:$H,2,0),"")</f>
        <v/>
      </c>
      <c r="E125" s="8" t="inlineStr">
        <is>
          <t>DW70</t>
        </is>
      </c>
      <c r="F125" s="8" t="inlineStr">
        <is>
          <t>D145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10058345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20260408</t>
        </is>
      </c>
      <c r="M125" s="8" t="inlineStr">
        <is>
          <t>99991231</t>
        </is>
      </c>
      <c r="N125" s="10" t="n">
        <v>85.70999999999999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900000137</v>
      </c>
      <c r="D126" s="7">
        <f>IFERROR(VLOOKUP(C126,TRAOPE!$G:$H,2,0),"")</f>
        <v/>
      </c>
      <c r="E126" s="8" t="inlineStr">
        <is>
          <t>DW70</t>
        </is>
      </c>
      <c r="F126" s="8" t="inlineStr">
        <is>
          <t>D681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10000624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20260201</t>
        </is>
      </c>
      <c r="M126" s="8" t="inlineStr">
        <is>
          <t>99991231</t>
        </is>
      </c>
      <c r="N126" s="10" t="n">
        <v>110.01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900000137</v>
      </c>
      <c r="D127" s="7">
        <f>IFERROR(VLOOKUP(C127,TRAOPE!$G:$H,2,0),"")</f>
        <v/>
      </c>
      <c r="E127" s="8" t="inlineStr">
        <is>
          <t>DW70</t>
        </is>
      </c>
      <c r="F127" s="8" t="inlineStr">
        <is>
          <t>D681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10000811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20260201</t>
        </is>
      </c>
      <c r="M127" s="8" t="inlineStr">
        <is>
          <t>99991231</t>
        </is>
      </c>
      <c r="N127" s="10" t="n">
        <v>115.12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900000137</v>
      </c>
      <c r="D128" s="7">
        <f>IFERROR(VLOOKUP(C128,TRAOPE!$G:$H,2,0),"")</f>
        <v/>
      </c>
      <c r="E128" s="8" t="inlineStr">
        <is>
          <t>DW70</t>
        </is>
      </c>
      <c r="F128" s="8" t="inlineStr">
        <is>
          <t>D681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10058345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20260201</t>
        </is>
      </c>
      <c r="M128" s="8" t="inlineStr">
        <is>
          <t>99991231</t>
        </is>
      </c>
      <c r="N128" s="10" t="n">
        <v>85.70999999999999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900000137</v>
      </c>
      <c r="D129" s="7">
        <f>IFERROR(VLOOKUP(C129,TRAOPE!$G:$H,2,0),"")</f>
        <v/>
      </c>
      <c r="E129" s="8" t="inlineStr">
        <is>
          <t>DW70</t>
        </is>
      </c>
      <c r="F129" s="8" t="inlineStr">
        <is>
          <t>D681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10147486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20260201</t>
        </is>
      </c>
      <c r="M129" s="8" t="inlineStr">
        <is>
          <t>99991231</t>
        </is>
      </c>
      <c r="N129" s="10" t="n">
        <v>106.78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900000137</v>
      </c>
      <c r="D130" s="7">
        <f>IFERROR(VLOOKUP(C130,TRAOPE!$G:$H,2,0),"")</f>
        <v/>
      </c>
      <c r="E130" s="8" t="inlineStr">
        <is>
          <t>DW70</t>
        </is>
      </c>
      <c r="F130" s="8" t="inlineStr">
        <is>
          <t>DE42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10000811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20230501</t>
        </is>
      </c>
      <c r="M130" s="8" t="inlineStr">
        <is>
          <t>20250131</t>
        </is>
      </c>
      <c r="N130" s="10" t="n">
        <v>106.6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900000137</v>
      </c>
      <c r="D131" s="7">
        <f>IFERROR(VLOOKUP(C131,TRAOPE!$G:$H,2,0),"")</f>
        <v/>
      </c>
      <c r="E131" s="8" t="inlineStr">
        <is>
          <t>DW70</t>
        </is>
      </c>
      <c r="F131" s="8" t="inlineStr">
        <is>
          <t>DE92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10000811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20230501</t>
        </is>
      </c>
      <c r="M131" s="8" t="inlineStr">
        <is>
          <t>20250131</t>
        </is>
      </c>
      <c r="N131" s="10" t="n">
        <v>106.59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900000137</v>
      </c>
      <c r="D132" s="7">
        <f>IFERROR(VLOOKUP(C132,TRAOPE!$G:$H,2,0),"")</f>
        <v/>
      </c>
      <c r="E132" s="8" t="inlineStr">
        <is>
          <t>DW70</t>
        </is>
      </c>
      <c r="F132" s="8" t="inlineStr">
        <is>
          <t>E673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10000624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20230501</t>
        </is>
      </c>
      <c r="M132" s="8" t="inlineStr">
        <is>
          <t>20250131</t>
        </is>
      </c>
      <c r="N132" s="10" t="n">
        <v>101.86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900000137</v>
      </c>
      <c r="D133" s="7">
        <f>IFERROR(VLOOKUP(C133,TRAOPE!$G:$H,2,0),"")</f>
        <v/>
      </c>
      <c r="E133" s="8" t="inlineStr">
        <is>
          <t>DW70</t>
        </is>
      </c>
      <c r="F133" s="8" t="inlineStr">
        <is>
          <t>E673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10000811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20230501</t>
        </is>
      </c>
      <c r="M133" s="8" t="inlineStr">
        <is>
          <t>20250131</t>
        </is>
      </c>
      <c r="N133" s="10" t="n">
        <v>106.59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900000137</v>
      </c>
      <c r="D134" s="7">
        <f>IFERROR(VLOOKUP(C134,TRAOPE!$G:$H,2,0),"")</f>
        <v/>
      </c>
      <c r="E134" s="8" t="inlineStr">
        <is>
          <t>DW70</t>
        </is>
      </c>
      <c r="F134" s="8" t="inlineStr">
        <is>
          <t>E673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10058345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20230501</t>
        </is>
      </c>
      <c r="M134" s="8" t="inlineStr">
        <is>
          <t>20250131</t>
        </is>
      </c>
      <c r="N134" s="10" t="n">
        <v>86.51000000000001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900000137</v>
      </c>
      <c r="D135" s="7">
        <f>IFERROR(VLOOKUP(C135,TRAOPE!$G:$H,2,0),"")</f>
        <v/>
      </c>
      <c r="E135" s="8" t="inlineStr">
        <is>
          <t>DW70</t>
        </is>
      </c>
      <c r="F135" s="8" t="inlineStr">
        <is>
          <t>E673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10207890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20230501</t>
        </is>
      </c>
      <c r="M135" s="8" t="inlineStr">
        <is>
          <t>20250131</t>
        </is>
      </c>
      <c r="N135" s="10" t="n">
        <v>101.86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900000137</v>
      </c>
      <c r="D136" s="7">
        <f>IFERROR(VLOOKUP(C136,TRAOPE!$G:$H,2,0),"")</f>
        <v/>
      </c>
      <c r="E136" s="8" t="inlineStr">
        <is>
          <t>DW70</t>
        </is>
      </c>
      <c r="F136" s="8" t="inlineStr">
        <is>
          <t>E673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10207891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20230501</t>
        </is>
      </c>
      <c r="M136" s="8" t="inlineStr">
        <is>
          <t>20250131</t>
        </is>
      </c>
      <c r="N136" s="10" t="n">
        <v>84.09999999999999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900000137</v>
      </c>
      <c r="D137" s="7">
        <f>IFERROR(VLOOKUP(C137,TRAOPE!$G:$H,2,0),"")</f>
        <v/>
      </c>
      <c r="E137" s="8" t="inlineStr">
        <is>
          <t>DW70</t>
        </is>
      </c>
      <c r="F137" s="8" t="inlineStr">
        <is>
          <t>EQ75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10000624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20230501</t>
        </is>
      </c>
      <c r="M137" s="8" t="inlineStr">
        <is>
          <t>20250131</t>
        </is>
      </c>
      <c r="N137" s="10" t="n">
        <v>101.86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900000137</v>
      </c>
      <c r="D138" s="7">
        <f>IFERROR(VLOOKUP(C138,TRAOPE!$G:$H,2,0),"")</f>
        <v/>
      </c>
      <c r="E138" s="8" t="inlineStr">
        <is>
          <t>DW70</t>
        </is>
      </c>
      <c r="F138" s="8" t="inlineStr">
        <is>
          <t>EQ75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10000811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20230501</t>
        </is>
      </c>
      <c r="M138" s="8" t="inlineStr">
        <is>
          <t>20250131</t>
        </is>
      </c>
      <c r="N138" s="10" t="n">
        <v>106.59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900000137</v>
      </c>
      <c r="D139" s="7">
        <f>IFERROR(VLOOKUP(C139,TRAOPE!$G:$H,2,0),"")</f>
        <v/>
      </c>
      <c r="E139" s="8" t="inlineStr">
        <is>
          <t>DW70</t>
        </is>
      </c>
      <c r="F139" s="8" t="inlineStr">
        <is>
          <t>EQ75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10058345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20230501</t>
        </is>
      </c>
      <c r="M139" s="8" t="inlineStr">
        <is>
          <t>20250131</t>
        </is>
      </c>
      <c r="N139" s="10" t="n">
        <v>86.51000000000001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900000137</v>
      </c>
      <c r="D140" s="7">
        <f>IFERROR(VLOOKUP(C140,TRAOPE!$G:$H,2,0),"")</f>
        <v/>
      </c>
      <c r="E140" s="8" t="inlineStr">
        <is>
          <t>DW70</t>
        </is>
      </c>
      <c r="F140" s="8" t="inlineStr">
        <is>
          <t>EQ75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10207891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20230501</t>
        </is>
      </c>
      <c r="M140" s="8" t="inlineStr">
        <is>
          <t>20250131</t>
        </is>
      </c>
      <c r="N140" s="10" t="n">
        <v>84.09999999999999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900000295</v>
      </c>
      <c r="D141" s="7">
        <f>IFERROR(VLOOKUP(C141,TRAOPE!$G:$H,2,0),"")</f>
        <v/>
      </c>
      <c r="E141" s="8" t="inlineStr">
        <is>
          <t>DW70</t>
        </is>
      </c>
      <c r="F141" s="8" t="inlineStr">
        <is>
          <t>D074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10000160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20230501</t>
        </is>
      </c>
      <c r="M141" s="8" t="inlineStr">
        <is>
          <t>20250131</t>
        </is>
      </c>
      <c r="N141" s="10" t="n">
        <v>62.11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900000295</v>
      </c>
      <c r="D142" s="7">
        <f>IFERROR(VLOOKUP(C142,TRAOPE!$G:$H,2,0),"")</f>
        <v/>
      </c>
      <c r="E142" s="8" t="inlineStr">
        <is>
          <t>DW70</t>
        </is>
      </c>
      <c r="F142" s="8" t="inlineStr">
        <is>
          <t>D074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10264162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20260415</t>
        </is>
      </c>
      <c r="M142" s="8" t="inlineStr">
        <is>
          <t>99991231</t>
        </is>
      </c>
      <c r="N142" s="10" t="n">
        <v>84.93000000000001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900000295</v>
      </c>
      <c r="D143" s="7">
        <f>IFERROR(VLOOKUP(C143,TRAOPE!$G:$H,2,0),"")</f>
        <v/>
      </c>
      <c r="E143" s="8" t="inlineStr">
        <is>
          <t>DW70</t>
        </is>
      </c>
      <c r="F143" s="8" t="inlineStr">
        <is>
          <t>D074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10274754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20260302</t>
        </is>
      </c>
      <c r="M143" s="8" t="inlineStr">
        <is>
          <t>99991231</t>
        </is>
      </c>
      <c r="N143" s="10" t="n">
        <v>104.9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900000295</v>
      </c>
      <c r="D144" s="7">
        <f>IFERROR(VLOOKUP(C144,TRAOPE!$G:$H,2,0),"")</f>
        <v/>
      </c>
      <c r="E144" s="8" t="inlineStr">
        <is>
          <t>DW70</t>
        </is>
      </c>
      <c r="F144" s="8" t="inlineStr">
        <is>
          <t>D074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10277513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20260525</t>
        </is>
      </c>
      <c r="M144" s="8" t="inlineStr">
        <is>
          <t>99991231</t>
        </is>
      </c>
      <c r="N144" s="10" t="n">
        <v>61.66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900000295</v>
      </c>
      <c r="D145" s="7">
        <f>IFERROR(VLOOKUP(C145,TRAOPE!$G:$H,2,0),"")</f>
        <v/>
      </c>
      <c r="E145" s="8" t="inlineStr">
        <is>
          <t>DW70</t>
        </is>
      </c>
      <c r="F145" s="8" t="inlineStr">
        <is>
          <t>D075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10000160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20230501</t>
        </is>
      </c>
      <c r="M145" s="8" t="inlineStr">
        <is>
          <t>20250131</t>
        </is>
      </c>
      <c r="N145" s="10" t="n">
        <v>62.11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900000295</v>
      </c>
      <c r="D146" s="7">
        <f>IFERROR(VLOOKUP(C146,TRAOPE!$G:$H,2,0),"")</f>
        <v/>
      </c>
      <c r="E146" s="8" t="inlineStr">
        <is>
          <t>DW70</t>
        </is>
      </c>
      <c r="F146" s="8" t="inlineStr">
        <is>
          <t>D075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10264162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20260415</t>
        </is>
      </c>
      <c r="M146" s="8" t="inlineStr">
        <is>
          <t>99991231</t>
        </is>
      </c>
      <c r="N146" s="10" t="n">
        <v>84.93000000000001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900000295</v>
      </c>
      <c r="D147" s="7">
        <f>IFERROR(VLOOKUP(C147,TRAOPE!$G:$H,2,0),"")</f>
        <v/>
      </c>
      <c r="E147" s="8" t="inlineStr">
        <is>
          <t>DW70</t>
        </is>
      </c>
      <c r="F147" s="8" t="inlineStr">
        <is>
          <t>D075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10274754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20260302</t>
        </is>
      </c>
      <c r="M147" s="8" t="inlineStr">
        <is>
          <t>99991231</t>
        </is>
      </c>
      <c r="N147" s="10" t="n">
        <v>104.9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900000295</v>
      </c>
      <c r="D148" s="7">
        <f>IFERROR(VLOOKUP(C148,TRAOPE!$G:$H,2,0),"")</f>
        <v/>
      </c>
      <c r="E148" s="8" t="inlineStr">
        <is>
          <t>DW70</t>
        </is>
      </c>
      <c r="F148" s="8" t="inlineStr">
        <is>
          <t>D075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10277513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20260525</t>
        </is>
      </c>
      <c r="M148" s="8" t="inlineStr">
        <is>
          <t>99991231</t>
        </is>
      </c>
      <c r="N148" s="10" t="n">
        <v>61.66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900000295</v>
      </c>
      <c r="D149" s="7">
        <f>IFERROR(VLOOKUP(C149,TRAOPE!$G:$H,2,0),"")</f>
        <v/>
      </c>
      <c r="E149" s="8" t="inlineStr">
        <is>
          <t>DW70</t>
        </is>
      </c>
      <c r="F149" s="8" t="inlineStr">
        <is>
          <t>D077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10000160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20230501</t>
        </is>
      </c>
      <c r="M149" s="8" t="inlineStr">
        <is>
          <t>20250131</t>
        </is>
      </c>
      <c r="N149" s="10" t="n">
        <v>62.11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900000295</v>
      </c>
      <c r="D150" s="7">
        <f>IFERROR(VLOOKUP(C150,TRAOPE!$G:$H,2,0),"")</f>
        <v/>
      </c>
      <c r="E150" s="8" t="inlineStr">
        <is>
          <t>DW70</t>
        </is>
      </c>
      <c r="F150" s="8" t="inlineStr">
        <is>
          <t>D077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10264162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20260415</t>
        </is>
      </c>
      <c r="M150" s="8" t="inlineStr">
        <is>
          <t>99991231</t>
        </is>
      </c>
      <c r="N150" s="10" t="n">
        <v>84.93000000000001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900000295</v>
      </c>
      <c r="D151" s="7">
        <f>IFERROR(VLOOKUP(C151,TRAOPE!$G:$H,2,0),"")</f>
        <v/>
      </c>
      <c r="E151" s="8" t="inlineStr">
        <is>
          <t>DW70</t>
        </is>
      </c>
      <c r="F151" s="8" t="inlineStr">
        <is>
          <t>D077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10274754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20260302</t>
        </is>
      </c>
      <c r="M151" s="8" t="inlineStr">
        <is>
          <t>99991231</t>
        </is>
      </c>
      <c r="N151" s="10" t="n">
        <v>104.9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900000295</v>
      </c>
      <c r="D152" s="7">
        <f>IFERROR(VLOOKUP(C152,TRAOPE!$G:$H,2,0),"")</f>
        <v/>
      </c>
      <c r="E152" s="8" t="inlineStr">
        <is>
          <t>DW70</t>
        </is>
      </c>
      <c r="F152" s="8" t="inlineStr">
        <is>
          <t>D077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10277513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20260525</t>
        </is>
      </c>
      <c r="M152" s="8" t="inlineStr">
        <is>
          <t>99991231</t>
        </is>
      </c>
      <c r="N152" s="10" t="n">
        <v>61.66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900000295</v>
      </c>
      <c r="D153" s="7">
        <f>IFERROR(VLOOKUP(C153,TRAOPE!$G:$H,2,0),"")</f>
        <v/>
      </c>
      <c r="E153" s="8" t="inlineStr">
        <is>
          <t>DW70</t>
        </is>
      </c>
      <c r="F153" s="8" t="inlineStr">
        <is>
          <t>D079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10000160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20230501</t>
        </is>
      </c>
      <c r="M153" s="8" t="inlineStr">
        <is>
          <t>20250131</t>
        </is>
      </c>
      <c r="N153" s="10" t="n">
        <v>62.11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900000295</v>
      </c>
      <c r="D154" s="7">
        <f>IFERROR(VLOOKUP(C154,TRAOPE!$G:$H,2,0),"")</f>
        <v/>
      </c>
      <c r="E154" s="8" t="inlineStr">
        <is>
          <t>DW70</t>
        </is>
      </c>
      <c r="F154" s="8" t="inlineStr">
        <is>
          <t>D079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10264162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20260415</t>
        </is>
      </c>
      <c r="M154" s="8" t="inlineStr">
        <is>
          <t>99991231</t>
        </is>
      </c>
      <c r="N154" s="10" t="n">
        <v>84.93000000000001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900000295</v>
      </c>
      <c r="D155" s="7">
        <f>IFERROR(VLOOKUP(C155,TRAOPE!$G:$H,2,0),"")</f>
        <v/>
      </c>
      <c r="E155" s="8" t="inlineStr">
        <is>
          <t>DW70</t>
        </is>
      </c>
      <c r="F155" s="8" t="inlineStr">
        <is>
          <t>D079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10274754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20260302</t>
        </is>
      </c>
      <c r="M155" s="8" t="inlineStr">
        <is>
          <t>99991231</t>
        </is>
      </c>
      <c r="N155" s="10" t="n">
        <v>104.9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900000295</v>
      </c>
      <c r="D156" s="7">
        <f>IFERROR(VLOOKUP(C156,TRAOPE!$G:$H,2,0),"")</f>
        <v/>
      </c>
      <c r="E156" s="8" t="inlineStr">
        <is>
          <t>DW70</t>
        </is>
      </c>
      <c r="F156" s="8" t="inlineStr">
        <is>
          <t>D079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10277513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20260525</t>
        </is>
      </c>
      <c r="M156" s="8" t="inlineStr">
        <is>
          <t>99991231</t>
        </is>
      </c>
      <c r="N156" s="10" t="n">
        <v>61.66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900000295</v>
      </c>
      <c r="D157" s="7">
        <f>IFERROR(VLOOKUP(C157,TRAOPE!$G:$H,2,0),"")</f>
        <v/>
      </c>
      <c r="E157" s="8" t="inlineStr">
        <is>
          <t>DW70</t>
        </is>
      </c>
      <c r="F157" s="8" t="inlineStr">
        <is>
          <t>D080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10000160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20230501</t>
        </is>
      </c>
      <c r="M157" s="8" t="inlineStr">
        <is>
          <t>20250131</t>
        </is>
      </c>
      <c r="N157" s="10" t="n">
        <v>62.11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900000295</v>
      </c>
      <c r="D158" s="7">
        <f>IFERROR(VLOOKUP(C158,TRAOPE!$G:$H,2,0),"")</f>
        <v/>
      </c>
      <c r="E158" s="8" t="inlineStr">
        <is>
          <t>DW70</t>
        </is>
      </c>
      <c r="F158" s="8" t="inlineStr">
        <is>
          <t>D080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10264162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20260415</t>
        </is>
      </c>
      <c r="M158" s="8" t="inlineStr">
        <is>
          <t>99991231</t>
        </is>
      </c>
      <c r="N158" s="10" t="n">
        <v>84.93000000000001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900000295</v>
      </c>
      <c r="D159" s="7">
        <f>IFERROR(VLOOKUP(C159,TRAOPE!$G:$H,2,0),"")</f>
        <v/>
      </c>
      <c r="E159" s="8" t="inlineStr">
        <is>
          <t>DW70</t>
        </is>
      </c>
      <c r="F159" s="8" t="inlineStr">
        <is>
          <t>D080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10274754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20260302</t>
        </is>
      </c>
      <c r="M159" s="8" t="inlineStr">
        <is>
          <t>99991231</t>
        </is>
      </c>
      <c r="N159" s="10" t="n">
        <v>104.9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900000295</v>
      </c>
      <c r="D160" s="7">
        <f>IFERROR(VLOOKUP(C160,TRAOPE!$G:$H,2,0),"")</f>
        <v/>
      </c>
      <c r="E160" s="8" t="inlineStr">
        <is>
          <t>DW70</t>
        </is>
      </c>
      <c r="F160" s="8" t="inlineStr">
        <is>
          <t>D080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10277513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20260525</t>
        </is>
      </c>
      <c r="M160" s="8" t="inlineStr">
        <is>
          <t>99991231</t>
        </is>
      </c>
      <c r="N160" s="10" t="n">
        <v>61.66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900000295</v>
      </c>
      <c r="D161" s="7">
        <f>IFERROR(VLOOKUP(C161,TRAOPE!$G:$H,2,0),"")</f>
        <v/>
      </c>
      <c r="E161" s="8" t="inlineStr">
        <is>
          <t>DW70</t>
        </is>
      </c>
      <c r="F161" s="8" t="inlineStr">
        <is>
          <t>D081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10000160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20230501</t>
        </is>
      </c>
      <c r="M161" s="8" t="inlineStr">
        <is>
          <t>20250131</t>
        </is>
      </c>
      <c r="N161" s="10" t="n">
        <v>62.11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900000295</v>
      </c>
      <c r="D162" s="7">
        <f>IFERROR(VLOOKUP(C162,TRAOPE!$G:$H,2,0),"")</f>
        <v/>
      </c>
      <c r="E162" s="8" t="inlineStr">
        <is>
          <t>DW70</t>
        </is>
      </c>
      <c r="F162" s="8" t="inlineStr">
        <is>
          <t>D081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10264162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20260415</t>
        </is>
      </c>
      <c r="M162" s="8" t="inlineStr">
        <is>
          <t>99991231</t>
        </is>
      </c>
      <c r="N162" s="10" t="n">
        <v>84.93000000000001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900000295</v>
      </c>
      <c r="D163" s="7">
        <f>IFERROR(VLOOKUP(C163,TRAOPE!$G:$H,2,0),"")</f>
        <v/>
      </c>
      <c r="E163" s="8" t="inlineStr">
        <is>
          <t>DW70</t>
        </is>
      </c>
      <c r="F163" s="8" t="inlineStr">
        <is>
          <t>D081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10274754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20260302</t>
        </is>
      </c>
      <c r="M163" s="8" t="inlineStr">
        <is>
          <t>99991231</t>
        </is>
      </c>
      <c r="N163" s="10" t="n">
        <v>104.9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900000295</v>
      </c>
      <c r="D164" s="7">
        <f>IFERROR(VLOOKUP(C164,TRAOPE!$G:$H,2,0),"")</f>
        <v/>
      </c>
      <c r="E164" s="8" t="inlineStr">
        <is>
          <t>DW70</t>
        </is>
      </c>
      <c r="F164" s="8" t="inlineStr">
        <is>
          <t>D081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10277513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20260525</t>
        </is>
      </c>
      <c r="M164" s="8" t="inlineStr">
        <is>
          <t>99991231</t>
        </is>
      </c>
      <c r="N164" s="10" t="n">
        <v>61.66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900000295</v>
      </c>
      <c r="D165" s="7">
        <f>IFERROR(VLOOKUP(C165,TRAOPE!$G:$H,2,0),"")</f>
        <v/>
      </c>
      <c r="E165" s="8" t="inlineStr">
        <is>
          <t>DW70</t>
        </is>
      </c>
      <c r="F165" s="8" t="inlineStr">
        <is>
          <t>D083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10000160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20230501</t>
        </is>
      </c>
      <c r="M165" s="8" t="inlineStr">
        <is>
          <t>20250131</t>
        </is>
      </c>
      <c r="N165" s="10" t="n">
        <v>62.11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900000295</v>
      </c>
      <c r="D166" s="7">
        <f>IFERROR(VLOOKUP(C166,TRAOPE!$G:$H,2,0),"")</f>
        <v/>
      </c>
      <c r="E166" s="8" t="inlineStr">
        <is>
          <t>DW70</t>
        </is>
      </c>
      <c r="F166" s="8" t="inlineStr">
        <is>
          <t>D083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10264162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20260415</t>
        </is>
      </c>
      <c r="M166" s="8" t="inlineStr">
        <is>
          <t>99991231</t>
        </is>
      </c>
      <c r="N166" s="10" t="n">
        <v>84.93000000000001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900000295</v>
      </c>
      <c r="D167" s="7">
        <f>IFERROR(VLOOKUP(C167,TRAOPE!$G:$H,2,0),"")</f>
        <v/>
      </c>
      <c r="E167" s="8" t="inlineStr">
        <is>
          <t>DW70</t>
        </is>
      </c>
      <c r="F167" s="8" t="inlineStr">
        <is>
          <t>D083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10274754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20260302</t>
        </is>
      </c>
      <c r="M167" s="8" t="inlineStr">
        <is>
          <t>99991231</t>
        </is>
      </c>
      <c r="N167" s="10" t="n">
        <v>104.9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900000295</v>
      </c>
      <c r="D168" s="7">
        <f>IFERROR(VLOOKUP(C168,TRAOPE!$G:$H,2,0),"")</f>
        <v/>
      </c>
      <c r="E168" s="8" t="inlineStr">
        <is>
          <t>DW70</t>
        </is>
      </c>
      <c r="F168" s="8" t="inlineStr">
        <is>
          <t>D083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10277513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20260525</t>
        </is>
      </c>
      <c r="M168" s="8" t="inlineStr">
        <is>
          <t>99991231</t>
        </is>
      </c>
      <c r="N168" s="10" t="n">
        <v>61.66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900000295</v>
      </c>
      <c r="D169" s="7">
        <f>IFERROR(VLOOKUP(C169,TRAOPE!$G:$H,2,0),"")</f>
        <v/>
      </c>
      <c r="E169" s="8" t="inlineStr">
        <is>
          <t>DW70</t>
        </is>
      </c>
      <c r="F169" s="8" t="inlineStr">
        <is>
          <t>D084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10000160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20230501</t>
        </is>
      </c>
      <c r="M169" s="8" t="inlineStr">
        <is>
          <t>20250131</t>
        </is>
      </c>
      <c r="N169" s="10" t="n">
        <v>62.11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900000295</v>
      </c>
      <c r="D170" s="7">
        <f>IFERROR(VLOOKUP(C170,TRAOPE!$G:$H,2,0),"")</f>
        <v/>
      </c>
      <c r="E170" s="8" t="inlineStr">
        <is>
          <t>DW70</t>
        </is>
      </c>
      <c r="F170" s="8" t="inlineStr">
        <is>
          <t>D084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10264162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20260415</t>
        </is>
      </c>
      <c r="M170" s="8" t="inlineStr">
        <is>
          <t>99991231</t>
        </is>
      </c>
      <c r="N170" s="10" t="n">
        <v>84.93000000000001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900000295</v>
      </c>
      <c r="D171" s="7">
        <f>IFERROR(VLOOKUP(C171,TRAOPE!$G:$H,2,0),"")</f>
        <v/>
      </c>
      <c r="E171" s="8" t="inlineStr">
        <is>
          <t>DW70</t>
        </is>
      </c>
      <c r="F171" s="8" t="inlineStr">
        <is>
          <t>D084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10274754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20260302</t>
        </is>
      </c>
      <c r="M171" s="8" t="inlineStr">
        <is>
          <t>99991231</t>
        </is>
      </c>
      <c r="N171" s="10" t="n">
        <v>104.9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900000295</v>
      </c>
      <c r="D172" s="7">
        <f>IFERROR(VLOOKUP(C172,TRAOPE!$G:$H,2,0),"")</f>
        <v/>
      </c>
      <c r="E172" s="8" t="inlineStr">
        <is>
          <t>DW70</t>
        </is>
      </c>
      <c r="F172" s="8" t="inlineStr">
        <is>
          <t>D084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10277513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20260525</t>
        </is>
      </c>
      <c r="M172" s="8" t="inlineStr">
        <is>
          <t>99991231</t>
        </is>
      </c>
      <c r="N172" s="10" t="n">
        <v>61.66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900000295</v>
      </c>
      <c r="D173" s="7">
        <f>IFERROR(VLOOKUP(C173,TRAOPE!$G:$H,2,0),"")</f>
        <v/>
      </c>
      <c r="E173" s="8" t="inlineStr">
        <is>
          <t>DW70</t>
        </is>
      </c>
      <c r="F173" s="8" t="inlineStr">
        <is>
          <t>D085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10000160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20230501</t>
        </is>
      </c>
      <c r="M173" s="8" t="inlineStr">
        <is>
          <t>20250131</t>
        </is>
      </c>
      <c r="N173" s="10" t="n">
        <v>62.11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900000295</v>
      </c>
      <c r="D174" s="7">
        <f>IFERROR(VLOOKUP(C174,TRAOPE!$G:$H,2,0),"")</f>
        <v/>
      </c>
      <c r="E174" s="8" t="inlineStr">
        <is>
          <t>DW70</t>
        </is>
      </c>
      <c r="F174" s="8" t="inlineStr">
        <is>
          <t>D085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10264162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20260415</t>
        </is>
      </c>
      <c r="M174" s="8" t="inlineStr">
        <is>
          <t>99991231</t>
        </is>
      </c>
      <c r="N174" s="10" t="n">
        <v>84.93000000000001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900000295</v>
      </c>
      <c r="D175" s="7">
        <f>IFERROR(VLOOKUP(C175,TRAOPE!$G:$H,2,0),"")</f>
        <v/>
      </c>
      <c r="E175" s="8" t="inlineStr">
        <is>
          <t>DW70</t>
        </is>
      </c>
      <c r="F175" s="8" t="inlineStr">
        <is>
          <t>D085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10274754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20260302</t>
        </is>
      </c>
      <c r="M175" s="8" t="inlineStr">
        <is>
          <t>99991231</t>
        </is>
      </c>
      <c r="N175" s="10" t="n">
        <v>104.9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900000295</v>
      </c>
      <c r="D176" s="7">
        <f>IFERROR(VLOOKUP(C176,TRAOPE!$G:$H,2,0),"")</f>
        <v/>
      </c>
      <c r="E176" s="8" t="inlineStr">
        <is>
          <t>DW70</t>
        </is>
      </c>
      <c r="F176" s="8" t="inlineStr">
        <is>
          <t>D085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10277513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20260525</t>
        </is>
      </c>
      <c r="M176" s="8" t="inlineStr">
        <is>
          <t>99991231</t>
        </is>
      </c>
      <c r="N176" s="10" t="n">
        <v>61.66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900000295</v>
      </c>
      <c r="D177" s="7">
        <f>IFERROR(VLOOKUP(C177,TRAOPE!$G:$H,2,0),"")</f>
        <v/>
      </c>
      <c r="E177" s="8" t="inlineStr">
        <is>
          <t>DW70</t>
        </is>
      </c>
      <c r="F177" s="8" t="inlineStr">
        <is>
          <t>D086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10000160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20230501</t>
        </is>
      </c>
      <c r="M177" s="8" t="inlineStr">
        <is>
          <t>20250131</t>
        </is>
      </c>
      <c r="N177" s="10" t="n">
        <v>62.11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900000295</v>
      </c>
      <c r="D178" s="7">
        <f>IFERROR(VLOOKUP(C178,TRAOPE!$G:$H,2,0),"")</f>
        <v/>
      </c>
      <c r="E178" s="8" t="inlineStr">
        <is>
          <t>DW70</t>
        </is>
      </c>
      <c r="F178" s="8" t="inlineStr">
        <is>
          <t>D086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10264162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20260415</t>
        </is>
      </c>
      <c r="M178" s="8" t="inlineStr">
        <is>
          <t>99991231</t>
        </is>
      </c>
      <c r="N178" s="10" t="n">
        <v>84.93000000000001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900000295</v>
      </c>
      <c r="D179" s="7">
        <f>IFERROR(VLOOKUP(C179,TRAOPE!$G:$H,2,0),"")</f>
        <v/>
      </c>
      <c r="E179" s="8" t="inlineStr">
        <is>
          <t>DW70</t>
        </is>
      </c>
      <c r="F179" s="8" t="inlineStr">
        <is>
          <t>D086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10274754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20260302</t>
        </is>
      </c>
      <c r="M179" s="8" t="inlineStr">
        <is>
          <t>99991231</t>
        </is>
      </c>
      <c r="N179" s="10" t="n">
        <v>104.9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900000295</v>
      </c>
      <c r="D180" s="7">
        <f>IFERROR(VLOOKUP(C180,TRAOPE!$G:$H,2,0),"")</f>
        <v/>
      </c>
      <c r="E180" s="8" t="inlineStr">
        <is>
          <t>DW70</t>
        </is>
      </c>
      <c r="F180" s="8" t="inlineStr">
        <is>
          <t>D086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10277513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20260525</t>
        </is>
      </c>
      <c r="M180" s="8" t="inlineStr">
        <is>
          <t>99991231</t>
        </is>
      </c>
      <c r="N180" s="10" t="n">
        <v>61.66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900000295</v>
      </c>
      <c r="D181" s="7">
        <f>IFERROR(VLOOKUP(C181,TRAOPE!$G:$H,2,0),"")</f>
        <v/>
      </c>
      <c r="E181" s="8" t="inlineStr">
        <is>
          <t>DW70</t>
        </is>
      </c>
      <c r="F181" s="8" t="inlineStr">
        <is>
          <t>D088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10000160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20230501</t>
        </is>
      </c>
      <c r="M181" s="8" t="inlineStr">
        <is>
          <t>20250131</t>
        </is>
      </c>
      <c r="N181" s="10" t="n">
        <v>62.11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900000295</v>
      </c>
      <c r="D182" s="7">
        <f>IFERROR(VLOOKUP(C182,TRAOPE!$G:$H,2,0),"")</f>
        <v/>
      </c>
      <c r="E182" s="8" t="inlineStr">
        <is>
          <t>DW70</t>
        </is>
      </c>
      <c r="F182" s="8" t="inlineStr">
        <is>
          <t>D089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10000160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20230501</t>
        </is>
      </c>
      <c r="M182" s="8" t="inlineStr">
        <is>
          <t>20250131</t>
        </is>
      </c>
      <c r="N182" s="10" t="n">
        <v>62.11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900000295</v>
      </c>
      <c r="D183" s="7">
        <f>IFERROR(VLOOKUP(C183,TRAOPE!$G:$H,2,0),"")</f>
        <v/>
      </c>
      <c r="E183" s="8" t="inlineStr">
        <is>
          <t>DW70</t>
        </is>
      </c>
      <c r="F183" s="8" t="inlineStr">
        <is>
          <t>D093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10000160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20230501</t>
        </is>
      </c>
      <c r="M183" s="8" t="inlineStr">
        <is>
          <t>20250131</t>
        </is>
      </c>
      <c r="N183" s="10" t="n">
        <v>62.11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900000295</v>
      </c>
      <c r="D184" s="7">
        <f>IFERROR(VLOOKUP(C184,TRAOPE!$G:$H,2,0),"")</f>
        <v/>
      </c>
      <c r="E184" s="8" t="inlineStr">
        <is>
          <t>DW70</t>
        </is>
      </c>
      <c r="F184" s="8" t="inlineStr">
        <is>
          <t>D093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10264162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20260415</t>
        </is>
      </c>
      <c r="M184" s="8" t="inlineStr">
        <is>
          <t>99991231</t>
        </is>
      </c>
      <c r="N184" s="10" t="n">
        <v>84.93000000000001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900000295</v>
      </c>
      <c r="D185" s="7">
        <f>IFERROR(VLOOKUP(C185,TRAOPE!$G:$H,2,0),"")</f>
        <v/>
      </c>
      <c r="E185" s="8" t="inlineStr">
        <is>
          <t>DW70</t>
        </is>
      </c>
      <c r="F185" s="8" t="inlineStr">
        <is>
          <t>D093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10274754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20260302</t>
        </is>
      </c>
      <c r="M185" s="8" t="inlineStr">
        <is>
          <t>99991231</t>
        </is>
      </c>
      <c r="N185" s="10" t="n">
        <v>104.9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900000295</v>
      </c>
      <c r="D186" s="7">
        <f>IFERROR(VLOOKUP(C186,TRAOPE!$G:$H,2,0),"")</f>
        <v/>
      </c>
      <c r="E186" s="8" t="inlineStr">
        <is>
          <t>DW70</t>
        </is>
      </c>
      <c r="F186" s="8" t="inlineStr">
        <is>
          <t>D093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10277513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20260525</t>
        </is>
      </c>
      <c r="M186" s="8" t="inlineStr">
        <is>
          <t>99991231</t>
        </is>
      </c>
      <c r="N186" s="10" t="n">
        <v>61.66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900000295</v>
      </c>
      <c r="D187" s="7">
        <f>IFERROR(VLOOKUP(C187,TRAOPE!$G:$H,2,0),"")</f>
        <v/>
      </c>
      <c r="E187" s="8" t="inlineStr">
        <is>
          <t>DW70</t>
        </is>
      </c>
      <c r="F187" s="8" t="inlineStr">
        <is>
          <t>D098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10000160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20230501</t>
        </is>
      </c>
      <c r="M187" s="8" t="inlineStr">
        <is>
          <t>20250131</t>
        </is>
      </c>
      <c r="N187" s="10" t="n">
        <v>62.11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900000295</v>
      </c>
      <c r="D188" s="7">
        <f>IFERROR(VLOOKUP(C188,TRAOPE!$G:$H,2,0),"")</f>
        <v/>
      </c>
      <c r="E188" s="8" t="inlineStr">
        <is>
          <t>DW70</t>
        </is>
      </c>
      <c r="F188" s="8" t="inlineStr">
        <is>
          <t>D098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10264162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20260415</t>
        </is>
      </c>
      <c r="M188" s="8" t="inlineStr">
        <is>
          <t>99991231</t>
        </is>
      </c>
      <c r="N188" s="10" t="n">
        <v>84.93000000000001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900000295</v>
      </c>
      <c r="D189" s="7">
        <f>IFERROR(VLOOKUP(C189,TRAOPE!$G:$H,2,0),"")</f>
        <v/>
      </c>
      <c r="E189" s="8" t="inlineStr">
        <is>
          <t>DW70</t>
        </is>
      </c>
      <c r="F189" s="8" t="inlineStr">
        <is>
          <t>D098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10274754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20260302</t>
        </is>
      </c>
      <c r="M189" s="8" t="inlineStr">
        <is>
          <t>99991231</t>
        </is>
      </c>
      <c r="N189" s="10" t="n">
        <v>104.9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900000295</v>
      </c>
      <c r="D190" s="7">
        <f>IFERROR(VLOOKUP(C190,TRAOPE!$G:$H,2,0),"")</f>
        <v/>
      </c>
      <c r="E190" s="8" t="inlineStr">
        <is>
          <t>DW70</t>
        </is>
      </c>
      <c r="F190" s="8" t="inlineStr">
        <is>
          <t>D098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10277513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20260525</t>
        </is>
      </c>
      <c r="M190" s="8" t="inlineStr">
        <is>
          <t>99991231</t>
        </is>
      </c>
      <c r="N190" s="10" t="n">
        <v>61.66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900000295</v>
      </c>
      <c r="D191" s="7">
        <f>IFERROR(VLOOKUP(C191,TRAOPE!$G:$H,2,0),"")</f>
        <v/>
      </c>
      <c r="E191" s="8" t="inlineStr">
        <is>
          <t>DW70</t>
        </is>
      </c>
      <c r="F191" s="8" t="inlineStr">
        <is>
          <t>D105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10000160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20230501</t>
        </is>
      </c>
      <c r="M191" s="8" t="inlineStr">
        <is>
          <t>20250131</t>
        </is>
      </c>
      <c r="N191" s="10" t="n">
        <v>62.11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900000295</v>
      </c>
      <c r="D192" s="7">
        <f>IFERROR(VLOOKUP(C192,TRAOPE!$G:$H,2,0),"")</f>
        <v/>
      </c>
      <c r="E192" s="8" t="inlineStr">
        <is>
          <t>DW70</t>
        </is>
      </c>
      <c r="F192" s="8" t="inlineStr">
        <is>
          <t>D105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10264162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20260415</t>
        </is>
      </c>
      <c r="M192" s="8" t="inlineStr">
        <is>
          <t>99991231</t>
        </is>
      </c>
      <c r="N192" s="10" t="n">
        <v>84.93000000000001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900000295</v>
      </c>
      <c r="D193" s="7">
        <f>IFERROR(VLOOKUP(C193,TRAOPE!$G:$H,2,0),"")</f>
        <v/>
      </c>
      <c r="E193" s="8" t="inlineStr">
        <is>
          <t>DW70</t>
        </is>
      </c>
      <c r="F193" s="8" t="inlineStr">
        <is>
          <t>D105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10274754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20260302</t>
        </is>
      </c>
      <c r="M193" s="8" t="inlineStr">
        <is>
          <t>99991231</t>
        </is>
      </c>
      <c r="N193" s="10" t="n">
        <v>104.9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900000295</v>
      </c>
      <c r="D194" s="7">
        <f>IFERROR(VLOOKUP(C194,TRAOPE!$G:$H,2,0),"")</f>
        <v/>
      </c>
      <c r="E194" s="8" t="inlineStr">
        <is>
          <t>DW70</t>
        </is>
      </c>
      <c r="F194" s="8" t="inlineStr">
        <is>
          <t>D105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10277513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20260525</t>
        </is>
      </c>
      <c r="M194" s="8" t="inlineStr">
        <is>
          <t>99991231</t>
        </is>
      </c>
      <c r="N194" s="10" t="n">
        <v>61.66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900000295</v>
      </c>
      <c r="D195" s="7">
        <f>IFERROR(VLOOKUP(C195,TRAOPE!$G:$H,2,0),"")</f>
        <v/>
      </c>
      <c r="E195" s="8" t="inlineStr">
        <is>
          <t>DW70</t>
        </is>
      </c>
      <c r="F195" s="8" t="inlineStr">
        <is>
          <t>D136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10000160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20230501</t>
        </is>
      </c>
      <c r="M195" s="8" t="inlineStr">
        <is>
          <t>20250131</t>
        </is>
      </c>
      <c r="N195" s="10" t="n">
        <v>62.11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900000295</v>
      </c>
      <c r="D196" s="7">
        <f>IFERROR(VLOOKUP(C196,TRAOPE!$G:$H,2,0),"")</f>
        <v/>
      </c>
      <c r="E196" s="8" t="inlineStr">
        <is>
          <t>DW70</t>
        </is>
      </c>
      <c r="F196" s="8" t="inlineStr">
        <is>
          <t>D136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10264162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20260415</t>
        </is>
      </c>
      <c r="M196" s="8" t="inlineStr">
        <is>
          <t>99991231</t>
        </is>
      </c>
      <c r="N196" s="10" t="n">
        <v>84.93000000000001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900000295</v>
      </c>
      <c r="D197" s="7">
        <f>IFERROR(VLOOKUP(C197,TRAOPE!$G:$H,2,0),"")</f>
        <v/>
      </c>
      <c r="E197" s="8" t="inlineStr">
        <is>
          <t>DW70</t>
        </is>
      </c>
      <c r="F197" s="8" t="inlineStr">
        <is>
          <t>D136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10274754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20260302</t>
        </is>
      </c>
      <c r="M197" s="8" t="inlineStr">
        <is>
          <t>99991231</t>
        </is>
      </c>
      <c r="N197" s="10" t="n">
        <v>104.9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900000295</v>
      </c>
      <c r="D198" s="7">
        <f>IFERROR(VLOOKUP(C198,TRAOPE!$G:$H,2,0),"")</f>
        <v/>
      </c>
      <c r="E198" s="8" t="inlineStr">
        <is>
          <t>DW70</t>
        </is>
      </c>
      <c r="F198" s="8" t="inlineStr">
        <is>
          <t>D136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10277513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20260525</t>
        </is>
      </c>
      <c r="M198" s="8" t="inlineStr">
        <is>
          <t>99991231</t>
        </is>
      </c>
      <c r="N198" s="10" t="n">
        <v>61.66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900000295</v>
      </c>
      <c r="D199" s="7">
        <f>IFERROR(VLOOKUP(C199,TRAOPE!$G:$H,2,0),"")</f>
        <v/>
      </c>
      <c r="E199" s="8" t="inlineStr">
        <is>
          <t>DW70</t>
        </is>
      </c>
      <c r="F199" s="8" t="inlineStr">
        <is>
          <t>D145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10000160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20230501</t>
        </is>
      </c>
      <c r="M199" s="8" t="inlineStr">
        <is>
          <t>20250131</t>
        </is>
      </c>
      <c r="N199" s="10" t="n">
        <v>62.11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900000295</v>
      </c>
      <c r="D200" s="7">
        <f>IFERROR(VLOOKUP(C200,TRAOPE!$G:$H,2,0),"")</f>
        <v/>
      </c>
      <c r="E200" s="8" t="inlineStr">
        <is>
          <t>DW70</t>
        </is>
      </c>
      <c r="F200" s="8" t="inlineStr">
        <is>
          <t>D145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10264162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20260415</t>
        </is>
      </c>
      <c r="M200" s="8" t="inlineStr">
        <is>
          <t>99991231</t>
        </is>
      </c>
      <c r="N200" s="10" t="n">
        <v>84.93000000000001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900000295</v>
      </c>
      <c r="D201" s="7">
        <f>IFERROR(VLOOKUP(C201,TRAOPE!$G:$H,2,0),"")</f>
        <v/>
      </c>
      <c r="E201" s="8" t="inlineStr">
        <is>
          <t>DW70</t>
        </is>
      </c>
      <c r="F201" s="8" t="inlineStr">
        <is>
          <t>D145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10274754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20260302</t>
        </is>
      </c>
      <c r="M201" s="8" t="inlineStr">
        <is>
          <t>99991231</t>
        </is>
      </c>
      <c r="N201" s="10" t="n">
        <v>104.9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900000295</v>
      </c>
      <c r="D202" s="7">
        <f>IFERROR(VLOOKUP(C202,TRAOPE!$G:$H,2,0),"")</f>
        <v/>
      </c>
      <c r="E202" s="8" t="inlineStr">
        <is>
          <t>DW70</t>
        </is>
      </c>
      <c r="F202" s="8" t="inlineStr">
        <is>
          <t>D145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10277513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20260525</t>
        </is>
      </c>
      <c r="M202" s="8" t="inlineStr">
        <is>
          <t>99991231</t>
        </is>
      </c>
      <c r="N202" s="10" t="n">
        <v>61.66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900000295</v>
      </c>
      <c r="D203" s="7">
        <f>IFERROR(VLOOKUP(C203,TRAOPE!$G:$H,2,0),"")</f>
        <v/>
      </c>
      <c r="E203" s="8" t="inlineStr">
        <is>
          <t>DW70</t>
        </is>
      </c>
      <c r="F203" s="8" t="inlineStr">
        <is>
          <t>D681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10264162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20260415</t>
        </is>
      </c>
      <c r="M203" s="8" t="inlineStr">
        <is>
          <t>99991231</t>
        </is>
      </c>
      <c r="N203" s="10" t="n">
        <v>84.93000000000001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900000295</v>
      </c>
      <c r="D204" s="7">
        <f>IFERROR(VLOOKUP(C204,TRAOPE!$G:$H,2,0),"")</f>
        <v/>
      </c>
      <c r="E204" s="8" t="inlineStr">
        <is>
          <t>DW70</t>
        </is>
      </c>
      <c r="F204" s="8" t="inlineStr">
        <is>
          <t>D681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10274754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20260302</t>
        </is>
      </c>
      <c r="M204" s="8" t="inlineStr">
        <is>
          <t>99991231</t>
        </is>
      </c>
      <c r="N204" s="10" t="n">
        <v>104.9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900000295</v>
      </c>
      <c r="D205" s="7">
        <f>IFERROR(VLOOKUP(C205,TRAOPE!$G:$H,2,0),"")</f>
        <v/>
      </c>
      <c r="E205" s="8" t="inlineStr">
        <is>
          <t>DW70</t>
        </is>
      </c>
      <c r="F205" s="8" t="inlineStr">
        <is>
          <t>D681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10277513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20260525</t>
        </is>
      </c>
      <c r="M205" s="8" t="inlineStr">
        <is>
          <t>99991231</t>
        </is>
      </c>
      <c r="N205" s="10" t="n">
        <v>61.66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900000472</v>
      </c>
      <c r="D206" s="7">
        <f>IFERROR(VLOOKUP(C206,TRAOPE!$G:$H,2,0),"")</f>
        <v/>
      </c>
      <c r="E206" s="8" t="inlineStr">
        <is>
          <t>DW70</t>
        </is>
      </c>
      <c r="F206" s="8" t="inlineStr">
        <is>
          <t>D072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10000175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20250701</t>
        </is>
      </c>
      <c r="M206" s="8" t="inlineStr">
        <is>
          <t>20251031</t>
        </is>
      </c>
      <c r="N206" s="10" t="n">
        <v>200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900000472</v>
      </c>
      <c r="D207" s="7">
        <f>IFERROR(VLOOKUP(C207,TRAOPE!$G:$H,2,0),"")</f>
        <v/>
      </c>
      <c r="E207" s="8" t="inlineStr">
        <is>
          <t>DW70</t>
        </is>
      </c>
      <c r="F207" s="8" t="inlineStr">
        <is>
          <t>D073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10000635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20230501</t>
        </is>
      </c>
      <c r="M207" s="8" t="inlineStr">
        <is>
          <t>20250131</t>
        </is>
      </c>
      <c r="N207" s="10" t="n">
        <v>436.6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900000472</v>
      </c>
      <c r="D208" s="7">
        <f>IFERROR(VLOOKUP(C208,TRAOPE!$G:$H,2,0),"")</f>
        <v/>
      </c>
      <c r="E208" s="8" t="inlineStr">
        <is>
          <t>DW70</t>
        </is>
      </c>
      <c r="F208" s="8" t="inlineStr">
        <is>
          <t>D073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10000643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20230501</t>
        </is>
      </c>
      <c r="M208" s="8" t="inlineStr">
        <is>
          <t>20250131</t>
        </is>
      </c>
      <c r="N208" s="10" t="n">
        <v>436.6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900000472</v>
      </c>
      <c r="D209" s="7">
        <f>IFERROR(VLOOKUP(C209,TRAOPE!$G:$H,2,0),"")</f>
        <v/>
      </c>
      <c r="E209" s="8" t="inlineStr">
        <is>
          <t>DW70</t>
        </is>
      </c>
      <c r="F209" s="8" t="inlineStr">
        <is>
          <t>D073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10000655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20230501</t>
        </is>
      </c>
      <c r="M209" s="8" t="inlineStr">
        <is>
          <t>20250131</t>
        </is>
      </c>
      <c r="N209" s="10" t="n">
        <v>436.6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900000472</v>
      </c>
      <c r="D210" s="7">
        <f>IFERROR(VLOOKUP(C210,TRAOPE!$G:$H,2,0),"")</f>
        <v/>
      </c>
      <c r="E210" s="8" t="inlineStr">
        <is>
          <t>DW70</t>
        </is>
      </c>
      <c r="F210" s="8" t="inlineStr">
        <is>
          <t>D074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10000635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20230501</t>
        </is>
      </c>
      <c r="M210" s="8" t="inlineStr">
        <is>
          <t>20250131</t>
        </is>
      </c>
      <c r="N210" s="10" t="n">
        <v>436.6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900000472</v>
      </c>
      <c r="D211" s="7">
        <f>IFERROR(VLOOKUP(C211,TRAOPE!$G:$H,2,0),"")</f>
        <v/>
      </c>
      <c r="E211" s="8" t="inlineStr">
        <is>
          <t>DW70</t>
        </is>
      </c>
      <c r="F211" s="8" t="inlineStr">
        <is>
          <t>D074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10000643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20230501</t>
        </is>
      </c>
      <c r="M211" s="8" t="inlineStr">
        <is>
          <t>20250131</t>
        </is>
      </c>
      <c r="N211" s="10" t="n">
        <v>436.6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900000472</v>
      </c>
      <c r="D212" s="7">
        <f>IFERROR(VLOOKUP(C212,TRAOPE!$G:$H,2,0),"")</f>
        <v/>
      </c>
      <c r="E212" s="8" t="inlineStr">
        <is>
          <t>DW70</t>
        </is>
      </c>
      <c r="F212" s="8" t="inlineStr">
        <is>
          <t>D074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10000655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20230501</t>
        </is>
      </c>
      <c r="M212" s="8" t="inlineStr">
        <is>
          <t>20250131</t>
        </is>
      </c>
      <c r="N212" s="10" t="n">
        <v>436.6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900000472</v>
      </c>
      <c r="D213" s="7">
        <f>IFERROR(VLOOKUP(C213,TRAOPE!$G:$H,2,0),"")</f>
        <v/>
      </c>
      <c r="E213" s="8" t="inlineStr">
        <is>
          <t>DW70</t>
        </is>
      </c>
      <c r="F213" s="8" t="inlineStr">
        <is>
          <t>D074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10004432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20230501</t>
        </is>
      </c>
      <c r="M213" s="8" t="inlineStr">
        <is>
          <t>20250131</t>
        </is>
      </c>
      <c r="N213" s="10" t="n">
        <v>2600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900000472</v>
      </c>
      <c r="D214" s="7">
        <f>IFERROR(VLOOKUP(C214,TRAOPE!$G:$H,2,0),"")</f>
        <v/>
      </c>
      <c r="E214" s="8" t="inlineStr">
        <is>
          <t>DW70</t>
        </is>
      </c>
      <c r="F214" s="8" t="inlineStr">
        <is>
          <t>D074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10188219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20230501</t>
        </is>
      </c>
      <c r="M214" s="8" t="inlineStr">
        <is>
          <t>20250131</t>
        </is>
      </c>
      <c r="N214" s="10" t="n">
        <v>650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900000472</v>
      </c>
      <c r="D215" s="7">
        <f>IFERROR(VLOOKUP(C215,TRAOPE!$G:$H,2,0),"")</f>
        <v/>
      </c>
      <c r="E215" s="8" t="inlineStr">
        <is>
          <t>DW70</t>
        </is>
      </c>
      <c r="F215" s="8" t="inlineStr">
        <is>
          <t>D074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10189170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20230501</t>
        </is>
      </c>
      <c r="M215" s="8" t="inlineStr">
        <is>
          <t>20250131</t>
        </is>
      </c>
      <c r="N215" s="10" t="n">
        <v>650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900000472</v>
      </c>
      <c r="D216" s="7">
        <f>IFERROR(VLOOKUP(C216,TRAOPE!$G:$H,2,0),"")</f>
        <v/>
      </c>
      <c r="E216" s="8" t="inlineStr">
        <is>
          <t>DW70</t>
        </is>
      </c>
      <c r="F216" s="8" t="inlineStr">
        <is>
          <t>D074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10190932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20230501</t>
        </is>
      </c>
      <c r="M216" s="8" t="inlineStr">
        <is>
          <t>20250131</t>
        </is>
      </c>
      <c r="N216" s="10" t="n">
        <v>650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900000472</v>
      </c>
      <c r="D217" s="7">
        <f>IFERROR(VLOOKUP(C217,TRAOPE!$G:$H,2,0),"")</f>
        <v/>
      </c>
      <c r="E217" s="8" t="inlineStr">
        <is>
          <t>DW70</t>
        </is>
      </c>
      <c r="F217" s="8" t="inlineStr">
        <is>
          <t>D075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10000635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20230501</t>
        </is>
      </c>
      <c r="M217" s="8" t="inlineStr">
        <is>
          <t>20250131</t>
        </is>
      </c>
      <c r="N217" s="10" t="n">
        <v>436.6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900000472</v>
      </c>
      <c r="D218" s="7">
        <f>IFERROR(VLOOKUP(C218,TRAOPE!$G:$H,2,0),"")</f>
        <v/>
      </c>
      <c r="E218" s="8" t="inlineStr">
        <is>
          <t>DW70</t>
        </is>
      </c>
      <c r="F218" s="8" t="inlineStr">
        <is>
          <t>D075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10000643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20230501</t>
        </is>
      </c>
      <c r="M218" s="8" t="inlineStr">
        <is>
          <t>20250131</t>
        </is>
      </c>
      <c r="N218" s="10" t="n">
        <v>436.6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900000472</v>
      </c>
      <c r="D219" s="7">
        <f>IFERROR(VLOOKUP(C219,TRAOPE!$G:$H,2,0),"")</f>
        <v/>
      </c>
      <c r="E219" s="8" t="inlineStr">
        <is>
          <t>DW70</t>
        </is>
      </c>
      <c r="F219" s="8" t="inlineStr">
        <is>
          <t>D075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10000655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20230501</t>
        </is>
      </c>
      <c r="M219" s="8" t="inlineStr">
        <is>
          <t>20250131</t>
        </is>
      </c>
      <c r="N219" s="10" t="n">
        <v>436.6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900000472</v>
      </c>
      <c r="D220" s="7">
        <f>IFERROR(VLOOKUP(C220,TRAOPE!$G:$H,2,0),"")</f>
        <v/>
      </c>
      <c r="E220" s="8" t="inlineStr">
        <is>
          <t>DW70</t>
        </is>
      </c>
      <c r="F220" s="8" t="inlineStr">
        <is>
          <t>D075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10188219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20230501</t>
        </is>
      </c>
      <c r="M220" s="8" t="inlineStr">
        <is>
          <t>20250131</t>
        </is>
      </c>
      <c r="N220" s="10" t="n">
        <v>650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900000472</v>
      </c>
      <c r="D221" s="7">
        <f>IFERROR(VLOOKUP(C221,TRAOPE!$G:$H,2,0),"")</f>
        <v/>
      </c>
      <c r="E221" s="8" t="inlineStr">
        <is>
          <t>DW70</t>
        </is>
      </c>
      <c r="F221" s="8" t="inlineStr">
        <is>
          <t>D075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10189170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20230501</t>
        </is>
      </c>
      <c r="M221" s="8" t="inlineStr">
        <is>
          <t>20250131</t>
        </is>
      </c>
      <c r="N221" s="10" t="n">
        <v>650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900000472</v>
      </c>
      <c r="D222" s="7">
        <f>IFERROR(VLOOKUP(C222,TRAOPE!$G:$H,2,0),"")</f>
        <v/>
      </c>
      <c r="E222" s="8" t="inlineStr">
        <is>
          <t>DW70</t>
        </is>
      </c>
      <c r="F222" s="8" t="inlineStr">
        <is>
          <t>D075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10190932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20230501</t>
        </is>
      </c>
      <c r="M222" s="8" t="inlineStr">
        <is>
          <t>20250131</t>
        </is>
      </c>
      <c r="N222" s="10" t="n">
        <v>650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900000472</v>
      </c>
      <c r="D223" s="7">
        <f>IFERROR(VLOOKUP(C223,TRAOPE!$G:$H,2,0),"")</f>
        <v/>
      </c>
      <c r="E223" s="8" t="inlineStr">
        <is>
          <t>DW70</t>
        </is>
      </c>
      <c r="F223" s="8" t="inlineStr">
        <is>
          <t>D077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10000635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20230501</t>
        </is>
      </c>
      <c r="M223" s="8" t="inlineStr">
        <is>
          <t>20250131</t>
        </is>
      </c>
      <c r="N223" s="10" t="n">
        <v>436.6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900000472</v>
      </c>
      <c r="D224" s="7">
        <f>IFERROR(VLOOKUP(C224,TRAOPE!$G:$H,2,0),"")</f>
        <v/>
      </c>
      <c r="E224" s="8" t="inlineStr">
        <is>
          <t>DW70</t>
        </is>
      </c>
      <c r="F224" s="8" t="inlineStr">
        <is>
          <t>D077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10000643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20230501</t>
        </is>
      </c>
      <c r="M224" s="8" t="inlineStr">
        <is>
          <t>20250131</t>
        </is>
      </c>
      <c r="N224" s="10" t="n">
        <v>436.6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900000472</v>
      </c>
      <c r="D225" s="7">
        <f>IFERROR(VLOOKUP(C225,TRAOPE!$G:$H,2,0),"")</f>
        <v/>
      </c>
      <c r="E225" s="8" t="inlineStr">
        <is>
          <t>DW70</t>
        </is>
      </c>
      <c r="F225" s="8" t="inlineStr">
        <is>
          <t>D077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10000655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20230501</t>
        </is>
      </c>
      <c r="M225" s="8" t="inlineStr">
        <is>
          <t>20250131</t>
        </is>
      </c>
      <c r="N225" s="10" t="n">
        <v>436.6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900000472</v>
      </c>
      <c r="D226" s="7">
        <f>IFERROR(VLOOKUP(C226,TRAOPE!$G:$H,2,0),"")</f>
        <v/>
      </c>
      <c r="E226" s="8" t="inlineStr">
        <is>
          <t>DW70</t>
        </is>
      </c>
      <c r="F226" s="8" t="inlineStr">
        <is>
          <t>D077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10188219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20230501</t>
        </is>
      </c>
      <c r="M226" s="8" t="inlineStr">
        <is>
          <t>20250131</t>
        </is>
      </c>
      <c r="N226" s="10" t="n">
        <v>650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900000472</v>
      </c>
      <c r="D227" s="7">
        <f>IFERROR(VLOOKUP(C227,TRAOPE!$G:$H,2,0),"")</f>
        <v/>
      </c>
      <c r="E227" s="8" t="inlineStr">
        <is>
          <t>DW70</t>
        </is>
      </c>
      <c r="F227" s="8" t="inlineStr">
        <is>
          <t>D077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10189170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20230501</t>
        </is>
      </c>
      <c r="M227" s="8" t="inlineStr">
        <is>
          <t>20250131</t>
        </is>
      </c>
      <c r="N227" s="10" t="n">
        <v>650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900000472</v>
      </c>
      <c r="D228" s="7">
        <f>IFERROR(VLOOKUP(C228,TRAOPE!$G:$H,2,0),"")</f>
        <v/>
      </c>
      <c r="E228" s="8" t="inlineStr">
        <is>
          <t>DW70</t>
        </is>
      </c>
      <c r="F228" s="8" t="inlineStr">
        <is>
          <t>D077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10190932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20230501</t>
        </is>
      </c>
      <c r="M228" s="8" t="inlineStr">
        <is>
          <t>20250131</t>
        </is>
      </c>
      <c r="N228" s="10" t="n">
        <v>650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900000472</v>
      </c>
      <c r="D229" s="7">
        <f>IFERROR(VLOOKUP(C229,TRAOPE!$G:$H,2,0),"")</f>
        <v/>
      </c>
      <c r="E229" s="8" t="inlineStr">
        <is>
          <t>DW70</t>
        </is>
      </c>
      <c r="F229" s="8" t="inlineStr">
        <is>
          <t>D079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10000635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20230501</t>
        </is>
      </c>
      <c r="M229" s="8" t="inlineStr">
        <is>
          <t>20250131</t>
        </is>
      </c>
      <c r="N229" s="10" t="n">
        <v>331.58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900000472</v>
      </c>
      <c r="D230" s="7">
        <f>IFERROR(VLOOKUP(C230,TRAOPE!$G:$H,2,0),"")</f>
        <v/>
      </c>
      <c r="E230" s="8" t="inlineStr">
        <is>
          <t>DW70</t>
        </is>
      </c>
      <c r="F230" s="8" t="inlineStr">
        <is>
          <t>D079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10000643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20230501</t>
        </is>
      </c>
      <c r="M230" s="8" t="inlineStr">
        <is>
          <t>20250131</t>
        </is>
      </c>
      <c r="N230" s="10" t="n">
        <v>331.58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900000472</v>
      </c>
      <c r="D231" s="7">
        <f>IFERROR(VLOOKUP(C231,TRAOPE!$G:$H,2,0),"")</f>
        <v/>
      </c>
      <c r="E231" s="8" t="inlineStr">
        <is>
          <t>DW70</t>
        </is>
      </c>
      <c r="F231" s="8" t="inlineStr">
        <is>
          <t>D079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10000655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20230501</t>
        </is>
      </c>
      <c r="M231" s="8" t="inlineStr">
        <is>
          <t>20250131</t>
        </is>
      </c>
      <c r="N231" s="10" t="n">
        <v>331.58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900000472</v>
      </c>
      <c r="D232" s="7">
        <f>IFERROR(VLOOKUP(C232,TRAOPE!$G:$H,2,0),"")</f>
        <v/>
      </c>
      <c r="E232" s="8" t="inlineStr">
        <is>
          <t>DW70</t>
        </is>
      </c>
      <c r="F232" s="8" t="inlineStr">
        <is>
          <t>D079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10001456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20230501</t>
        </is>
      </c>
      <c r="M232" s="8" t="inlineStr">
        <is>
          <t>20250131</t>
        </is>
      </c>
      <c r="N232" s="10" t="n">
        <v>268.43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900000472</v>
      </c>
      <c r="D233" s="7">
        <f>IFERROR(VLOOKUP(C233,TRAOPE!$G:$H,2,0),"")</f>
        <v/>
      </c>
      <c r="E233" s="8" t="inlineStr">
        <is>
          <t>DW70</t>
        </is>
      </c>
      <c r="F233" s="8" t="inlineStr">
        <is>
          <t>D079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10188219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20230501</t>
        </is>
      </c>
      <c r="M233" s="8" t="inlineStr">
        <is>
          <t>20250131</t>
        </is>
      </c>
      <c r="N233" s="10" t="n">
        <v>650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900000472</v>
      </c>
      <c r="D234" s="7">
        <f>IFERROR(VLOOKUP(C234,TRAOPE!$G:$H,2,0),"")</f>
        <v/>
      </c>
      <c r="E234" s="8" t="inlineStr">
        <is>
          <t>DW70</t>
        </is>
      </c>
      <c r="F234" s="8" t="inlineStr">
        <is>
          <t>D079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10189170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20230501</t>
        </is>
      </c>
      <c r="M234" s="8" t="inlineStr">
        <is>
          <t>20250131</t>
        </is>
      </c>
      <c r="N234" s="10" t="n">
        <v>650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900000472</v>
      </c>
      <c r="D235" s="7">
        <f>IFERROR(VLOOKUP(C235,TRAOPE!$G:$H,2,0),"")</f>
        <v/>
      </c>
      <c r="E235" s="8" t="inlineStr">
        <is>
          <t>DW70</t>
        </is>
      </c>
      <c r="F235" s="8" t="inlineStr">
        <is>
          <t>D079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10190932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20230501</t>
        </is>
      </c>
      <c r="M235" s="8" t="inlineStr">
        <is>
          <t>20250131</t>
        </is>
      </c>
      <c r="N235" s="10" t="n">
        <v>650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900000472</v>
      </c>
      <c r="D236" s="7">
        <f>IFERROR(VLOOKUP(C236,TRAOPE!$G:$H,2,0),"")</f>
        <v/>
      </c>
      <c r="E236" s="8" t="inlineStr">
        <is>
          <t>DW70</t>
        </is>
      </c>
      <c r="F236" s="8" t="inlineStr">
        <is>
          <t>D080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10000635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20230501</t>
        </is>
      </c>
      <c r="M236" s="8" t="inlineStr">
        <is>
          <t>20250131</t>
        </is>
      </c>
      <c r="N236" s="10" t="n">
        <v>436.6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900000472</v>
      </c>
      <c r="D237" s="7">
        <f>IFERROR(VLOOKUP(C237,TRAOPE!$G:$H,2,0),"")</f>
        <v/>
      </c>
      <c r="E237" s="8" t="inlineStr">
        <is>
          <t>DW70</t>
        </is>
      </c>
      <c r="F237" s="8" t="inlineStr">
        <is>
          <t>D080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10000643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20230501</t>
        </is>
      </c>
      <c r="M237" s="8" t="inlineStr">
        <is>
          <t>20250131</t>
        </is>
      </c>
      <c r="N237" s="10" t="n">
        <v>436.6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900000472</v>
      </c>
      <c r="D238" s="7">
        <f>IFERROR(VLOOKUP(C238,TRAOPE!$G:$H,2,0),"")</f>
        <v/>
      </c>
      <c r="E238" s="8" t="inlineStr">
        <is>
          <t>DW70</t>
        </is>
      </c>
      <c r="F238" s="8" t="inlineStr">
        <is>
          <t>D080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10000655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20230501</t>
        </is>
      </c>
      <c r="M238" s="8" t="inlineStr">
        <is>
          <t>20250131</t>
        </is>
      </c>
      <c r="N238" s="10" t="n">
        <v>436.6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900000472</v>
      </c>
      <c r="D239" s="7">
        <f>IFERROR(VLOOKUP(C239,TRAOPE!$G:$H,2,0),"")</f>
        <v/>
      </c>
      <c r="E239" s="8" t="inlineStr">
        <is>
          <t>DW70</t>
        </is>
      </c>
      <c r="F239" s="8" t="inlineStr">
        <is>
          <t>D080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10004432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20230501</t>
        </is>
      </c>
      <c r="M239" s="8" t="inlineStr">
        <is>
          <t>20250131</t>
        </is>
      </c>
      <c r="N239" s="10" t="n">
        <v>2600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900000472</v>
      </c>
      <c r="D240" s="7">
        <f>IFERROR(VLOOKUP(C240,TRAOPE!$G:$H,2,0),"")</f>
        <v/>
      </c>
      <c r="E240" s="8" t="inlineStr">
        <is>
          <t>DW70</t>
        </is>
      </c>
      <c r="F240" s="8" t="inlineStr">
        <is>
          <t>D080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10188219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20230501</t>
        </is>
      </c>
      <c r="M240" s="8" t="inlineStr">
        <is>
          <t>20250131</t>
        </is>
      </c>
      <c r="N240" s="10" t="n">
        <v>650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900000472</v>
      </c>
      <c r="D241" s="7">
        <f>IFERROR(VLOOKUP(C241,TRAOPE!$G:$H,2,0),"")</f>
        <v/>
      </c>
      <c r="E241" s="8" t="inlineStr">
        <is>
          <t>DW70</t>
        </is>
      </c>
      <c r="F241" s="8" t="inlineStr">
        <is>
          <t>D080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10189170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20230501</t>
        </is>
      </c>
      <c r="M241" s="8" t="inlineStr">
        <is>
          <t>20250131</t>
        </is>
      </c>
      <c r="N241" s="10" t="n">
        <v>650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900000472</v>
      </c>
      <c r="D242" s="7">
        <f>IFERROR(VLOOKUP(C242,TRAOPE!$G:$H,2,0),"")</f>
        <v/>
      </c>
      <c r="E242" s="8" t="inlineStr">
        <is>
          <t>DW70</t>
        </is>
      </c>
      <c r="F242" s="8" t="inlineStr">
        <is>
          <t>D080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10190932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20230501</t>
        </is>
      </c>
      <c r="M242" s="8" t="inlineStr">
        <is>
          <t>20250131</t>
        </is>
      </c>
      <c r="N242" s="10" t="n">
        <v>650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900000472</v>
      </c>
      <c r="D243" s="7">
        <f>IFERROR(VLOOKUP(C243,TRAOPE!$G:$H,2,0),"")</f>
        <v/>
      </c>
      <c r="E243" s="8" t="inlineStr">
        <is>
          <t>DW70</t>
        </is>
      </c>
      <c r="F243" s="8" t="inlineStr">
        <is>
          <t>D081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10000635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20250701</t>
        </is>
      </c>
      <c r="M243" s="8" t="inlineStr">
        <is>
          <t>20251031</t>
        </is>
      </c>
      <c r="N243" s="10" t="n">
        <v>513.9400000000001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900000472</v>
      </c>
      <c r="D244" s="7">
        <f>IFERROR(VLOOKUP(C244,TRAOPE!$G:$H,2,0),"")</f>
        <v/>
      </c>
      <c r="E244" s="8" t="inlineStr">
        <is>
          <t>DW70</t>
        </is>
      </c>
      <c r="F244" s="8" t="inlineStr">
        <is>
          <t>D081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10000643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20250701</t>
        </is>
      </c>
      <c r="M244" s="8" t="inlineStr">
        <is>
          <t>20251031</t>
        </is>
      </c>
      <c r="N244" s="10" t="n">
        <v>513.9400000000001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900000472</v>
      </c>
      <c r="D245" s="7">
        <f>IFERROR(VLOOKUP(C245,TRAOPE!$G:$H,2,0),"")</f>
        <v/>
      </c>
      <c r="E245" s="8" t="inlineStr">
        <is>
          <t>DW70</t>
        </is>
      </c>
      <c r="F245" s="8" t="inlineStr">
        <is>
          <t>D081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10000655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20250701</t>
        </is>
      </c>
      <c r="M245" s="8" t="inlineStr">
        <is>
          <t>20251031</t>
        </is>
      </c>
      <c r="N245" s="10" t="n">
        <v>513.9400000000001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900000472</v>
      </c>
      <c r="D246" s="7">
        <f>IFERROR(VLOOKUP(C246,TRAOPE!$G:$H,2,0),"")</f>
        <v/>
      </c>
      <c r="E246" s="8" t="inlineStr">
        <is>
          <t>DW70</t>
        </is>
      </c>
      <c r="F246" s="8" t="inlineStr">
        <is>
          <t>D081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10004432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20230501</t>
        </is>
      </c>
      <c r="M246" s="8" t="inlineStr">
        <is>
          <t>20250131</t>
        </is>
      </c>
      <c r="N246" s="10" t="n">
        <v>2600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900000472</v>
      </c>
      <c r="D247" s="7">
        <f>IFERROR(VLOOKUP(C247,TRAOPE!$G:$H,2,0),"")</f>
        <v/>
      </c>
      <c r="E247" s="8" t="inlineStr">
        <is>
          <t>DW70</t>
        </is>
      </c>
      <c r="F247" s="8" t="inlineStr">
        <is>
          <t>D081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10188219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20230501</t>
        </is>
      </c>
      <c r="M247" s="8" t="inlineStr">
        <is>
          <t>20250131</t>
        </is>
      </c>
      <c r="N247" s="10" t="n">
        <v>650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900000472</v>
      </c>
      <c r="D248" s="7">
        <f>IFERROR(VLOOKUP(C248,TRAOPE!$G:$H,2,0),"")</f>
        <v/>
      </c>
      <c r="E248" s="8" t="inlineStr">
        <is>
          <t>DW70</t>
        </is>
      </c>
      <c r="F248" s="8" t="inlineStr">
        <is>
          <t>D081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10189170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20230501</t>
        </is>
      </c>
      <c r="M248" s="8" t="inlineStr">
        <is>
          <t>20250131</t>
        </is>
      </c>
      <c r="N248" s="10" t="n">
        <v>650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900000472</v>
      </c>
      <c r="D249" s="7">
        <f>IFERROR(VLOOKUP(C249,TRAOPE!$G:$H,2,0),"")</f>
        <v/>
      </c>
      <c r="E249" s="8" t="inlineStr">
        <is>
          <t>DW70</t>
        </is>
      </c>
      <c r="F249" s="8" t="inlineStr">
        <is>
          <t>D081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10190932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20230501</t>
        </is>
      </c>
      <c r="M249" s="8" t="inlineStr">
        <is>
          <t>20250131</t>
        </is>
      </c>
      <c r="N249" s="10" t="n">
        <v>650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900000472</v>
      </c>
      <c r="D250" s="7">
        <f>IFERROR(VLOOKUP(C250,TRAOPE!$G:$H,2,0),"")</f>
        <v/>
      </c>
      <c r="E250" s="8" t="inlineStr">
        <is>
          <t>DW70</t>
        </is>
      </c>
      <c r="F250" s="8" t="inlineStr">
        <is>
          <t>D083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10000635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20260301</t>
        </is>
      </c>
      <c r="M250" s="8" t="inlineStr">
        <is>
          <t>99991231</t>
        </is>
      </c>
      <c r="N250" s="10" t="n">
        <v>544.78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900000472</v>
      </c>
      <c r="D251" s="7">
        <f>IFERROR(VLOOKUP(C251,TRAOPE!$G:$H,2,0),"")</f>
        <v/>
      </c>
      <c r="E251" s="8" t="inlineStr">
        <is>
          <t>DW70</t>
        </is>
      </c>
      <c r="F251" s="8" t="inlineStr">
        <is>
          <t>D083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10000643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20260301</t>
        </is>
      </c>
      <c r="M251" s="8" t="inlineStr">
        <is>
          <t>99991231</t>
        </is>
      </c>
      <c r="N251" s="10" t="n">
        <v>544.78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900000472</v>
      </c>
      <c r="D252" s="7">
        <f>IFERROR(VLOOKUP(C252,TRAOPE!$G:$H,2,0),"")</f>
        <v/>
      </c>
      <c r="E252" s="8" t="inlineStr">
        <is>
          <t>DW70</t>
        </is>
      </c>
      <c r="F252" s="8" t="inlineStr">
        <is>
          <t>D083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10000655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20260301</t>
        </is>
      </c>
      <c r="M252" s="8" t="inlineStr">
        <is>
          <t>99991231</t>
        </is>
      </c>
      <c r="N252" s="10" t="n">
        <v>544.78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900000472</v>
      </c>
      <c r="D253" s="7">
        <f>IFERROR(VLOOKUP(C253,TRAOPE!$G:$H,2,0),"")</f>
        <v/>
      </c>
      <c r="E253" s="8" t="inlineStr">
        <is>
          <t>DW70</t>
        </is>
      </c>
      <c r="F253" s="8" t="inlineStr">
        <is>
          <t>D083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10004432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20250701</t>
        </is>
      </c>
      <c r="M253" s="8" t="inlineStr">
        <is>
          <t>99991231</t>
        </is>
      </c>
      <c r="N253" s="10" t="n">
        <v>4500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900000472</v>
      </c>
      <c r="D254" s="7">
        <f>IFERROR(VLOOKUP(C254,TRAOPE!$G:$H,2,0),"")</f>
        <v/>
      </c>
      <c r="E254" s="8" t="inlineStr">
        <is>
          <t>DW70</t>
        </is>
      </c>
      <c r="F254" s="8" t="inlineStr">
        <is>
          <t>D083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10188219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20230501</t>
        </is>
      </c>
      <c r="M254" s="8" t="inlineStr">
        <is>
          <t>20250131</t>
        </is>
      </c>
      <c r="N254" s="10" t="n">
        <v>650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900000472</v>
      </c>
      <c r="D255" s="7">
        <f>IFERROR(VLOOKUP(C255,TRAOPE!$G:$H,2,0),"")</f>
        <v/>
      </c>
      <c r="E255" s="8" t="inlineStr">
        <is>
          <t>DW70</t>
        </is>
      </c>
      <c r="F255" s="8" t="inlineStr">
        <is>
          <t>D083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10189170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20230501</t>
        </is>
      </c>
      <c r="M255" s="8" t="inlineStr">
        <is>
          <t>20250131</t>
        </is>
      </c>
      <c r="N255" s="10" t="n">
        <v>650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900000472</v>
      </c>
      <c r="D256" s="7">
        <f>IFERROR(VLOOKUP(C256,TRAOPE!$G:$H,2,0),"")</f>
        <v/>
      </c>
      <c r="E256" s="8" t="inlineStr">
        <is>
          <t>DW70</t>
        </is>
      </c>
      <c r="F256" s="8" t="inlineStr">
        <is>
          <t>D083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10190932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20230501</t>
        </is>
      </c>
      <c r="M256" s="8" t="inlineStr">
        <is>
          <t>20250131</t>
        </is>
      </c>
      <c r="N256" s="10" t="n">
        <v>650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900000472</v>
      </c>
      <c r="D257" s="7">
        <f>IFERROR(VLOOKUP(C257,TRAOPE!$G:$H,2,0),"")</f>
        <v/>
      </c>
      <c r="E257" s="8" t="inlineStr">
        <is>
          <t>DW70</t>
        </is>
      </c>
      <c r="F257" s="8" t="inlineStr">
        <is>
          <t>D083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10211427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20250701</t>
        </is>
      </c>
      <c r="M257" s="8" t="inlineStr">
        <is>
          <t>99991231</t>
        </is>
      </c>
      <c r="N257" s="10" t="n">
        <v>4500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900000472</v>
      </c>
      <c r="D258" s="7">
        <f>IFERROR(VLOOKUP(C258,TRAOPE!$G:$H,2,0),"")</f>
        <v/>
      </c>
      <c r="E258" s="8" t="inlineStr">
        <is>
          <t>DW70</t>
        </is>
      </c>
      <c r="F258" s="8" t="inlineStr">
        <is>
          <t>D084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10000635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20250701</t>
        </is>
      </c>
      <c r="M258" s="8" t="inlineStr">
        <is>
          <t>20251031</t>
        </is>
      </c>
      <c r="N258" s="10" t="n">
        <v>475.87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900000472</v>
      </c>
      <c r="D259" s="7">
        <f>IFERROR(VLOOKUP(C259,TRAOPE!$G:$H,2,0),"")</f>
        <v/>
      </c>
      <c r="E259" s="8" t="inlineStr">
        <is>
          <t>DW70</t>
        </is>
      </c>
      <c r="F259" s="8" t="inlineStr">
        <is>
          <t>D084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10000643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20250701</t>
        </is>
      </c>
      <c r="M259" s="8" t="inlineStr">
        <is>
          <t>20251031</t>
        </is>
      </c>
      <c r="N259" s="10" t="n">
        <v>475.87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900000472</v>
      </c>
      <c r="D260" s="7">
        <f>IFERROR(VLOOKUP(C260,TRAOPE!$G:$H,2,0),"")</f>
        <v/>
      </c>
      <c r="E260" s="8" t="inlineStr">
        <is>
          <t>DW70</t>
        </is>
      </c>
      <c r="F260" s="8" t="inlineStr">
        <is>
          <t>D084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10000655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20230501</t>
        </is>
      </c>
      <c r="M260" s="8" t="inlineStr">
        <is>
          <t>20250131</t>
        </is>
      </c>
      <c r="N260" s="10" t="n">
        <v>436.6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900000472</v>
      </c>
      <c r="D261" s="7">
        <f>IFERROR(VLOOKUP(C261,TRAOPE!$G:$H,2,0),"")</f>
        <v/>
      </c>
      <c r="E261" s="8" t="inlineStr">
        <is>
          <t>DW70</t>
        </is>
      </c>
      <c r="F261" s="8" t="inlineStr">
        <is>
          <t>D084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10165790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20230501</t>
        </is>
      </c>
      <c r="M261" s="8" t="inlineStr">
        <is>
          <t>20250131</t>
        </is>
      </c>
      <c r="N261" s="10" t="n">
        <v>515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900000472</v>
      </c>
      <c r="D262" s="7">
        <f>IFERROR(VLOOKUP(C262,TRAOPE!$G:$H,2,0),"")</f>
        <v/>
      </c>
      <c r="E262" s="8" t="inlineStr">
        <is>
          <t>DW70</t>
        </is>
      </c>
      <c r="F262" s="8" t="inlineStr">
        <is>
          <t>D084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10188219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20230501</t>
        </is>
      </c>
      <c r="M262" s="8" t="inlineStr">
        <is>
          <t>20250131</t>
        </is>
      </c>
      <c r="N262" s="10" t="n">
        <v>650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900000472</v>
      </c>
      <c r="D263" s="7">
        <f>IFERROR(VLOOKUP(C263,TRAOPE!$G:$H,2,0),"")</f>
        <v/>
      </c>
      <c r="E263" s="8" t="inlineStr">
        <is>
          <t>DW70</t>
        </is>
      </c>
      <c r="F263" s="8" t="inlineStr">
        <is>
          <t>D084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10189170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20230501</t>
        </is>
      </c>
      <c r="M263" s="8" t="inlineStr">
        <is>
          <t>20250131</t>
        </is>
      </c>
      <c r="N263" s="10" t="n">
        <v>650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900000472</v>
      </c>
      <c r="D264" s="7">
        <f>IFERROR(VLOOKUP(C264,TRAOPE!$G:$H,2,0),"")</f>
        <v/>
      </c>
      <c r="E264" s="8" t="inlineStr">
        <is>
          <t>DW70</t>
        </is>
      </c>
      <c r="F264" s="8" t="inlineStr">
        <is>
          <t>D084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10190932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20230501</t>
        </is>
      </c>
      <c r="M264" s="8" t="inlineStr">
        <is>
          <t>20250131</t>
        </is>
      </c>
      <c r="N264" s="10" t="n">
        <v>650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900000472</v>
      </c>
      <c r="D265" s="7">
        <f>IFERROR(VLOOKUP(C265,TRAOPE!$G:$H,2,0),"")</f>
        <v/>
      </c>
      <c r="E265" s="8" t="inlineStr">
        <is>
          <t>DW70</t>
        </is>
      </c>
      <c r="F265" s="8" t="inlineStr">
        <is>
          <t>D085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10000635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20230501</t>
        </is>
      </c>
      <c r="M265" s="8" t="inlineStr">
        <is>
          <t>20250131</t>
        </is>
      </c>
      <c r="N265" s="10" t="n">
        <v>436.6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900000472</v>
      </c>
      <c r="D266" s="7">
        <f>IFERROR(VLOOKUP(C266,TRAOPE!$G:$H,2,0),"")</f>
        <v/>
      </c>
      <c r="E266" s="8" t="inlineStr">
        <is>
          <t>DW70</t>
        </is>
      </c>
      <c r="F266" s="8" t="inlineStr">
        <is>
          <t>D085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10000643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20230501</t>
        </is>
      </c>
      <c r="M266" s="8" t="inlineStr">
        <is>
          <t>20250131</t>
        </is>
      </c>
      <c r="N266" s="10" t="n">
        <v>436.6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900000472</v>
      </c>
      <c r="D267" s="7">
        <f>IFERROR(VLOOKUP(C267,TRAOPE!$G:$H,2,0),"")</f>
        <v/>
      </c>
      <c r="E267" s="8" t="inlineStr">
        <is>
          <t>DW70</t>
        </is>
      </c>
      <c r="F267" s="8" t="inlineStr">
        <is>
          <t>D085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10188219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20230501</t>
        </is>
      </c>
      <c r="M267" s="8" t="inlineStr">
        <is>
          <t>20250131</t>
        </is>
      </c>
      <c r="N267" s="10" t="n">
        <v>650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900000472</v>
      </c>
      <c r="D268" s="7">
        <f>IFERROR(VLOOKUP(C268,TRAOPE!$G:$H,2,0),"")</f>
        <v/>
      </c>
      <c r="E268" s="8" t="inlineStr">
        <is>
          <t>DW70</t>
        </is>
      </c>
      <c r="F268" s="8" t="inlineStr">
        <is>
          <t>D085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10189170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20230501</t>
        </is>
      </c>
      <c r="M268" s="8" t="inlineStr">
        <is>
          <t>20250131</t>
        </is>
      </c>
      <c r="N268" s="10" t="n">
        <v>650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900000472</v>
      </c>
      <c r="D269" s="7">
        <f>IFERROR(VLOOKUP(C269,TRAOPE!$G:$H,2,0),"")</f>
        <v/>
      </c>
      <c r="E269" s="8" t="inlineStr">
        <is>
          <t>DW70</t>
        </is>
      </c>
      <c r="F269" s="8" t="inlineStr">
        <is>
          <t>D085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10190932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20230501</t>
        </is>
      </c>
      <c r="M269" s="8" t="inlineStr">
        <is>
          <t>20250131</t>
        </is>
      </c>
      <c r="N269" s="10" t="n">
        <v>650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900000472</v>
      </c>
      <c r="D270" s="7">
        <f>IFERROR(VLOOKUP(C270,TRAOPE!$G:$H,2,0),"")</f>
        <v/>
      </c>
      <c r="E270" s="8" t="inlineStr">
        <is>
          <t>DW70</t>
        </is>
      </c>
      <c r="F270" s="8" t="inlineStr">
        <is>
          <t>D086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10000635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20230501</t>
        </is>
      </c>
      <c r="M270" s="8" t="inlineStr">
        <is>
          <t>20250131</t>
        </is>
      </c>
      <c r="N270" s="10" t="n">
        <v>436.6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900000472</v>
      </c>
      <c r="D271" s="7">
        <f>IFERROR(VLOOKUP(C271,TRAOPE!$G:$H,2,0),"")</f>
        <v/>
      </c>
      <c r="E271" s="8" t="inlineStr">
        <is>
          <t>DW70</t>
        </is>
      </c>
      <c r="F271" s="8" t="inlineStr">
        <is>
          <t>D086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10000643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20230501</t>
        </is>
      </c>
      <c r="M271" s="8" t="inlineStr">
        <is>
          <t>20250131</t>
        </is>
      </c>
      <c r="N271" s="10" t="n">
        <v>436.6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900000472</v>
      </c>
      <c r="D272" s="7">
        <f>IFERROR(VLOOKUP(C272,TRAOPE!$G:$H,2,0),"")</f>
        <v/>
      </c>
      <c r="E272" s="8" t="inlineStr">
        <is>
          <t>DW70</t>
        </is>
      </c>
      <c r="F272" s="8" t="inlineStr">
        <is>
          <t>D086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10000655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20230501</t>
        </is>
      </c>
      <c r="M272" s="8" t="inlineStr">
        <is>
          <t>20250131</t>
        </is>
      </c>
      <c r="N272" s="10" t="n">
        <v>436.6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900000472</v>
      </c>
      <c r="D273" s="7">
        <f>IFERROR(VLOOKUP(C273,TRAOPE!$G:$H,2,0),"")</f>
        <v/>
      </c>
      <c r="E273" s="8" t="inlineStr">
        <is>
          <t>DW70</t>
        </is>
      </c>
      <c r="F273" s="8" t="inlineStr">
        <is>
          <t>D086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10004432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20230501</t>
        </is>
      </c>
      <c r="M273" s="8" t="inlineStr">
        <is>
          <t>20250131</t>
        </is>
      </c>
      <c r="N273" s="10" t="n">
        <v>4000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900000472</v>
      </c>
      <c r="D274" s="7">
        <f>IFERROR(VLOOKUP(C274,TRAOPE!$G:$H,2,0),"")</f>
        <v/>
      </c>
      <c r="E274" s="8" t="inlineStr">
        <is>
          <t>DW70</t>
        </is>
      </c>
      <c r="F274" s="8" t="inlineStr">
        <is>
          <t>D086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10188219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20230501</t>
        </is>
      </c>
      <c r="M274" s="8" t="inlineStr">
        <is>
          <t>20250131</t>
        </is>
      </c>
      <c r="N274" s="10" t="n">
        <v>650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900000472</v>
      </c>
      <c r="D275" s="7">
        <f>IFERROR(VLOOKUP(C275,TRAOPE!$G:$H,2,0),"")</f>
        <v/>
      </c>
      <c r="E275" s="8" t="inlineStr">
        <is>
          <t>DW70</t>
        </is>
      </c>
      <c r="F275" s="8" t="inlineStr">
        <is>
          <t>D086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10189170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20230501</t>
        </is>
      </c>
      <c r="M275" s="8" t="inlineStr">
        <is>
          <t>20250131</t>
        </is>
      </c>
      <c r="N275" s="10" t="n">
        <v>650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900000472</v>
      </c>
      <c r="D276" s="7">
        <f>IFERROR(VLOOKUP(C276,TRAOPE!$G:$H,2,0),"")</f>
        <v/>
      </c>
      <c r="E276" s="8" t="inlineStr">
        <is>
          <t>DW70</t>
        </is>
      </c>
      <c r="F276" s="8" t="inlineStr">
        <is>
          <t>D086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10190932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20230501</t>
        </is>
      </c>
      <c r="M276" s="8" t="inlineStr">
        <is>
          <t>20250131</t>
        </is>
      </c>
      <c r="N276" s="10" t="n">
        <v>650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900000472</v>
      </c>
      <c r="D277" s="7">
        <f>IFERROR(VLOOKUP(C277,TRAOPE!$G:$H,2,0),"")</f>
        <v/>
      </c>
      <c r="E277" s="8" t="inlineStr">
        <is>
          <t>DW70</t>
        </is>
      </c>
      <c r="F277" s="8" t="inlineStr">
        <is>
          <t>D087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10000635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20230501</t>
        </is>
      </c>
      <c r="M277" s="8" t="inlineStr">
        <is>
          <t>20250131</t>
        </is>
      </c>
      <c r="N277" s="10" t="n">
        <v>436.6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900000472</v>
      </c>
      <c r="D278" s="7">
        <f>IFERROR(VLOOKUP(C278,TRAOPE!$G:$H,2,0),"")</f>
        <v/>
      </c>
      <c r="E278" s="8" t="inlineStr">
        <is>
          <t>DW70</t>
        </is>
      </c>
      <c r="F278" s="8" t="inlineStr">
        <is>
          <t>D087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10000643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20230501</t>
        </is>
      </c>
      <c r="M278" s="8" t="inlineStr">
        <is>
          <t>20250131</t>
        </is>
      </c>
      <c r="N278" s="10" t="n">
        <v>436.6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900000472</v>
      </c>
      <c r="D279" s="7">
        <f>IFERROR(VLOOKUP(C279,TRAOPE!$G:$H,2,0),"")</f>
        <v/>
      </c>
      <c r="E279" s="8" t="inlineStr">
        <is>
          <t>DW70</t>
        </is>
      </c>
      <c r="F279" s="8" t="inlineStr">
        <is>
          <t>D087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10000655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20230501</t>
        </is>
      </c>
      <c r="M279" s="8" t="inlineStr">
        <is>
          <t>20250131</t>
        </is>
      </c>
      <c r="N279" s="10" t="n">
        <v>436.6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900000472</v>
      </c>
      <c r="D280" s="7">
        <f>IFERROR(VLOOKUP(C280,TRAOPE!$G:$H,2,0),"")</f>
        <v/>
      </c>
      <c r="E280" s="8" t="inlineStr">
        <is>
          <t>DW70</t>
        </is>
      </c>
      <c r="F280" s="8" t="inlineStr">
        <is>
          <t>D088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10000635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20230501</t>
        </is>
      </c>
      <c r="M280" s="8" t="inlineStr">
        <is>
          <t>20250131</t>
        </is>
      </c>
      <c r="N280" s="10" t="n">
        <v>436.6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900000472</v>
      </c>
      <c r="D281" s="7">
        <f>IFERROR(VLOOKUP(C281,TRAOPE!$G:$H,2,0),"")</f>
        <v/>
      </c>
      <c r="E281" s="8" t="inlineStr">
        <is>
          <t>DW70</t>
        </is>
      </c>
      <c r="F281" s="8" t="inlineStr">
        <is>
          <t>D088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10000643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20230501</t>
        </is>
      </c>
      <c r="M281" s="8" t="inlineStr">
        <is>
          <t>20250131</t>
        </is>
      </c>
      <c r="N281" s="10" t="n">
        <v>436.6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900000472</v>
      </c>
      <c r="D282" s="7">
        <f>IFERROR(VLOOKUP(C282,TRAOPE!$G:$H,2,0),"")</f>
        <v/>
      </c>
      <c r="E282" s="8" t="inlineStr">
        <is>
          <t>DW70</t>
        </is>
      </c>
      <c r="F282" s="8" t="inlineStr">
        <is>
          <t>D088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10000655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20230501</t>
        </is>
      </c>
      <c r="M282" s="8" t="inlineStr">
        <is>
          <t>20250131</t>
        </is>
      </c>
      <c r="N282" s="10" t="n">
        <v>436.6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900000472</v>
      </c>
      <c r="D283" s="7">
        <f>IFERROR(VLOOKUP(C283,TRAOPE!$G:$H,2,0),"")</f>
        <v/>
      </c>
      <c r="E283" s="8" t="inlineStr">
        <is>
          <t>DW70</t>
        </is>
      </c>
      <c r="F283" s="8" t="inlineStr">
        <is>
          <t>D088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10188219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20230501</t>
        </is>
      </c>
      <c r="M283" s="8" t="inlineStr">
        <is>
          <t>20250131</t>
        </is>
      </c>
      <c r="N283" s="10" t="n">
        <v>650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900000472</v>
      </c>
      <c r="D284" s="7">
        <f>IFERROR(VLOOKUP(C284,TRAOPE!$G:$H,2,0),"")</f>
        <v/>
      </c>
      <c r="E284" s="8" t="inlineStr">
        <is>
          <t>DW70</t>
        </is>
      </c>
      <c r="F284" s="8" t="inlineStr">
        <is>
          <t>D088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10189170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20230501</t>
        </is>
      </c>
      <c r="M284" s="8" t="inlineStr">
        <is>
          <t>20250131</t>
        </is>
      </c>
      <c r="N284" s="10" t="n">
        <v>650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900000472</v>
      </c>
      <c r="D285" s="7">
        <f>IFERROR(VLOOKUP(C285,TRAOPE!$G:$H,2,0),"")</f>
        <v/>
      </c>
      <c r="E285" s="8" t="inlineStr">
        <is>
          <t>DW70</t>
        </is>
      </c>
      <c r="F285" s="8" t="inlineStr">
        <is>
          <t>D088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10190932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20230501</t>
        </is>
      </c>
      <c r="M285" s="8" t="inlineStr">
        <is>
          <t>20250131</t>
        </is>
      </c>
      <c r="N285" s="10" t="n">
        <v>650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900000472</v>
      </c>
      <c r="D286" s="7">
        <f>IFERROR(VLOOKUP(C286,TRAOPE!$G:$H,2,0),"")</f>
        <v/>
      </c>
      <c r="E286" s="8" t="inlineStr">
        <is>
          <t>DW70</t>
        </is>
      </c>
      <c r="F286" s="8" t="inlineStr">
        <is>
          <t>D089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10000635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20230501</t>
        </is>
      </c>
      <c r="M286" s="8" t="inlineStr">
        <is>
          <t>20250131</t>
        </is>
      </c>
      <c r="N286" s="10" t="n">
        <v>436.6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900000472</v>
      </c>
      <c r="D287" s="7">
        <f>IFERROR(VLOOKUP(C287,TRAOPE!$G:$H,2,0),"")</f>
        <v/>
      </c>
      <c r="E287" s="8" t="inlineStr">
        <is>
          <t>DW70</t>
        </is>
      </c>
      <c r="F287" s="8" t="inlineStr">
        <is>
          <t>D089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10000643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20230501</t>
        </is>
      </c>
      <c r="M287" s="8" t="inlineStr">
        <is>
          <t>20250131</t>
        </is>
      </c>
      <c r="N287" s="10" t="n">
        <v>436.6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900000472</v>
      </c>
      <c r="D288" s="7">
        <f>IFERROR(VLOOKUP(C288,TRAOPE!$G:$H,2,0),"")</f>
        <v/>
      </c>
      <c r="E288" s="8" t="inlineStr">
        <is>
          <t>DW70</t>
        </is>
      </c>
      <c r="F288" s="8" t="inlineStr">
        <is>
          <t>D089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10000655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20230501</t>
        </is>
      </c>
      <c r="M288" s="8" t="inlineStr">
        <is>
          <t>20250131</t>
        </is>
      </c>
      <c r="N288" s="10" t="n">
        <v>436.6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900000472</v>
      </c>
      <c r="D289" s="7">
        <f>IFERROR(VLOOKUP(C289,TRAOPE!$G:$H,2,0),"")</f>
        <v/>
      </c>
      <c r="E289" s="8" t="inlineStr">
        <is>
          <t>DW70</t>
        </is>
      </c>
      <c r="F289" s="8" t="inlineStr">
        <is>
          <t>D093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10000635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20230501</t>
        </is>
      </c>
      <c r="M289" s="8" t="inlineStr">
        <is>
          <t>20250131</t>
        </is>
      </c>
      <c r="N289" s="10" t="n">
        <v>436.6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900000472</v>
      </c>
      <c r="D290" s="7">
        <f>IFERROR(VLOOKUP(C290,TRAOPE!$G:$H,2,0),"")</f>
        <v/>
      </c>
      <c r="E290" s="8" t="inlineStr">
        <is>
          <t>DW70</t>
        </is>
      </c>
      <c r="F290" s="8" t="inlineStr">
        <is>
          <t>D093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10000643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20230501</t>
        </is>
      </c>
      <c r="M290" s="8" t="inlineStr">
        <is>
          <t>20250131</t>
        </is>
      </c>
      <c r="N290" s="10" t="n">
        <v>436.6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900000472</v>
      </c>
      <c r="D291" s="7">
        <f>IFERROR(VLOOKUP(C291,TRAOPE!$G:$H,2,0),"")</f>
        <v/>
      </c>
      <c r="E291" s="8" t="inlineStr">
        <is>
          <t>DW70</t>
        </is>
      </c>
      <c r="F291" s="8" t="inlineStr">
        <is>
          <t>D093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10000655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20230501</t>
        </is>
      </c>
      <c r="M291" s="8" t="inlineStr">
        <is>
          <t>20250131</t>
        </is>
      </c>
      <c r="N291" s="10" t="n">
        <v>436.6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900000472</v>
      </c>
      <c r="D292" s="7">
        <f>IFERROR(VLOOKUP(C292,TRAOPE!$G:$H,2,0),"")</f>
        <v/>
      </c>
      <c r="E292" s="8" t="inlineStr">
        <is>
          <t>DW70</t>
        </is>
      </c>
      <c r="F292" s="8" t="inlineStr">
        <is>
          <t>D093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10188219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20230501</t>
        </is>
      </c>
      <c r="M292" s="8" t="inlineStr">
        <is>
          <t>20250131</t>
        </is>
      </c>
      <c r="N292" s="10" t="n">
        <v>650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900000472</v>
      </c>
      <c r="D293" s="7">
        <f>IFERROR(VLOOKUP(C293,TRAOPE!$G:$H,2,0),"")</f>
        <v/>
      </c>
      <c r="E293" s="8" t="inlineStr">
        <is>
          <t>DW70</t>
        </is>
      </c>
      <c r="F293" s="8" t="inlineStr">
        <is>
          <t>D093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10189170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20230501</t>
        </is>
      </c>
      <c r="M293" s="8" t="inlineStr">
        <is>
          <t>20250131</t>
        </is>
      </c>
      <c r="N293" s="10" t="n">
        <v>650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900000472</v>
      </c>
      <c r="D294" s="7">
        <f>IFERROR(VLOOKUP(C294,TRAOPE!$G:$H,2,0),"")</f>
        <v/>
      </c>
      <c r="E294" s="8" t="inlineStr">
        <is>
          <t>DW70</t>
        </is>
      </c>
      <c r="F294" s="8" t="inlineStr">
        <is>
          <t>D093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10190932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20230501</t>
        </is>
      </c>
      <c r="M294" s="8" t="inlineStr">
        <is>
          <t>20250131</t>
        </is>
      </c>
      <c r="N294" s="10" t="n">
        <v>650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900000472</v>
      </c>
      <c r="D295" s="7">
        <f>IFERROR(VLOOKUP(C295,TRAOPE!$G:$H,2,0),"")</f>
        <v/>
      </c>
      <c r="E295" s="8" t="inlineStr">
        <is>
          <t>DW70</t>
        </is>
      </c>
      <c r="F295" s="8" t="inlineStr">
        <is>
          <t>D098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10000635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20230501</t>
        </is>
      </c>
      <c r="M295" s="8" t="inlineStr">
        <is>
          <t>20250131</t>
        </is>
      </c>
      <c r="N295" s="10" t="n">
        <v>436.6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900000472</v>
      </c>
      <c r="D296" s="7">
        <f>IFERROR(VLOOKUP(C296,TRAOPE!$G:$H,2,0),"")</f>
        <v/>
      </c>
      <c r="E296" s="8" t="inlineStr">
        <is>
          <t>DW70</t>
        </is>
      </c>
      <c r="F296" s="8" t="inlineStr">
        <is>
          <t>D098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10000643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20230501</t>
        </is>
      </c>
      <c r="M296" s="8" t="inlineStr">
        <is>
          <t>20250131</t>
        </is>
      </c>
      <c r="N296" s="10" t="n">
        <v>436.6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900000472</v>
      </c>
      <c r="D297" s="7">
        <f>IFERROR(VLOOKUP(C297,TRAOPE!$G:$H,2,0),"")</f>
        <v/>
      </c>
      <c r="E297" s="8" t="inlineStr">
        <is>
          <t>DW70</t>
        </is>
      </c>
      <c r="F297" s="8" t="inlineStr">
        <is>
          <t>D098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10000655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20230501</t>
        </is>
      </c>
      <c r="M297" s="8" t="inlineStr">
        <is>
          <t>20250131</t>
        </is>
      </c>
      <c r="N297" s="10" t="n">
        <v>436.6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900000472</v>
      </c>
      <c r="D298" s="7">
        <f>IFERROR(VLOOKUP(C298,TRAOPE!$G:$H,2,0),"")</f>
        <v/>
      </c>
      <c r="E298" s="8" t="inlineStr">
        <is>
          <t>DW70</t>
        </is>
      </c>
      <c r="F298" s="8" t="inlineStr">
        <is>
          <t>D098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10188219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20230501</t>
        </is>
      </c>
      <c r="M298" s="8" t="inlineStr">
        <is>
          <t>20250131</t>
        </is>
      </c>
      <c r="N298" s="10" t="n">
        <v>650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900000472</v>
      </c>
      <c r="D299" s="7">
        <f>IFERROR(VLOOKUP(C299,TRAOPE!$G:$H,2,0),"")</f>
        <v/>
      </c>
      <c r="E299" s="8" t="inlineStr">
        <is>
          <t>DW70</t>
        </is>
      </c>
      <c r="F299" s="8" t="inlineStr">
        <is>
          <t>D098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10189170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20230501</t>
        </is>
      </c>
      <c r="M299" s="8" t="inlineStr">
        <is>
          <t>20250131</t>
        </is>
      </c>
      <c r="N299" s="10" t="n">
        <v>650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900000472</v>
      </c>
      <c r="D300" s="7">
        <f>IFERROR(VLOOKUP(C300,TRAOPE!$G:$H,2,0),"")</f>
        <v/>
      </c>
      <c r="E300" s="8" t="inlineStr">
        <is>
          <t>DW70</t>
        </is>
      </c>
      <c r="F300" s="8" t="inlineStr">
        <is>
          <t>D098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10190932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20230501</t>
        </is>
      </c>
      <c r="M300" s="8" t="inlineStr">
        <is>
          <t>20250131</t>
        </is>
      </c>
      <c r="N300" s="10" t="n">
        <v>650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900000472</v>
      </c>
      <c r="D301" s="7">
        <f>IFERROR(VLOOKUP(C301,TRAOPE!$G:$H,2,0),"")</f>
        <v/>
      </c>
      <c r="E301" s="8" t="inlineStr">
        <is>
          <t>DW70</t>
        </is>
      </c>
      <c r="F301" s="8" t="inlineStr">
        <is>
          <t>D105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10000635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20230501</t>
        </is>
      </c>
      <c r="M301" s="8" t="inlineStr">
        <is>
          <t>20250131</t>
        </is>
      </c>
      <c r="N301" s="10" t="n">
        <v>436.6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900000472</v>
      </c>
      <c r="D302" s="7">
        <f>IFERROR(VLOOKUP(C302,TRAOPE!$G:$H,2,0),"")</f>
        <v/>
      </c>
      <c r="E302" s="8" t="inlineStr">
        <is>
          <t>DW70</t>
        </is>
      </c>
      <c r="F302" s="8" t="inlineStr">
        <is>
          <t>D105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10000643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20230501</t>
        </is>
      </c>
      <c r="M302" s="8" t="inlineStr">
        <is>
          <t>20250131</t>
        </is>
      </c>
      <c r="N302" s="10" t="n">
        <v>436.6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900000472</v>
      </c>
      <c r="D303" s="7">
        <f>IFERROR(VLOOKUP(C303,TRAOPE!$G:$H,2,0),"")</f>
        <v/>
      </c>
      <c r="E303" s="8" t="inlineStr">
        <is>
          <t>DW70</t>
        </is>
      </c>
      <c r="F303" s="8" t="inlineStr">
        <is>
          <t>D105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10000655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20230501</t>
        </is>
      </c>
      <c r="M303" s="8" t="inlineStr">
        <is>
          <t>20250131</t>
        </is>
      </c>
      <c r="N303" s="10" t="n">
        <v>436.6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900000472</v>
      </c>
      <c r="D304" s="7">
        <f>IFERROR(VLOOKUP(C304,TRAOPE!$G:$H,2,0),"")</f>
        <v/>
      </c>
      <c r="E304" s="8" t="inlineStr">
        <is>
          <t>DW70</t>
        </is>
      </c>
      <c r="F304" s="8" t="inlineStr">
        <is>
          <t>D105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10004432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20230501</t>
        </is>
      </c>
      <c r="M304" s="8" t="inlineStr">
        <is>
          <t>20250131</t>
        </is>
      </c>
      <c r="N304" s="10" t="n">
        <v>2600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900000472</v>
      </c>
      <c r="D305" s="7">
        <f>IFERROR(VLOOKUP(C305,TRAOPE!$G:$H,2,0),"")</f>
        <v/>
      </c>
      <c r="E305" s="8" t="inlineStr">
        <is>
          <t>DW70</t>
        </is>
      </c>
      <c r="F305" s="8" t="inlineStr">
        <is>
          <t>D105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10188219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20230501</t>
        </is>
      </c>
      <c r="M305" s="8" t="inlineStr">
        <is>
          <t>20250131</t>
        </is>
      </c>
      <c r="N305" s="10" t="n">
        <v>650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900000472</v>
      </c>
      <c r="D306" s="7">
        <f>IFERROR(VLOOKUP(C306,TRAOPE!$G:$H,2,0),"")</f>
        <v/>
      </c>
      <c r="E306" s="8" t="inlineStr">
        <is>
          <t>DW70</t>
        </is>
      </c>
      <c r="F306" s="8" t="inlineStr">
        <is>
          <t>D105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10189170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20230501</t>
        </is>
      </c>
      <c r="M306" s="8" t="inlineStr">
        <is>
          <t>20250131</t>
        </is>
      </c>
      <c r="N306" s="10" t="n">
        <v>650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900000472</v>
      </c>
      <c r="D307" s="7">
        <f>IFERROR(VLOOKUP(C307,TRAOPE!$G:$H,2,0),"")</f>
        <v/>
      </c>
      <c r="E307" s="8" t="inlineStr">
        <is>
          <t>DW70</t>
        </is>
      </c>
      <c r="F307" s="8" t="inlineStr">
        <is>
          <t>D105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10190932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20230501</t>
        </is>
      </c>
      <c r="M307" s="8" t="inlineStr">
        <is>
          <t>20250131</t>
        </is>
      </c>
      <c r="N307" s="10" t="n">
        <v>650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900000472</v>
      </c>
      <c r="D308" s="7">
        <f>IFERROR(VLOOKUP(C308,TRAOPE!$G:$H,2,0),"")</f>
        <v/>
      </c>
      <c r="E308" s="8" t="inlineStr">
        <is>
          <t>DW70</t>
        </is>
      </c>
      <c r="F308" s="8" t="inlineStr">
        <is>
          <t>D105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10211427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20230501</t>
        </is>
      </c>
      <c r="M308" s="8" t="inlineStr">
        <is>
          <t>20250131</t>
        </is>
      </c>
      <c r="N308" s="10" t="n">
        <v>2210.53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900000472</v>
      </c>
      <c r="D309" s="7">
        <f>IFERROR(VLOOKUP(C309,TRAOPE!$G:$H,2,0),"")</f>
        <v/>
      </c>
      <c r="E309" s="8" t="inlineStr">
        <is>
          <t>DW70</t>
        </is>
      </c>
      <c r="F309" s="8" t="inlineStr">
        <is>
          <t>D136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10000175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20260605</t>
        </is>
      </c>
      <c r="M309" s="8" t="inlineStr">
        <is>
          <t>99991231</t>
        </is>
      </c>
      <c r="N309" s="10" t="n">
        <v>159.14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900000472</v>
      </c>
      <c r="D310" s="7">
        <f>IFERROR(VLOOKUP(C310,TRAOPE!$G:$H,2,0),"")</f>
        <v/>
      </c>
      <c r="E310" s="8" t="inlineStr">
        <is>
          <t>DW70</t>
        </is>
      </c>
      <c r="F310" s="8" t="inlineStr">
        <is>
          <t>D136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10000635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20260301</t>
        </is>
      </c>
      <c r="M310" s="8" t="inlineStr">
        <is>
          <t>99991231</t>
        </is>
      </c>
      <c r="N310" s="10" t="n">
        <v>544.78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900000472</v>
      </c>
      <c r="D311" s="7">
        <f>IFERROR(VLOOKUP(C311,TRAOPE!$G:$H,2,0),"")</f>
        <v/>
      </c>
      <c r="E311" s="8" t="inlineStr">
        <is>
          <t>DW70</t>
        </is>
      </c>
      <c r="F311" s="8" t="inlineStr">
        <is>
          <t>D136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10000643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20260301</t>
        </is>
      </c>
      <c r="M311" s="8" t="inlineStr">
        <is>
          <t>99991231</t>
        </is>
      </c>
      <c r="N311" s="10" t="n">
        <v>544.78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900000472</v>
      </c>
      <c r="D312" s="7">
        <f>IFERROR(VLOOKUP(C312,TRAOPE!$G:$H,2,0),"")</f>
        <v/>
      </c>
      <c r="E312" s="8" t="inlineStr">
        <is>
          <t>DW70</t>
        </is>
      </c>
      <c r="F312" s="8" t="inlineStr">
        <is>
          <t>D136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10000655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20250701</t>
        </is>
      </c>
      <c r="M312" s="8" t="inlineStr">
        <is>
          <t>20251031</t>
        </is>
      </c>
      <c r="N312" s="10" t="n">
        <v>513.9400000000001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900000472</v>
      </c>
      <c r="D313" s="7">
        <f>IFERROR(VLOOKUP(C313,TRAOPE!$G:$H,2,0),"")</f>
        <v/>
      </c>
      <c r="E313" s="8" t="inlineStr">
        <is>
          <t>DW70</t>
        </is>
      </c>
      <c r="F313" s="8" t="inlineStr">
        <is>
          <t>D136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10190932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20230501</t>
        </is>
      </c>
      <c r="M313" s="8" t="inlineStr">
        <is>
          <t>20250131</t>
        </is>
      </c>
      <c r="N313" s="10" t="n">
        <v>650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900000472</v>
      </c>
      <c r="D314" s="7">
        <f>IFERROR(VLOOKUP(C314,TRAOPE!$G:$H,2,0),"")</f>
        <v/>
      </c>
      <c r="E314" s="8" t="inlineStr">
        <is>
          <t>DW70</t>
        </is>
      </c>
      <c r="F314" s="8" t="inlineStr">
        <is>
          <t>D145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10000635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20230501</t>
        </is>
      </c>
      <c r="M314" s="8" t="inlineStr">
        <is>
          <t>20250131</t>
        </is>
      </c>
      <c r="N314" s="10" t="n">
        <v>436.6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900000472</v>
      </c>
      <c r="D315" s="7">
        <f>IFERROR(VLOOKUP(C315,TRAOPE!$G:$H,2,0),"")</f>
        <v/>
      </c>
      <c r="E315" s="8" t="inlineStr">
        <is>
          <t>DW70</t>
        </is>
      </c>
      <c r="F315" s="8" t="inlineStr">
        <is>
          <t>D145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10000643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20230501</t>
        </is>
      </c>
      <c r="M315" s="8" t="inlineStr">
        <is>
          <t>20250131</t>
        </is>
      </c>
      <c r="N315" s="10" t="n">
        <v>436.6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900000472</v>
      </c>
      <c r="D316" s="7">
        <f>IFERROR(VLOOKUP(C316,TRAOPE!$G:$H,2,0),"")</f>
        <v/>
      </c>
      <c r="E316" s="8" t="inlineStr">
        <is>
          <t>DW70</t>
        </is>
      </c>
      <c r="F316" s="8" t="inlineStr">
        <is>
          <t>D145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10000655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20230501</t>
        </is>
      </c>
      <c r="M316" s="8" t="inlineStr">
        <is>
          <t>20250131</t>
        </is>
      </c>
      <c r="N316" s="10" t="n">
        <v>436.6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900000472</v>
      </c>
      <c r="D317" s="7">
        <f>IFERROR(VLOOKUP(C317,TRAOPE!$G:$H,2,0),"")</f>
        <v/>
      </c>
      <c r="E317" s="8" t="inlineStr">
        <is>
          <t>DW70</t>
        </is>
      </c>
      <c r="F317" s="8" t="inlineStr">
        <is>
          <t>D145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10188219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20230501</t>
        </is>
      </c>
      <c r="M317" s="8" t="inlineStr">
        <is>
          <t>20250131</t>
        </is>
      </c>
      <c r="N317" s="10" t="n">
        <v>650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900000472</v>
      </c>
      <c r="D318" s="7">
        <f>IFERROR(VLOOKUP(C318,TRAOPE!$G:$H,2,0),"")</f>
        <v/>
      </c>
      <c r="E318" s="8" t="inlineStr">
        <is>
          <t>DW70</t>
        </is>
      </c>
      <c r="F318" s="8" t="inlineStr">
        <is>
          <t>D145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10189170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20230501</t>
        </is>
      </c>
      <c r="M318" s="8" t="inlineStr">
        <is>
          <t>20250131</t>
        </is>
      </c>
      <c r="N318" s="10" t="n">
        <v>650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900000472</v>
      </c>
      <c r="D319" s="7">
        <f>IFERROR(VLOOKUP(C319,TRAOPE!$G:$H,2,0),"")</f>
        <v/>
      </c>
      <c r="E319" s="8" t="inlineStr">
        <is>
          <t>DW70</t>
        </is>
      </c>
      <c r="F319" s="8" t="inlineStr">
        <is>
          <t>D145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10190932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20230501</t>
        </is>
      </c>
      <c r="M319" s="8" t="inlineStr">
        <is>
          <t>20250131</t>
        </is>
      </c>
      <c r="N319" s="10" t="n">
        <v>650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900000555</v>
      </c>
      <c r="D320" s="7">
        <f>IFERROR(VLOOKUP(C320,TRAOPE!$G:$H,2,0),"")</f>
        <v/>
      </c>
      <c r="E320" s="8" t="inlineStr">
        <is>
          <t>DW70</t>
        </is>
      </c>
      <c r="F320" s="8" t="inlineStr">
        <is>
          <t>D093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10001353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20230501</t>
        </is>
      </c>
      <c r="M320" s="8" t="inlineStr">
        <is>
          <t>20250131</t>
        </is>
      </c>
      <c r="N320" s="10" t="n">
        <v>70.54000000000001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900000555</v>
      </c>
      <c r="D321" s="7">
        <f>IFERROR(VLOOKUP(C321,TRAOPE!$G:$H,2,0),"")</f>
        <v/>
      </c>
      <c r="E321" s="8" t="inlineStr">
        <is>
          <t>DW70</t>
        </is>
      </c>
      <c r="F321" s="8" t="inlineStr">
        <is>
          <t>D093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10001354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20230501</t>
        </is>
      </c>
      <c r="M321" s="8" t="inlineStr">
        <is>
          <t>20250131</t>
        </is>
      </c>
      <c r="N321" s="10" t="n">
        <v>66.05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900000555</v>
      </c>
      <c r="D322" s="7">
        <f>IFERROR(VLOOKUP(C322,TRAOPE!$G:$H,2,0),"")</f>
        <v/>
      </c>
      <c r="E322" s="8" t="inlineStr">
        <is>
          <t>DW70</t>
        </is>
      </c>
      <c r="F322" s="8" t="inlineStr">
        <is>
          <t>D093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10001436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20230501</t>
        </is>
      </c>
      <c r="M322" s="8" t="inlineStr">
        <is>
          <t>20250131</t>
        </is>
      </c>
      <c r="N322" s="10" t="n">
        <v>48.72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900000575</v>
      </c>
      <c r="D323" s="7">
        <f>IFERROR(VLOOKUP(C323,TRAOPE!$G:$H,2,0),"")</f>
        <v/>
      </c>
      <c r="E323" s="8" t="inlineStr">
        <is>
          <t>DW70</t>
        </is>
      </c>
      <c r="F323" s="8" t="inlineStr">
        <is>
          <t>D074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10000623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20230501</t>
        </is>
      </c>
      <c r="M323" s="8" t="inlineStr">
        <is>
          <t>20250131</t>
        </is>
      </c>
      <c r="N323" s="10" t="n">
        <v>100.46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900000575</v>
      </c>
      <c r="D324" s="7">
        <f>IFERROR(VLOOKUP(C324,TRAOPE!$G:$H,2,0),"")</f>
        <v/>
      </c>
      <c r="E324" s="8" t="inlineStr">
        <is>
          <t>DW70</t>
        </is>
      </c>
      <c r="F324" s="8" t="inlineStr">
        <is>
          <t>D074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10000811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20230501</t>
        </is>
      </c>
      <c r="M324" s="8" t="inlineStr">
        <is>
          <t>20250131</t>
        </is>
      </c>
      <c r="N324" s="10" t="n">
        <v>96.79000000000001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900000575</v>
      </c>
      <c r="D325" s="7">
        <f>IFERROR(VLOOKUP(C325,TRAOPE!$G:$H,2,0),"")</f>
        <v/>
      </c>
      <c r="E325" s="8" t="inlineStr">
        <is>
          <t>DW70</t>
        </is>
      </c>
      <c r="F325" s="8" t="inlineStr">
        <is>
          <t>D074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10059180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20230501</t>
        </is>
      </c>
      <c r="M325" s="8" t="inlineStr">
        <is>
          <t>20250131</t>
        </is>
      </c>
      <c r="N325" s="10" t="n">
        <v>50.49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900000575</v>
      </c>
      <c r="D326" s="7">
        <f>IFERROR(VLOOKUP(C326,TRAOPE!$G:$H,2,0),"")</f>
        <v/>
      </c>
      <c r="E326" s="8" t="inlineStr">
        <is>
          <t>DW70</t>
        </is>
      </c>
      <c r="F326" s="8" t="inlineStr">
        <is>
          <t>D075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10000623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20230501</t>
        </is>
      </c>
      <c r="M326" s="8" t="inlineStr">
        <is>
          <t>20250131</t>
        </is>
      </c>
      <c r="N326" s="10" t="n">
        <v>100.46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900000575</v>
      </c>
      <c r="D327" s="7">
        <f>IFERROR(VLOOKUP(C327,TRAOPE!$G:$H,2,0),"")</f>
        <v/>
      </c>
      <c r="E327" s="8" t="inlineStr">
        <is>
          <t>DW70</t>
        </is>
      </c>
      <c r="F327" s="8" t="inlineStr">
        <is>
          <t>D075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10000811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20230501</t>
        </is>
      </c>
      <c r="M327" s="8" t="inlineStr">
        <is>
          <t>20250131</t>
        </is>
      </c>
      <c r="N327" s="10" t="n">
        <v>96.79000000000001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900000575</v>
      </c>
      <c r="D328" s="7">
        <f>IFERROR(VLOOKUP(C328,TRAOPE!$G:$H,2,0),"")</f>
        <v/>
      </c>
      <c r="E328" s="8" t="inlineStr">
        <is>
          <t>DW70</t>
        </is>
      </c>
      <c r="F328" s="8" t="inlineStr">
        <is>
          <t>D075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10059180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20230501</t>
        </is>
      </c>
      <c r="M328" s="8" t="inlineStr">
        <is>
          <t>20250131</t>
        </is>
      </c>
      <c r="N328" s="10" t="n">
        <v>50.49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900000575</v>
      </c>
      <c r="D329" s="7">
        <f>IFERROR(VLOOKUP(C329,TRAOPE!$G:$H,2,0),"")</f>
        <v/>
      </c>
      <c r="E329" s="8" t="inlineStr">
        <is>
          <t>DW70</t>
        </is>
      </c>
      <c r="F329" s="8" t="inlineStr">
        <is>
          <t>D077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10000623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20230501</t>
        </is>
      </c>
      <c r="M329" s="8" t="inlineStr">
        <is>
          <t>20250131</t>
        </is>
      </c>
      <c r="N329" s="10" t="n">
        <v>100.46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900000575</v>
      </c>
      <c r="D330" s="7">
        <f>IFERROR(VLOOKUP(C330,TRAOPE!$G:$H,2,0),"")</f>
        <v/>
      </c>
      <c r="E330" s="8" t="inlineStr">
        <is>
          <t>DW70</t>
        </is>
      </c>
      <c r="F330" s="8" t="inlineStr">
        <is>
          <t>D077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10000811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20230501</t>
        </is>
      </c>
      <c r="M330" s="8" t="inlineStr">
        <is>
          <t>20250131</t>
        </is>
      </c>
      <c r="N330" s="10" t="n">
        <v>96.79000000000001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900000575</v>
      </c>
      <c r="D331" s="7">
        <f>IFERROR(VLOOKUP(C331,TRAOPE!$G:$H,2,0),"")</f>
        <v/>
      </c>
      <c r="E331" s="8" t="inlineStr">
        <is>
          <t>DW70</t>
        </is>
      </c>
      <c r="F331" s="8" t="inlineStr">
        <is>
          <t>D077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10059180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20230501</t>
        </is>
      </c>
      <c r="M331" s="8" t="inlineStr">
        <is>
          <t>20250131</t>
        </is>
      </c>
      <c r="N331" s="10" t="n">
        <v>50.49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900000575</v>
      </c>
      <c r="D332" s="7">
        <f>IFERROR(VLOOKUP(C332,TRAOPE!$G:$H,2,0),"")</f>
        <v/>
      </c>
      <c r="E332" s="8" t="inlineStr">
        <is>
          <t>DW70</t>
        </is>
      </c>
      <c r="F332" s="8" t="inlineStr">
        <is>
          <t>D079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10000623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20230501</t>
        </is>
      </c>
      <c r="M332" s="8" t="inlineStr">
        <is>
          <t>20250131</t>
        </is>
      </c>
      <c r="N332" s="10" t="n">
        <v>100.46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900000575</v>
      </c>
      <c r="D333" s="7">
        <f>IFERROR(VLOOKUP(C333,TRAOPE!$G:$H,2,0),"")</f>
        <v/>
      </c>
      <c r="E333" s="8" t="inlineStr">
        <is>
          <t>DW70</t>
        </is>
      </c>
      <c r="F333" s="8" t="inlineStr">
        <is>
          <t>D079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10000811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20230501</t>
        </is>
      </c>
      <c r="M333" s="8" t="inlineStr">
        <is>
          <t>20250131</t>
        </is>
      </c>
      <c r="N333" s="10" t="n">
        <v>96.79000000000001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900000575</v>
      </c>
      <c r="D334" s="7">
        <f>IFERROR(VLOOKUP(C334,TRAOPE!$G:$H,2,0),"")</f>
        <v/>
      </c>
      <c r="E334" s="8" t="inlineStr">
        <is>
          <t>DW70</t>
        </is>
      </c>
      <c r="F334" s="8" t="inlineStr">
        <is>
          <t>D079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10059180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20230501</t>
        </is>
      </c>
      <c r="M334" s="8" t="inlineStr">
        <is>
          <t>20250131</t>
        </is>
      </c>
      <c r="N334" s="10" t="n">
        <v>50.49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900000575</v>
      </c>
      <c r="D335" s="7">
        <f>IFERROR(VLOOKUP(C335,TRAOPE!$G:$H,2,0),"")</f>
        <v/>
      </c>
      <c r="E335" s="8" t="inlineStr">
        <is>
          <t>DW70</t>
        </is>
      </c>
      <c r="F335" s="8" t="inlineStr">
        <is>
          <t>D080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10000623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20230501</t>
        </is>
      </c>
      <c r="M335" s="8" t="inlineStr">
        <is>
          <t>20250131</t>
        </is>
      </c>
      <c r="N335" s="10" t="n">
        <v>100.46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900000575</v>
      </c>
      <c r="D336" s="7">
        <f>IFERROR(VLOOKUP(C336,TRAOPE!$G:$H,2,0),"")</f>
        <v/>
      </c>
      <c r="E336" s="8" t="inlineStr">
        <is>
          <t>DW70</t>
        </is>
      </c>
      <c r="F336" s="8" t="inlineStr">
        <is>
          <t>D080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10000811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20230501</t>
        </is>
      </c>
      <c r="M336" s="8" t="inlineStr">
        <is>
          <t>20250131</t>
        </is>
      </c>
      <c r="N336" s="10" t="n">
        <v>96.79000000000001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900000575</v>
      </c>
      <c r="D337" s="7">
        <f>IFERROR(VLOOKUP(C337,TRAOPE!$G:$H,2,0),"")</f>
        <v/>
      </c>
      <c r="E337" s="8" t="inlineStr">
        <is>
          <t>DW70</t>
        </is>
      </c>
      <c r="F337" s="8" t="inlineStr">
        <is>
          <t>D080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10059180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20230501</t>
        </is>
      </c>
      <c r="M337" s="8" t="inlineStr">
        <is>
          <t>20250131</t>
        </is>
      </c>
      <c r="N337" s="10" t="n">
        <v>50.49</v>
      </c>
      <c r="O337" s="10">
        <f>IFERROR(VLOOKUP(A337,Flete!$A:$J,10,0),"")</f>
        <v/>
      </c>
      <c r="P337" s="8" t="inlineStr">
        <is>
          <t>TN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900000575</v>
      </c>
      <c r="D338" s="7">
        <f>IFERROR(VLOOKUP(C338,TRAOPE!$G:$H,2,0),"")</f>
        <v/>
      </c>
      <c r="E338" s="8" t="inlineStr">
        <is>
          <t>DW70</t>
        </is>
      </c>
      <c r="F338" s="8" t="inlineStr">
        <is>
          <t>D081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10000623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20230501</t>
        </is>
      </c>
      <c r="M338" s="8" t="inlineStr">
        <is>
          <t>20250131</t>
        </is>
      </c>
      <c r="N338" s="10" t="n">
        <v>100.46</v>
      </c>
      <c r="O338" s="10">
        <f>IFERROR(VLOOKUP(A338,Flete!$A:$J,10,0),"")</f>
        <v/>
      </c>
      <c r="P338" s="8" t="inlineStr">
        <is>
          <t>TN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900000575</v>
      </c>
      <c r="D339" s="7">
        <f>IFERROR(VLOOKUP(C339,TRAOPE!$G:$H,2,0),"")</f>
        <v/>
      </c>
      <c r="E339" s="8" t="inlineStr">
        <is>
          <t>DW70</t>
        </is>
      </c>
      <c r="F339" s="8" t="inlineStr">
        <is>
          <t>D081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10000811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20230501</t>
        </is>
      </c>
      <c r="M339" s="8" t="inlineStr">
        <is>
          <t>20250131</t>
        </is>
      </c>
      <c r="N339" s="10" t="n">
        <v>96.79000000000001</v>
      </c>
      <c r="O339" s="10">
        <f>IFERROR(VLOOKUP(A339,Flete!$A:$J,10,0),"")</f>
        <v/>
      </c>
      <c r="P339" s="8" t="inlineStr">
        <is>
          <t>TN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900000575</v>
      </c>
      <c r="D340" s="7">
        <f>IFERROR(VLOOKUP(C340,TRAOPE!$G:$H,2,0),"")</f>
        <v/>
      </c>
      <c r="E340" s="8" t="inlineStr">
        <is>
          <t>DW70</t>
        </is>
      </c>
      <c r="F340" s="8" t="inlineStr">
        <is>
          <t>D081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10059180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20230501</t>
        </is>
      </c>
      <c r="M340" s="8" t="inlineStr">
        <is>
          <t>20250131</t>
        </is>
      </c>
      <c r="N340" s="10" t="n">
        <v>50.49</v>
      </c>
      <c r="O340" s="10">
        <f>IFERROR(VLOOKUP(A340,Flete!$A:$J,10,0),"")</f>
        <v/>
      </c>
      <c r="P340" s="8" t="inlineStr">
        <is>
          <t>TN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900000575</v>
      </c>
      <c r="D341" s="7">
        <f>IFERROR(VLOOKUP(C341,TRAOPE!$G:$H,2,0),"")</f>
        <v/>
      </c>
      <c r="E341" s="8" t="inlineStr">
        <is>
          <t>DW70</t>
        </is>
      </c>
      <c r="F341" s="8" t="inlineStr">
        <is>
          <t>D083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10000623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20230501</t>
        </is>
      </c>
      <c r="M341" s="8" t="inlineStr">
        <is>
          <t>20250131</t>
        </is>
      </c>
      <c r="N341" s="10" t="n">
        <v>100.46</v>
      </c>
      <c r="O341" s="10">
        <f>IFERROR(VLOOKUP(A341,Flete!$A:$J,10,0),"")</f>
        <v/>
      </c>
      <c r="P341" s="8" t="inlineStr">
        <is>
          <t>TN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900000575</v>
      </c>
      <c r="D342" s="7">
        <f>IFERROR(VLOOKUP(C342,TRAOPE!$G:$H,2,0),"")</f>
        <v/>
      </c>
      <c r="E342" s="8" t="inlineStr">
        <is>
          <t>DW70</t>
        </is>
      </c>
      <c r="F342" s="8" t="inlineStr">
        <is>
          <t>D083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10000811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20230501</t>
        </is>
      </c>
      <c r="M342" s="8" t="inlineStr">
        <is>
          <t>20250131</t>
        </is>
      </c>
      <c r="N342" s="10" t="n">
        <v>96.79000000000001</v>
      </c>
      <c r="O342" s="10">
        <f>IFERROR(VLOOKUP(A342,Flete!$A:$J,10,0),"")</f>
        <v/>
      </c>
      <c r="P342" s="8" t="inlineStr">
        <is>
          <t>TN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900000575</v>
      </c>
      <c r="D343" s="7">
        <f>IFERROR(VLOOKUP(C343,TRAOPE!$G:$H,2,0),"")</f>
        <v/>
      </c>
      <c r="E343" s="8" t="inlineStr">
        <is>
          <t>DW70</t>
        </is>
      </c>
      <c r="F343" s="8" t="inlineStr">
        <is>
          <t>D083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10059180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20230501</t>
        </is>
      </c>
      <c r="M343" s="8" t="inlineStr">
        <is>
          <t>20250131</t>
        </is>
      </c>
      <c r="N343" s="10" t="n">
        <v>50.49</v>
      </c>
      <c r="O343" s="10">
        <f>IFERROR(VLOOKUP(A343,Flete!$A:$J,10,0),"")</f>
        <v/>
      </c>
      <c r="P343" s="8" t="inlineStr">
        <is>
          <t>TN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900000575</v>
      </c>
      <c r="D344" s="7">
        <f>IFERROR(VLOOKUP(C344,TRAOPE!$G:$H,2,0),"")</f>
        <v/>
      </c>
      <c r="E344" s="8" t="inlineStr">
        <is>
          <t>DW70</t>
        </is>
      </c>
      <c r="F344" s="8" t="inlineStr">
        <is>
          <t>D084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10000623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20230501</t>
        </is>
      </c>
      <c r="M344" s="8" t="inlineStr">
        <is>
          <t>20250131</t>
        </is>
      </c>
      <c r="N344" s="10" t="n">
        <v>100.46</v>
      </c>
      <c r="O344" s="10">
        <f>IFERROR(VLOOKUP(A344,Flete!$A:$J,10,0),"")</f>
        <v/>
      </c>
      <c r="P344" s="8" t="inlineStr">
        <is>
          <t>TN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900000575</v>
      </c>
      <c r="D345" s="7">
        <f>IFERROR(VLOOKUP(C345,TRAOPE!$G:$H,2,0),"")</f>
        <v/>
      </c>
      <c r="E345" s="8" t="inlineStr">
        <is>
          <t>DW70</t>
        </is>
      </c>
      <c r="F345" s="8" t="inlineStr">
        <is>
          <t>D084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10000811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20230501</t>
        </is>
      </c>
      <c r="M345" s="8" t="inlineStr">
        <is>
          <t>20250131</t>
        </is>
      </c>
      <c r="N345" s="10" t="n">
        <v>96.79000000000001</v>
      </c>
      <c r="O345" s="10">
        <f>IFERROR(VLOOKUP(A345,Flete!$A:$J,10,0),"")</f>
        <v/>
      </c>
      <c r="P345" s="8" t="inlineStr">
        <is>
          <t>TN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900000575</v>
      </c>
      <c r="D346" s="7">
        <f>IFERROR(VLOOKUP(C346,TRAOPE!$G:$H,2,0),"")</f>
        <v/>
      </c>
      <c r="E346" s="8" t="inlineStr">
        <is>
          <t>DW70</t>
        </is>
      </c>
      <c r="F346" s="8" t="inlineStr">
        <is>
          <t>D084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10059180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20230501</t>
        </is>
      </c>
      <c r="M346" s="8" t="inlineStr">
        <is>
          <t>20250131</t>
        </is>
      </c>
      <c r="N346" s="10" t="n">
        <v>50.49</v>
      </c>
      <c r="O346" s="10">
        <f>IFERROR(VLOOKUP(A346,Flete!$A:$J,10,0),"")</f>
        <v/>
      </c>
      <c r="P346" s="8" t="inlineStr">
        <is>
          <t>TN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900000575</v>
      </c>
      <c r="D347" s="7">
        <f>IFERROR(VLOOKUP(C347,TRAOPE!$G:$H,2,0),"")</f>
        <v/>
      </c>
      <c r="E347" s="8" t="inlineStr">
        <is>
          <t>DW70</t>
        </is>
      </c>
      <c r="F347" s="8" t="inlineStr">
        <is>
          <t>D085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10000623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20230501</t>
        </is>
      </c>
      <c r="M347" s="8" t="inlineStr">
        <is>
          <t>20250131</t>
        </is>
      </c>
      <c r="N347" s="10" t="n">
        <v>100.46</v>
      </c>
      <c r="O347" s="10">
        <f>IFERROR(VLOOKUP(A347,Flete!$A:$J,10,0),"")</f>
        <v/>
      </c>
      <c r="P347" s="8" t="inlineStr">
        <is>
          <t>TN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900000575</v>
      </c>
      <c r="D348" s="7">
        <f>IFERROR(VLOOKUP(C348,TRAOPE!$G:$H,2,0),"")</f>
        <v/>
      </c>
      <c r="E348" s="8" t="inlineStr">
        <is>
          <t>DW70</t>
        </is>
      </c>
      <c r="F348" s="8" t="inlineStr">
        <is>
          <t>D085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10000811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20230501</t>
        </is>
      </c>
      <c r="M348" s="8" t="inlineStr">
        <is>
          <t>20250131</t>
        </is>
      </c>
      <c r="N348" s="10" t="n">
        <v>96.79000000000001</v>
      </c>
      <c r="O348" s="10">
        <f>IFERROR(VLOOKUP(A348,Flete!$A:$J,10,0),"")</f>
        <v/>
      </c>
      <c r="P348" s="8" t="inlineStr">
        <is>
          <t>TN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900000575</v>
      </c>
      <c r="D349" s="7">
        <f>IFERROR(VLOOKUP(C349,TRAOPE!$G:$H,2,0),"")</f>
        <v/>
      </c>
      <c r="E349" s="8" t="inlineStr">
        <is>
          <t>DW70</t>
        </is>
      </c>
      <c r="F349" s="8" t="inlineStr">
        <is>
          <t>D085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10059180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20230501</t>
        </is>
      </c>
      <c r="M349" s="8" t="inlineStr">
        <is>
          <t>20250131</t>
        </is>
      </c>
      <c r="N349" s="10" t="n">
        <v>50.49</v>
      </c>
      <c r="O349" s="10">
        <f>IFERROR(VLOOKUP(A349,Flete!$A:$J,10,0),"")</f>
        <v/>
      </c>
      <c r="P349" s="8" t="inlineStr">
        <is>
          <t>TN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900000575</v>
      </c>
      <c r="D350" s="7">
        <f>IFERROR(VLOOKUP(C350,TRAOPE!$G:$H,2,0),"")</f>
        <v/>
      </c>
      <c r="E350" s="8" t="inlineStr">
        <is>
          <t>DW70</t>
        </is>
      </c>
      <c r="F350" s="8" t="inlineStr">
        <is>
          <t>D086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10000623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20230501</t>
        </is>
      </c>
      <c r="M350" s="8" t="inlineStr">
        <is>
          <t>20250131</t>
        </is>
      </c>
      <c r="N350" s="10" t="n">
        <v>100.46</v>
      </c>
      <c r="O350" s="10">
        <f>IFERROR(VLOOKUP(A350,Flete!$A:$J,10,0),"")</f>
        <v/>
      </c>
      <c r="P350" s="8" t="inlineStr">
        <is>
          <t>TN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900000575</v>
      </c>
      <c r="D351" s="7">
        <f>IFERROR(VLOOKUP(C351,TRAOPE!$G:$H,2,0),"")</f>
        <v/>
      </c>
      <c r="E351" s="8" t="inlineStr">
        <is>
          <t>DW70</t>
        </is>
      </c>
      <c r="F351" s="8" t="inlineStr">
        <is>
          <t>D086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10000811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20230501</t>
        </is>
      </c>
      <c r="M351" s="8" t="inlineStr">
        <is>
          <t>20250131</t>
        </is>
      </c>
      <c r="N351" s="10" t="n">
        <v>96.79000000000001</v>
      </c>
      <c r="O351" s="10">
        <f>IFERROR(VLOOKUP(A351,Flete!$A:$J,10,0),"")</f>
        <v/>
      </c>
      <c r="P351" s="8" t="inlineStr">
        <is>
          <t>TN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900000575</v>
      </c>
      <c r="D352" s="7">
        <f>IFERROR(VLOOKUP(C352,TRAOPE!$G:$H,2,0),"")</f>
        <v/>
      </c>
      <c r="E352" s="8" t="inlineStr">
        <is>
          <t>DW70</t>
        </is>
      </c>
      <c r="F352" s="8" t="inlineStr">
        <is>
          <t>D086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10059180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20230501</t>
        </is>
      </c>
      <c r="M352" s="8" t="inlineStr">
        <is>
          <t>20250131</t>
        </is>
      </c>
      <c r="N352" s="10" t="n">
        <v>50.49</v>
      </c>
      <c r="O352" s="10">
        <f>IFERROR(VLOOKUP(A352,Flete!$A:$J,10,0),"")</f>
        <v/>
      </c>
      <c r="P352" s="8" t="inlineStr">
        <is>
          <t>TN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900000575</v>
      </c>
      <c r="D353" s="7">
        <f>IFERROR(VLOOKUP(C353,TRAOPE!$G:$H,2,0),"")</f>
        <v/>
      </c>
      <c r="E353" s="8" t="inlineStr">
        <is>
          <t>DW70</t>
        </is>
      </c>
      <c r="F353" s="8" t="inlineStr">
        <is>
          <t>D088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10000623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20230501</t>
        </is>
      </c>
      <c r="M353" s="8" t="inlineStr">
        <is>
          <t>20250131</t>
        </is>
      </c>
      <c r="N353" s="10" t="n">
        <v>100.46</v>
      </c>
      <c r="O353" s="10">
        <f>IFERROR(VLOOKUP(A353,Flete!$A:$J,10,0),"")</f>
        <v/>
      </c>
      <c r="P353" s="8" t="inlineStr">
        <is>
          <t>TN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900000575</v>
      </c>
      <c r="D354" s="7">
        <f>IFERROR(VLOOKUP(C354,TRAOPE!$G:$H,2,0),"")</f>
        <v/>
      </c>
      <c r="E354" s="8" t="inlineStr">
        <is>
          <t>DW70</t>
        </is>
      </c>
      <c r="F354" s="8" t="inlineStr">
        <is>
          <t>D088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10000811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20230501</t>
        </is>
      </c>
      <c r="M354" s="8" t="inlineStr">
        <is>
          <t>20250131</t>
        </is>
      </c>
      <c r="N354" s="10" t="n">
        <v>96.79000000000001</v>
      </c>
      <c r="O354" s="10">
        <f>IFERROR(VLOOKUP(A354,Flete!$A:$J,10,0),"")</f>
        <v/>
      </c>
      <c r="P354" s="8" t="inlineStr">
        <is>
          <t>TN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900000575</v>
      </c>
      <c r="D355" s="7">
        <f>IFERROR(VLOOKUP(C355,TRAOPE!$G:$H,2,0),"")</f>
        <v/>
      </c>
      <c r="E355" s="8" t="inlineStr">
        <is>
          <t>DW70</t>
        </is>
      </c>
      <c r="F355" s="8" t="inlineStr">
        <is>
          <t>D088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10059180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20230501</t>
        </is>
      </c>
      <c r="M355" s="8" t="inlineStr">
        <is>
          <t>20250131</t>
        </is>
      </c>
      <c r="N355" s="10" t="n">
        <v>50.49</v>
      </c>
      <c r="O355" s="10">
        <f>IFERROR(VLOOKUP(A355,Flete!$A:$J,10,0),"")</f>
        <v/>
      </c>
      <c r="P355" s="8" t="inlineStr">
        <is>
          <t>TN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900000575</v>
      </c>
      <c r="D356" s="7">
        <f>IFERROR(VLOOKUP(C356,TRAOPE!$G:$H,2,0),"")</f>
        <v/>
      </c>
      <c r="E356" s="8" t="inlineStr">
        <is>
          <t>DW70</t>
        </is>
      </c>
      <c r="F356" s="8" t="inlineStr">
        <is>
          <t>D089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10000623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20230501</t>
        </is>
      </c>
      <c r="M356" s="8" t="inlineStr">
        <is>
          <t>20250131</t>
        </is>
      </c>
      <c r="N356" s="10" t="n">
        <v>100.46</v>
      </c>
      <c r="O356" s="10">
        <f>IFERROR(VLOOKUP(A356,Flete!$A:$J,10,0),"")</f>
        <v/>
      </c>
      <c r="P356" s="8" t="inlineStr">
        <is>
          <t>TN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900000575</v>
      </c>
      <c r="D357" s="7">
        <f>IFERROR(VLOOKUP(C357,TRAOPE!$G:$H,2,0),"")</f>
        <v/>
      </c>
      <c r="E357" s="8" t="inlineStr">
        <is>
          <t>DW70</t>
        </is>
      </c>
      <c r="F357" s="8" t="inlineStr">
        <is>
          <t>D089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10000811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20230501</t>
        </is>
      </c>
      <c r="M357" s="8" t="inlineStr">
        <is>
          <t>20250131</t>
        </is>
      </c>
      <c r="N357" s="10" t="n">
        <v>96.79000000000001</v>
      </c>
      <c r="O357" s="10">
        <f>IFERROR(VLOOKUP(A357,Flete!$A:$J,10,0),"")</f>
        <v/>
      </c>
      <c r="P357" s="8" t="inlineStr">
        <is>
          <t>TN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900000575</v>
      </c>
      <c r="D358" s="7">
        <f>IFERROR(VLOOKUP(C358,TRAOPE!$G:$H,2,0),"")</f>
        <v/>
      </c>
      <c r="E358" s="8" t="inlineStr">
        <is>
          <t>DW70</t>
        </is>
      </c>
      <c r="F358" s="8" t="inlineStr">
        <is>
          <t>D089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10059180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20230501</t>
        </is>
      </c>
      <c r="M358" s="8" t="inlineStr">
        <is>
          <t>20250131</t>
        </is>
      </c>
      <c r="N358" s="10" t="n">
        <v>50.49</v>
      </c>
      <c r="O358" s="10">
        <f>IFERROR(VLOOKUP(A358,Flete!$A:$J,10,0),"")</f>
        <v/>
      </c>
      <c r="P358" s="8" t="inlineStr">
        <is>
          <t>TN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900000575</v>
      </c>
      <c r="D359" s="7">
        <f>IFERROR(VLOOKUP(C359,TRAOPE!$G:$H,2,0),"")</f>
        <v/>
      </c>
      <c r="E359" s="8" t="inlineStr">
        <is>
          <t>DW70</t>
        </is>
      </c>
      <c r="F359" s="8" t="inlineStr">
        <is>
          <t>D098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10000623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20230501</t>
        </is>
      </c>
      <c r="M359" s="8" t="inlineStr">
        <is>
          <t>20250131</t>
        </is>
      </c>
      <c r="N359" s="10" t="n">
        <v>100.46</v>
      </c>
      <c r="O359" s="10">
        <f>IFERROR(VLOOKUP(A359,Flete!$A:$J,10,0),"")</f>
        <v/>
      </c>
      <c r="P359" s="8" t="inlineStr">
        <is>
          <t>TN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900000575</v>
      </c>
      <c r="D360" s="7">
        <f>IFERROR(VLOOKUP(C360,TRAOPE!$G:$H,2,0),"")</f>
        <v/>
      </c>
      <c r="E360" s="8" t="inlineStr">
        <is>
          <t>DW70</t>
        </is>
      </c>
      <c r="F360" s="8" t="inlineStr">
        <is>
          <t>D098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10000811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20230501</t>
        </is>
      </c>
      <c r="M360" s="8" t="inlineStr">
        <is>
          <t>20250131</t>
        </is>
      </c>
      <c r="N360" s="10" t="n">
        <v>96.79000000000001</v>
      </c>
      <c r="O360" s="10">
        <f>IFERROR(VLOOKUP(A360,Flete!$A:$J,10,0),"")</f>
        <v/>
      </c>
      <c r="P360" s="8" t="inlineStr">
        <is>
          <t>TN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900000575</v>
      </c>
      <c r="D361" s="7">
        <f>IFERROR(VLOOKUP(C361,TRAOPE!$G:$H,2,0),"")</f>
        <v/>
      </c>
      <c r="E361" s="8" t="inlineStr">
        <is>
          <t>DW70</t>
        </is>
      </c>
      <c r="F361" s="8" t="inlineStr">
        <is>
          <t>D098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10059180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20230501</t>
        </is>
      </c>
      <c r="M361" s="8" t="inlineStr">
        <is>
          <t>20250131</t>
        </is>
      </c>
      <c r="N361" s="10" t="n">
        <v>50.49</v>
      </c>
      <c r="O361" s="10">
        <f>IFERROR(VLOOKUP(A361,Flete!$A:$J,10,0),"")</f>
        <v/>
      </c>
      <c r="P361" s="8" t="inlineStr">
        <is>
          <t>TN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900000575</v>
      </c>
      <c r="D362" s="7">
        <f>IFERROR(VLOOKUP(C362,TRAOPE!$G:$H,2,0),"")</f>
        <v/>
      </c>
      <c r="E362" s="8" t="inlineStr">
        <is>
          <t>DW70</t>
        </is>
      </c>
      <c r="F362" s="8" t="inlineStr">
        <is>
          <t>D105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10000623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20230501</t>
        </is>
      </c>
      <c r="M362" s="8" t="inlineStr">
        <is>
          <t>20250131</t>
        </is>
      </c>
      <c r="N362" s="10" t="n">
        <v>100.46</v>
      </c>
      <c r="O362" s="10">
        <f>IFERROR(VLOOKUP(A362,Flete!$A:$J,10,0),"")</f>
        <v/>
      </c>
      <c r="P362" s="8" t="inlineStr">
        <is>
          <t>TN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900000575</v>
      </c>
      <c r="D363" s="7">
        <f>IFERROR(VLOOKUP(C363,TRAOPE!$G:$H,2,0),"")</f>
        <v/>
      </c>
      <c r="E363" s="8" t="inlineStr">
        <is>
          <t>DW70</t>
        </is>
      </c>
      <c r="F363" s="8" t="inlineStr">
        <is>
          <t>D105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10000811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20230501</t>
        </is>
      </c>
      <c r="M363" s="8" t="inlineStr">
        <is>
          <t>20250131</t>
        </is>
      </c>
      <c r="N363" s="10" t="n">
        <v>96.79000000000001</v>
      </c>
      <c r="O363" s="10">
        <f>IFERROR(VLOOKUP(A363,Flete!$A:$J,10,0),"")</f>
        <v/>
      </c>
      <c r="P363" s="8" t="inlineStr">
        <is>
          <t>TN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900000575</v>
      </c>
      <c r="D364" s="7">
        <f>IFERROR(VLOOKUP(C364,TRAOPE!$G:$H,2,0),"")</f>
        <v/>
      </c>
      <c r="E364" s="8" t="inlineStr">
        <is>
          <t>DW70</t>
        </is>
      </c>
      <c r="F364" s="8" t="inlineStr">
        <is>
          <t>D105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10059180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20230501</t>
        </is>
      </c>
      <c r="M364" s="8" t="inlineStr">
        <is>
          <t>20250131</t>
        </is>
      </c>
      <c r="N364" s="10" t="n">
        <v>50.49</v>
      </c>
      <c r="O364" s="10">
        <f>IFERROR(VLOOKUP(A364,Flete!$A:$J,10,0),"")</f>
        <v/>
      </c>
      <c r="P364" s="8" t="inlineStr">
        <is>
          <t>TN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900000575</v>
      </c>
      <c r="D365" s="7">
        <f>IFERROR(VLOOKUP(C365,TRAOPE!$G:$H,2,0),"")</f>
        <v/>
      </c>
      <c r="E365" s="8" t="inlineStr">
        <is>
          <t>DW70</t>
        </is>
      </c>
      <c r="F365" s="8" t="inlineStr">
        <is>
          <t>D136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10000623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20230501</t>
        </is>
      </c>
      <c r="M365" s="8" t="inlineStr">
        <is>
          <t>20250131</t>
        </is>
      </c>
      <c r="N365" s="10" t="n">
        <v>100.46</v>
      </c>
      <c r="O365" s="10">
        <f>IFERROR(VLOOKUP(A365,Flete!$A:$J,10,0),"")</f>
        <v/>
      </c>
      <c r="P365" s="8" t="inlineStr">
        <is>
          <t>TN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900000575</v>
      </c>
      <c r="D366" s="7">
        <f>IFERROR(VLOOKUP(C366,TRAOPE!$G:$H,2,0),"")</f>
        <v/>
      </c>
      <c r="E366" s="8" t="inlineStr">
        <is>
          <t>DW70</t>
        </is>
      </c>
      <c r="F366" s="8" t="inlineStr">
        <is>
          <t>D136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10000811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20230501</t>
        </is>
      </c>
      <c r="M366" s="8" t="inlineStr">
        <is>
          <t>20250131</t>
        </is>
      </c>
      <c r="N366" s="10" t="n">
        <v>96.79000000000001</v>
      </c>
      <c r="O366" s="10">
        <f>IFERROR(VLOOKUP(A366,Flete!$A:$J,10,0),"")</f>
        <v/>
      </c>
      <c r="P366" s="8" t="inlineStr">
        <is>
          <t>TN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900000575</v>
      </c>
      <c r="D367" s="7">
        <f>IFERROR(VLOOKUP(C367,TRAOPE!$G:$H,2,0),"")</f>
        <v/>
      </c>
      <c r="E367" s="8" t="inlineStr">
        <is>
          <t>DW70</t>
        </is>
      </c>
      <c r="F367" s="8" t="inlineStr">
        <is>
          <t>D136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10059180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20230501</t>
        </is>
      </c>
      <c r="M367" s="8" t="inlineStr">
        <is>
          <t>20250131</t>
        </is>
      </c>
      <c r="N367" s="10" t="n">
        <v>50.49</v>
      </c>
      <c r="O367" s="10">
        <f>IFERROR(VLOOKUP(A367,Flete!$A:$J,10,0),"")</f>
        <v/>
      </c>
      <c r="P367" s="8" t="inlineStr">
        <is>
          <t>TN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900000575</v>
      </c>
      <c r="D368" s="7">
        <f>IFERROR(VLOOKUP(C368,TRAOPE!$G:$H,2,0),"")</f>
        <v/>
      </c>
      <c r="E368" s="8" t="inlineStr">
        <is>
          <t>DW70</t>
        </is>
      </c>
      <c r="F368" s="8" t="inlineStr">
        <is>
          <t>D145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10000623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20230501</t>
        </is>
      </c>
      <c r="M368" s="8" t="inlineStr">
        <is>
          <t>20250131</t>
        </is>
      </c>
      <c r="N368" s="10" t="n">
        <v>100.46</v>
      </c>
      <c r="O368" s="10">
        <f>IFERROR(VLOOKUP(A368,Flete!$A:$J,10,0),"")</f>
        <v/>
      </c>
      <c r="P368" s="8" t="inlineStr">
        <is>
          <t>TN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900000575</v>
      </c>
      <c r="D369" s="7">
        <f>IFERROR(VLOOKUP(C369,TRAOPE!$G:$H,2,0),"")</f>
        <v/>
      </c>
      <c r="E369" s="8" t="inlineStr">
        <is>
          <t>DW70</t>
        </is>
      </c>
      <c r="F369" s="8" t="inlineStr">
        <is>
          <t>D145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10000811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20230501</t>
        </is>
      </c>
      <c r="M369" s="8" t="inlineStr">
        <is>
          <t>20250131</t>
        </is>
      </c>
      <c r="N369" s="10" t="n">
        <v>96.79000000000001</v>
      </c>
      <c r="O369" s="10">
        <f>IFERROR(VLOOKUP(A369,Flete!$A:$J,10,0),"")</f>
        <v/>
      </c>
      <c r="P369" s="8" t="inlineStr">
        <is>
          <t>TN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900000575</v>
      </c>
      <c r="D370" s="7">
        <f>IFERROR(VLOOKUP(C370,TRAOPE!$G:$H,2,0),"")</f>
        <v/>
      </c>
      <c r="E370" s="8" t="inlineStr">
        <is>
          <t>DW70</t>
        </is>
      </c>
      <c r="F370" s="8" t="inlineStr">
        <is>
          <t>D145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10059180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20230501</t>
        </is>
      </c>
      <c r="M370" s="8" t="inlineStr">
        <is>
          <t>20250131</t>
        </is>
      </c>
      <c r="N370" s="10" t="n">
        <v>50.49</v>
      </c>
      <c r="O370" s="10">
        <f>IFERROR(VLOOKUP(A370,Flete!$A:$J,10,0),"")</f>
        <v/>
      </c>
      <c r="P370" s="8" t="inlineStr">
        <is>
          <t>TN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900000668</v>
      </c>
      <c r="D371" s="7">
        <f>IFERROR(VLOOKUP(C371,TRAOPE!$G:$H,2,0),"")</f>
        <v/>
      </c>
      <c r="E371" s="8" t="inlineStr">
        <is>
          <t>DW70</t>
        </is>
      </c>
      <c r="F371" s="8" t="inlineStr">
        <is>
          <t>D111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10146897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20230501</t>
        </is>
      </c>
      <c r="M371" s="8" t="inlineStr">
        <is>
          <t>20250131</t>
        </is>
      </c>
      <c r="N371" s="10" t="n">
        <v>74.05</v>
      </c>
      <c r="O371" s="10">
        <f>IFERROR(VLOOKUP(A371,Flete!$A:$J,10,0),"")</f>
        <v/>
      </c>
      <c r="P371" s="8" t="inlineStr">
        <is>
          <t>TN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900001367</v>
      </c>
      <c r="D372" s="7">
        <f>IFERROR(VLOOKUP(C372,TRAOPE!$G:$H,2,0),"")</f>
        <v/>
      </c>
      <c r="E372" s="8" t="inlineStr">
        <is>
          <t>DW70</t>
        </is>
      </c>
      <c r="F372" s="8" t="inlineStr">
        <is>
          <t>D111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10000811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20230501</t>
        </is>
      </c>
      <c r="M372" s="8" t="inlineStr">
        <is>
          <t>20250131</t>
        </is>
      </c>
      <c r="N372" s="10" t="n">
        <v>103.66</v>
      </c>
      <c r="O372" s="10">
        <f>IFERROR(VLOOKUP(A372,Flete!$A:$J,10,0),"")</f>
        <v/>
      </c>
      <c r="P372" s="8" t="inlineStr">
        <is>
          <t>TN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900001367</v>
      </c>
      <c r="D373" s="7">
        <f>IFERROR(VLOOKUP(C373,TRAOPE!$G:$H,2,0),"")</f>
        <v/>
      </c>
      <c r="E373" s="8" t="inlineStr">
        <is>
          <t>DW70</t>
        </is>
      </c>
      <c r="F373" s="8" t="inlineStr">
        <is>
          <t>D111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10161492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20230501</t>
        </is>
      </c>
      <c r="M373" s="8" t="inlineStr">
        <is>
          <t>20250131</t>
        </is>
      </c>
      <c r="N373" s="10" t="n">
        <v>89.67</v>
      </c>
      <c r="O373" s="10">
        <f>IFERROR(VLOOKUP(A373,Flete!$A:$J,10,0),"")</f>
        <v/>
      </c>
      <c r="P373" s="8" t="inlineStr">
        <is>
          <t>TN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900001367</v>
      </c>
      <c r="D374" s="7">
        <f>IFERROR(VLOOKUP(C374,TRAOPE!$G:$H,2,0),"")</f>
        <v/>
      </c>
      <c r="E374" s="8" t="inlineStr">
        <is>
          <t>DW70</t>
        </is>
      </c>
      <c r="F374" s="8" t="inlineStr">
        <is>
          <t>D111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10165760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20230501</t>
        </is>
      </c>
      <c r="M374" s="8" t="inlineStr">
        <is>
          <t>20250131</t>
        </is>
      </c>
      <c r="N374" s="10" t="n">
        <v>42.42</v>
      </c>
      <c r="O374" s="10">
        <f>IFERROR(VLOOKUP(A374,Flete!$A:$J,10,0),"")</f>
        <v/>
      </c>
      <c r="P374" s="8" t="inlineStr">
        <is>
          <t>TN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900001367</v>
      </c>
      <c r="D375" s="7">
        <f>IFERROR(VLOOKUP(C375,TRAOPE!$G:$H,2,0),"")</f>
        <v/>
      </c>
      <c r="E375" s="8" t="inlineStr">
        <is>
          <t>DW70</t>
        </is>
      </c>
      <c r="F375" s="8" t="inlineStr">
        <is>
          <t>D111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10165990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20230501</t>
        </is>
      </c>
      <c r="M375" s="8" t="inlineStr">
        <is>
          <t>20250131</t>
        </is>
      </c>
      <c r="N375" s="10" t="n">
        <v>63.64</v>
      </c>
      <c r="O375" s="10">
        <f>IFERROR(VLOOKUP(A375,Flete!$A:$J,10,0),"")</f>
        <v/>
      </c>
      <c r="P375" s="8" t="inlineStr">
        <is>
          <t>TN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900001501</v>
      </c>
      <c r="D376" s="7">
        <f>IFERROR(VLOOKUP(C376,TRAOPE!$G:$H,2,0),"")</f>
        <v/>
      </c>
      <c r="E376" s="8" t="inlineStr">
        <is>
          <t>DW70</t>
        </is>
      </c>
      <c r="F376" s="8" t="inlineStr">
        <is>
          <t>D074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10000191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20230501</t>
        </is>
      </c>
      <c r="M376" s="8" t="inlineStr">
        <is>
          <t>20250131</t>
        </is>
      </c>
      <c r="N376" s="10" t="n">
        <v>85.64</v>
      </c>
      <c r="O376" s="10">
        <f>IFERROR(VLOOKUP(A376,Flete!$A:$J,10,0),"")</f>
        <v/>
      </c>
      <c r="P376" s="8" t="inlineStr">
        <is>
          <t>TN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900001501</v>
      </c>
      <c r="D377" s="7">
        <f>IFERROR(VLOOKUP(C377,TRAOPE!$G:$H,2,0),"")</f>
        <v/>
      </c>
      <c r="E377" s="8" t="inlineStr">
        <is>
          <t>DW70</t>
        </is>
      </c>
      <c r="F377" s="8" t="inlineStr">
        <is>
          <t>D075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10000191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20230501</t>
        </is>
      </c>
      <c r="M377" s="8" t="inlineStr">
        <is>
          <t>20250131</t>
        </is>
      </c>
      <c r="N377" s="10" t="n">
        <v>85.64</v>
      </c>
      <c r="O377" s="10">
        <f>IFERROR(VLOOKUP(A377,Flete!$A:$J,10,0),"")</f>
        <v/>
      </c>
      <c r="P377" s="8" t="inlineStr">
        <is>
          <t>TN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900001501</v>
      </c>
      <c r="D378" s="7">
        <f>IFERROR(VLOOKUP(C378,TRAOPE!$G:$H,2,0),"")</f>
        <v/>
      </c>
      <c r="E378" s="8" t="inlineStr">
        <is>
          <t>DW70</t>
        </is>
      </c>
      <c r="F378" s="8" t="inlineStr">
        <is>
          <t>D077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10000191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20230501</t>
        </is>
      </c>
      <c r="M378" s="8" t="inlineStr">
        <is>
          <t>20250131</t>
        </is>
      </c>
      <c r="N378" s="10" t="n">
        <v>85.64</v>
      </c>
      <c r="O378" s="10">
        <f>IFERROR(VLOOKUP(A378,Flete!$A:$J,10,0),"")</f>
        <v/>
      </c>
      <c r="P378" s="8" t="inlineStr">
        <is>
          <t>TN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900001501</v>
      </c>
      <c r="D379" s="7">
        <f>IFERROR(VLOOKUP(C379,TRAOPE!$G:$H,2,0),"")</f>
        <v/>
      </c>
      <c r="E379" s="8" t="inlineStr">
        <is>
          <t>DW70</t>
        </is>
      </c>
      <c r="F379" s="8" t="inlineStr">
        <is>
          <t>D079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10000191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20230501</t>
        </is>
      </c>
      <c r="M379" s="8" t="inlineStr">
        <is>
          <t>20250131</t>
        </is>
      </c>
      <c r="N379" s="10" t="n">
        <v>85.64</v>
      </c>
      <c r="O379" s="10">
        <f>IFERROR(VLOOKUP(A379,Flete!$A:$J,10,0),"")</f>
        <v/>
      </c>
      <c r="P379" s="8" t="inlineStr">
        <is>
          <t>TN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900001501</v>
      </c>
      <c r="D380" s="7">
        <f>IFERROR(VLOOKUP(C380,TRAOPE!$G:$H,2,0),"")</f>
        <v/>
      </c>
      <c r="E380" s="8" t="inlineStr">
        <is>
          <t>DW70</t>
        </is>
      </c>
      <c r="F380" s="8" t="inlineStr">
        <is>
          <t>D080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10000191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20230501</t>
        </is>
      </c>
      <c r="M380" s="8" t="inlineStr">
        <is>
          <t>20250131</t>
        </is>
      </c>
      <c r="N380" s="10" t="n">
        <v>85.64</v>
      </c>
      <c r="O380" s="10">
        <f>IFERROR(VLOOKUP(A380,Flete!$A:$J,10,0),"")</f>
        <v/>
      </c>
      <c r="P380" s="8" t="inlineStr">
        <is>
          <t>TN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900001501</v>
      </c>
      <c r="D381" s="7">
        <f>IFERROR(VLOOKUP(C381,TRAOPE!$G:$H,2,0),"")</f>
        <v/>
      </c>
      <c r="E381" s="8" t="inlineStr">
        <is>
          <t>DW70</t>
        </is>
      </c>
      <c r="F381" s="8" t="inlineStr">
        <is>
          <t>D081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10000191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20230501</t>
        </is>
      </c>
      <c r="M381" s="8" t="inlineStr">
        <is>
          <t>20250131</t>
        </is>
      </c>
      <c r="N381" s="10" t="n">
        <v>85.64</v>
      </c>
      <c r="O381" s="10">
        <f>IFERROR(VLOOKUP(A381,Flete!$A:$J,10,0),"")</f>
        <v/>
      </c>
      <c r="P381" s="8" t="inlineStr">
        <is>
          <t>TN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900001501</v>
      </c>
      <c r="D382" s="7">
        <f>IFERROR(VLOOKUP(C382,TRAOPE!$G:$H,2,0),"")</f>
        <v/>
      </c>
      <c r="E382" s="8" t="inlineStr">
        <is>
          <t>DW70</t>
        </is>
      </c>
      <c r="F382" s="8" t="inlineStr">
        <is>
          <t>D083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10000191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20230501</t>
        </is>
      </c>
      <c r="M382" s="8" t="inlineStr">
        <is>
          <t>20250131</t>
        </is>
      </c>
      <c r="N382" s="10" t="n">
        <v>85.64</v>
      </c>
      <c r="O382" s="10">
        <f>IFERROR(VLOOKUP(A382,Flete!$A:$J,10,0),"")</f>
        <v/>
      </c>
      <c r="P382" s="8" t="inlineStr">
        <is>
          <t>TN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900001501</v>
      </c>
      <c r="D383" s="7">
        <f>IFERROR(VLOOKUP(C383,TRAOPE!$G:$H,2,0),"")</f>
        <v/>
      </c>
      <c r="E383" s="8" t="inlineStr">
        <is>
          <t>DW70</t>
        </is>
      </c>
      <c r="F383" s="8" t="inlineStr">
        <is>
          <t>D084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10000191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20230501</t>
        </is>
      </c>
      <c r="M383" s="8" t="inlineStr">
        <is>
          <t>20250131</t>
        </is>
      </c>
      <c r="N383" s="10" t="n">
        <v>85.64</v>
      </c>
      <c r="O383" s="10">
        <f>IFERROR(VLOOKUP(A383,Flete!$A:$J,10,0),"")</f>
        <v/>
      </c>
      <c r="P383" s="8" t="inlineStr">
        <is>
          <t>TN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900001501</v>
      </c>
      <c r="D384" s="7">
        <f>IFERROR(VLOOKUP(C384,TRAOPE!$G:$H,2,0),"")</f>
        <v/>
      </c>
      <c r="E384" s="8" t="inlineStr">
        <is>
          <t>DW70</t>
        </is>
      </c>
      <c r="F384" s="8" t="inlineStr">
        <is>
          <t>D085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10000191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20230501</t>
        </is>
      </c>
      <c r="M384" s="8" t="inlineStr">
        <is>
          <t>20250131</t>
        </is>
      </c>
      <c r="N384" s="10" t="n">
        <v>85.64</v>
      </c>
      <c r="O384" s="10">
        <f>IFERROR(VLOOKUP(A384,Flete!$A:$J,10,0),"")</f>
        <v/>
      </c>
      <c r="P384" s="8" t="inlineStr">
        <is>
          <t>TN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900001501</v>
      </c>
      <c r="D385" s="7">
        <f>IFERROR(VLOOKUP(C385,TRAOPE!$G:$H,2,0),"")</f>
        <v/>
      </c>
      <c r="E385" s="8" t="inlineStr">
        <is>
          <t>DW70</t>
        </is>
      </c>
      <c r="F385" s="8" t="inlineStr">
        <is>
          <t>D086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10000191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20230501</t>
        </is>
      </c>
      <c r="M385" s="8" t="inlineStr">
        <is>
          <t>20250131</t>
        </is>
      </c>
      <c r="N385" s="10" t="n">
        <v>85.64</v>
      </c>
      <c r="O385" s="10">
        <f>IFERROR(VLOOKUP(A385,Flete!$A:$J,10,0),"")</f>
        <v/>
      </c>
      <c r="P385" s="8" t="inlineStr">
        <is>
          <t>TN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900001501</v>
      </c>
      <c r="D386" s="7">
        <f>IFERROR(VLOOKUP(C386,TRAOPE!$G:$H,2,0),"")</f>
        <v/>
      </c>
      <c r="E386" s="8" t="inlineStr">
        <is>
          <t>DW70</t>
        </is>
      </c>
      <c r="F386" s="8" t="inlineStr">
        <is>
          <t>D088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10000191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20230501</t>
        </is>
      </c>
      <c r="M386" s="8" t="inlineStr">
        <is>
          <t>20250131</t>
        </is>
      </c>
      <c r="N386" s="10" t="n">
        <v>85.64</v>
      </c>
      <c r="O386" s="10">
        <f>IFERROR(VLOOKUP(A386,Flete!$A:$J,10,0),"")</f>
        <v/>
      </c>
      <c r="P386" s="8" t="inlineStr">
        <is>
          <t>TN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900001501</v>
      </c>
      <c r="D387" s="7">
        <f>IFERROR(VLOOKUP(C387,TRAOPE!$G:$H,2,0),"")</f>
        <v/>
      </c>
      <c r="E387" s="8" t="inlineStr">
        <is>
          <t>DW70</t>
        </is>
      </c>
      <c r="F387" s="8" t="inlineStr">
        <is>
          <t>D089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10000191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20230501</t>
        </is>
      </c>
      <c r="M387" s="8" t="inlineStr">
        <is>
          <t>20250131</t>
        </is>
      </c>
      <c r="N387" s="10" t="n">
        <v>85.64</v>
      </c>
      <c r="O387" s="10">
        <f>IFERROR(VLOOKUP(A387,Flete!$A:$J,10,0),"")</f>
        <v/>
      </c>
      <c r="P387" s="8" t="inlineStr">
        <is>
          <t>TN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900001501</v>
      </c>
      <c r="D388" s="7">
        <f>IFERROR(VLOOKUP(C388,TRAOPE!$G:$H,2,0),"")</f>
        <v/>
      </c>
      <c r="E388" s="8" t="inlineStr">
        <is>
          <t>DW70</t>
        </is>
      </c>
      <c r="F388" s="8" t="inlineStr">
        <is>
          <t>D093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10000191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20230501</t>
        </is>
      </c>
      <c r="M388" s="8" t="inlineStr">
        <is>
          <t>20250131</t>
        </is>
      </c>
      <c r="N388" s="10" t="n">
        <v>85.64</v>
      </c>
      <c r="O388" s="10">
        <f>IFERROR(VLOOKUP(A388,Flete!$A:$J,10,0),"")</f>
        <v/>
      </c>
      <c r="P388" s="8" t="inlineStr">
        <is>
          <t>TN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900001501</v>
      </c>
      <c r="D389" s="7">
        <f>IFERROR(VLOOKUP(C389,TRAOPE!$G:$H,2,0),"")</f>
        <v/>
      </c>
      <c r="E389" s="8" t="inlineStr">
        <is>
          <t>DW70</t>
        </is>
      </c>
      <c r="F389" s="8" t="inlineStr">
        <is>
          <t>D098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10000191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20230501</t>
        </is>
      </c>
      <c r="M389" s="8" t="inlineStr">
        <is>
          <t>20250131</t>
        </is>
      </c>
      <c r="N389" s="10" t="n">
        <v>85.64</v>
      </c>
      <c r="O389" s="10">
        <f>IFERROR(VLOOKUP(A389,Flete!$A:$J,10,0),"")</f>
        <v/>
      </c>
      <c r="P389" s="8" t="inlineStr">
        <is>
          <t>TN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900001501</v>
      </c>
      <c r="D390" s="7">
        <f>IFERROR(VLOOKUP(C390,TRAOPE!$G:$H,2,0),"")</f>
        <v/>
      </c>
      <c r="E390" s="8" t="inlineStr">
        <is>
          <t>DW70</t>
        </is>
      </c>
      <c r="F390" s="8" t="inlineStr">
        <is>
          <t>D105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10000191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20230501</t>
        </is>
      </c>
      <c r="M390" s="8" t="inlineStr">
        <is>
          <t>20250131</t>
        </is>
      </c>
      <c r="N390" s="10" t="n">
        <v>85.64</v>
      </c>
      <c r="O390" s="10">
        <f>IFERROR(VLOOKUP(A390,Flete!$A:$J,10,0),"")</f>
        <v/>
      </c>
      <c r="P390" s="8" t="inlineStr">
        <is>
          <t>TN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900001501</v>
      </c>
      <c r="D391" s="7">
        <f>IFERROR(VLOOKUP(C391,TRAOPE!$G:$H,2,0),"")</f>
        <v/>
      </c>
      <c r="E391" s="8" t="inlineStr">
        <is>
          <t>DW70</t>
        </is>
      </c>
      <c r="F391" s="8" t="inlineStr">
        <is>
          <t>D136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10000191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20230501</t>
        </is>
      </c>
      <c r="M391" s="8" t="inlineStr">
        <is>
          <t>20250131</t>
        </is>
      </c>
      <c r="N391" s="10" t="n">
        <v>85.64</v>
      </c>
      <c r="O391" s="10">
        <f>IFERROR(VLOOKUP(A391,Flete!$A:$J,10,0),"")</f>
        <v/>
      </c>
      <c r="P391" s="8" t="inlineStr">
        <is>
          <t>TN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900001501</v>
      </c>
      <c r="D392" s="7">
        <f>IFERROR(VLOOKUP(C392,TRAOPE!$G:$H,2,0),"")</f>
        <v/>
      </c>
      <c r="E392" s="8" t="inlineStr">
        <is>
          <t>DW70</t>
        </is>
      </c>
      <c r="F392" s="8" t="inlineStr">
        <is>
          <t>D145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10000191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20230501</t>
        </is>
      </c>
      <c r="M392" s="8" t="inlineStr">
        <is>
          <t>20250131</t>
        </is>
      </c>
      <c r="N392" s="10" t="n">
        <v>85.64</v>
      </c>
      <c r="O392" s="10">
        <f>IFERROR(VLOOKUP(A392,Flete!$A:$J,10,0),"")</f>
        <v/>
      </c>
      <c r="P392" s="8" t="inlineStr">
        <is>
          <t>TN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900001750</v>
      </c>
      <c r="D393" s="7">
        <f>IFERROR(VLOOKUP(C393,TRAOPE!$G:$H,2,0),"")</f>
        <v/>
      </c>
      <c r="E393" s="8" t="inlineStr">
        <is>
          <t>DW70</t>
        </is>
      </c>
      <c r="F393" s="8" t="inlineStr">
        <is>
          <t>D074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10002802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20230501</t>
        </is>
      </c>
      <c r="M393" s="8" t="inlineStr">
        <is>
          <t>20250131</t>
        </is>
      </c>
      <c r="N393" s="10" t="n">
        <v>73.84999999999999</v>
      </c>
      <c r="O393" s="10">
        <f>IFERROR(VLOOKUP(A393,Flete!$A:$J,10,0),"")</f>
        <v/>
      </c>
      <c r="P393" s="8" t="inlineStr">
        <is>
          <t>TN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900001750</v>
      </c>
      <c r="D394" s="7">
        <f>IFERROR(VLOOKUP(C394,TRAOPE!$G:$H,2,0),"")</f>
        <v/>
      </c>
      <c r="E394" s="8" t="inlineStr">
        <is>
          <t>DW70</t>
        </is>
      </c>
      <c r="F394" s="8" t="inlineStr">
        <is>
          <t>D075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10002802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20230501</t>
        </is>
      </c>
      <c r="M394" s="8" t="inlineStr">
        <is>
          <t>20250131</t>
        </is>
      </c>
      <c r="N394" s="10" t="n">
        <v>73.84999999999999</v>
      </c>
      <c r="O394" s="10">
        <f>IFERROR(VLOOKUP(A394,Flete!$A:$J,10,0),"")</f>
        <v/>
      </c>
      <c r="P394" s="8" t="inlineStr">
        <is>
          <t>TN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900001750</v>
      </c>
      <c r="D395" s="7">
        <f>IFERROR(VLOOKUP(C395,TRAOPE!$G:$H,2,0),"")</f>
        <v/>
      </c>
      <c r="E395" s="8" t="inlineStr">
        <is>
          <t>DW70</t>
        </is>
      </c>
      <c r="F395" s="8" t="inlineStr">
        <is>
          <t>D077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10002802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20230501</t>
        </is>
      </c>
      <c r="M395" s="8" t="inlineStr">
        <is>
          <t>20250131</t>
        </is>
      </c>
      <c r="N395" s="10" t="n">
        <v>73.84999999999999</v>
      </c>
      <c r="O395" s="10">
        <f>IFERROR(VLOOKUP(A395,Flete!$A:$J,10,0),"")</f>
        <v/>
      </c>
      <c r="P395" s="8" t="inlineStr">
        <is>
          <t>TN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900001750</v>
      </c>
      <c r="D396" s="7">
        <f>IFERROR(VLOOKUP(C396,TRAOPE!$G:$H,2,0),"")</f>
        <v/>
      </c>
      <c r="E396" s="8" t="inlineStr">
        <is>
          <t>DW70</t>
        </is>
      </c>
      <c r="F396" s="8" t="inlineStr">
        <is>
          <t>D079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10002802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20230501</t>
        </is>
      </c>
      <c r="M396" s="8" t="inlineStr">
        <is>
          <t>20250131</t>
        </is>
      </c>
      <c r="N396" s="10" t="n">
        <v>73.84999999999999</v>
      </c>
      <c r="O396" s="10">
        <f>IFERROR(VLOOKUP(A396,Flete!$A:$J,10,0),"")</f>
        <v/>
      </c>
      <c r="P396" s="8" t="inlineStr">
        <is>
          <t>TN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900001750</v>
      </c>
      <c r="D397" s="7">
        <f>IFERROR(VLOOKUP(C397,TRAOPE!$G:$H,2,0),"")</f>
        <v/>
      </c>
      <c r="E397" s="8" t="inlineStr">
        <is>
          <t>DW70</t>
        </is>
      </c>
      <c r="F397" s="8" t="inlineStr">
        <is>
          <t>D080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10002802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20230501</t>
        </is>
      </c>
      <c r="M397" s="8" t="inlineStr">
        <is>
          <t>20250131</t>
        </is>
      </c>
      <c r="N397" s="10" t="n">
        <v>73.84999999999999</v>
      </c>
      <c r="O397" s="10">
        <f>IFERROR(VLOOKUP(A397,Flete!$A:$J,10,0),"")</f>
        <v/>
      </c>
      <c r="P397" s="8" t="inlineStr">
        <is>
          <t>TN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900001750</v>
      </c>
      <c r="D398" s="7">
        <f>IFERROR(VLOOKUP(C398,TRAOPE!$G:$H,2,0),"")</f>
        <v/>
      </c>
      <c r="E398" s="8" t="inlineStr">
        <is>
          <t>DW70</t>
        </is>
      </c>
      <c r="F398" s="8" t="inlineStr">
        <is>
          <t>D081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10002802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20230501</t>
        </is>
      </c>
      <c r="M398" s="8" t="inlineStr">
        <is>
          <t>20250131</t>
        </is>
      </c>
      <c r="N398" s="10" t="n">
        <v>73.84999999999999</v>
      </c>
      <c r="O398" s="10">
        <f>IFERROR(VLOOKUP(A398,Flete!$A:$J,10,0),"")</f>
        <v/>
      </c>
      <c r="P398" s="8" t="inlineStr">
        <is>
          <t>TN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900001750</v>
      </c>
      <c r="D399" s="7">
        <f>IFERROR(VLOOKUP(C399,TRAOPE!$G:$H,2,0),"")</f>
        <v/>
      </c>
      <c r="E399" s="8" t="inlineStr">
        <is>
          <t>DW70</t>
        </is>
      </c>
      <c r="F399" s="8" t="inlineStr">
        <is>
          <t>D083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10002802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20230501</t>
        </is>
      </c>
      <c r="M399" s="8" t="inlineStr">
        <is>
          <t>20250131</t>
        </is>
      </c>
      <c r="N399" s="10" t="n">
        <v>73.84999999999999</v>
      </c>
      <c r="O399" s="10">
        <f>IFERROR(VLOOKUP(A399,Flete!$A:$J,10,0),"")</f>
        <v/>
      </c>
      <c r="P399" s="8" t="inlineStr">
        <is>
          <t>TN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900001750</v>
      </c>
      <c r="D400" s="7">
        <f>IFERROR(VLOOKUP(C400,TRAOPE!$G:$H,2,0),"")</f>
        <v/>
      </c>
      <c r="E400" s="8" t="inlineStr">
        <is>
          <t>DW70</t>
        </is>
      </c>
      <c r="F400" s="8" t="inlineStr">
        <is>
          <t>D084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10002802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20230501</t>
        </is>
      </c>
      <c r="M400" s="8" t="inlineStr">
        <is>
          <t>20250131</t>
        </is>
      </c>
      <c r="N400" s="10" t="n">
        <v>73.84999999999999</v>
      </c>
      <c r="O400" s="10">
        <f>IFERROR(VLOOKUP(A400,Flete!$A:$J,10,0),"")</f>
        <v/>
      </c>
      <c r="P400" s="8" t="inlineStr">
        <is>
          <t>TN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900001750</v>
      </c>
      <c r="D401" s="7">
        <f>IFERROR(VLOOKUP(C401,TRAOPE!$G:$H,2,0),"")</f>
        <v/>
      </c>
      <c r="E401" s="8" t="inlineStr">
        <is>
          <t>DW70</t>
        </is>
      </c>
      <c r="F401" s="8" t="inlineStr">
        <is>
          <t>D085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10002802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20230501</t>
        </is>
      </c>
      <c r="M401" s="8" t="inlineStr">
        <is>
          <t>20250131</t>
        </is>
      </c>
      <c r="N401" s="10" t="n">
        <v>73.84999999999999</v>
      </c>
      <c r="O401" s="10">
        <f>IFERROR(VLOOKUP(A401,Flete!$A:$J,10,0),"")</f>
        <v/>
      </c>
      <c r="P401" s="8" t="inlineStr">
        <is>
          <t>TN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900001750</v>
      </c>
      <c r="D402" s="7">
        <f>IFERROR(VLOOKUP(C402,TRAOPE!$G:$H,2,0),"")</f>
        <v/>
      </c>
      <c r="E402" s="8" t="inlineStr">
        <is>
          <t>DW70</t>
        </is>
      </c>
      <c r="F402" s="8" t="inlineStr">
        <is>
          <t>D086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10002802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20230501</t>
        </is>
      </c>
      <c r="M402" s="8" t="inlineStr">
        <is>
          <t>20250131</t>
        </is>
      </c>
      <c r="N402" s="10" t="n">
        <v>73.84999999999999</v>
      </c>
      <c r="O402" s="10">
        <f>IFERROR(VLOOKUP(A402,Flete!$A:$J,10,0),"")</f>
        <v/>
      </c>
      <c r="P402" s="8" t="inlineStr">
        <is>
          <t>TN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900001750</v>
      </c>
      <c r="D403" s="7">
        <f>IFERROR(VLOOKUP(C403,TRAOPE!$G:$H,2,0),"")</f>
        <v/>
      </c>
      <c r="E403" s="8" t="inlineStr">
        <is>
          <t>DW70</t>
        </is>
      </c>
      <c r="F403" s="8" t="inlineStr">
        <is>
          <t>D089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10002802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20230501</t>
        </is>
      </c>
      <c r="M403" s="8" t="inlineStr">
        <is>
          <t>20250131</t>
        </is>
      </c>
      <c r="N403" s="10" t="n">
        <v>73.84999999999999</v>
      </c>
      <c r="O403" s="10">
        <f>IFERROR(VLOOKUP(A403,Flete!$A:$J,10,0),"")</f>
        <v/>
      </c>
      <c r="P403" s="8" t="inlineStr">
        <is>
          <t>TN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900001750</v>
      </c>
      <c r="D404" s="7">
        <f>IFERROR(VLOOKUP(C404,TRAOPE!$G:$H,2,0),"")</f>
        <v/>
      </c>
      <c r="E404" s="8" t="inlineStr">
        <is>
          <t>DW70</t>
        </is>
      </c>
      <c r="F404" s="8" t="inlineStr">
        <is>
          <t>D098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10002802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20230501</t>
        </is>
      </c>
      <c r="M404" s="8" t="inlineStr">
        <is>
          <t>20250131</t>
        </is>
      </c>
      <c r="N404" s="10" t="n">
        <v>73.84999999999999</v>
      </c>
      <c r="O404" s="10">
        <f>IFERROR(VLOOKUP(A404,Flete!$A:$J,10,0),"")</f>
        <v/>
      </c>
      <c r="P404" s="8" t="inlineStr">
        <is>
          <t>TN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900001750</v>
      </c>
      <c r="D405" s="7">
        <f>IFERROR(VLOOKUP(C405,TRAOPE!$G:$H,2,0),"")</f>
        <v/>
      </c>
      <c r="E405" s="8" t="inlineStr">
        <is>
          <t>DW70</t>
        </is>
      </c>
      <c r="F405" s="8" t="inlineStr">
        <is>
          <t>D105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10002802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20230501</t>
        </is>
      </c>
      <c r="M405" s="8" t="inlineStr">
        <is>
          <t>20250131</t>
        </is>
      </c>
      <c r="N405" s="10" t="n">
        <v>73.84999999999999</v>
      </c>
      <c r="O405" s="10">
        <f>IFERROR(VLOOKUP(A405,Flete!$A:$J,10,0),"")</f>
        <v/>
      </c>
      <c r="P405" s="8" t="inlineStr">
        <is>
          <t>TN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900001750</v>
      </c>
      <c r="D406" s="7">
        <f>IFERROR(VLOOKUP(C406,TRAOPE!$G:$H,2,0),"")</f>
        <v/>
      </c>
      <c r="E406" s="8" t="inlineStr">
        <is>
          <t>DW70</t>
        </is>
      </c>
      <c r="F406" s="8" t="inlineStr">
        <is>
          <t>D110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10002802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20230501</t>
        </is>
      </c>
      <c r="M406" s="8" t="inlineStr">
        <is>
          <t>20250131</t>
        </is>
      </c>
      <c r="N406" s="10" t="n">
        <v>73.84999999999999</v>
      </c>
      <c r="O406" s="10">
        <f>IFERROR(VLOOKUP(A406,Flete!$A:$J,10,0),"")</f>
        <v/>
      </c>
      <c r="P406" s="8" t="inlineStr">
        <is>
          <t>TN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900001750</v>
      </c>
      <c r="D407" s="7">
        <f>IFERROR(VLOOKUP(C407,TRAOPE!$G:$H,2,0),"")</f>
        <v/>
      </c>
      <c r="E407" s="8" t="inlineStr">
        <is>
          <t>DW70</t>
        </is>
      </c>
      <c r="F407" s="8" t="inlineStr">
        <is>
          <t>D132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10002802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20230501</t>
        </is>
      </c>
      <c r="M407" s="8" t="inlineStr">
        <is>
          <t>20250131</t>
        </is>
      </c>
      <c r="N407" s="10" t="n">
        <v>73.84999999999999</v>
      </c>
      <c r="O407" s="10">
        <f>IFERROR(VLOOKUP(A407,Flete!$A:$J,10,0),"")</f>
        <v/>
      </c>
      <c r="P407" s="8" t="inlineStr">
        <is>
          <t>TN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900001750</v>
      </c>
      <c r="D408" s="7">
        <f>IFERROR(VLOOKUP(C408,TRAOPE!$G:$H,2,0),"")</f>
        <v/>
      </c>
      <c r="E408" s="8" t="inlineStr">
        <is>
          <t>DW70</t>
        </is>
      </c>
      <c r="F408" s="8" t="inlineStr">
        <is>
          <t>D136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10002802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20230501</t>
        </is>
      </c>
      <c r="M408" s="8" t="inlineStr">
        <is>
          <t>20250131</t>
        </is>
      </c>
      <c r="N408" s="10" t="n">
        <v>73.84999999999999</v>
      </c>
      <c r="O408" s="10">
        <f>IFERROR(VLOOKUP(A408,Flete!$A:$J,10,0),"")</f>
        <v/>
      </c>
      <c r="P408" s="8" t="inlineStr">
        <is>
          <t>TN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900001750</v>
      </c>
      <c r="D409" s="7">
        <f>IFERROR(VLOOKUP(C409,TRAOPE!$G:$H,2,0),"")</f>
        <v/>
      </c>
      <c r="E409" s="8" t="inlineStr">
        <is>
          <t>DW70</t>
        </is>
      </c>
      <c r="F409" s="8" t="inlineStr">
        <is>
          <t>D145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10002802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20230501</t>
        </is>
      </c>
      <c r="M409" s="8" t="inlineStr">
        <is>
          <t>20250131</t>
        </is>
      </c>
      <c r="N409" s="10" t="n">
        <v>74.45999999999999</v>
      </c>
      <c r="O409" s="10">
        <f>IFERROR(VLOOKUP(A409,Flete!$A:$J,10,0),"")</f>
        <v/>
      </c>
      <c r="P409" s="8" t="inlineStr">
        <is>
          <t>TN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900001810</v>
      </c>
      <c r="D410" s="7">
        <f>IFERROR(VLOOKUP(C410,TRAOPE!$G:$H,2,0),"")</f>
        <v/>
      </c>
      <c r="E410" s="8" t="inlineStr">
        <is>
          <t>DW70</t>
        </is>
      </c>
      <c r="F410" s="8" t="inlineStr">
        <is>
          <t>D074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10000160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20260115</t>
        </is>
      </c>
      <c r="M410" s="8" t="inlineStr">
        <is>
          <t>20260115</t>
        </is>
      </c>
      <c r="N410" s="10" t="n">
        <v>76.65000000000001</v>
      </c>
      <c r="O410" s="10">
        <f>IFERROR(VLOOKUP(A410,Flete!$A:$J,10,0),"")</f>
        <v/>
      </c>
      <c r="P410" s="8" t="inlineStr">
        <is>
          <t>TN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900001810</v>
      </c>
      <c r="D411" s="7">
        <f>IFERROR(VLOOKUP(C411,TRAOPE!$G:$H,2,0),"")</f>
        <v/>
      </c>
      <c r="E411" s="8" t="inlineStr">
        <is>
          <t>DW70</t>
        </is>
      </c>
      <c r="F411" s="8" t="inlineStr">
        <is>
          <t>D074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10000357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20260115</t>
        </is>
      </c>
      <c r="M411" s="8" t="inlineStr">
        <is>
          <t>20260115</t>
        </is>
      </c>
      <c r="N411" s="10" t="n">
        <v>95.78</v>
      </c>
      <c r="O411" s="10">
        <f>IFERROR(VLOOKUP(A411,Flete!$A:$J,10,0),"")</f>
        <v/>
      </c>
      <c r="P411" s="8" t="inlineStr">
        <is>
          <t>TN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900001810</v>
      </c>
      <c r="D412" s="7">
        <f>IFERROR(VLOOKUP(C412,TRAOPE!$G:$H,2,0),"")</f>
        <v/>
      </c>
      <c r="E412" s="8" t="inlineStr">
        <is>
          <t>DW70</t>
        </is>
      </c>
      <c r="F412" s="8" t="inlineStr">
        <is>
          <t>D074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10000627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20260115</t>
        </is>
      </c>
      <c r="M412" s="8" t="inlineStr">
        <is>
          <t>99991231</t>
        </is>
      </c>
      <c r="N412" s="10" t="n">
        <v>63.91</v>
      </c>
      <c r="O412" s="10">
        <f>IFERROR(VLOOKUP(A412,Flete!$A:$J,10,0),"")</f>
        <v/>
      </c>
      <c r="P412" s="8" t="inlineStr">
        <is>
          <t>TN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900001810</v>
      </c>
      <c r="D413" s="7">
        <f>IFERROR(VLOOKUP(C413,TRAOPE!$G:$H,2,0),"")</f>
        <v/>
      </c>
      <c r="E413" s="8" t="inlineStr">
        <is>
          <t>DW70</t>
        </is>
      </c>
      <c r="F413" s="8" t="inlineStr">
        <is>
          <t>D074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10275116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20260317</t>
        </is>
      </c>
      <c r="M413" s="8" t="inlineStr">
        <is>
          <t>99991231</t>
        </is>
      </c>
      <c r="N413" s="10" t="n">
        <v>97.79000000000001</v>
      </c>
      <c r="O413" s="10">
        <f>IFERROR(VLOOKUP(A413,Flete!$A:$J,10,0),"")</f>
        <v/>
      </c>
      <c r="P413" s="8" t="inlineStr">
        <is>
          <t>TN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900001810</v>
      </c>
      <c r="D414" s="7">
        <f>IFERROR(VLOOKUP(C414,TRAOPE!$G:$H,2,0),"")</f>
        <v/>
      </c>
      <c r="E414" s="8" t="inlineStr">
        <is>
          <t>DW70</t>
        </is>
      </c>
      <c r="F414" s="8" t="inlineStr">
        <is>
          <t>D074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10275118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20260317</t>
        </is>
      </c>
      <c r="M414" s="8" t="inlineStr">
        <is>
          <t>99991231</t>
        </is>
      </c>
      <c r="N414" s="10" t="n">
        <v>80.66</v>
      </c>
      <c r="O414" s="10">
        <f>IFERROR(VLOOKUP(A414,Flete!$A:$J,10,0),"")</f>
        <v/>
      </c>
      <c r="P414" s="8" t="inlineStr">
        <is>
          <t>TN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900001810</v>
      </c>
      <c r="D415" s="7">
        <f>IFERROR(VLOOKUP(C415,TRAOPE!$G:$H,2,0),"")</f>
        <v/>
      </c>
      <c r="E415" s="8" t="inlineStr">
        <is>
          <t>DW70</t>
        </is>
      </c>
      <c r="F415" s="8" t="inlineStr">
        <is>
          <t>D075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10000160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20260115</t>
        </is>
      </c>
      <c r="M415" s="8" t="inlineStr">
        <is>
          <t>20260115</t>
        </is>
      </c>
      <c r="N415" s="10" t="n">
        <v>76.65000000000001</v>
      </c>
      <c r="O415" s="10">
        <f>IFERROR(VLOOKUP(A415,Flete!$A:$J,10,0),"")</f>
        <v/>
      </c>
      <c r="P415" s="8" t="inlineStr">
        <is>
          <t>TN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900001810</v>
      </c>
      <c r="D416" s="7">
        <f>IFERROR(VLOOKUP(C416,TRAOPE!$G:$H,2,0),"")</f>
        <v/>
      </c>
      <c r="E416" s="8" t="inlineStr">
        <is>
          <t>DW70</t>
        </is>
      </c>
      <c r="F416" s="8" t="inlineStr">
        <is>
          <t>D075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10000357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20260115</t>
        </is>
      </c>
      <c r="M416" s="8" t="inlineStr">
        <is>
          <t>20260115</t>
        </is>
      </c>
      <c r="N416" s="10" t="n">
        <v>95.78</v>
      </c>
      <c r="O416" s="10">
        <f>IFERROR(VLOOKUP(A416,Flete!$A:$J,10,0),"")</f>
        <v/>
      </c>
      <c r="P416" s="8" t="inlineStr">
        <is>
          <t>TN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900001810</v>
      </c>
      <c r="D417" s="7">
        <f>IFERROR(VLOOKUP(C417,TRAOPE!$G:$H,2,0),"")</f>
        <v/>
      </c>
      <c r="E417" s="8" t="inlineStr">
        <is>
          <t>DW70</t>
        </is>
      </c>
      <c r="F417" s="8" t="inlineStr">
        <is>
          <t>D075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10000627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20260115</t>
        </is>
      </c>
      <c r="M417" s="8" t="inlineStr">
        <is>
          <t>99991231</t>
        </is>
      </c>
      <c r="N417" s="10" t="n">
        <v>63.91</v>
      </c>
      <c r="O417" s="10">
        <f>IFERROR(VLOOKUP(A417,Flete!$A:$J,10,0),"")</f>
        <v/>
      </c>
      <c r="P417" s="8" t="inlineStr">
        <is>
          <t>TN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900001810</v>
      </c>
      <c r="D418" s="7">
        <f>IFERROR(VLOOKUP(C418,TRAOPE!$G:$H,2,0),"")</f>
        <v/>
      </c>
      <c r="E418" s="8" t="inlineStr">
        <is>
          <t>DW70</t>
        </is>
      </c>
      <c r="F418" s="8" t="inlineStr">
        <is>
          <t>D075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10275116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20260317</t>
        </is>
      </c>
      <c r="M418" s="8" t="inlineStr">
        <is>
          <t>99991231</t>
        </is>
      </c>
      <c r="N418" s="10" t="n">
        <v>97.79000000000001</v>
      </c>
      <c r="O418" s="10">
        <f>IFERROR(VLOOKUP(A418,Flete!$A:$J,10,0),"")</f>
        <v/>
      </c>
      <c r="P418" s="8" t="inlineStr">
        <is>
          <t>TN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900001810</v>
      </c>
      <c r="D419" s="7">
        <f>IFERROR(VLOOKUP(C419,TRAOPE!$G:$H,2,0),"")</f>
        <v/>
      </c>
      <c r="E419" s="8" t="inlineStr">
        <is>
          <t>DW70</t>
        </is>
      </c>
      <c r="F419" s="8" t="inlineStr">
        <is>
          <t>D075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10275118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20260317</t>
        </is>
      </c>
      <c r="M419" s="8" t="inlineStr">
        <is>
          <t>99991231</t>
        </is>
      </c>
      <c r="N419" s="10" t="n">
        <v>80.66</v>
      </c>
      <c r="O419" s="10">
        <f>IFERROR(VLOOKUP(A419,Flete!$A:$J,10,0),"")</f>
        <v/>
      </c>
      <c r="P419" s="8" t="inlineStr">
        <is>
          <t>TN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900001810</v>
      </c>
      <c r="D420" s="7">
        <f>IFERROR(VLOOKUP(C420,TRAOPE!$G:$H,2,0),"")</f>
        <v/>
      </c>
      <c r="E420" s="8" t="inlineStr">
        <is>
          <t>DW70</t>
        </is>
      </c>
      <c r="F420" s="8" t="inlineStr">
        <is>
          <t>D077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10000160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20260115</t>
        </is>
      </c>
      <c r="M420" s="8" t="inlineStr">
        <is>
          <t>20260115</t>
        </is>
      </c>
      <c r="N420" s="10" t="n">
        <v>76.65000000000001</v>
      </c>
      <c r="O420" s="10">
        <f>IFERROR(VLOOKUP(A420,Flete!$A:$J,10,0),"")</f>
        <v/>
      </c>
      <c r="P420" s="8" t="inlineStr">
        <is>
          <t>TN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900001810</v>
      </c>
      <c r="D421" s="7">
        <f>IFERROR(VLOOKUP(C421,TRAOPE!$G:$H,2,0),"")</f>
        <v/>
      </c>
      <c r="E421" s="8" t="inlineStr">
        <is>
          <t>DW70</t>
        </is>
      </c>
      <c r="F421" s="8" t="inlineStr">
        <is>
          <t>D077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10000357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20260115</t>
        </is>
      </c>
      <c r="M421" s="8" t="inlineStr">
        <is>
          <t>20260115</t>
        </is>
      </c>
      <c r="N421" s="10" t="n">
        <v>95.78</v>
      </c>
      <c r="O421" s="10">
        <f>IFERROR(VLOOKUP(A421,Flete!$A:$J,10,0),"")</f>
        <v/>
      </c>
      <c r="P421" s="8" t="inlineStr">
        <is>
          <t>TN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900001810</v>
      </c>
      <c r="D422" s="7">
        <f>IFERROR(VLOOKUP(C422,TRAOPE!$G:$H,2,0),"")</f>
        <v/>
      </c>
      <c r="E422" s="8" t="inlineStr">
        <is>
          <t>DW70</t>
        </is>
      </c>
      <c r="F422" s="8" t="inlineStr">
        <is>
          <t>D077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10000627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20260115</t>
        </is>
      </c>
      <c r="M422" s="8" t="inlineStr">
        <is>
          <t>99991231</t>
        </is>
      </c>
      <c r="N422" s="10" t="n">
        <v>63.91</v>
      </c>
      <c r="O422" s="10">
        <f>IFERROR(VLOOKUP(A422,Flete!$A:$J,10,0),"")</f>
        <v/>
      </c>
      <c r="P422" s="8" t="inlineStr">
        <is>
          <t>TN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900001810</v>
      </c>
      <c r="D423" s="7">
        <f>IFERROR(VLOOKUP(C423,TRAOPE!$G:$H,2,0),"")</f>
        <v/>
      </c>
      <c r="E423" s="8" t="inlineStr">
        <is>
          <t>DW70</t>
        </is>
      </c>
      <c r="F423" s="8" t="inlineStr">
        <is>
          <t>D077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10275116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20260317</t>
        </is>
      </c>
      <c r="M423" s="8" t="inlineStr">
        <is>
          <t>99991231</t>
        </is>
      </c>
      <c r="N423" s="10" t="n">
        <v>97.79000000000001</v>
      </c>
      <c r="O423" s="10">
        <f>IFERROR(VLOOKUP(A423,Flete!$A:$J,10,0),"")</f>
        <v/>
      </c>
      <c r="P423" s="8" t="inlineStr">
        <is>
          <t>TN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900001810</v>
      </c>
      <c r="D424" s="7">
        <f>IFERROR(VLOOKUP(C424,TRAOPE!$G:$H,2,0),"")</f>
        <v/>
      </c>
      <c r="E424" s="8" t="inlineStr">
        <is>
          <t>DW70</t>
        </is>
      </c>
      <c r="F424" s="8" t="inlineStr">
        <is>
          <t>D077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10275118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20260317</t>
        </is>
      </c>
      <c r="M424" s="8" t="inlineStr">
        <is>
          <t>99991231</t>
        </is>
      </c>
      <c r="N424" s="10" t="n">
        <v>80.66</v>
      </c>
      <c r="O424" s="10">
        <f>IFERROR(VLOOKUP(A424,Flete!$A:$J,10,0),"")</f>
        <v/>
      </c>
      <c r="P424" s="8" t="inlineStr">
        <is>
          <t>TN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900001810</v>
      </c>
      <c r="D425" s="7">
        <f>IFERROR(VLOOKUP(C425,TRAOPE!$G:$H,2,0),"")</f>
        <v/>
      </c>
      <c r="E425" s="8" t="inlineStr">
        <is>
          <t>DW70</t>
        </is>
      </c>
      <c r="F425" s="8" t="inlineStr">
        <is>
          <t>D079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10000160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20260115</t>
        </is>
      </c>
      <c r="M425" s="8" t="inlineStr">
        <is>
          <t>20260115</t>
        </is>
      </c>
      <c r="N425" s="10" t="n">
        <v>76.65000000000001</v>
      </c>
      <c r="O425" s="10">
        <f>IFERROR(VLOOKUP(A425,Flete!$A:$J,10,0),"")</f>
        <v/>
      </c>
      <c r="P425" s="8" t="inlineStr">
        <is>
          <t>TN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900001810</v>
      </c>
      <c r="D426" s="7">
        <f>IFERROR(VLOOKUP(C426,TRAOPE!$G:$H,2,0),"")</f>
        <v/>
      </c>
      <c r="E426" s="8" t="inlineStr">
        <is>
          <t>DW70</t>
        </is>
      </c>
      <c r="F426" s="8" t="inlineStr">
        <is>
          <t>D079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10000357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20260115</t>
        </is>
      </c>
      <c r="M426" s="8" t="inlineStr">
        <is>
          <t>20260115</t>
        </is>
      </c>
      <c r="N426" s="10" t="n">
        <v>95.78</v>
      </c>
      <c r="O426" s="10">
        <f>IFERROR(VLOOKUP(A426,Flete!$A:$J,10,0),"")</f>
        <v/>
      </c>
      <c r="P426" s="8" t="inlineStr">
        <is>
          <t>TN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900001810</v>
      </c>
      <c r="D427" s="7">
        <f>IFERROR(VLOOKUP(C427,TRAOPE!$G:$H,2,0),"")</f>
        <v/>
      </c>
      <c r="E427" s="8" t="inlineStr">
        <is>
          <t>DW70</t>
        </is>
      </c>
      <c r="F427" s="8" t="inlineStr">
        <is>
          <t>D079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10000627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20260115</t>
        </is>
      </c>
      <c r="M427" s="8" t="inlineStr">
        <is>
          <t>99991231</t>
        </is>
      </c>
      <c r="N427" s="10" t="n">
        <v>63.91</v>
      </c>
      <c r="O427" s="10">
        <f>IFERROR(VLOOKUP(A427,Flete!$A:$J,10,0),"")</f>
        <v/>
      </c>
      <c r="P427" s="8" t="inlineStr">
        <is>
          <t>TN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900001810</v>
      </c>
      <c r="D428" s="7">
        <f>IFERROR(VLOOKUP(C428,TRAOPE!$G:$H,2,0),"")</f>
        <v/>
      </c>
      <c r="E428" s="8" t="inlineStr">
        <is>
          <t>DW70</t>
        </is>
      </c>
      <c r="F428" s="8" t="inlineStr">
        <is>
          <t>D079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10275116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20260317</t>
        </is>
      </c>
      <c r="M428" s="8" t="inlineStr">
        <is>
          <t>99991231</t>
        </is>
      </c>
      <c r="N428" s="10" t="n">
        <v>97.79000000000001</v>
      </c>
      <c r="O428" s="10">
        <f>IFERROR(VLOOKUP(A428,Flete!$A:$J,10,0),"")</f>
        <v/>
      </c>
      <c r="P428" s="8" t="inlineStr">
        <is>
          <t>TN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900001810</v>
      </c>
      <c r="D429" s="7">
        <f>IFERROR(VLOOKUP(C429,TRAOPE!$G:$H,2,0),"")</f>
        <v/>
      </c>
      <c r="E429" s="8" t="inlineStr">
        <is>
          <t>DW70</t>
        </is>
      </c>
      <c r="F429" s="8" t="inlineStr">
        <is>
          <t>D079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10275118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20260317</t>
        </is>
      </c>
      <c r="M429" s="8" t="inlineStr">
        <is>
          <t>99991231</t>
        </is>
      </c>
      <c r="N429" s="10" t="n">
        <v>80.66</v>
      </c>
      <c r="O429" s="10">
        <f>IFERROR(VLOOKUP(A429,Flete!$A:$J,10,0),"")</f>
        <v/>
      </c>
      <c r="P429" s="8" t="inlineStr">
        <is>
          <t>TN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900001810</v>
      </c>
      <c r="D430" s="7">
        <f>IFERROR(VLOOKUP(C430,TRAOPE!$G:$H,2,0),"")</f>
        <v/>
      </c>
      <c r="E430" s="8" t="inlineStr">
        <is>
          <t>DW70</t>
        </is>
      </c>
      <c r="F430" s="8" t="inlineStr">
        <is>
          <t>D080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10000160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20260115</t>
        </is>
      </c>
      <c r="M430" s="8" t="inlineStr">
        <is>
          <t>20260115</t>
        </is>
      </c>
      <c r="N430" s="10" t="n">
        <v>76.65000000000001</v>
      </c>
      <c r="O430" s="10">
        <f>IFERROR(VLOOKUP(A430,Flete!$A:$J,10,0),"")</f>
        <v/>
      </c>
      <c r="P430" s="8" t="inlineStr">
        <is>
          <t>TN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900001810</v>
      </c>
      <c r="D431" s="7">
        <f>IFERROR(VLOOKUP(C431,TRAOPE!$G:$H,2,0),"")</f>
        <v/>
      </c>
      <c r="E431" s="8" t="inlineStr">
        <is>
          <t>DW70</t>
        </is>
      </c>
      <c r="F431" s="8" t="inlineStr">
        <is>
          <t>D080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10000357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20260115</t>
        </is>
      </c>
      <c r="M431" s="8" t="inlineStr">
        <is>
          <t>20260115</t>
        </is>
      </c>
      <c r="N431" s="10" t="n">
        <v>95.78</v>
      </c>
      <c r="O431" s="10">
        <f>IFERROR(VLOOKUP(A431,Flete!$A:$J,10,0),"")</f>
        <v/>
      </c>
      <c r="P431" s="8" t="inlineStr">
        <is>
          <t>TN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900001810</v>
      </c>
      <c r="D432" s="7">
        <f>IFERROR(VLOOKUP(C432,TRAOPE!$G:$H,2,0),"")</f>
        <v/>
      </c>
      <c r="E432" s="8" t="inlineStr">
        <is>
          <t>DW70</t>
        </is>
      </c>
      <c r="F432" s="8" t="inlineStr">
        <is>
          <t>D080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10000627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20260115</t>
        </is>
      </c>
      <c r="M432" s="8" t="inlineStr">
        <is>
          <t>99991231</t>
        </is>
      </c>
      <c r="N432" s="10" t="n">
        <v>63.91</v>
      </c>
      <c r="O432" s="10">
        <f>IFERROR(VLOOKUP(A432,Flete!$A:$J,10,0),"")</f>
        <v/>
      </c>
      <c r="P432" s="8" t="inlineStr">
        <is>
          <t>TN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900001810</v>
      </c>
      <c r="D433" s="7">
        <f>IFERROR(VLOOKUP(C433,TRAOPE!$G:$H,2,0),"")</f>
        <v/>
      </c>
      <c r="E433" s="8" t="inlineStr">
        <is>
          <t>DW70</t>
        </is>
      </c>
      <c r="F433" s="8" t="inlineStr">
        <is>
          <t>D080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10275116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20260317</t>
        </is>
      </c>
      <c r="M433" s="8" t="inlineStr">
        <is>
          <t>99991231</t>
        </is>
      </c>
      <c r="N433" s="10" t="n">
        <v>97.79000000000001</v>
      </c>
      <c r="O433" s="10">
        <f>IFERROR(VLOOKUP(A433,Flete!$A:$J,10,0),"")</f>
        <v/>
      </c>
      <c r="P433" s="8" t="inlineStr">
        <is>
          <t>TN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900001810</v>
      </c>
      <c r="D434" s="7">
        <f>IFERROR(VLOOKUP(C434,TRAOPE!$G:$H,2,0),"")</f>
        <v/>
      </c>
      <c r="E434" s="8" t="inlineStr">
        <is>
          <t>DW70</t>
        </is>
      </c>
      <c r="F434" s="8" t="inlineStr">
        <is>
          <t>D080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10275118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20260317</t>
        </is>
      </c>
      <c r="M434" s="8" t="inlineStr">
        <is>
          <t>99991231</t>
        </is>
      </c>
      <c r="N434" s="10" t="n">
        <v>80.66</v>
      </c>
      <c r="O434" s="10">
        <f>IFERROR(VLOOKUP(A434,Flete!$A:$J,10,0),"")</f>
        <v/>
      </c>
      <c r="P434" s="8" t="inlineStr">
        <is>
          <t>TN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900001810</v>
      </c>
      <c r="D435" s="7">
        <f>IFERROR(VLOOKUP(C435,TRAOPE!$G:$H,2,0),"")</f>
        <v/>
      </c>
      <c r="E435" s="8" t="inlineStr">
        <is>
          <t>DW70</t>
        </is>
      </c>
      <c r="F435" s="8" t="inlineStr">
        <is>
          <t>D081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10000160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20260115</t>
        </is>
      </c>
      <c r="M435" s="8" t="inlineStr">
        <is>
          <t>20260115</t>
        </is>
      </c>
      <c r="N435" s="10" t="n">
        <v>76.65000000000001</v>
      </c>
      <c r="O435" s="10">
        <f>IFERROR(VLOOKUP(A435,Flete!$A:$J,10,0),"")</f>
        <v/>
      </c>
      <c r="P435" s="8" t="inlineStr">
        <is>
          <t>TN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900001810</v>
      </c>
      <c r="D436" s="7">
        <f>IFERROR(VLOOKUP(C436,TRAOPE!$G:$H,2,0),"")</f>
        <v/>
      </c>
      <c r="E436" s="8" t="inlineStr">
        <is>
          <t>DW70</t>
        </is>
      </c>
      <c r="F436" s="8" t="inlineStr">
        <is>
          <t>D081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10000357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20260115</t>
        </is>
      </c>
      <c r="M436" s="8" t="inlineStr">
        <is>
          <t>20260115</t>
        </is>
      </c>
      <c r="N436" s="10" t="n">
        <v>95.78</v>
      </c>
      <c r="O436" s="10">
        <f>IFERROR(VLOOKUP(A436,Flete!$A:$J,10,0),"")</f>
        <v/>
      </c>
      <c r="P436" s="8" t="inlineStr">
        <is>
          <t>TN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900001810</v>
      </c>
      <c r="D437" s="7">
        <f>IFERROR(VLOOKUP(C437,TRAOPE!$G:$H,2,0),"")</f>
        <v/>
      </c>
      <c r="E437" s="8" t="inlineStr">
        <is>
          <t>DW70</t>
        </is>
      </c>
      <c r="F437" s="8" t="inlineStr">
        <is>
          <t>D081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10000627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20260115</t>
        </is>
      </c>
      <c r="M437" s="8" t="inlineStr">
        <is>
          <t>99991231</t>
        </is>
      </c>
      <c r="N437" s="10" t="n">
        <v>63.91</v>
      </c>
      <c r="O437" s="10">
        <f>IFERROR(VLOOKUP(A437,Flete!$A:$J,10,0),"")</f>
        <v/>
      </c>
      <c r="P437" s="8" t="inlineStr">
        <is>
          <t>TN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900001810</v>
      </c>
      <c r="D438" s="7">
        <f>IFERROR(VLOOKUP(C438,TRAOPE!$G:$H,2,0),"")</f>
        <v/>
      </c>
      <c r="E438" s="8" t="inlineStr">
        <is>
          <t>DW70</t>
        </is>
      </c>
      <c r="F438" s="8" t="inlineStr">
        <is>
          <t>D081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10275116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20260317</t>
        </is>
      </c>
      <c r="M438" s="8" t="inlineStr">
        <is>
          <t>99991231</t>
        </is>
      </c>
      <c r="N438" s="10" t="n">
        <v>97.79000000000001</v>
      </c>
      <c r="O438" s="10">
        <f>IFERROR(VLOOKUP(A438,Flete!$A:$J,10,0),"")</f>
        <v/>
      </c>
      <c r="P438" s="8" t="inlineStr">
        <is>
          <t>TN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900001810</v>
      </c>
      <c r="D439" s="7">
        <f>IFERROR(VLOOKUP(C439,TRAOPE!$G:$H,2,0),"")</f>
        <v/>
      </c>
      <c r="E439" s="8" t="inlineStr">
        <is>
          <t>DW70</t>
        </is>
      </c>
      <c r="F439" s="8" t="inlineStr">
        <is>
          <t>D081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10275118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20260317</t>
        </is>
      </c>
      <c r="M439" s="8" t="inlineStr">
        <is>
          <t>99991231</t>
        </is>
      </c>
      <c r="N439" s="10" t="n">
        <v>80.66</v>
      </c>
      <c r="O439" s="10">
        <f>IFERROR(VLOOKUP(A439,Flete!$A:$J,10,0),"")</f>
        <v/>
      </c>
      <c r="P439" s="8" t="inlineStr">
        <is>
          <t>TN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900001810</v>
      </c>
      <c r="D440" s="7">
        <f>IFERROR(VLOOKUP(C440,TRAOPE!$G:$H,2,0),"")</f>
        <v/>
      </c>
      <c r="E440" s="8" t="inlineStr">
        <is>
          <t>DW70</t>
        </is>
      </c>
      <c r="F440" s="8" t="inlineStr">
        <is>
          <t>D083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10000160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20260115</t>
        </is>
      </c>
      <c r="M440" s="8" t="inlineStr">
        <is>
          <t>20260115</t>
        </is>
      </c>
      <c r="N440" s="10" t="n">
        <v>76.65000000000001</v>
      </c>
      <c r="O440" s="10">
        <f>IFERROR(VLOOKUP(A440,Flete!$A:$J,10,0),"")</f>
        <v/>
      </c>
      <c r="P440" s="8" t="inlineStr">
        <is>
          <t>TN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900001810</v>
      </c>
      <c r="D441" s="7">
        <f>IFERROR(VLOOKUP(C441,TRAOPE!$G:$H,2,0),"")</f>
        <v/>
      </c>
      <c r="E441" s="8" t="inlineStr">
        <is>
          <t>DW70</t>
        </is>
      </c>
      <c r="F441" s="8" t="inlineStr">
        <is>
          <t>D083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10000357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20260115</t>
        </is>
      </c>
      <c r="M441" s="8" t="inlineStr">
        <is>
          <t>20260115</t>
        </is>
      </c>
      <c r="N441" s="10" t="n">
        <v>95.78</v>
      </c>
      <c r="O441" s="10">
        <f>IFERROR(VLOOKUP(A441,Flete!$A:$J,10,0),"")</f>
        <v/>
      </c>
      <c r="P441" s="8" t="inlineStr">
        <is>
          <t>TN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900001810</v>
      </c>
      <c r="D442" s="7">
        <f>IFERROR(VLOOKUP(C442,TRAOPE!$G:$H,2,0),"")</f>
        <v/>
      </c>
      <c r="E442" s="8" t="inlineStr">
        <is>
          <t>DW70</t>
        </is>
      </c>
      <c r="F442" s="8" t="inlineStr">
        <is>
          <t>D083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10000627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20260115</t>
        </is>
      </c>
      <c r="M442" s="8" t="inlineStr">
        <is>
          <t>99991231</t>
        </is>
      </c>
      <c r="N442" s="10" t="n">
        <v>63.91</v>
      </c>
      <c r="O442" s="10">
        <f>IFERROR(VLOOKUP(A442,Flete!$A:$J,10,0),"")</f>
        <v/>
      </c>
      <c r="P442" s="8" t="inlineStr">
        <is>
          <t>TN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900001810</v>
      </c>
      <c r="D443" s="7">
        <f>IFERROR(VLOOKUP(C443,TRAOPE!$G:$H,2,0),"")</f>
        <v/>
      </c>
      <c r="E443" s="8" t="inlineStr">
        <is>
          <t>DW70</t>
        </is>
      </c>
      <c r="F443" s="8" t="inlineStr">
        <is>
          <t>D083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10275116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20260317</t>
        </is>
      </c>
      <c r="M443" s="8" t="inlineStr">
        <is>
          <t>99991231</t>
        </is>
      </c>
      <c r="N443" s="10" t="n">
        <v>97.79000000000001</v>
      </c>
      <c r="O443" s="10">
        <f>IFERROR(VLOOKUP(A443,Flete!$A:$J,10,0),"")</f>
        <v/>
      </c>
      <c r="P443" s="8" t="inlineStr">
        <is>
          <t>TN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900001810</v>
      </c>
      <c r="D444" s="7">
        <f>IFERROR(VLOOKUP(C444,TRAOPE!$G:$H,2,0),"")</f>
        <v/>
      </c>
      <c r="E444" s="8" t="inlineStr">
        <is>
          <t>DW70</t>
        </is>
      </c>
      <c r="F444" s="8" t="inlineStr">
        <is>
          <t>D083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10275118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20260317</t>
        </is>
      </c>
      <c r="M444" s="8" t="inlineStr">
        <is>
          <t>99991231</t>
        </is>
      </c>
      <c r="N444" s="10" t="n">
        <v>80.66</v>
      </c>
      <c r="O444" s="10">
        <f>IFERROR(VLOOKUP(A444,Flete!$A:$J,10,0),"")</f>
        <v/>
      </c>
      <c r="P444" s="8" t="inlineStr">
        <is>
          <t>TN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900001810</v>
      </c>
      <c r="D445" s="7">
        <f>IFERROR(VLOOKUP(C445,TRAOPE!$G:$H,2,0),"")</f>
        <v/>
      </c>
      <c r="E445" s="8" t="inlineStr">
        <is>
          <t>DW70</t>
        </is>
      </c>
      <c r="F445" s="8" t="inlineStr">
        <is>
          <t>D084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10000160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20260115</t>
        </is>
      </c>
      <c r="M445" s="8" t="inlineStr">
        <is>
          <t>20260115</t>
        </is>
      </c>
      <c r="N445" s="10" t="n">
        <v>76.65000000000001</v>
      </c>
      <c r="O445" s="10">
        <f>IFERROR(VLOOKUP(A445,Flete!$A:$J,10,0),"")</f>
        <v/>
      </c>
      <c r="P445" s="8" t="inlineStr">
        <is>
          <t>TN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900001810</v>
      </c>
      <c r="D446" s="7">
        <f>IFERROR(VLOOKUP(C446,TRAOPE!$G:$H,2,0),"")</f>
        <v/>
      </c>
      <c r="E446" s="8" t="inlineStr">
        <is>
          <t>DW70</t>
        </is>
      </c>
      <c r="F446" s="8" t="inlineStr">
        <is>
          <t>D084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10000357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20260115</t>
        </is>
      </c>
      <c r="M446" s="8" t="inlineStr">
        <is>
          <t>20260115</t>
        </is>
      </c>
      <c r="N446" s="10" t="n">
        <v>95.78</v>
      </c>
      <c r="O446" s="10">
        <f>IFERROR(VLOOKUP(A446,Flete!$A:$J,10,0),"")</f>
        <v/>
      </c>
      <c r="P446" s="8" t="inlineStr">
        <is>
          <t>TN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900001810</v>
      </c>
      <c r="D447" s="7">
        <f>IFERROR(VLOOKUP(C447,TRAOPE!$G:$H,2,0),"")</f>
        <v/>
      </c>
      <c r="E447" s="8" t="inlineStr">
        <is>
          <t>DW70</t>
        </is>
      </c>
      <c r="F447" s="8" t="inlineStr">
        <is>
          <t>D084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10000627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20260115</t>
        </is>
      </c>
      <c r="M447" s="8" t="inlineStr">
        <is>
          <t>99991231</t>
        </is>
      </c>
      <c r="N447" s="10" t="n">
        <v>63.91</v>
      </c>
      <c r="O447" s="10">
        <f>IFERROR(VLOOKUP(A447,Flete!$A:$J,10,0),"")</f>
        <v/>
      </c>
      <c r="P447" s="8" t="inlineStr">
        <is>
          <t>TN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900001810</v>
      </c>
      <c r="D448" s="7">
        <f>IFERROR(VLOOKUP(C448,TRAOPE!$G:$H,2,0),"")</f>
        <v/>
      </c>
      <c r="E448" s="8" t="inlineStr">
        <is>
          <t>DW70</t>
        </is>
      </c>
      <c r="F448" s="8" t="inlineStr">
        <is>
          <t>D084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10275116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20260317</t>
        </is>
      </c>
      <c r="M448" s="8" t="inlineStr">
        <is>
          <t>99991231</t>
        </is>
      </c>
      <c r="N448" s="10" t="n">
        <v>97.79000000000001</v>
      </c>
      <c r="O448" s="10">
        <f>IFERROR(VLOOKUP(A448,Flete!$A:$J,10,0),"")</f>
        <v/>
      </c>
      <c r="P448" s="8" t="inlineStr">
        <is>
          <t>TN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900001810</v>
      </c>
      <c r="D449" s="7">
        <f>IFERROR(VLOOKUP(C449,TRAOPE!$G:$H,2,0),"")</f>
        <v/>
      </c>
      <c r="E449" s="8" t="inlineStr">
        <is>
          <t>DW70</t>
        </is>
      </c>
      <c r="F449" s="8" t="inlineStr">
        <is>
          <t>D084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10275118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20260317</t>
        </is>
      </c>
      <c r="M449" s="8" t="inlineStr">
        <is>
          <t>99991231</t>
        </is>
      </c>
      <c r="N449" s="10" t="n">
        <v>80.66</v>
      </c>
      <c r="O449" s="10">
        <f>IFERROR(VLOOKUP(A449,Flete!$A:$J,10,0),"")</f>
        <v/>
      </c>
      <c r="P449" s="8" t="inlineStr">
        <is>
          <t>TN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900001810</v>
      </c>
      <c r="D450" s="7">
        <f>IFERROR(VLOOKUP(C450,TRAOPE!$G:$H,2,0),"")</f>
        <v/>
      </c>
      <c r="E450" s="8" t="inlineStr">
        <is>
          <t>DW70</t>
        </is>
      </c>
      <c r="F450" s="8" t="inlineStr">
        <is>
          <t>D085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10000160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20260115</t>
        </is>
      </c>
      <c r="M450" s="8" t="inlineStr">
        <is>
          <t>20260115</t>
        </is>
      </c>
      <c r="N450" s="10" t="n">
        <v>76.65000000000001</v>
      </c>
      <c r="O450" s="10">
        <f>IFERROR(VLOOKUP(A450,Flete!$A:$J,10,0),"")</f>
        <v/>
      </c>
      <c r="P450" s="8" t="inlineStr">
        <is>
          <t>TN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900001810</v>
      </c>
      <c r="D451" s="7">
        <f>IFERROR(VLOOKUP(C451,TRAOPE!$G:$H,2,0),"")</f>
        <v/>
      </c>
      <c r="E451" s="8" t="inlineStr">
        <is>
          <t>DW70</t>
        </is>
      </c>
      <c r="F451" s="8" t="inlineStr">
        <is>
          <t>D085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10000357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20260115</t>
        </is>
      </c>
      <c r="M451" s="8" t="inlineStr">
        <is>
          <t>20260115</t>
        </is>
      </c>
      <c r="N451" s="10" t="n">
        <v>95.78</v>
      </c>
      <c r="O451" s="10">
        <f>IFERROR(VLOOKUP(A451,Flete!$A:$J,10,0),"")</f>
        <v/>
      </c>
      <c r="P451" s="8" t="inlineStr">
        <is>
          <t>TN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900001810</v>
      </c>
      <c r="D452" s="7">
        <f>IFERROR(VLOOKUP(C452,TRAOPE!$G:$H,2,0),"")</f>
        <v/>
      </c>
      <c r="E452" s="8" t="inlineStr">
        <is>
          <t>DW70</t>
        </is>
      </c>
      <c r="F452" s="8" t="inlineStr">
        <is>
          <t>D085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10000627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20260115</t>
        </is>
      </c>
      <c r="M452" s="8" t="inlineStr">
        <is>
          <t>99991231</t>
        </is>
      </c>
      <c r="N452" s="10" t="n">
        <v>63.91</v>
      </c>
      <c r="O452" s="10">
        <f>IFERROR(VLOOKUP(A452,Flete!$A:$J,10,0),"")</f>
        <v/>
      </c>
      <c r="P452" s="8" t="inlineStr">
        <is>
          <t>TN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900001810</v>
      </c>
      <c r="D453" s="7">
        <f>IFERROR(VLOOKUP(C453,TRAOPE!$G:$H,2,0),"")</f>
        <v/>
      </c>
      <c r="E453" s="8" t="inlineStr">
        <is>
          <t>DW70</t>
        </is>
      </c>
      <c r="F453" s="8" t="inlineStr">
        <is>
          <t>D085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10275116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20260317</t>
        </is>
      </c>
      <c r="M453" s="8" t="inlineStr">
        <is>
          <t>99991231</t>
        </is>
      </c>
      <c r="N453" s="10" t="n">
        <v>97.79000000000001</v>
      </c>
      <c r="O453" s="10">
        <f>IFERROR(VLOOKUP(A453,Flete!$A:$J,10,0),"")</f>
        <v/>
      </c>
      <c r="P453" s="8" t="inlineStr">
        <is>
          <t>TN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900001810</v>
      </c>
      <c r="D454" s="7">
        <f>IFERROR(VLOOKUP(C454,TRAOPE!$G:$H,2,0),"")</f>
        <v/>
      </c>
      <c r="E454" s="8" t="inlineStr">
        <is>
          <t>DW70</t>
        </is>
      </c>
      <c r="F454" s="8" t="inlineStr">
        <is>
          <t>D085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10275118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20260317</t>
        </is>
      </c>
      <c r="M454" s="8" t="inlineStr">
        <is>
          <t>99991231</t>
        </is>
      </c>
      <c r="N454" s="10" t="n">
        <v>80.66</v>
      </c>
      <c r="O454" s="10">
        <f>IFERROR(VLOOKUP(A454,Flete!$A:$J,10,0),"")</f>
        <v/>
      </c>
      <c r="P454" s="8" t="inlineStr">
        <is>
          <t>TN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900001810</v>
      </c>
      <c r="D455" s="7">
        <f>IFERROR(VLOOKUP(C455,TRAOPE!$G:$H,2,0),"")</f>
        <v/>
      </c>
      <c r="E455" s="8" t="inlineStr">
        <is>
          <t>DW70</t>
        </is>
      </c>
      <c r="F455" s="8" t="inlineStr">
        <is>
          <t>D086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10000160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20260115</t>
        </is>
      </c>
      <c r="M455" s="8" t="inlineStr">
        <is>
          <t>20260115</t>
        </is>
      </c>
      <c r="N455" s="10" t="n">
        <v>76.65000000000001</v>
      </c>
      <c r="O455" s="10">
        <f>IFERROR(VLOOKUP(A455,Flete!$A:$J,10,0),"")</f>
        <v/>
      </c>
      <c r="P455" s="8" t="inlineStr">
        <is>
          <t>TN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900001810</v>
      </c>
      <c r="D456" s="7">
        <f>IFERROR(VLOOKUP(C456,TRAOPE!$G:$H,2,0),"")</f>
        <v/>
      </c>
      <c r="E456" s="8" t="inlineStr">
        <is>
          <t>DW70</t>
        </is>
      </c>
      <c r="F456" s="8" t="inlineStr">
        <is>
          <t>D086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10000357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20260115</t>
        </is>
      </c>
      <c r="M456" s="8" t="inlineStr">
        <is>
          <t>20260115</t>
        </is>
      </c>
      <c r="N456" s="10" t="n">
        <v>95.78</v>
      </c>
      <c r="O456" s="10">
        <f>IFERROR(VLOOKUP(A456,Flete!$A:$J,10,0),"")</f>
        <v/>
      </c>
      <c r="P456" s="8" t="inlineStr">
        <is>
          <t>TN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900001810</v>
      </c>
      <c r="D457" s="7">
        <f>IFERROR(VLOOKUP(C457,TRAOPE!$G:$H,2,0),"")</f>
        <v/>
      </c>
      <c r="E457" s="8" t="inlineStr">
        <is>
          <t>DW70</t>
        </is>
      </c>
      <c r="F457" s="8" t="inlineStr">
        <is>
          <t>D086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10000627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20260115</t>
        </is>
      </c>
      <c r="M457" s="8" t="inlineStr">
        <is>
          <t>99991231</t>
        </is>
      </c>
      <c r="N457" s="10" t="n">
        <v>63.91</v>
      </c>
      <c r="O457" s="10">
        <f>IFERROR(VLOOKUP(A457,Flete!$A:$J,10,0),"")</f>
        <v/>
      </c>
      <c r="P457" s="8" t="inlineStr">
        <is>
          <t>TN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900001810</v>
      </c>
      <c r="D458" s="7">
        <f>IFERROR(VLOOKUP(C458,TRAOPE!$G:$H,2,0),"")</f>
        <v/>
      </c>
      <c r="E458" s="8" t="inlineStr">
        <is>
          <t>DW70</t>
        </is>
      </c>
      <c r="F458" s="8" t="inlineStr">
        <is>
          <t>D086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10275116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20260317</t>
        </is>
      </c>
      <c r="M458" s="8" t="inlineStr">
        <is>
          <t>99991231</t>
        </is>
      </c>
      <c r="N458" s="10" t="n">
        <v>97.79000000000001</v>
      </c>
      <c r="O458" s="10">
        <f>IFERROR(VLOOKUP(A458,Flete!$A:$J,10,0),"")</f>
        <v/>
      </c>
      <c r="P458" s="8" t="inlineStr">
        <is>
          <t>TN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900001810</v>
      </c>
      <c r="D459" s="7">
        <f>IFERROR(VLOOKUP(C459,TRAOPE!$G:$H,2,0),"")</f>
        <v/>
      </c>
      <c r="E459" s="8" t="inlineStr">
        <is>
          <t>DW70</t>
        </is>
      </c>
      <c r="F459" s="8" t="inlineStr">
        <is>
          <t>D086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10275118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20260317</t>
        </is>
      </c>
      <c r="M459" s="8" t="inlineStr">
        <is>
          <t>99991231</t>
        </is>
      </c>
      <c r="N459" s="10" t="n">
        <v>80.66</v>
      </c>
      <c r="O459" s="10">
        <f>IFERROR(VLOOKUP(A459,Flete!$A:$J,10,0),"")</f>
        <v/>
      </c>
      <c r="P459" s="8" t="inlineStr">
        <is>
          <t>TN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900001810</v>
      </c>
      <c r="D460" s="7">
        <f>IFERROR(VLOOKUP(C460,TRAOPE!$G:$H,2,0),"")</f>
        <v/>
      </c>
      <c r="E460" s="8" t="inlineStr">
        <is>
          <t>DW70</t>
        </is>
      </c>
      <c r="F460" s="8" t="inlineStr">
        <is>
          <t>D088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10000160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20250701</t>
        </is>
      </c>
      <c r="M460" s="8" t="inlineStr">
        <is>
          <t>20251031</t>
        </is>
      </c>
      <c r="N460" s="10" t="n">
        <v>76.65000000000001</v>
      </c>
      <c r="O460" s="10">
        <f>IFERROR(VLOOKUP(A460,Flete!$A:$J,10,0),"")</f>
        <v/>
      </c>
      <c r="P460" s="8" t="inlineStr">
        <is>
          <t>TN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900001810</v>
      </c>
      <c r="D461" s="7">
        <f>IFERROR(VLOOKUP(C461,TRAOPE!$G:$H,2,0),"")</f>
        <v/>
      </c>
      <c r="E461" s="8" t="inlineStr">
        <is>
          <t>DW70</t>
        </is>
      </c>
      <c r="F461" s="8" t="inlineStr">
        <is>
          <t>D088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10000357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20250701</t>
        </is>
      </c>
      <c r="M461" s="8" t="inlineStr">
        <is>
          <t>20251031</t>
        </is>
      </c>
      <c r="N461" s="10" t="n">
        <v>95.78</v>
      </c>
      <c r="O461" s="10">
        <f>IFERROR(VLOOKUP(A461,Flete!$A:$J,10,0),"")</f>
        <v/>
      </c>
      <c r="P461" s="8" t="inlineStr">
        <is>
          <t>TN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900001810</v>
      </c>
      <c r="D462" s="7">
        <f>IFERROR(VLOOKUP(C462,TRAOPE!$G:$H,2,0),"")</f>
        <v/>
      </c>
      <c r="E462" s="8" t="inlineStr">
        <is>
          <t>DW70</t>
        </is>
      </c>
      <c r="F462" s="8" t="inlineStr">
        <is>
          <t>D088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10000627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20250701</t>
        </is>
      </c>
      <c r="M462" s="8" t="inlineStr">
        <is>
          <t>20251031</t>
        </is>
      </c>
      <c r="N462" s="10" t="n">
        <v>63.91</v>
      </c>
      <c r="O462" s="10">
        <f>IFERROR(VLOOKUP(A462,Flete!$A:$J,10,0),"")</f>
        <v/>
      </c>
      <c r="P462" s="8" t="inlineStr">
        <is>
          <t>TN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900001810</v>
      </c>
      <c r="D463" s="7">
        <f>IFERROR(VLOOKUP(C463,TRAOPE!$G:$H,2,0),"")</f>
        <v/>
      </c>
      <c r="E463" s="8" t="inlineStr">
        <is>
          <t>DW70</t>
        </is>
      </c>
      <c r="F463" s="8" t="inlineStr">
        <is>
          <t>D093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10000160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20260115</t>
        </is>
      </c>
      <c r="M463" s="8" t="inlineStr">
        <is>
          <t>20260115</t>
        </is>
      </c>
      <c r="N463" s="10" t="n">
        <v>76.65000000000001</v>
      </c>
      <c r="O463" s="10">
        <f>IFERROR(VLOOKUP(A463,Flete!$A:$J,10,0),"")</f>
        <v/>
      </c>
      <c r="P463" s="8" t="inlineStr">
        <is>
          <t>TN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900001810</v>
      </c>
      <c r="D464" s="7">
        <f>IFERROR(VLOOKUP(C464,TRAOPE!$G:$H,2,0),"")</f>
        <v/>
      </c>
      <c r="E464" s="8" t="inlineStr">
        <is>
          <t>DW70</t>
        </is>
      </c>
      <c r="F464" s="8" t="inlineStr">
        <is>
          <t>D093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10000357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20260115</t>
        </is>
      </c>
      <c r="M464" s="8" t="inlineStr">
        <is>
          <t>20260115</t>
        </is>
      </c>
      <c r="N464" s="10" t="n">
        <v>95.78</v>
      </c>
      <c r="O464" s="10">
        <f>IFERROR(VLOOKUP(A464,Flete!$A:$J,10,0),"")</f>
        <v/>
      </c>
      <c r="P464" s="8" t="inlineStr">
        <is>
          <t>TN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900001810</v>
      </c>
      <c r="D465" s="7">
        <f>IFERROR(VLOOKUP(C465,TRAOPE!$G:$H,2,0),"")</f>
        <v/>
      </c>
      <c r="E465" s="8" t="inlineStr">
        <is>
          <t>DW70</t>
        </is>
      </c>
      <c r="F465" s="8" t="inlineStr">
        <is>
          <t>D093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10000627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20260115</t>
        </is>
      </c>
      <c r="M465" s="8" t="inlineStr">
        <is>
          <t>99991231</t>
        </is>
      </c>
      <c r="N465" s="10" t="n">
        <v>63.91</v>
      </c>
      <c r="O465" s="10">
        <f>IFERROR(VLOOKUP(A465,Flete!$A:$J,10,0),"")</f>
        <v/>
      </c>
      <c r="P465" s="8" t="inlineStr">
        <is>
          <t>TN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900001810</v>
      </c>
      <c r="D466" s="7">
        <f>IFERROR(VLOOKUP(C466,TRAOPE!$G:$H,2,0),"")</f>
        <v/>
      </c>
      <c r="E466" s="8" t="inlineStr">
        <is>
          <t>DW70</t>
        </is>
      </c>
      <c r="F466" s="8" t="inlineStr">
        <is>
          <t>D093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10275116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20260317</t>
        </is>
      </c>
      <c r="M466" s="8" t="inlineStr">
        <is>
          <t>99991231</t>
        </is>
      </c>
      <c r="N466" s="10" t="n">
        <v>97.79000000000001</v>
      </c>
      <c r="O466" s="10">
        <f>IFERROR(VLOOKUP(A466,Flete!$A:$J,10,0),"")</f>
        <v/>
      </c>
      <c r="P466" s="8" t="inlineStr">
        <is>
          <t>TN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900001810</v>
      </c>
      <c r="D467" s="7">
        <f>IFERROR(VLOOKUP(C467,TRAOPE!$G:$H,2,0),"")</f>
        <v/>
      </c>
      <c r="E467" s="8" t="inlineStr">
        <is>
          <t>DW70</t>
        </is>
      </c>
      <c r="F467" s="8" t="inlineStr">
        <is>
          <t>D093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10275118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20260317</t>
        </is>
      </c>
      <c r="M467" s="8" t="inlineStr">
        <is>
          <t>99991231</t>
        </is>
      </c>
      <c r="N467" s="10" t="n">
        <v>80.66</v>
      </c>
      <c r="O467" s="10">
        <f>IFERROR(VLOOKUP(A467,Flete!$A:$J,10,0),"")</f>
        <v/>
      </c>
      <c r="P467" s="8" t="inlineStr">
        <is>
          <t>TN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900001810</v>
      </c>
      <c r="D468" s="7">
        <f>IFERROR(VLOOKUP(C468,TRAOPE!$G:$H,2,0),"")</f>
        <v/>
      </c>
      <c r="E468" s="8" t="inlineStr">
        <is>
          <t>DW70</t>
        </is>
      </c>
      <c r="F468" s="8" t="inlineStr">
        <is>
          <t>D098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10000160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20260115</t>
        </is>
      </c>
      <c r="M468" s="8" t="inlineStr">
        <is>
          <t>20260115</t>
        </is>
      </c>
      <c r="N468" s="10" t="n">
        <v>76.65000000000001</v>
      </c>
      <c r="O468" s="10">
        <f>IFERROR(VLOOKUP(A468,Flete!$A:$J,10,0),"")</f>
        <v/>
      </c>
      <c r="P468" s="8" t="inlineStr">
        <is>
          <t>TN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900001810</v>
      </c>
      <c r="D469" s="7">
        <f>IFERROR(VLOOKUP(C469,TRAOPE!$G:$H,2,0),"")</f>
        <v/>
      </c>
      <c r="E469" s="8" t="inlineStr">
        <is>
          <t>DW70</t>
        </is>
      </c>
      <c r="F469" s="8" t="inlineStr">
        <is>
          <t>D098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10000357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20260115</t>
        </is>
      </c>
      <c r="M469" s="8" t="inlineStr">
        <is>
          <t>20260115</t>
        </is>
      </c>
      <c r="N469" s="10" t="n">
        <v>95.78</v>
      </c>
      <c r="O469" s="10">
        <f>IFERROR(VLOOKUP(A469,Flete!$A:$J,10,0),"")</f>
        <v/>
      </c>
      <c r="P469" s="8" t="inlineStr">
        <is>
          <t>TN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900001810</v>
      </c>
      <c r="D470" s="7">
        <f>IFERROR(VLOOKUP(C470,TRAOPE!$G:$H,2,0),"")</f>
        <v/>
      </c>
      <c r="E470" s="8" t="inlineStr">
        <is>
          <t>DW70</t>
        </is>
      </c>
      <c r="F470" s="8" t="inlineStr">
        <is>
          <t>D098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10000627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20260115</t>
        </is>
      </c>
      <c r="M470" s="8" t="inlineStr">
        <is>
          <t>99991231</t>
        </is>
      </c>
      <c r="N470" s="10" t="n">
        <v>63.91</v>
      </c>
      <c r="O470" s="10">
        <f>IFERROR(VLOOKUP(A470,Flete!$A:$J,10,0),"")</f>
        <v/>
      </c>
      <c r="P470" s="8" t="inlineStr">
        <is>
          <t>TN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900001810</v>
      </c>
      <c r="D471" s="7">
        <f>IFERROR(VLOOKUP(C471,TRAOPE!$G:$H,2,0),"")</f>
        <v/>
      </c>
      <c r="E471" s="8" t="inlineStr">
        <is>
          <t>DW70</t>
        </is>
      </c>
      <c r="F471" s="8" t="inlineStr">
        <is>
          <t>D098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10275116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20260317</t>
        </is>
      </c>
      <c r="M471" s="8" t="inlineStr">
        <is>
          <t>99991231</t>
        </is>
      </c>
      <c r="N471" s="10" t="n">
        <v>97.79000000000001</v>
      </c>
      <c r="O471" s="10">
        <f>IFERROR(VLOOKUP(A471,Flete!$A:$J,10,0),"")</f>
        <v/>
      </c>
      <c r="P471" s="8" t="inlineStr">
        <is>
          <t>TN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900001810</v>
      </c>
      <c r="D472" s="7">
        <f>IFERROR(VLOOKUP(C472,TRAOPE!$G:$H,2,0),"")</f>
        <v/>
      </c>
      <c r="E472" s="8" t="inlineStr">
        <is>
          <t>DW70</t>
        </is>
      </c>
      <c r="F472" s="8" t="inlineStr">
        <is>
          <t>D098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10275118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20260317</t>
        </is>
      </c>
      <c r="M472" s="8" t="inlineStr">
        <is>
          <t>99991231</t>
        </is>
      </c>
      <c r="N472" s="10" t="n">
        <v>80.66</v>
      </c>
      <c r="O472" s="10">
        <f>IFERROR(VLOOKUP(A472,Flete!$A:$J,10,0),"")</f>
        <v/>
      </c>
      <c r="P472" s="8" t="inlineStr">
        <is>
          <t>TN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900001810</v>
      </c>
      <c r="D473" s="7">
        <f>IFERROR(VLOOKUP(C473,TRAOPE!$G:$H,2,0),"")</f>
        <v/>
      </c>
      <c r="E473" s="8" t="inlineStr">
        <is>
          <t>DW70</t>
        </is>
      </c>
      <c r="F473" s="8" t="inlineStr">
        <is>
          <t>D105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10000160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20260115</t>
        </is>
      </c>
      <c r="M473" s="8" t="inlineStr">
        <is>
          <t>20260115</t>
        </is>
      </c>
      <c r="N473" s="10" t="n">
        <v>76.65000000000001</v>
      </c>
      <c r="O473" s="10">
        <f>IFERROR(VLOOKUP(A473,Flete!$A:$J,10,0),"")</f>
        <v/>
      </c>
      <c r="P473" s="8" t="inlineStr">
        <is>
          <t>TN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900001810</v>
      </c>
      <c r="D474" s="7">
        <f>IFERROR(VLOOKUP(C474,TRAOPE!$G:$H,2,0),"")</f>
        <v/>
      </c>
      <c r="E474" s="8" t="inlineStr">
        <is>
          <t>DW70</t>
        </is>
      </c>
      <c r="F474" s="8" t="inlineStr">
        <is>
          <t>D105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10000357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20260115</t>
        </is>
      </c>
      <c r="M474" s="8" t="inlineStr">
        <is>
          <t>20260115</t>
        </is>
      </c>
      <c r="N474" s="10" t="n">
        <v>95.78</v>
      </c>
      <c r="O474" s="10">
        <f>IFERROR(VLOOKUP(A474,Flete!$A:$J,10,0),"")</f>
        <v/>
      </c>
      <c r="P474" s="8" t="inlineStr">
        <is>
          <t>TN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900001810</v>
      </c>
      <c r="D475" s="7">
        <f>IFERROR(VLOOKUP(C475,TRAOPE!$G:$H,2,0),"")</f>
        <v/>
      </c>
      <c r="E475" s="8" t="inlineStr">
        <is>
          <t>DW70</t>
        </is>
      </c>
      <c r="F475" s="8" t="inlineStr">
        <is>
          <t>D105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10000627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20260115</t>
        </is>
      </c>
      <c r="M475" s="8" t="inlineStr">
        <is>
          <t>99991231</t>
        </is>
      </c>
      <c r="N475" s="10" t="n">
        <v>63.91</v>
      </c>
      <c r="O475" s="10">
        <f>IFERROR(VLOOKUP(A475,Flete!$A:$J,10,0),"")</f>
        <v/>
      </c>
      <c r="P475" s="8" t="inlineStr">
        <is>
          <t>TN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900001810</v>
      </c>
      <c r="D476" s="7">
        <f>IFERROR(VLOOKUP(C476,TRAOPE!$G:$H,2,0),"")</f>
        <v/>
      </c>
      <c r="E476" s="8" t="inlineStr">
        <is>
          <t>DW70</t>
        </is>
      </c>
      <c r="F476" s="8" t="inlineStr">
        <is>
          <t>D105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10275116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20260317</t>
        </is>
      </c>
      <c r="M476" s="8" t="inlineStr">
        <is>
          <t>99991231</t>
        </is>
      </c>
      <c r="N476" s="10" t="n">
        <v>97.79000000000001</v>
      </c>
      <c r="O476" s="10">
        <f>IFERROR(VLOOKUP(A476,Flete!$A:$J,10,0),"")</f>
        <v/>
      </c>
      <c r="P476" s="8" t="inlineStr">
        <is>
          <t>TN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900001810</v>
      </c>
      <c r="D477" s="7">
        <f>IFERROR(VLOOKUP(C477,TRAOPE!$G:$H,2,0),"")</f>
        <v/>
      </c>
      <c r="E477" s="8" t="inlineStr">
        <is>
          <t>DW70</t>
        </is>
      </c>
      <c r="F477" s="8" t="inlineStr">
        <is>
          <t>D105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10275118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20260317</t>
        </is>
      </c>
      <c r="M477" s="8" t="inlineStr">
        <is>
          <t>99991231</t>
        </is>
      </c>
      <c r="N477" s="10" t="n">
        <v>80.66</v>
      </c>
      <c r="O477" s="10">
        <f>IFERROR(VLOOKUP(A477,Flete!$A:$J,10,0),"")</f>
        <v/>
      </c>
      <c r="P477" s="8" t="inlineStr">
        <is>
          <t>TN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900001810</v>
      </c>
      <c r="D478" s="7">
        <f>IFERROR(VLOOKUP(C478,TRAOPE!$G:$H,2,0),"")</f>
        <v/>
      </c>
      <c r="E478" s="8" t="inlineStr">
        <is>
          <t>DW70</t>
        </is>
      </c>
      <c r="F478" s="8" t="inlineStr">
        <is>
          <t>D136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10000160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20260115</t>
        </is>
      </c>
      <c r="M478" s="8" t="inlineStr">
        <is>
          <t>20260115</t>
        </is>
      </c>
      <c r="N478" s="10" t="n">
        <v>76.65000000000001</v>
      </c>
      <c r="O478" s="10">
        <f>IFERROR(VLOOKUP(A478,Flete!$A:$J,10,0),"")</f>
        <v/>
      </c>
      <c r="P478" s="8" t="inlineStr">
        <is>
          <t>TN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900001810</v>
      </c>
      <c r="D479" s="7">
        <f>IFERROR(VLOOKUP(C479,TRAOPE!$G:$H,2,0),"")</f>
        <v/>
      </c>
      <c r="E479" s="8" t="inlineStr">
        <is>
          <t>DW70</t>
        </is>
      </c>
      <c r="F479" s="8" t="inlineStr">
        <is>
          <t>D136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10000357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20260115</t>
        </is>
      </c>
      <c r="M479" s="8" t="inlineStr">
        <is>
          <t>20260115</t>
        </is>
      </c>
      <c r="N479" s="10" t="n">
        <v>95.78</v>
      </c>
      <c r="O479" s="10">
        <f>IFERROR(VLOOKUP(A479,Flete!$A:$J,10,0),"")</f>
        <v/>
      </c>
      <c r="P479" s="8" t="inlineStr">
        <is>
          <t>TN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900001810</v>
      </c>
      <c r="D480" s="7">
        <f>IFERROR(VLOOKUP(C480,TRAOPE!$G:$H,2,0),"")</f>
        <v/>
      </c>
      <c r="E480" s="8" t="inlineStr">
        <is>
          <t>DW70</t>
        </is>
      </c>
      <c r="F480" s="8" t="inlineStr">
        <is>
          <t>D136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10000627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20260115</t>
        </is>
      </c>
      <c r="M480" s="8" t="inlineStr">
        <is>
          <t>99991231</t>
        </is>
      </c>
      <c r="N480" s="10" t="n">
        <v>63.91</v>
      </c>
      <c r="O480" s="10">
        <f>IFERROR(VLOOKUP(A480,Flete!$A:$J,10,0),"")</f>
        <v/>
      </c>
      <c r="P480" s="8" t="inlineStr">
        <is>
          <t>TN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900001810</v>
      </c>
      <c r="D481" s="7">
        <f>IFERROR(VLOOKUP(C481,TRAOPE!$G:$H,2,0),"")</f>
        <v/>
      </c>
      <c r="E481" s="8" t="inlineStr">
        <is>
          <t>DW70</t>
        </is>
      </c>
      <c r="F481" s="8" t="inlineStr">
        <is>
          <t>D136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10275116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20260317</t>
        </is>
      </c>
      <c r="M481" s="8" t="inlineStr">
        <is>
          <t>99991231</t>
        </is>
      </c>
      <c r="N481" s="10" t="n">
        <v>97.79000000000001</v>
      </c>
      <c r="O481" s="10">
        <f>IFERROR(VLOOKUP(A481,Flete!$A:$J,10,0),"")</f>
        <v/>
      </c>
      <c r="P481" s="8" t="inlineStr">
        <is>
          <t>TN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900001810</v>
      </c>
      <c r="D482" s="7">
        <f>IFERROR(VLOOKUP(C482,TRAOPE!$G:$H,2,0),"")</f>
        <v/>
      </c>
      <c r="E482" s="8" t="inlineStr">
        <is>
          <t>DW70</t>
        </is>
      </c>
      <c r="F482" s="8" t="inlineStr">
        <is>
          <t>D136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10275118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20260317</t>
        </is>
      </c>
      <c r="M482" s="8" t="inlineStr">
        <is>
          <t>99991231</t>
        </is>
      </c>
      <c r="N482" s="10" t="n">
        <v>80.66</v>
      </c>
      <c r="O482" s="10">
        <f>IFERROR(VLOOKUP(A482,Flete!$A:$J,10,0),"")</f>
        <v/>
      </c>
      <c r="P482" s="8" t="inlineStr">
        <is>
          <t>TN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900001810</v>
      </c>
      <c r="D483" s="7">
        <f>IFERROR(VLOOKUP(C483,TRAOPE!$G:$H,2,0),"")</f>
        <v/>
      </c>
      <c r="E483" s="8" t="inlineStr">
        <is>
          <t>DW70</t>
        </is>
      </c>
      <c r="F483" s="8" t="inlineStr">
        <is>
          <t>D145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10000160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20260115</t>
        </is>
      </c>
      <c r="M483" s="8" t="inlineStr">
        <is>
          <t>20260115</t>
        </is>
      </c>
      <c r="N483" s="10" t="n">
        <v>76.65000000000001</v>
      </c>
      <c r="O483" s="10">
        <f>IFERROR(VLOOKUP(A483,Flete!$A:$J,10,0),"")</f>
        <v/>
      </c>
      <c r="P483" s="8" t="inlineStr">
        <is>
          <t>TN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900001810</v>
      </c>
      <c r="D484" s="7">
        <f>IFERROR(VLOOKUP(C484,TRAOPE!$G:$H,2,0),"")</f>
        <v/>
      </c>
      <c r="E484" s="8" t="inlineStr">
        <is>
          <t>DW70</t>
        </is>
      </c>
      <c r="F484" s="8" t="inlineStr">
        <is>
          <t>D145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10000357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20260115</t>
        </is>
      </c>
      <c r="M484" s="8" t="inlineStr">
        <is>
          <t>20260115</t>
        </is>
      </c>
      <c r="N484" s="10" t="n">
        <v>95.78</v>
      </c>
      <c r="O484" s="10">
        <f>IFERROR(VLOOKUP(A484,Flete!$A:$J,10,0),"")</f>
        <v/>
      </c>
      <c r="P484" s="8" t="inlineStr">
        <is>
          <t>TN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900001810</v>
      </c>
      <c r="D485" s="7">
        <f>IFERROR(VLOOKUP(C485,TRAOPE!$G:$H,2,0),"")</f>
        <v/>
      </c>
      <c r="E485" s="8" t="inlineStr">
        <is>
          <t>DW70</t>
        </is>
      </c>
      <c r="F485" s="8" t="inlineStr">
        <is>
          <t>D145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10000627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20260115</t>
        </is>
      </c>
      <c r="M485" s="8" t="inlineStr">
        <is>
          <t>99991231</t>
        </is>
      </c>
      <c r="N485" s="10" t="n">
        <v>63.91</v>
      </c>
      <c r="O485" s="10">
        <f>IFERROR(VLOOKUP(A485,Flete!$A:$J,10,0),"")</f>
        <v/>
      </c>
      <c r="P485" s="8" t="inlineStr">
        <is>
          <t>TN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900001810</v>
      </c>
      <c r="D486" s="7">
        <f>IFERROR(VLOOKUP(C486,TRAOPE!$G:$H,2,0),"")</f>
        <v/>
      </c>
      <c r="E486" s="8" t="inlineStr">
        <is>
          <t>DW70</t>
        </is>
      </c>
      <c r="F486" s="8" t="inlineStr">
        <is>
          <t>D145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10275116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20260317</t>
        </is>
      </c>
      <c r="M486" s="8" t="inlineStr">
        <is>
          <t>99991231</t>
        </is>
      </c>
      <c r="N486" s="10" t="n">
        <v>97.79000000000001</v>
      </c>
      <c r="O486" s="10">
        <f>IFERROR(VLOOKUP(A486,Flete!$A:$J,10,0),"")</f>
        <v/>
      </c>
      <c r="P486" s="8" t="inlineStr">
        <is>
          <t>TN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900001810</v>
      </c>
      <c r="D487" s="7">
        <f>IFERROR(VLOOKUP(C487,TRAOPE!$G:$H,2,0),"")</f>
        <v/>
      </c>
      <c r="E487" s="8" t="inlineStr">
        <is>
          <t>DW70</t>
        </is>
      </c>
      <c r="F487" s="8" t="inlineStr">
        <is>
          <t>D145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10275118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20260317</t>
        </is>
      </c>
      <c r="M487" s="8" t="inlineStr">
        <is>
          <t>99991231</t>
        </is>
      </c>
      <c r="N487" s="10" t="n">
        <v>80.66</v>
      </c>
      <c r="O487" s="10">
        <f>IFERROR(VLOOKUP(A487,Flete!$A:$J,10,0),"")</f>
        <v/>
      </c>
      <c r="P487" s="8" t="inlineStr">
        <is>
          <t>TN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900001810</v>
      </c>
      <c r="D488" s="7">
        <f>IFERROR(VLOOKUP(C488,TRAOPE!$G:$H,2,0),"")</f>
        <v/>
      </c>
      <c r="E488" s="8" t="inlineStr">
        <is>
          <t>DW70</t>
        </is>
      </c>
      <c r="F488" s="8" t="inlineStr">
        <is>
          <t>ENDC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10000160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20250701</t>
        </is>
      </c>
      <c r="M488" s="8" t="inlineStr">
        <is>
          <t>20251031</t>
        </is>
      </c>
      <c r="N488" s="10" t="n">
        <v>223.56</v>
      </c>
      <c r="O488" s="10">
        <f>IFERROR(VLOOKUP(A488,Flete!$A:$J,10,0),"")</f>
        <v/>
      </c>
      <c r="P488" s="8" t="inlineStr">
        <is>
          <t>TN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900001810</v>
      </c>
      <c r="D489" s="7">
        <f>IFERROR(VLOOKUP(C489,TRAOPE!$G:$H,2,0),"")</f>
        <v/>
      </c>
      <c r="E489" s="8" t="inlineStr">
        <is>
          <t>DW70</t>
        </is>
      </c>
      <c r="F489" s="8" t="inlineStr">
        <is>
          <t>ENDC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10000206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20250701</t>
        </is>
      </c>
      <c r="M489" s="8" t="inlineStr">
        <is>
          <t>20251031</t>
        </is>
      </c>
      <c r="N489" s="10" t="n">
        <v>168.13</v>
      </c>
      <c r="O489" s="10">
        <f>IFERROR(VLOOKUP(A489,Flete!$A:$J,10,0),"")</f>
        <v/>
      </c>
      <c r="P489" s="8" t="inlineStr">
        <is>
          <t>TN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900001810</v>
      </c>
      <c r="D490" s="7">
        <f>IFERROR(VLOOKUP(C490,TRAOPE!$G:$H,2,0),"")</f>
        <v/>
      </c>
      <c r="E490" s="8" t="inlineStr">
        <is>
          <t>DW70</t>
        </is>
      </c>
      <c r="F490" s="8" t="inlineStr">
        <is>
          <t>ENDC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10175723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20260113</t>
        </is>
      </c>
      <c r="M490" s="8" t="inlineStr">
        <is>
          <t>99991231</t>
        </is>
      </c>
      <c r="N490" s="10" t="n">
        <v>106.06</v>
      </c>
      <c r="O490" s="10">
        <f>IFERROR(VLOOKUP(A490,Flete!$A:$J,10,0),"")</f>
        <v/>
      </c>
      <c r="P490" s="8" t="inlineStr">
        <is>
          <t>TN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900001810</v>
      </c>
      <c r="D491" s="7">
        <f>IFERROR(VLOOKUP(C491,TRAOPE!$G:$H,2,0),"")</f>
        <v/>
      </c>
      <c r="E491" s="8" t="inlineStr">
        <is>
          <t>DW70</t>
        </is>
      </c>
      <c r="F491" s="8" t="inlineStr">
        <is>
          <t>ENXF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10175723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20260113</t>
        </is>
      </c>
      <c r="M491" s="8" t="inlineStr">
        <is>
          <t>99991231</t>
        </is>
      </c>
      <c r="N491" s="10" t="n">
        <v>106.06</v>
      </c>
      <c r="O491" s="10">
        <f>IFERROR(VLOOKUP(A491,Flete!$A:$J,10,0),"")</f>
        <v/>
      </c>
      <c r="P491" s="8" t="inlineStr">
        <is>
          <t>TN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900002366</v>
      </c>
      <c r="D492" s="7">
        <f>IFERROR(VLOOKUP(C492,TRAOPE!$G:$H,2,0),"")</f>
        <v/>
      </c>
      <c r="E492" s="8" t="inlineStr">
        <is>
          <t>DW70</t>
        </is>
      </c>
      <c r="F492" s="8" t="inlineStr">
        <is>
          <t>D074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10035042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20230501</t>
        </is>
      </c>
      <c r="M492" s="8" t="inlineStr">
        <is>
          <t>20250131</t>
        </is>
      </c>
      <c r="N492" s="10" t="n">
        <v>80.83</v>
      </c>
      <c r="O492" s="10">
        <f>IFERROR(VLOOKUP(A492,Flete!$A:$J,10,0),"")</f>
        <v/>
      </c>
      <c r="P492" s="8" t="inlineStr">
        <is>
          <t>TN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900002366</v>
      </c>
      <c r="D493" s="7">
        <f>IFERROR(VLOOKUP(C493,TRAOPE!$G:$H,2,0),"")</f>
        <v/>
      </c>
      <c r="E493" s="8" t="inlineStr">
        <is>
          <t>DW70</t>
        </is>
      </c>
      <c r="F493" s="8" t="inlineStr">
        <is>
          <t>D081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10035042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20230501</t>
        </is>
      </c>
      <c r="M493" s="8" t="inlineStr">
        <is>
          <t>20250131</t>
        </is>
      </c>
      <c r="N493" s="10" t="n">
        <v>80.83</v>
      </c>
      <c r="O493" s="10">
        <f>IFERROR(VLOOKUP(A493,Flete!$A:$J,10,0),"")</f>
        <v/>
      </c>
      <c r="P493" s="8" t="inlineStr">
        <is>
          <t>TN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900002366</v>
      </c>
      <c r="D494" s="7">
        <f>IFERROR(VLOOKUP(C494,TRAOPE!$G:$H,2,0),"")</f>
        <v/>
      </c>
      <c r="E494" s="8" t="inlineStr">
        <is>
          <t>DW70</t>
        </is>
      </c>
      <c r="F494" s="8" t="inlineStr">
        <is>
          <t>D083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10035042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20230501</t>
        </is>
      </c>
      <c r="M494" s="8" t="inlineStr">
        <is>
          <t>20250131</t>
        </is>
      </c>
      <c r="N494" s="10" t="n">
        <v>80.83</v>
      </c>
      <c r="O494" s="10">
        <f>IFERROR(VLOOKUP(A494,Flete!$A:$J,10,0),"")</f>
        <v/>
      </c>
      <c r="P494" s="8" t="inlineStr">
        <is>
          <t>TN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900002366</v>
      </c>
      <c r="D495" s="7">
        <f>IFERROR(VLOOKUP(C495,TRAOPE!$G:$H,2,0),"")</f>
        <v/>
      </c>
      <c r="E495" s="8" t="inlineStr">
        <is>
          <t>DW70</t>
        </is>
      </c>
      <c r="F495" s="8" t="inlineStr">
        <is>
          <t>D105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10035042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20230501</t>
        </is>
      </c>
      <c r="M495" s="8" t="inlineStr">
        <is>
          <t>20250131</t>
        </is>
      </c>
      <c r="N495" s="10" t="n">
        <v>80.83</v>
      </c>
      <c r="O495" s="10">
        <f>IFERROR(VLOOKUP(A495,Flete!$A:$J,10,0),"")</f>
        <v/>
      </c>
      <c r="P495" s="8" t="inlineStr">
        <is>
          <t>TN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900002366</v>
      </c>
      <c r="D496" s="7">
        <f>IFERROR(VLOOKUP(C496,TRAOPE!$G:$H,2,0),"")</f>
        <v/>
      </c>
      <c r="E496" s="8" t="inlineStr">
        <is>
          <t>DW70</t>
        </is>
      </c>
      <c r="F496" s="8" t="inlineStr">
        <is>
          <t>D136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10035042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20230501</t>
        </is>
      </c>
      <c r="M496" s="8" t="inlineStr">
        <is>
          <t>20250131</t>
        </is>
      </c>
      <c r="N496" s="10" t="n">
        <v>80.83</v>
      </c>
      <c r="O496" s="10">
        <f>IFERROR(VLOOKUP(A496,Flete!$A:$J,10,0),"")</f>
        <v/>
      </c>
      <c r="P496" s="8" t="inlineStr">
        <is>
          <t>TN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900002813</v>
      </c>
      <c r="D497" s="7">
        <f>IFERROR(VLOOKUP(C497,TRAOPE!$G:$H,2,0),"")</f>
        <v/>
      </c>
      <c r="E497" s="8" t="inlineStr">
        <is>
          <t>DW70</t>
        </is>
      </c>
      <c r="F497" s="8" t="inlineStr">
        <is>
          <t>D074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10000133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20260330</t>
        </is>
      </c>
      <c r="M497" s="8" t="inlineStr">
        <is>
          <t>99991231</t>
        </is>
      </c>
      <c r="N497" s="10" t="n">
        <v>100</v>
      </c>
      <c r="O497" s="10">
        <f>IFERROR(VLOOKUP(A497,Flete!$A:$J,10,0),"")</f>
        <v/>
      </c>
      <c r="P497" s="8" t="inlineStr">
        <is>
          <t>TN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900002813</v>
      </c>
      <c r="D498" s="7">
        <f>IFERROR(VLOOKUP(C498,TRAOPE!$G:$H,2,0),"")</f>
        <v/>
      </c>
      <c r="E498" s="8" t="inlineStr">
        <is>
          <t>DW70</t>
        </is>
      </c>
      <c r="F498" s="8" t="inlineStr">
        <is>
          <t>D074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10000623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20260330</t>
        </is>
      </c>
      <c r="M498" s="8" t="inlineStr">
        <is>
          <t>99991231</t>
        </is>
      </c>
      <c r="N498" s="10" t="n">
        <v>110</v>
      </c>
      <c r="O498" s="10">
        <f>IFERROR(VLOOKUP(A498,Flete!$A:$J,10,0),"")</f>
        <v/>
      </c>
      <c r="P498" s="8" t="inlineStr">
        <is>
          <t>TN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900002813</v>
      </c>
      <c r="D499" s="7">
        <f>IFERROR(VLOOKUP(C499,TRAOPE!$G:$H,2,0),"")</f>
        <v/>
      </c>
      <c r="E499" s="8" t="inlineStr">
        <is>
          <t>DW70</t>
        </is>
      </c>
      <c r="F499" s="8" t="inlineStr">
        <is>
          <t>D074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10000630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20230501</t>
        </is>
      </c>
      <c r="M499" s="8" t="inlineStr">
        <is>
          <t>20250131</t>
        </is>
      </c>
      <c r="N499" s="10" t="n">
        <v>98.42</v>
      </c>
      <c r="O499" s="10">
        <f>IFERROR(VLOOKUP(A499,Flete!$A:$J,10,0),"")</f>
        <v/>
      </c>
      <c r="P499" s="8" t="inlineStr">
        <is>
          <t>TN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900002813</v>
      </c>
      <c r="D500" s="7">
        <f>IFERROR(VLOOKUP(C500,TRAOPE!$G:$H,2,0),"")</f>
        <v/>
      </c>
      <c r="E500" s="8" t="inlineStr">
        <is>
          <t>DW70</t>
        </is>
      </c>
      <c r="F500" s="8" t="inlineStr">
        <is>
          <t>D074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10000722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20230501</t>
        </is>
      </c>
      <c r="M500" s="8" t="inlineStr">
        <is>
          <t>20250131</t>
        </is>
      </c>
      <c r="N500" s="10" t="n">
        <v>98.43000000000001</v>
      </c>
      <c r="O500" s="10">
        <f>IFERROR(VLOOKUP(A500,Flete!$A:$J,10,0),"")</f>
        <v/>
      </c>
      <c r="P500" s="8" t="inlineStr">
        <is>
          <t>TN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900002813</v>
      </c>
      <c r="D501" s="7">
        <f>IFERROR(VLOOKUP(C501,TRAOPE!$G:$H,2,0),"")</f>
        <v/>
      </c>
      <c r="E501" s="8" t="inlineStr">
        <is>
          <t>DW70</t>
        </is>
      </c>
      <c r="F501" s="8" t="inlineStr">
        <is>
          <t>D074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10257024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20260330</t>
        </is>
      </c>
      <c r="M501" s="8" t="inlineStr">
        <is>
          <t>99991231</t>
        </is>
      </c>
      <c r="N501" s="10" t="n">
        <v>115</v>
      </c>
      <c r="O501" s="10">
        <f>IFERROR(VLOOKUP(A501,Flete!$A:$J,10,0),"")</f>
        <v/>
      </c>
      <c r="P501" s="8" t="inlineStr">
        <is>
          <t>TN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900002813</v>
      </c>
      <c r="D502" s="7">
        <f>IFERROR(VLOOKUP(C502,TRAOPE!$G:$H,2,0),"")</f>
        <v/>
      </c>
      <c r="E502" s="8" t="inlineStr">
        <is>
          <t>DW70</t>
        </is>
      </c>
      <c r="F502" s="8" t="inlineStr">
        <is>
          <t>D075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10000133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20260330</t>
        </is>
      </c>
      <c r="M502" s="8" t="inlineStr">
        <is>
          <t>99991231</t>
        </is>
      </c>
      <c r="N502" s="10" t="n">
        <v>100</v>
      </c>
      <c r="O502" s="10">
        <f>IFERROR(VLOOKUP(A502,Flete!$A:$J,10,0),"")</f>
        <v/>
      </c>
      <c r="P502" s="8" t="inlineStr">
        <is>
          <t>TN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900002813</v>
      </c>
      <c r="D503" s="7">
        <f>IFERROR(VLOOKUP(C503,TRAOPE!$G:$H,2,0),"")</f>
        <v/>
      </c>
      <c r="E503" s="8" t="inlineStr">
        <is>
          <t>DW70</t>
        </is>
      </c>
      <c r="F503" s="8" t="inlineStr">
        <is>
          <t>D075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10000623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20260330</t>
        </is>
      </c>
      <c r="M503" s="8" t="inlineStr">
        <is>
          <t>99991231</t>
        </is>
      </c>
      <c r="N503" s="10" t="n">
        <v>110</v>
      </c>
      <c r="O503" s="10">
        <f>IFERROR(VLOOKUP(A503,Flete!$A:$J,10,0),"")</f>
        <v/>
      </c>
      <c r="P503" s="8" t="inlineStr">
        <is>
          <t>TN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900002813</v>
      </c>
      <c r="D504" s="7">
        <f>IFERROR(VLOOKUP(C504,TRAOPE!$G:$H,2,0),"")</f>
        <v/>
      </c>
      <c r="E504" s="8" t="inlineStr">
        <is>
          <t>DW70</t>
        </is>
      </c>
      <c r="F504" s="8" t="inlineStr">
        <is>
          <t>D075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10000630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20230501</t>
        </is>
      </c>
      <c r="M504" s="8" t="inlineStr">
        <is>
          <t>20250131</t>
        </is>
      </c>
      <c r="N504" s="10" t="n">
        <v>98.42</v>
      </c>
      <c r="O504" s="10">
        <f>IFERROR(VLOOKUP(A504,Flete!$A:$J,10,0),"")</f>
        <v/>
      </c>
      <c r="P504" s="8" t="inlineStr">
        <is>
          <t>TN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900002813</v>
      </c>
      <c r="D505" s="7">
        <f>IFERROR(VLOOKUP(C505,TRAOPE!$G:$H,2,0),"")</f>
        <v/>
      </c>
      <c r="E505" s="8" t="inlineStr">
        <is>
          <t>DW70</t>
        </is>
      </c>
      <c r="F505" s="8" t="inlineStr">
        <is>
          <t>D075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10000722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20230501</t>
        </is>
      </c>
      <c r="M505" s="8" t="inlineStr">
        <is>
          <t>20250131</t>
        </is>
      </c>
      <c r="N505" s="10" t="n">
        <v>98.43000000000001</v>
      </c>
      <c r="O505" s="10">
        <f>IFERROR(VLOOKUP(A505,Flete!$A:$J,10,0),"")</f>
        <v/>
      </c>
      <c r="P505" s="8" t="inlineStr">
        <is>
          <t>TN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900002813</v>
      </c>
      <c r="D506" s="7">
        <f>IFERROR(VLOOKUP(C506,TRAOPE!$G:$H,2,0),"")</f>
        <v/>
      </c>
      <c r="E506" s="8" t="inlineStr">
        <is>
          <t>DW70</t>
        </is>
      </c>
      <c r="F506" s="8" t="inlineStr">
        <is>
          <t>D075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10257024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20260330</t>
        </is>
      </c>
      <c r="M506" s="8" t="inlineStr">
        <is>
          <t>99991231</t>
        </is>
      </c>
      <c r="N506" s="10" t="n">
        <v>115</v>
      </c>
      <c r="O506" s="10">
        <f>IFERROR(VLOOKUP(A506,Flete!$A:$J,10,0),"")</f>
        <v/>
      </c>
      <c r="P506" s="8" t="inlineStr">
        <is>
          <t>TN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900002813</v>
      </c>
      <c r="D507" s="7">
        <f>IFERROR(VLOOKUP(C507,TRAOPE!$G:$H,2,0),"")</f>
        <v/>
      </c>
      <c r="E507" s="8" t="inlineStr">
        <is>
          <t>DW70</t>
        </is>
      </c>
      <c r="F507" s="8" t="inlineStr">
        <is>
          <t>D077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10000133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20260330</t>
        </is>
      </c>
      <c r="M507" s="8" t="inlineStr">
        <is>
          <t>99991231</t>
        </is>
      </c>
      <c r="N507" s="10" t="n">
        <v>100</v>
      </c>
      <c r="O507" s="10">
        <f>IFERROR(VLOOKUP(A507,Flete!$A:$J,10,0),"")</f>
        <v/>
      </c>
      <c r="P507" s="8" t="inlineStr">
        <is>
          <t>TN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900002813</v>
      </c>
      <c r="D508" s="7">
        <f>IFERROR(VLOOKUP(C508,TRAOPE!$G:$H,2,0),"")</f>
        <v/>
      </c>
      <c r="E508" s="8" t="inlineStr">
        <is>
          <t>DW70</t>
        </is>
      </c>
      <c r="F508" s="8" t="inlineStr">
        <is>
          <t>D077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10000623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20260330</t>
        </is>
      </c>
      <c r="M508" s="8" t="inlineStr">
        <is>
          <t>99991231</t>
        </is>
      </c>
      <c r="N508" s="10" t="n">
        <v>110</v>
      </c>
      <c r="O508" s="10">
        <f>IFERROR(VLOOKUP(A508,Flete!$A:$J,10,0),"")</f>
        <v/>
      </c>
      <c r="P508" s="8" t="inlineStr">
        <is>
          <t>TN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900002813</v>
      </c>
      <c r="D509" s="7">
        <f>IFERROR(VLOOKUP(C509,TRAOPE!$G:$H,2,0),"")</f>
        <v/>
      </c>
      <c r="E509" s="8" t="inlineStr">
        <is>
          <t>DW70</t>
        </is>
      </c>
      <c r="F509" s="8" t="inlineStr">
        <is>
          <t>D077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10000630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20230501</t>
        </is>
      </c>
      <c r="M509" s="8" t="inlineStr">
        <is>
          <t>20250131</t>
        </is>
      </c>
      <c r="N509" s="10" t="n">
        <v>98.42</v>
      </c>
      <c r="O509" s="10">
        <f>IFERROR(VLOOKUP(A509,Flete!$A:$J,10,0),"")</f>
        <v/>
      </c>
      <c r="P509" s="8" t="inlineStr">
        <is>
          <t>TN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900002813</v>
      </c>
      <c r="D510" s="7">
        <f>IFERROR(VLOOKUP(C510,TRAOPE!$G:$H,2,0),"")</f>
        <v/>
      </c>
      <c r="E510" s="8" t="inlineStr">
        <is>
          <t>DW70</t>
        </is>
      </c>
      <c r="F510" s="8" t="inlineStr">
        <is>
          <t>D077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10000722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20230501</t>
        </is>
      </c>
      <c r="M510" s="8" t="inlineStr">
        <is>
          <t>20250131</t>
        </is>
      </c>
      <c r="N510" s="10" t="n">
        <v>98.43000000000001</v>
      </c>
      <c r="O510" s="10">
        <f>IFERROR(VLOOKUP(A510,Flete!$A:$J,10,0),"")</f>
        <v/>
      </c>
      <c r="P510" s="8" t="inlineStr">
        <is>
          <t>TN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900002813</v>
      </c>
      <c r="D511" s="7">
        <f>IFERROR(VLOOKUP(C511,TRAOPE!$G:$H,2,0),"")</f>
        <v/>
      </c>
      <c r="E511" s="8" t="inlineStr">
        <is>
          <t>DW70</t>
        </is>
      </c>
      <c r="F511" s="8" t="inlineStr">
        <is>
          <t>D077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10257024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20260330</t>
        </is>
      </c>
      <c r="M511" s="8" t="inlineStr">
        <is>
          <t>99991231</t>
        </is>
      </c>
      <c r="N511" s="10" t="n">
        <v>115</v>
      </c>
      <c r="O511" s="10">
        <f>IFERROR(VLOOKUP(A511,Flete!$A:$J,10,0),"")</f>
        <v/>
      </c>
      <c r="P511" s="8" t="inlineStr">
        <is>
          <t>TN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900002813</v>
      </c>
      <c r="D512" s="7">
        <f>IFERROR(VLOOKUP(C512,TRAOPE!$G:$H,2,0),"")</f>
        <v/>
      </c>
      <c r="E512" s="8" t="inlineStr">
        <is>
          <t>DW70</t>
        </is>
      </c>
      <c r="F512" s="8" t="inlineStr">
        <is>
          <t>D079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10000133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20260330</t>
        </is>
      </c>
      <c r="M512" s="8" t="inlineStr">
        <is>
          <t>99991231</t>
        </is>
      </c>
      <c r="N512" s="10" t="n">
        <v>100</v>
      </c>
      <c r="O512" s="10">
        <f>IFERROR(VLOOKUP(A512,Flete!$A:$J,10,0),"")</f>
        <v/>
      </c>
      <c r="P512" s="8" t="inlineStr">
        <is>
          <t>TN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900002813</v>
      </c>
      <c r="D513" s="7">
        <f>IFERROR(VLOOKUP(C513,TRAOPE!$G:$H,2,0),"")</f>
        <v/>
      </c>
      <c r="E513" s="8" t="inlineStr">
        <is>
          <t>DW70</t>
        </is>
      </c>
      <c r="F513" s="8" t="inlineStr">
        <is>
          <t>D079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10000623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20260330</t>
        </is>
      </c>
      <c r="M513" s="8" t="inlineStr">
        <is>
          <t>99991231</t>
        </is>
      </c>
      <c r="N513" s="10" t="n">
        <v>110</v>
      </c>
      <c r="O513" s="10">
        <f>IFERROR(VLOOKUP(A513,Flete!$A:$J,10,0),"")</f>
        <v/>
      </c>
      <c r="P513" s="8" t="inlineStr">
        <is>
          <t>TN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900002813</v>
      </c>
      <c r="D514" s="7">
        <f>IFERROR(VLOOKUP(C514,TRAOPE!$G:$H,2,0),"")</f>
        <v/>
      </c>
      <c r="E514" s="8" t="inlineStr">
        <is>
          <t>DW70</t>
        </is>
      </c>
      <c r="F514" s="8" t="inlineStr">
        <is>
          <t>D079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10000630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20230501</t>
        </is>
      </c>
      <c r="M514" s="8" t="inlineStr">
        <is>
          <t>20250131</t>
        </is>
      </c>
      <c r="N514" s="10" t="n">
        <v>98.42</v>
      </c>
      <c r="O514" s="10">
        <f>IFERROR(VLOOKUP(A514,Flete!$A:$J,10,0),"")</f>
        <v/>
      </c>
      <c r="P514" s="8" t="inlineStr">
        <is>
          <t>TN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900002813</v>
      </c>
      <c r="D515" s="7">
        <f>IFERROR(VLOOKUP(C515,TRAOPE!$G:$H,2,0),"")</f>
        <v/>
      </c>
      <c r="E515" s="8" t="inlineStr">
        <is>
          <t>DW70</t>
        </is>
      </c>
      <c r="F515" s="8" t="inlineStr">
        <is>
          <t>D079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10000722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20230501</t>
        </is>
      </c>
      <c r="M515" s="8" t="inlineStr">
        <is>
          <t>20250131</t>
        </is>
      </c>
      <c r="N515" s="10" t="n">
        <v>98.43000000000001</v>
      </c>
      <c r="O515" s="10">
        <f>IFERROR(VLOOKUP(A515,Flete!$A:$J,10,0),"")</f>
        <v/>
      </c>
      <c r="P515" s="8" t="inlineStr">
        <is>
          <t>TN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900002813</v>
      </c>
      <c r="D516" s="7">
        <f>IFERROR(VLOOKUP(C516,TRAOPE!$G:$H,2,0),"")</f>
        <v/>
      </c>
      <c r="E516" s="8" t="inlineStr">
        <is>
          <t>DW70</t>
        </is>
      </c>
      <c r="F516" s="8" t="inlineStr">
        <is>
          <t>D079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10257024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20260330</t>
        </is>
      </c>
      <c r="M516" s="8" t="inlineStr">
        <is>
          <t>99991231</t>
        </is>
      </c>
      <c r="N516" s="10" t="n">
        <v>115</v>
      </c>
      <c r="O516" s="10">
        <f>IFERROR(VLOOKUP(A516,Flete!$A:$J,10,0),"")</f>
        <v/>
      </c>
      <c r="P516" s="8" t="inlineStr">
        <is>
          <t>TN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900002813</v>
      </c>
      <c r="D517" s="7">
        <f>IFERROR(VLOOKUP(C517,TRAOPE!$G:$H,2,0),"")</f>
        <v/>
      </c>
      <c r="E517" s="8" t="inlineStr">
        <is>
          <t>DW70</t>
        </is>
      </c>
      <c r="F517" s="8" t="inlineStr">
        <is>
          <t>D080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10000133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20260330</t>
        </is>
      </c>
      <c r="M517" s="8" t="inlineStr">
        <is>
          <t>99991231</t>
        </is>
      </c>
      <c r="N517" s="10" t="n">
        <v>100</v>
      </c>
      <c r="O517" s="10">
        <f>IFERROR(VLOOKUP(A517,Flete!$A:$J,10,0),"")</f>
        <v/>
      </c>
      <c r="P517" s="8" t="inlineStr">
        <is>
          <t>TN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900002813</v>
      </c>
      <c r="D518" s="7">
        <f>IFERROR(VLOOKUP(C518,TRAOPE!$G:$H,2,0),"")</f>
        <v/>
      </c>
      <c r="E518" s="8" t="inlineStr">
        <is>
          <t>DW70</t>
        </is>
      </c>
      <c r="F518" s="8" t="inlineStr">
        <is>
          <t>D080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10000623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20260330</t>
        </is>
      </c>
      <c r="M518" s="8" t="inlineStr">
        <is>
          <t>99991231</t>
        </is>
      </c>
      <c r="N518" s="10" t="n">
        <v>110</v>
      </c>
      <c r="O518" s="10">
        <f>IFERROR(VLOOKUP(A518,Flete!$A:$J,10,0),"")</f>
        <v/>
      </c>
      <c r="P518" s="8" t="inlineStr">
        <is>
          <t>TN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900002813</v>
      </c>
      <c r="D519" s="7">
        <f>IFERROR(VLOOKUP(C519,TRAOPE!$G:$H,2,0),"")</f>
        <v/>
      </c>
      <c r="E519" s="8" t="inlineStr">
        <is>
          <t>DW70</t>
        </is>
      </c>
      <c r="F519" s="8" t="inlineStr">
        <is>
          <t>D080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10000630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20230501</t>
        </is>
      </c>
      <c r="M519" s="8" t="inlineStr">
        <is>
          <t>20250131</t>
        </is>
      </c>
      <c r="N519" s="10" t="n">
        <v>98.42</v>
      </c>
      <c r="O519" s="10">
        <f>IFERROR(VLOOKUP(A519,Flete!$A:$J,10,0),"")</f>
        <v/>
      </c>
      <c r="P519" s="8" t="inlineStr">
        <is>
          <t>TN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900002813</v>
      </c>
      <c r="D520" s="7">
        <f>IFERROR(VLOOKUP(C520,TRAOPE!$G:$H,2,0),"")</f>
        <v/>
      </c>
      <c r="E520" s="8" t="inlineStr">
        <is>
          <t>DW70</t>
        </is>
      </c>
      <c r="F520" s="8" t="inlineStr">
        <is>
          <t>D080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10000722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20230501</t>
        </is>
      </c>
      <c r="M520" s="8" t="inlineStr">
        <is>
          <t>20250131</t>
        </is>
      </c>
      <c r="N520" s="10" t="n">
        <v>98.43000000000001</v>
      </c>
      <c r="O520" s="10">
        <f>IFERROR(VLOOKUP(A520,Flete!$A:$J,10,0),"")</f>
        <v/>
      </c>
      <c r="P520" s="8" t="inlineStr">
        <is>
          <t>TN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900002813</v>
      </c>
      <c r="D521" s="7">
        <f>IFERROR(VLOOKUP(C521,TRAOPE!$G:$H,2,0),"")</f>
        <v/>
      </c>
      <c r="E521" s="8" t="inlineStr">
        <is>
          <t>DW70</t>
        </is>
      </c>
      <c r="F521" s="8" t="inlineStr">
        <is>
          <t>D080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10257024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20260330</t>
        </is>
      </c>
      <c r="M521" s="8" t="inlineStr">
        <is>
          <t>99991231</t>
        </is>
      </c>
      <c r="N521" s="10" t="n">
        <v>115</v>
      </c>
      <c r="O521" s="10">
        <f>IFERROR(VLOOKUP(A521,Flete!$A:$J,10,0),"")</f>
        <v/>
      </c>
      <c r="P521" s="8" t="inlineStr">
        <is>
          <t>TN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900002813</v>
      </c>
      <c r="D522" s="7">
        <f>IFERROR(VLOOKUP(C522,TRAOPE!$G:$H,2,0),"")</f>
        <v/>
      </c>
      <c r="E522" s="8" t="inlineStr">
        <is>
          <t>DW70</t>
        </is>
      </c>
      <c r="F522" s="8" t="inlineStr">
        <is>
          <t>D081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10000133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20260330</t>
        </is>
      </c>
      <c r="M522" s="8" t="inlineStr">
        <is>
          <t>99991231</t>
        </is>
      </c>
      <c r="N522" s="10" t="n">
        <v>100</v>
      </c>
      <c r="O522" s="10">
        <f>IFERROR(VLOOKUP(A522,Flete!$A:$J,10,0),"")</f>
        <v/>
      </c>
      <c r="P522" s="8" t="inlineStr">
        <is>
          <t>TN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900002813</v>
      </c>
      <c r="D523" s="7">
        <f>IFERROR(VLOOKUP(C523,TRAOPE!$G:$H,2,0),"")</f>
        <v/>
      </c>
      <c r="E523" s="8" t="inlineStr">
        <is>
          <t>DW70</t>
        </is>
      </c>
      <c r="F523" s="8" t="inlineStr">
        <is>
          <t>D081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10000623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20260330</t>
        </is>
      </c>
      <c r="M523" s="8" t="inlineStr">
        <is>
          <t>99991231</t>
        </is>
      </c>
      <c r="N523" s="10" t="n">
        <v>110</v>
      </c>
      <c r="O523" s="10">
        <f>IFERROR(VLOOKUP(A523,Flete!$A:$J,10,0),"")</f>
        <v/>
      </c>
      <c r="P523" s="8" t="inlineStr">
        <is>
          <t>TN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900002813</v>
      </c>
      <c r="D524" s="7">
        <f>IFERROR(VLOOKUP(C524,TRAOPE!$G:$H,2,0),"")</f>
        <v/>
      </c>
      <c r="E524" s="8" t="inlineStr">
        <is>
          <t>DW70</t>
        </is>
      </c>
      <c r="F524" s="8" t="inlineStr">
        <is>
          <t>D081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10000630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20230501</t>
        </is>
      </c>
      <c r="M524" s="8" t="inlineStr">
        <is>
          <t>20250131</t>
        </is>
      </c>
      <c r="N524" s="10" t="n">
        <v>98.42</v>
      </c>
      <c r="O524" s="10">
        <f>IFERROR(VLOOKUP(A524,Flete!$A:$J,10,0),"")</f>
        <v/>
      </c>
      <c r="P524" s="8" t="inlineStr">
        <is>
          <t>TN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900002813</v>
      </c>
      <c r="D525" s="7">
        <f>IFERROR(VLOOKUP(C525,TRAOPE!$G:$H,2,0),"")</f>
        <v/>
      </c>
      <c r="E525" s="8" t="inlineStr">
        <is>
          <t>DW70</t>
        </is>
      </c>
      <c r="F525" s="8" t="inlineStr">
        <is>
          <t>D081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10000722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20230501</t>
        </is>
      </c>
      <c r="M525" s="8" t="inlineStr">
        <is>
          <t>20250131</t>
        </is>
      </c>
      <c r="N525" s="10" t="n">
        <v>98.43000000000001</v>
      </c>
      <c r="O525" s="10">
        <f>IFERROR(VLOOKUP(A525,Flete!$A:$J,10,0),"")</f>
        <v/>
      </c>
      <c r="P525" s="8" t="inlineStr">
        <is>
          <t>TN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900002813</v>
      </c>
      <c r="D526" s="7">
        <f>IFERROR(VLOOKUP(C526,TRAOPE!$G:$H,2,0),"")</f>
        <v/>
      </c>
      <c r="E526" s="8" t="inlineStr">
        <is>
          <t>DW70</t>
        </is>
      </c>
      <c r="F526" s="8" t="inlineStr">
        <is>
          <t>D081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10257024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20260330</t>
        </is>
      </c>
      <c r="M526" s="8" t="inlineStr">
        <is>
          <t>99991231</t>
        </is>
      </c>
      <c r="N526" s="10" t="n">
        <v>115</v>
      </c>
      <c r="O526" s="10">
        <f>IFERROR(VLOOKUP(A526,Flete!$A:$J,10,0),"")</f>
        <v/>
      </c>
      <c r="P526" s="8" t="inlineStr">
        <is>
          <t>TN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900002813</v>
      </c>
      <c r="D527" s="7">
        <f>IFERROR(VLOOKUP(C527,TRAOPE!$G:$H,2,0),"")</f>
        <v/>
      </c>
      <c r="E527" s="8" t="inlineStr">
        <is>
          <t>DW70</t>
        </is>
      </c>
      <c r="F527" s="8" t="inlineStr">
        <is>
          <t>D083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10000133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20260330</t>
        </is>
      </c>
      <c r="M527" s="8" t="inlineStr">
        <is>
          <t>99991231</t>
        </is>
      </c>
      <c r="N527" s="10" t="n">
        <v>100</v>
      </c>
      <c r="O527" s="10">
        <f>IFERROR(VLOOKUP(A527,Flete!$A:$J,10,0),"")</f>
        <v/>
      </c>
      <c r="P527" s="8" t="inlineStr">
        <is>
          <t>TN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900002813</v>
      </c>
      <c r="D528" s="7">
        <f>IFERROR(VLOOKUP(C528,TRAOPE!$G:$H,2,0),"")</f>
        <v/>
      </c>
      <c r="E528" s="8" t="inlineStr">
        <is>
          <t>DW70</t>
        </is>
      </c>
      <c r="F528" s="8" t="inlineStr">
        <is>
          <t>D083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10000623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20260330</t>
        </is>
      </c>
      <c r="M528" s="8" t="inlineStr">
        <is>
          <t>99991231</t>
        </is>
      </c>
      <c r="N528" s="10" t="n">
        <v>110</v>
      </c>
      <c r="O528" s="10">
        <f>IFERROR(VLOOKUP(A528,Flete!$A:$J,10,0),"")</f>
        <v/>
      </c>
      <c r="P528" s="8" t="inlineStr">
        <is>
          <t>TN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900002813</v>
      </c>
      <c r="D529" s="7">
        <f>IFERROR(VLOOKUP(C529,TRAOPE!$G:$H,2,0),"")</f>
        <v/>
      </c>
      <c r="E529" s="8" t="inlineStr">
        <is>
          <t>DW70</t>
        </is>
      </c>
      <c r="F529" s="8" t="inlineStr">
        <is>
          <t>D083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10000630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20230501</t>
        </is>
      </c>
      <c r="M529" s="8" t="inlineStr">
        <is>
          <t>20250131</t>
        </is>
      </c>
      <c r="N529" s="10" t="n">
        <v>98.42</v>
      </c>
      <c r="O529" s="10">
        <f>IFERROR(VLOOKUP(A529,Flete!$A:$J,10,0),"")</f>
        <v/>
      </c>
      <c r="P529" s="8" t="inlineStr">
        <is>
          <t>TN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900002813</v>
      </c>
      <c r="D530" s="7">
        <f>IFERROR(VLOOKUP(C530,TRAOPE!$G:$H,2,0),"")</f>
        <v/>
      </c>
      <c r="E530" s="8" t="inlineStr">
        <is>
          <t>DW70</t>
        </is>
      </c>
      <c r="F530" s="8" t="inlineStr">
        <is>
          <t>D083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10000722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20230501</t>
        </is>
      </c>
      <c r="M530" s="8" t="inlineStr">
        <is>
          <t>20250131</t>
        </is>
      </c>
      <c r="N530" s="10" t="n">
        <v>98.43000000000001</v>
      </c>
      <c r="O530" s="10">
        <f>IFERROR(VLOOKUP(A530,Flete!$A:$J,10,0),"")</f>
        <v/>
      </c>
      <c r="P530" s="8" t="inlineStr">
        <is>
          <t>TN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900002813</v>
      </c>
      <c r="D531" s="7">
        <f>IFERROR(VLOOKUP(C531,TRAOPE!$G:$H,2,0),"")</f>
        <v/>
      </c>
      <c r="E531" s="8" t="inlineStr">
        <is>
          <t>DW70</t>
        </is>
      </c>
      <c r="F531" s="8" t="inlineStr">
        <is>
          <t>D083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10257024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20260330</t>
        </is>
      </c>
      <c r="M531" s="8" t="inlineStr">
        <is>
          <t>99991231</t>
        </is>
      </c>
      <c r="N531" s="10" t="n">
        <v>115</v>
      </c>
      <c r="O531" s="10">
        <f>IFERROR(VLOOKUP(A531,Flete!$A:$J,10,0),"")</f>
        <v/>
      </c>
      <c r="P531" s="8" t="inlineStr">
        <is>
          <t>TN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900002813</v>
      </c>
      <c r="D532" s="7">
        <f>IFERROR(VLOOKUP(C532,TRAOPE!$G:$H,2,0),"")</f>
        <v/>
      </c>
      <c r="E532" s="8" t="inlineStr">
        <is>
          <t>DW70</t>
        </is>
      </c>
      <c r="F532" s="8" t="inlineStr">
        <is>
          <t>D084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10000133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20260330</t>
        </is>
      </c>
      <c r="M532" s="8" t="inlineStr">
        <is>
          <t>99991231</t>
        </is>
      </c>
      <c r="N532" s="10" t="n">
        <v>100</v>
      </c>
      <c r="O532" s="10">
        <f>IFERROR(VLOOKUP(A532,Flete!$A:$J,10,0),"")</f>
        <v/>
      </c>
      <c r="P532" s="8" t="inlineStr">
        <is>
          <t>TN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900002813</v>
      </c>
      <c r="D533" s="7">
        <f>IFERROR(VLOOKUP(C533,TRAOPE!$G:$H,2,0),"")</f>
        <v/>
      </c>
      <c r="E533" s="8" t="inlineStr">
        <is>
          <t>DW70</t>
        </is>
      </c>
      <c r="F533" s="8" t="inlineStr">
        <is>
          <t>D084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10000623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20260330</t>
        </is>
      </c>
      <c r="M533" s="8" t="inlineStr">
        <is>
          <t>99991231</t>
        </is>
      </c>
      <c r="N533" s="10" t="n">
        <v>110</v>
      </c>
      <c r="O533" s="10">
        <f>IFERROR(VLOOKUP(A533,Flete!$A:$J,10,0),"")</f>
        <v/>
      </c>
      <c r="P533" s="8" t="inlineStr">
        <is>
          <t>TN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900002813</v>
      </c>
      <c r="D534" s="7">
        <f>IFERROR(VLOOKUP(C534,TRAOPE!$G:$H,2,0),"")</f>
        <v/>
      </c>
      <c r="E534" s="8" t="inlineStr">
        <is>
          <t>DW70</t>
        </is>
      </c>
      <c r="F534" s="8" t="inlineStr">
        <is>
          <t>D084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10000630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20230501</t>
        </is>
      </c>
      <c r="M534" s="8" t="inlineStr">
        <is>
          <t>20250131</t>
        </is>
      </c>
      <c r="N534" s="10" t="n">
        <v>98.42</v>
      </c>
      <c r="O534" s="10">
        <f>IFERROR(VLOOKUP(A534,Flete!$A:$J,10,0),"")</f>
        <v/>
      </c>
      <c r="P534" s="8" t="inlineStr">
        <is>
          <t>TN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900002813</v>
      </c>
      <c r="D535" s="7">
        <f>IFERROR(VLOOKUP(C535,TRAOPE!$G:$H,2,0),"")</f>
        <v/>
      </c>
      <c r="E535" s="8" t="inlineStr">
        <is>
          <t>DW70</t>
        </is>
      </c>
      <c r="F535" s="8" t="inlineStr">
        <is>
          <t>D084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10000722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20230501</t>
        </is>
      </c>
      <c r="M535" s="8" t="inlineStr">
        <is>
          <t>20250131</t>
        </is>
      </c>
      <c r="N535" s="10" t="n">
        <v>98.43000000000001</v>
      </c>
      <c r="O535" s="10">
        <f>IFERROR(VLOOKUP(A535,Flete!$A:$J,10,0),"")</f>
        <v/>
      </c>
      <c r="P535" s="8" t="inlineStr">
        <is>
          <t>TN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900002813</v>
      </c>
      <c r="D536" s="7">
        <f>IFERROR(VLOOKUP(C536,TRAOPE!$G:$H,2,0),"")</f>
        <v/>
      </c>
      <c r="E536" s="8" t="inlineStr">
        <is>
          <t>DW70</t>
        </is>
      </c>
      <c r="F536" s="8" t="inlineStr">
        <is>
          <t>D084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10257024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20260330</t>
        </is>
      </c>
      <c r="M536" s="8" t="inlineStr">
        <is>
          <t>99991231</t>
        </is>
      </c>
      <c r="N536" s="10" t="n">
        <v>115</v>
      </c>
      <c r="O536" s="10">
        <f>IFERROR(VLOOKUP(A536,Flete!$A:$J,10,0),"")</f>
        <v/>
      </c>
      <c r="P536" s="8" t="inlineStr">
        <is>
          <t>TN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900002813</v>
      </c>
      <c r="D537" s="7">
        <f>IFERROR(VLOOKUP(C537,TRAOPE!$G:$H,2,0),"")</f>
        <v/>
      </c>
      <c r="E537" s="8" t="inlineStr">
        <is>
          <t>DW70</t>
        </is>
      </c>
      <c r="F537" s="8" t="inlineStr">
        <is>
          <t>D085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10000133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20260330</t>
        </is>
      </c>
      <c r="M537" s="8" t="inlineStr">
        <is>
          <t>99991231</t>
        </is>
      </c>
      <c r="N537" s="10" t="n">
        <v>100</v>
      </c>
      <c r="O537" s="10">
        <f>IFERROR(VLOOKUP(A537,Flete!$A:$J,10,0),"")</f>
        <v/>
      </c>
      <c r="P537" s="8" t="inlineStr">
        <is>
          <t>TN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900002813</v>
      </c>
      <c r="D538" s="7">
        <f>IFERROR(VLOOKUP(C538,TRAOPE!$G:$H,2,0),"")</f>
        <v/>
      </c>
      <c r="E538" s="8" t="inlineStr">
        <is>
          <t>DW70</t>
        </is>
      </c>
      <c r="F538" s="8" t="inlineStr">
        <is>
          <t>D085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10000623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20260330</t>
        </is>
      </c>
      <c r="M538" s="8" t="inlineStr">
        <is>
          <t>99991231</t>
        </is>
      </c>
      <c r="N538" s="10" t="n">
        <v>110</v>
      </c>
      <c r="O538" s="10">
        <f>IFERROR(VLOOKUP(A538,Flete!$A:$J,10,0),"")</f>
        <v/>
      </c>
      <c r="P538" s="8" t="inlineStr">
        <is>
          <t>TN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900002813</v>
      </c>
      <c r="D539" s="7">
        <f>IFERROR(VLOOKUP(C539,TRAOPE!$G:$H,2,0),"")</f>
        <v/>
      </c>
      <c r="E539" s="8" t="inlineStr">
        <is>
          <t>DW70</t>
        </is>
      </c>
      <c r="F539" s="8" t="inlineStr">
        <is>
          <t>D085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10000630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20230501</t>
        </is>
      </c>
      <c r="M539" s="8" t="inlineStr">
        <is>
          <t>20250131</t>
        </is>
      </c>
      <c r="N539" s="10" t="n">
        <v>98.42</v>
      </c>
      <c r="O539" s="10">
        <f>IFERROR(VLOOKUP(A539,Flete!$A:$J,10,0),"")</f>
        <v/>
      </c>
      <c r="P539" s="8" t="inlineStr">
        <is>
          <t>TN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900002813</v>
      </c>
      <c r="D540" s="7">
        <f>IFERROR(VLOOKUP(C540,TRAOPE!$G:$H,2,0),"")</f>
        <v/>
      </c>
      <c r="E540" s="8" t="inlineStr">
        <is>
          <t>DW70</t>
        </is>
      </c>
      <c r="F540" s="8" t="inlineStr">
        <is>
          <t>D085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10000722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20230501</t>
        </is>
      </c>
      <c r="M540" s="8" t="inlineStr">
        <is>
          <t>20250131</t>
        </is>
      </c>
      <c r="N540" s="10" t="n">
        <v>98.43000000000001</v>
      </c>
      <c r="O540" s="10">
        <f>IFERROR(VLOOKUP(A540,Flete!$A:$J,10,0),"")</f>
        <v/>
      </c>
      <c r="P540" s="8" t="inlineStr">
        <is>
          <t>TN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900002813</v>
      </c>
      <c r="D541" s="7">
        <f>IFERROR(VLOOKUP(C541,TRAOPE!$G:$H,2,0),"")</f>
        <v/>
      </c>
      <c r="E541" s="8" t="inlineStr">
        <is>
          <t>DW70</t>
        </is>
      </c>
      <c r="F541" s="8" t="inlineStr">
        <is>
          <t>D085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10257024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20260330</t>
        </is>
      </c>
      <c r="M541" s="8" t="inlineStr">
        <is>
          <t>99991231</t>
        </is>
      </c>
      <c r="N541" s="10" t="n">
        <v>115</v>
      </c>
      <c r="O541" s="10">
        <f>IFERROR(VLOOKUP(A541,Flete!$A:$J,10,0),"")</f>
        <v/>
      </c>
      <c r="P541" s="8" t="inlineStr">
        <is>
          <t>TN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900002813</v>
      </c>
      <c r="D542" s="7">
        <f>IFERROR(VLOOKUP(C542,TRAOPE!$G:$H,2,0),"")</f>
        <v/>
      </c>
      <c r="E542" s="8" t="inlineStr">
        <is>
          <t>DW70</t>
        </is>
      </c>
      <c r="F542" s="8" t="inlineStr">
        <is>
          <t>D086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10000133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20260330</t>
        </is>
      </c>
      <c r="M542" s="8" t="inlineStr">
        <is>
          <t>99991231</t>
        </is>
      </c>
      <c r="N542" s="10" t="n">
        <v>100</v>
      </c>
      <c r="O542" s="10">
        <f>IFERROR(VLOOKUP(A542,Flete!$A:$J,10,0),"")</f>
        <v/>
      </c>
      <c r="P542" s="8" t="inlineStr">
        <is>
          <t>TN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900002813</v>
      </c>
      <c r="D543" s="7">
        <f>IFERROR(VLOOKUP(C543,TRAOPE!$G:$H,2,0),"")</f>
        <v/>
      </c>
      <c r="E543" s="8" t="inlineStr">
        <is>
          <t>DW70</t>
        </is>
      </c>
      <c r="F543" s="8" t="inlineStr">
        <is>
          <t>D086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10000623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20260330</t>
        </is>
      </c>
      <c r="M543" s="8" t="inlineStr">
        <is>
          <t>99991231</t>
        </is>
      </c>
      <c r="N543" s="10" t="n">
        <v>110</v>
      </c>
      <c r="O543" s="10">
        <f>IFERROR(VLOOKUP(A543,Flete!$A:$J,10,0),"")</f>
        <v/>
      </c>
      <c r="P543" s="8" t="inlineStr">
        <is>
          <t>TN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900002813</v>
      </c>
      <c r="D544" s="7">
        <f>IFERROR(VLOOKUP(C544,TRAOPE!$G:$H,2,0),"")</f>
        <v/>
      </c>
      <c r="E544" s="8" t="inlineStr">
        <is>
          <t>DW70</t>
        </is>
      </c>
      <c r="F544" s="8" t="inlineStr">
        <is>
          <t>D086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10000630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20230501</t>
        </is>
      </c>
      <c r="M544" s="8" t="inlineStr">
        <is>
          <t>20250131</t>
        </is>
      </c>
      <c r="N544" s="10" t="n">
        <v>98.42</v>
      </c>
      <c r="O544" s="10">
        <f>IFERROR(VLOOKUP(A544,Flete!$A:$J,10,0),"")</f>
        <v/>
      </c>
      <c r="P544" s="8" t="inlineStr">
        <is>
          <t>TN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900002813</v>
      </c>
      <c r="D545" s="7">
        <f>IFERROR(VLOOKUP(C545,TRAOPE!$G:$H,2,0),"")</f>
        <v/>
      </c>
      <c r="E545" s="8" t="inlineStr">
        <is>
          <t>DW70</t>
        </is>
      </c>
      <c r="F545" s="8" t="inlineStr">
        <is>
          <t>D086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10000722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20230501</t>
        </is>
      </c>
      <c r="M545" s="8" t="inlineStr">
        <is>
          <t>20250131</t>
        </is>
      </c>
      <c r="N545" s="10" t="n">
        <v>98.43000000000001</v>
      </c>
      <c r="O545" s="10">
        <f>IFERROR(VLOOKUP(A545,Flete!$A:$J,10,0),"")</f>
        <v/>
      </c>
      <c r="P545" s="8" t="inlineStr">
        <is>
          <t>TN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900002813</v>
      </c>
      <c r="D546" s="7">
        <f>IFERROR(VLOOKUP(C546,TRAOPE!$G:$H,2,0),"")</f>
        <v/>
      </c>
      <c r="E546" s="8" t="inlineStr">
        <is>
          <t>DW70</t>
        </is>
      </c>
      <c r="F546" s="8" t="inlineStr">
        <is>
          <t>D086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10257024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20260330</t>
        </is>
      </c>
      <c r="M546" s="8" t="inlineStr">
        <is>
          <t>99991231</t>
        </is>
      </c>
      <c r="N546" s="10" t="n">
        <v>115</v>
      </c>
      <c r="O546" s="10">
        <f>IFERROR(VLOOKUP(A546,Flete!$A:$J,10,0),"")</f>
        <v/>
      </c>
      <c r="P546" s="8" t="inlineStr">
        <is>
          <t>TN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900002813</v>
      </c>
      <c r="D547" s="7">
        <f>IFERROR(VLOOKUP(C547,TRAOPE!$G:$H,2,0),"")</f>
        <v/>
      </c>
      <c r="E547" s="8" t="inlineStr">
        <is>
          <t>DW70</t>
        </is>
      </c>
      <c r="F547" s="8" t="inlineStr">
        <is>
          <t>D087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10000630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20230501</t>
        </is>
      </c>
      <c r="M547" s="8" t="inlineStr">
        <is>
          <t>20250131</t>
        </is>
      </c>
      <c r="N547" s="10" t="n">
        <v>94.19</v>
      </c>
      <c r="O547" s="10">
        <f>IFERROR(VLOOKUP(A547,Flete!$A:$J,10,0),"")</f>
        <v/>
      </c>
      <c r="P547" s="8" t="inlineStr">
        <is>
          <t>TN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900002813</v>
      </c>
      <c r="D548" s="7">
        <f>IFERROR(VLOOKUP(C548,TRAOPE!$G:$H,2,0),"")</f>
        <v/>
      </c>
      <c r="E548" s="8" t="inlineStr">
        <is>
          <t>DW70</t>
        </is>
      </c>
      <c r="F548" s="8" t="inlineStr">
        <is>
          <t>D088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10000630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20230501</t>
        </is>
      </c>
      <c r="M548" s="8" t="inlineStr">
        <is>
          <t>20250131</t>
        </is>
      </c>
      <c r="N548" s="10" t="n">
        <v>98.42</v>
      </c>
      <c r="O548" s="10">
        <f>IFERROR(VLOOKUP(A548,Flete!$A:$J,10,0),"")</f>
        <v/>
      </c>
      <c r="P548" s="8" t="inlineStr">
        <is>
          <t>TN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900002813</v>
      </c>
      <c r="D549" s="7">
        <f>IFERROR(VLOOKUP(C549,TRAOPE!$G:$H,2,0),"")</f>
        <v/>
      </c>
      <c r="E549" s="8" t="inlineStr">
        <is>
          <t>DW70</t>
        </is>
      </c>
      <c r="F549" s="8" t="inlineStr">
        <is>
          <t>D088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10000722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20230501</t>
        </is>
      </c>
      <c r="M549" s="8" t="inlineStr">
        <is>
          <t>20250131</t>
        </is>
      </c>
      <c r="N549" s="10" t="n">
        <v>98.43000000000001</v>
      </c>
      <c r="O549" s="10">
        <f>IFERROR(VLOOKUP(A549,Flete!$A:$J,10,0),"")</f>
        <v/>
      </c>
      <c r="P549" s="8" t="inlineStr">
        <is>
          <t>TN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900002813</v>
      </c>
      <c r="D550" s="7">
        <f>IFERROR(VLOOKUP(C550,TRAOPE!$G:$H,2,0),"")</f>
        <v/>
      </c>
      <c r="E550" s="8" t="inlineStr">
        <is>
          <t>DW70</t>
        </is>
      </c>
      <c r="F550" s="8" t="inlineStr">
        <is>
          <t>D089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10000630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20230501</t>
        </is>
      </c>
      <c r="M550" s="8" t="inlineStr">
        <is>
          <t>20250131</t>
        </is>
      </c>
      <c r="N550" s="10" t="n">
        <v>98.42</v>
      </c>
      <c r="O550" s="10">
        <f>IFERROR(VLOOKUP(A550,Flete!$A:$J,10,0),"")</f>
        <v/>
      </c>
      <c r="P550" s="8" t="inlineStr">
        <is>
          <t>TN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900002813</v>
      </c>
      <c r="D551" s="7">
        <f>IFERROR(VLOOKUP(C551,TRAOPE!$G:$H,2,0),"")</f>
        <v/>
      </c>
      <c r="E551" s="8" t="inlineStr">
        <is>
          <t>DW70</t>
        </is>
      </c>
      <c r="F551" s="8" t="inlineStr">
        <is>
          <t>D089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10000722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20230501</t>
        </is>
      </c>
      <c r="M551" s="8" t="inlineStr">
        <is>
          <t>20250131</t>
        </is>
      </c>
      <c r="N551" s="10" t="n">
        <v>98.43000000000001</v>
      </c>
      <c r="O551" s="10">
        <f>IFERROR(VLOOKUP(A551,Flete!$A:$J,10,0),"")</f>
        <v/>
      </c>
      <c r="P551" s="8" t="inlineStr">
        <is>
          <t>TN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900002813</v>
      </c>
      <c r="D552" s="7">
        <f>IFERROR(VLOOKUP(C552,TRAOPE!$G:$H,2,0),"")</f>
        <v/>
      </c>
      <c r="E552" s="8" t="inlineStr">
        <is>
          <t>DW70</t>
        </is>
      </c>
      <c r="F552" s="8" t="inlineStr">
        <is>
          <t>D093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10000133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20260330</t>
        </is>
      </c>
      <c r="M552" s="8" t="inlineStr">
        <is>
          <t>99991231</t>
        </is>
      </c>
      <c r="N552" s="10" t="n">
        <v>100</v>
      </c>
      <c r="O552" s="10">
        <f>IFERROR(VLOOKUP(A552,Flete!$A:$J,10,0),"")</f>
        <v/>
      </c>
      <c r="P552" s="8" t="inlineStr">
        <is>
          <t>TN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900002813</v>
      </c>
      <c r="D553" s="7">
        <f>IFERROR(VLOOKUP(C553,TRAOPE!$G:$H,2,0),"")</f>
        <v/>
      </c>
      <c r="E553" s="8" t="inlineStr">
        <is>
          <t>DW70</t>
        </is>
      </c>
      <c r="F553" s="8" t="inlineStr">
        <is>
          <t>D093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10000623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20260330</t>
        </is>
      </c>
      <c r="M553" s="8" t="inlineStr">
        <is>
          <t>99991231</t>
        </is>
      </c>
      <c r="N553" s="10" t="n">
        <v>110</v>
      </c>
      <c r="O553" s="10">
        <f>IFERROR(VLOOKUP(A553,Flete!$A:$J,10,0),"")</f>
        <v/>
      </c>
      <c r="P553" s="8" t="inlineStr">
        <is>
          <t>TN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900002813</v>
      </c>
      <c r="D554" s="7">
        <f>IFERROR(VLOOKUP(C554,TRAOPE!$G:$H,2,0),"")</f>
        <v/>
      </c>
      <c r="E554" s="8" t="inlineStr">
        <is>
          <t>DW70</t>
        </is>
      </c>
      <c r="F554" s="8" t="inlineStr">
        <is>
          <t>D093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10000630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20230501</t>
        </is>
      </c>
      <c r="M554" s="8" t="inlineStr">
        <is>
          <t>20250131</t>
        </is>
      </c>
      <c r="N554" s="10" t="n">
        <v>94.19</v>
      </c>
      <c r="O554" s="10">
        <f>IFERROR(VLOOKUP(A554,Flete!$A:$J,10,0),"")</f>
        <v/>
      </c>
      <c r="P554" s="8" t="inlineStr">
        <is>
          <t>TN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900002813</v>
      </c>
      <c r="D555" s="7">
        <f>IFERROR(VLOOKUP(C555,TRAOPE!$G:$H,2,0),"")</f>
        <v/>
      </c>
      <c r="E555" s="8" t="inlineStr">
        <is>
          <t>DW70</t>
        </is>
      </c>
      <c r="F555" s="8" t="inlineStr">
        <is>
          <t>D093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10257024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20260330</t>
        </is>
      </c>
      <c r="M555" s="8" t="inlineStr">
        <is>
          <t>99991231</t>
        </is>
      </c>
      <c r="N555" s="10" t="n">
        <v>115</v>
      </c>
      <c r="O555" s="10">
        <f>IFERROR(VLOOKUP(A555,Flete!$A:$J,10,0),"")</f>
        <v/>
      </c>
      <c r="P555" s="8" t="inlineStr">
        <is>
          <t>TN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900002813</v>
      </c>
      <c r="D556" s="7">
        <f>IFERROR(VLOOKUP(C556,TRAOPE!$G:$H,2,0),"")</f>
        <v/>
      </c>
      <c r="E556" s="8" t="inlineStr">
        <is>
          <t>DW70</t>
        </is>
      </c>
      <c r="F556" s="8" t="inlineStr">
        <is>
          <t>D098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10000133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20260330</t>
        </is>
      </c>
      <c r="M556" s="8" t="inlineStr">
        <is>
          <t>99991231</t>
        </is>
      </c>
      <c r="N556" s="10" t="n">
        <v>100</v>
      </c>
      <c r="O556" s="10">
        <f>IFERROR(VLOOKUP(A556,Flete!$A:$J,10,0),"")</f>
        <v/>
      </c>
      <c r="P556" s="8" t="inlineStr">
        <is>
          <t>TN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900002813</v>
      </c>
      <c r="D557" s="7">
        <f>IFERROR(VLOOKUP(C557,TRAOPE!$G:$H,2,0),"")</f>
        <v/>
      </c>
      <c r="E557" s="8" t="inlineStr">
        <is>
          <t>DW70</t>
        </is>
      </c>
      <c r="F557" s="8" t="inlineStr">
        <is>
          <t>D098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10000623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20260330</t>
        </is>
      </c>
      <c r="M557" s="8" t="inlineStr">
        <is>
          <t>99991231</t>
        </is>
      </c>
      <c r="N557" s="10" t="n">
        <v>110</v>
      </c>
      <c r="O557" s="10">
        <f>IFERROR(VLOOKUP(A557,Flete!$A:$J,10,0),"")</f>
        <v/>
      </c>
      <c r="P557" s="8" t="inlineStr">
        <is>
          <t>TN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900002813</v>
      </c>
      <c r="D558" s="7">
        <f>IFERROR(VLOOKUP(C558,TRAOPE!$G:$H,2,0),"")</f>
        <v/>
      </c>
      <c r="E558" s="8" t="inlineStr">
        <is>
          <t>DW70</t>
        </is>
      </c>
      <c r="F558" s="8" t="inlineStr">
        <is>
          <t>D098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10000630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20230501</t>
        </is>
      </c>
      <c r="M558" s="8" t="inlineStr">
        <is>
          <t>20250131</t>
        </is>
      </c>
      <c r="N558" s="10" t="n">
        <v>98.42</v>
      </c>
      <c r="O558" s="10">
        <f>IFERROR(VLOOKUP(A558,Flete!$A:$J,10,0),"")</f>
        <v/>
      </c>
      <c r="P558" s="8" t="inlineStr">
        <is>
          <t>TN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900002813</v>
      </c>
      <c r="D559" s="7">
        <f>IFERROR(VLOOKUP(C559,TRAOPE!$G:$H,2,0),"")</f>
        <v/>
      </c>
      <c r="E559" s="8" t="inlineStr">
        <is>
          <t>DW70</t>
        </is>
      </c>
      <c r="F559" s="8" t="inlineStr">
        <is>
          <t>D098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10000722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20230501</t>
        </is>
      </c>
      <c r="M559" s="8" t="inlineStr">
        <is>
          <t>20250131</t>
        </is>
      </c>
      <c r="N559" s="10" t="n">
        <v>98.43000000000001</v>
      </c>
      <c r="O559" s="10">
        <f>IFERROR(VLOOKUP(A559,Flete!$A:$J,10,0),"")</f>
        <v/>
      </c>
      <c r="P559" s="8" t="inlineStr">
        <is>
          <t>TN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900002813</v>
      </c>
      <c r="D560" s="7">
        <f>IFERROR(VLOOKUP(C560,TRAOPE!$G:$H,2,0),"")</f>
        <v/>
      </c>
      <c r="E560" s="8" t="inlineStr">
        <is>
          <t>DW70</t>
        </is>
      </c>
      <c r="F560" s="8" t="inlineStr">
        <is>
          <t>D098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10257024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20260330</t>
        </is>
      </c>
      <c r="M560" s="8" t="inlineStr">
        <is>
          <t>99991231</t>
        </is>
      </c>
      <c r="N560" s="10" t="n">
        <v>115</v>
      </c>
      <c r="O560" s="10">
        <f>IFERROR(VLOOKUP(A560,Flete!$A:$J,10,0),"")</f>
        <v/>
      </c>
      <c r="P560" s="8" t="inlineStr">
        <is>
          <t>TN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900002813</v>
      </c>
      <c r="D561" s="7">
        <f>IFERROR(VLOOKUP(C561,TRAOPE!$G:$H,2,0),"")</f>
        <v/>
      </c>
      <c r="E561" s="8" t="inlineStr">
        <is>
          <t>DW70</t>
        </is>
      </c>
      <c r="F561" s="8" t="inlineStr">
        <is>
          <t>D105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10000133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20260330</t>
        </is>
      </c>
      <c r="M561" s="8" t="inlineStr">
        <is>
          <t>99991231</t>
        </is>
      </c>
      <c r="N561" s="10" t="n">
        <v>100</v>
      </c>
      <c r="O561" s="10">
        <f>IFERROR(VLOOKUP(A561,Flete!$A:$J,10,0),"")</f>
        <v/>
      </c>
      <c r="P561" s="8" t="inlineStr">
        <is>
          <t>TN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900002813</v>
      </c>
      <c r="D562" s="7">
        <f>IFERROR(VLOOKUP(C562,TRAOPE!$G:$H,2,0),"")</f>
        <v/>
      </c>
      <c r="E562" s="8" t="inlineStr">
        <is>
          <t>DW70</t>
        </is>
      </c>
      <c r="F562" s="8" t="inlineStr">
        <is>
          <t>D105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10000623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20260330</t>
        </is>
      </c>
      <c r="M562" s="8" t="inlineStr">
        <is>
          <t>99991231</t>
        </is>
      </c>
      <c r="N562" s="10" t="n">
        <v>110</v>
      </c>
      <c r="O562" s="10">
        <f>IFERROR(VLOOKUP(A562,Flete!$A:$J,10,0),"")</f>
        <v/>
      </c>
      <c r="P562" s="8" t="inlineStr">
        <is>
          <t>TN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900002813</v>
      </c>
      <c r="D563" s="7">
        <f>IFERROR(VLOOKUP(C563,TRAOPE!$G:$H,2,0),"")</f>
        <v/>
      </c>
      <c r="E563" s="8" t="inlineStr">
        <is>
          <t>DW70</t>
        </is>
      </c>
      <c r="F563" s="8" t="inlineStr">
        <is>
          <t>D105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10000630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20230501</t>
        </is>
      </c>
      <c r="M563" s="8" t="inlineStr">
        <is>
          <t>20250131</t>
        </is>
      </c>
      <c r="N563" s="10" t="n">
        <v>98.42</v>
      </c>
      <c r="O563" s="10">
        <f>IFERROR(VLOOKUP(A563,Flete!$A:$J,10,0),"")</f>
        <v/>
      </c>
      <c r="P563" s="8" t="inlineStr">
        <is>
          <t>TN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900002813</v>
      </c>
      <c r="D564" s="7">
        <f>IFERROR(VLOOKUP(C564,TRAOPE!$G:$H,2,0),"")</f>
        <v/>
      </c>
      <c r="E564" s="8" t="inlineStr">
        <is>
          <t>DW70</t>
        </is>
      </c>
      <c r="F564" s="8" t="inlineStr">
        <is>
          <t>D105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10000722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20230501</t>
        </is>
      </c>
      <c r="M564" s="8" t="inlineStr">
        <is>
          <t>20250131</t>
        </is>
      </c>
      <c r="N564" s="10" t="n">
        <v>98.43000000000001</v>
      </c>
      <c r="O564" s="10">
        <f>IFERROR(VLOOKUP(A564,Flete!$A:$J,10,0),"")</f>
        <v/>
      </c>
      <c r="P564" s="8" t="inlineStr">
        <is>
          <t>TN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900002813</v>
      </c>
      <c r="D565" s="7">
        <f>IFERROR(VLOOKUP(C565,TRAOPE!$G:$H,2,0),"")</f>
        <v/>
      </c>
      <c r="E565" s="8" t="inlineStr">
        <is>
          <t>DW70</t>
        </is>
      </c>
      <c r="F565" s="8" t="inlineStr">
        <is>
          <t>D105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10257024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20260330</t>
        </is>
      </c>
      <c r="M565" s="8" t="inlineStr">
        <is>
          <t>99991231</t>
        </is>
      </c>
      <c r="N565" s="10" t="n">
        <v>115</v>
      </c>
      <c r="O565" s="10">
        <f>IFERROR(VLOOKUP(A565,Flete!$A:$J,10,0),"")</f>
        <v/>
      </c>
      <c r="P565" s="8" t="inlineStr">
        <is>
          <t>TN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900002813</v>
      </c>
      <c r="D566" s="7">
        <f>IFERROR(VLOOKUP(C566,TRAOPE!$G:$H,2,0),"")</f>
        <v/>
      </c>
      <c r="E566" s="8" t="inlineStr">
        <is>
          <t>DW70</t>
        </is>
      </c>
      <c r="F566" s="8" t="inlineStr">
        <is>
          <t>D110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10000630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20230501</t>
        </is>
      </c>
      <c r="M566" s="8" t="inlineStr">
        <is>
          <t>20250131</t>
        </is>
      </c>
      <c r="N566" s="10" t="n">
        <v>94.19</v>
      </c>
      <c r="O566" s="10">
        <f>IFERROR(VLOOKUP(A566,Flete!$A:$J,10,0),"")</f>
        <v/>
      </c>
      <c r="P566" s="8" t="inlineStr">
        <is>
          <t>TN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900002813</v>
      </c>
      <c r="D567" s="7">
        <f>IFERROR(VLOOKUP(C567,TRAOPE!$G:$H,2,0),"")</f>
        <v/>
      </c>
      <c r="E567" s="8" t="inlineStr">
        <is>
          <t>DW70</t>
        </is>
      </c>
      <c r="F567" s="8" t="inlineStr">
        <is>
          <t>D110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10000722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20230501</t>
        </is>
      </c>
      <c r="M567" s="8" t="inlineStr">
        <is>
          <t>20250131</t>
        </is>
      </c>
      <c r="N567" s="10" t="n">
        <v>98.43000000000001</v>
      </c>
      <c r="O567" s="10">
        <f>IFERROR(VLOOKUP(A567,Flete!$A:$J,10,0),"")</f>
        <v/>
      </c>
      <c r="P567" s="8" t="inlineStr">
        <is>
          <t>TN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900002813</v>
      </c>
      <c r="D568" s="7">
        <f>IFERROR(VLOOKUP(C568,TRAOPE!$G:$H,2,0),"")</f>
        <v/>
      </c>
      <c r="E568" s="8" t="inlineStr">
        <is>
          <t>DW70</t>
        </is>
      </c>
      <c r="F568" s="8" t="inlineStr">
        <is>
          <t>D136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10000133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20260330</t>
        </is>
      </c>
      <c r="M568" s="8" t="inlineStr">
        <is>
          <t>99991231</t>
        </is>
      </c>
      <c r="N568" s="10" t="n">
        <v>100</v>
      </c>
      <c r="O568" s="10">
        <f>IFERROR(VLOOKUP(A568,Flete!$A:$J,10,0),"")</f>
        <v/>
      </c>
      <c r="P568" s="8" t="inlineStr">
        <is>
          <t>TN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900002813</v>
      </c>
      <c r="D569" s="7">
        <f>IFERROR(VLOOKUP(C569,TRAOPE!$G:$H,2,0),"")</f>
        <v/>
      </c>
      <c r="E569" s="8" t="inlineStr">
        <is>
          <t>DW70</t>
        </is>
      </c>
      <c r="F569" s="8" t="inlineStr">
        <is>
          <t>D136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10000623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20260330</t>
        </is>
      </c>
      <c r="M569" s="8" t="inlineStr">
        <is>
          <t>99991231</t>
        </is>
      </c>
      <c r="N569" s="10" t="n">
        <v>110</v>
      </c>
      <c r="O569" s="10">
        <f>IFERROR(VLOOKUP(A569,Flete!$A:$J,10,0),"")</f>
        <v/>
      </c>
      <c r="P569" s="8" t="inlineStr">
        <is>
          <t>TN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900002813</v>
      </c>
      <c r="D570" s="7">
        <f>IFERROR(VLOOKUP(C570,TRAOPE!$G:$H,2,0),"")</f>
        <v/>
      </c>
      <c r="E570" s="8" t="inlineStr">
        <is>
          <t>DW70</t>
        </is>
      </c>
      <c r="F570" s="8" t="inlineStr">
        <is>
          <t>D136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10000630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20230501</t>
        </is>
      </c>
      <c r="M570" s="8" t="inlineStr">
        <is>
          <t>20250131</t>
        </is>
      </c>
      <c r="N570" s="10" t="n">
        <v>94.19</v>
      </c>
      <c r="O570" s="10">
        <f>IFERROR(VLOOKUP(A570,Flete!$A:$J,10,0),"")</f>
        <v/>
      </c>
      <c r="P570" s="8" t="inlineStr">
        <is>
          <t>TN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900002813</v>
      </c>
      <c r="D571" s="7">
        <f>IFERROR(VLOOKUP(C571,TRAOPE!$G:$H,2,0),"")</f>
        <v/>
      </c>
      <c r="E571" s="8" t="inlineStr">
        <is>
          <t>DW70</t>
        </is>
      </c>
      <c r="F571" s="8" t="inlineStr">
        <is>
          <t>D136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10000722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20230501</t>
        </is>
      </c>
      <c r="M571" s="8" t="inlineStr">
        <is>
          <t>20250131</t>
        </is>
      </c>
      <c r="N571" s="10" t="n">
        <v>98.43000000000001</v>
      </c>
      <c r="O571" s="10">
        <f>IFERROR(VLOOKUP(A571,Flete!$A:$J,10,0),"")</f>
        <v/>
      </c>
      <c r="P571" s="8" t="inlineStr">
        <is>
          <t>TN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900002813</v>
      </c>
      <c r="D572" s="7">
        <f>IFERROR(VLOOKUP(C572,TRAOPE!$G:$H,2,0),"")</f>
        <v/>
      </c>
      <c r="E572" s="8" t="inlineStr">
        <is>
          <t>DW70</t>
        </is>
      </c>
      <c r="F572" s="8" t="inlineStr">
        <is>
          <t>D136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10257024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20260330</t>
        </is>
      </c>
      <c r="M572" s="8" t="inlineStr">
        <is>
          <t>99991231</t>
        </is>
      </c>
      <c r="N572" s="10" t="n">
        <v>115</v>
      </c>
      <c r="O572" s="10">
        <f>IFERROR(VLOOKUP(A572,Flete!$A:$J,10,0),"")</f>
        <v/>
      </c>
      <c r="P572" s="8" t="inlineStr">
        <is>
          <t>TN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900002813</v>
      </c>
      <c r="D573" s="7">
        <f>IFERROR(VLOOKUP(C573,TRAOPE!$G:$H,2,0),"")</f>
        <v/>
      </c>
      <c r="E573" s="8" t="inlineStr">
        <is>
          <t>DW70</t>
        </is>
      </c>
      <c r="F573" s="8" t="inlineStr">
        <is>
          <t>D145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10000133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20260330</t>
        </is>
      </c>
      <c r="M573" s="8" t="inlineStr">
        <is>
          <t>99991231</t>
        </is>
      </c>
      <c r="N573" s="10" t="n">
        <v>100</v>
      </c>
      <c r="O573" s="10">
        <f>IFERROR(VLOOKUP(A573,Flete!$A:$J,10,0),"")</f>
        <v/>
      </c>
      <c r="P573" s="8" t="inlineStr">
        <is>
          <t>TN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900002813</v>
      </c>
      <c r="D574" s="7">
        <f>IFERROR(VLOOKUP(C574,TRAOPE!$G:$H,2,0),"")</f>
        <v/>
      </c>
      <c r="E574" s="8" t="inlineStr">
        <is>
          <t>DW70</t>
        </is>
      </c>
      <c r="F574" s="8" t="inlineStr">
        <is>
          <t>D145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10000623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20260330</t>
        </is>
      </c>
      <c r="M574" s="8" t="inlineStr">
        <is>
          <t>99991231</t>
        </is>
      </c>
      <c r="N574" s="10" t="n">
        <v>110</v>
      </c>
      <c r="O574" s="10">
        <f>IFERROR(VLOOKUP(A574,Flete!$A:$J,10,0),"")</f>
        <v/>
      </c>
      <c r="P574" s="8" t="inlineStr">
        <is>
          <t>TN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900002813</v>
      </c>
      <c r="D575" s="7">
        <f>IFERROR(VLOOKUP(C575,TRAOPE!$G:$H,2,0),"")</f>
        <v/>
      </c>
      <c r="E575" s="8" t="inlineStr">
        <is>
          <t>DW70</t>
        </is>
      </c>
      <c r="F575" s="8" t="inlineStr">
        <is>
          <t>D145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10000630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20230501</t>
        </is>
      </c>
      <c r="M575" s="8" t="inlineStr">
        <is>
          <t>20250131</t>
        </is>
      </c>
      <c r="N575" s="10" t="n">
        <v>94.19</v>
      </c>
      <c r="O575" s="10">
        <f>IFERROR(VLOOKUP(A575,Flete!$A:$J,10,0),"")</f>
        <v/>
      </c>
      <c r="P575" s="8" t="inlineStr">
        <is>
          <t>TN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900002813</v>
      </c>
      <c r="D576" s="7">
        <f>IFERROR(VLOOKUP(C576,TRAOPE!$G:$H,2,0),"")</f>
        <v/>
      </c>
      <c r="E576" s="8" t="inlineStr">
        <is>
          <t>DW70</t>
        </is>
      </c>
      <c r="F576" s="8" t="inlineStr">
        <is>
          <t>D145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10000722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20230501</t>
        </is>
      </c>
      <c r="M576" s="8" t="inlineStr">
        <is>
          <t>20250131</t>
        </is>
      </c>
      <c r="N576" s="10" t="n">
        <v>98.43000000000001</v>
      </c>
      <c r="O576" s="10">
        <f>IFERROR(VLOOKUP(A576,Flete!$A:$J,10,0),"")</f>
        <v/>
      </c>
      <c r="P576" s="8" t="inlineStr">
        <is>
          <t>TN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900002813</v>
      </c>
      <c r="D577" s="7">
        <f>IFERROR(VLOOKUP(C577,TRAOPE!$G:$H,2,0),"")</f>
        <v/>
      </c>
      <c r="E577" s="8" t="inlineStr">
        <is>
          <t>DW70</t>
        </is>
      </c>
      <c r="F577" s="8" t="inlineStr">
        <is>
          <t>D145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10257024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20260330</t>
        </is>
      </c>
      <c r="M577" s="8" t="inlineStr">
        <is>
          <t>99991231</t>
        </is>
      </c>
      <c r="N577" s="10" t="n">
        <v>115</v>
      </c>
      <c r="O577" s="10">
        <f>IFERROR(VLOOKUP(A577,Flete!$A:$J,10,0),"")</f>
        <v/>
      </c>
      <c r="P577" s="8" t="inlineStr">
        <is>
          <t>TN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900002813</v>
      </c>
      <c r="D578" s="7">
        <f>IFERROR(VLOOKUP(C578,TRAOPE!$G:$H,2,0),"")</f>
        <v/>
      </c>
      <c r="E578" s="8" t="inlineStr">
        <is>
          <t>DW70</t>
        </is>
      </c>
      <c r="F578" s="8" t="inlineStr">
        <is>
          <t>D681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10000133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20260330</t>
        </is>
      </c>
      <c r="M578" s="8" t="inlineStr">
        <is>
          <t>99991231</t>
        </is>
      </c>
      <c r="N578" s="10" t="n">
        <v>100</v>
      </c>
      <c r="O578" s="10">
        <f>IFERROR(VLOOKUP(A578,Flete!$A:$J,10,0),"")</f>
        <v/>
      </c>
      <c r="P578" s="8" t="inlineStr">
        <is>
          <t>TN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900002813</v>
      </c>
      <c r="D579" s="7">
        <f>IFERROR(VLOOKUP(C579,TRAOPE!$G:$H,2,0),"")</f>
        <v/>
      </c>
      <c r="E579" s="8" t="inlineStr">
        <is>
          <t>DW70</t>
        </is>
      </c>
      <c r="F579" s="8" t="inlineStr">
        <is>
          <t>D681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10000623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20260330</t>
        </is>
      </c>
      <c r="M579" s="8" t="inlineStr">
        <is>
          <t>99991231</t>
        </is>
      </c>
      <c r="N579" s="10" t="n">
        <v>110</v>
      </c>
      <c r="O579" s="10">
        <f>IFERROR(VLOOKUP(A579,Flete!$A:$J,10,0),"")</f>
        <v/>
      </c>
      <c r="P579" s="8" t="inlineStr">
        <is>
          <t>TN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900002813</v>
      </c>
      <c r="D580" s="7">
        <f>IFERROR(VLOOKUP(C580,TRAOPE!$G:$H,2,0),"")</f>
        <v/>
      </c>
      <c r="E580" s="8" t="inlineStr">
        <is>
          <t>DW70</t>
        </is>
      </c>
      <c r="F580" s="8" t="inlineStr">
        <is>
          <t>D681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10257024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20260330</t>
        </is>
      </c>
      <c r="M580" s="8" t="inlineStr">
        <is>
          <t>99991231</t>
        </is>
      </c>
      <c r="N580" s="10" t="n">
        <v>115</v>
      </c>
      <c r="O580" s="10">
        <f>IFERROR(VLOOKUP(A580,Flete!$A:$J,10,0),"")</f>
        <v/>
      </c>
      <c r="P580" s="8" t="inlineStr">
        <is>
          <t>TN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900003438</v>
      </c>
      <c r="D581" s="7">
        <f>IFERROR(VLOOKUP(C581,TRAOPE!$G:$H,2,0),"")</f>
        <v/>
      </c>
      <c r="E581" s="8" t="inlineStr">
        <is>
          <t>DW70</t>
        </is>
      </c>
      <c r="F581" s="8" t="inlineStr">
        <is>
          <t>D074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10000623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20230501</t>
        </is>
      </c>
      <c r="M581" s="8" t="inlineStr">
        <is>
          <t>20250131</t>
        </is>
      </c>
      <c r="N581" s="10" t="n">
        <v>109.94</v>
      </c>
      <c r="O581" s="10">
        <f>IFERROR(VLOOKUP(A581,Flete!$A:$J,10,0),"")</f>
        <v/>
      </c>
      <c r="P581" s="8" t="inlineStr">
        <is>
          <t>TN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900003438</v>
      </c>
      <c r="D582" s="7">
        <f>IFERROR(VLOOKUP(C582,TRAOPE!$G:$H,2,0),"")</f>
        <v/>
      </c>
      <c r="E582" s="8" t="inlineStr">
        <is>
          <t>DW70</t>
        </is>
      </c>
      <c r="F582" s="8" t="inlineStr">
        <is>
          <t>D074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10000630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20230501</t>
        </is>
      </c>
      <c r="M582" s="8" t="inlineStr">
        <is>
          <t>20250131</t>
        </is>
      </c>
      <c r="N582" s="10" t="n">
        <v>110.72</v>
      </c>
      <c r="O582" s="10">
        <f>IFERROR(VLOOKUP(A582,Flete!$A:$J,10,0),"")</f>
        <v/>
      </c>
      <c r="P582" s="8" t="inlineStr">
        <is>
          <t>TN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900003438</v>
      </c>
      <c r="D583" s="7">
        <f>IFERROR(VLOOKUP(C583,TRAOPE!$G:$H,2,0),"")</f>
        <v/>
      </c>
      <c r="E583" s="8" t="inlineStr">
        <is>
          <t>DW70</t>
        </is>
      </c>
      <c r="F583" s="8" t="inlineStr">
        <is>
          <t>D074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10000811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20230501</t>
        </is>
      </c>
      <c r="M583" s="8" t="inlineStr">
        <is>
          <t>20250131</t>
        </is>
      </c>
      <c r="N583" s="10" t="n">
        <v>97.44</v>
      </c>
      <c r="O583" s="10">
        <f>IFERROR(VLOOKUP(A583,Flete!$A:$J,10,0),"")</f>
        <v/>
      </c>
      <c r="P583" s="8" t="inlineStr">
        <is>
          <t>TN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900003438</v>
      </c>
      <c r="D584" s="7">
        <f>IFERROR(VLOOKUP(C584,TRAOPE!$G:$H,2,0),"")</f>
        <v/>
      </c>
      <c r="E584" s="8" t="inlineStr">
        <is>
          <t>DW70</t>
        </is>
      </c>
      <c r="F584" s="8" t="inlineStr">
        <is>
          <t>D074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10002802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20250701</t>
        </is>
      </c>
      <c r="M584" s="8" t="inlineStr">
        <is>
          <t>20251031</t>
        </is>
      </c>
      <c r="N584" s="10" t="n">
        <v>92.28</v>
      </c>
      <c r="O584" s="10">
        <f>IFERROR(VLOOKUP(A584,Flete!$A:$J,10,0),"")</f>
        <v/>
      </c>
      <c r="P584" s="8" t="inlineStr">
        <is>
          <t>TN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900003438</v>
      </c>
      <c r="D585" s="7">
        <f>IFERROR(VLOOKUP(C585,TRAOPE!$G:$H,2,0),"")</f>
        <v/>
      </c>
      <c r="E585" s="8" t="inlineStr">
        <is>
          <t>DW70</t>
        </is>
      </c>
      <c r="F585" s="8" t="inlineStr">
        <is>
          <t>D074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10059180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20230501</t>
        </is>
      </c>
      <c r="M585" s="8" t="inlineStr">
        <is>
          <t>20250131</t>
        </is>
      </c>
      <c r="N585" s="10" t="n">
        <v>58.06</v>
      </c>
      <c r="O585" s="10">
        <f>IFERROR(VLOOKUP(A585,Flete!$A:$J,10,0),"")</f>
        <v/>
      </c>
      <c r="P585" s="8" t="inlineStr">
        <is>
          <t>TN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900003438</v>
      </c>
      <c r="D586" s="7">
        <f>IFERROR(VLOOKUP(C586,TRAOPE!$G:$H,2,0),"")</f>
        <v/>
      </c>
      <c r="E586" s="8" t="inlineStr">
        <is>
          <t>DW70</t>
        </is>
      </c>
      <c r="F586" s="8" t="inlineStr">
        <is>
          <t>D075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10000623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20230501</t>
        </is>
      </c>
      <c r="M586" s="8" t="inlineStr">
        <is>
          <t>20250131</t>
        </is>
      </c>
      <c r="N586" s="10" t="n">
        <v>109.94</v>
      </c>
      <c r="O586" s="10">
        <f>IFERROR(VLOOKUP(A586,Flete!$A:$J,10,0),"")</f>
        <v/>
      </c>
      <c r="P586" s="8" t="inlineStr">
        <is>
          <t>TN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900003438</v>
      </c>
      <c r="D587" s="7">
        <f>IFERROR(VLOOKUP(C587,TRAOPE!$G:$H,2,0),"")</f>
        <v/>
      </c>
      <c r="E587" s="8" t="inlineStr">
        <is>
          <t>DW70</t>
        </is>
      </c>
      <c r="F587" s="8" t="inlineStr">
        <is>
          <t>D075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10000630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20230501</t>
        </is>
      </c>
      <c r="M587" s="8" t="inlineStr">
        <is>
          <t>20250131</t>
        </is>
      </c>
      <c r="N587" s="10" t="n">
        <v>110.72</v>
      </c>
      <c r="O587" s="10">
        <f>IFERROR(VLOOKUP(A587,Flete!$A:$J,10,0),"")</f>
        <v/>
      </c>
      <c r="P587" s="8" t="inlineStr">
        <is>
          <t>TN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900003438</v>
      </c>
      <c r="D588" s="7">
        <f>IFERROR(VLOOKUP(C588,TRAOPE!$G:$H,2,0),"")</f>
        <v/>
      </c>
      <c r="E588" s="8" t="inlineStr">
        <is>
          <t>DW70</t>
        </is>
      </c>
      <c r="F588" s="8" t="inlineStr">
        <is>
          <t>D075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10000811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20230501</t>
        </is>
      </c>
      <c r="M588" s="8" t="inlineStr">
        <is>
          <t>20250131</t>
        </is>
      </c>
      <c r="N588" s="10" t="n">
        <v>97.44</v>
      </c>
      <c r="O588" s="10">
        <f>IFERROR(VLOOKUP(A588,Flete!$A:$J,10,0),"")</f>
        <v/>
      </c>
      <c r="P588" s="8" t="inlineStr">
        <is>
          <t>TN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900003438</v>
      </c>
      <c r="D589" s="7">
        <f>IFERROR(VLOOKUP(C589,TRAOPE!$G:$H,2,0),"")</f>
        <v/>
      </c>
      <c r="E589" s="8" t="inlineStr">
        <is>
          <t>DW70</t>
        </is>
      </c>
      <c r="F589" s="8" t="inlineStr">
        <is>
          <t>D075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10002802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20250701</t>
        </is>
      </c>
      <c r="M589" s="8" t="inlineStr">
        <is>
          <t>99991231</t>
        </is>
      </c>
      <c r="N589" s="10" t="n">
        <v>92.28</v>
      </c>
      <c r="O589" s="10">
        <f>IFERROR(VLOOKUP(A589,Flete!$A:$J,10,0),"")</f>
        <v/>
      </c>
      <c r="P589" s="8" t="inlineStr">
        <is>
          <t>TN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900003438</v>
      </c>
      <c r="D590" s="7">
        <f>IFERROR(VLOOKUP(C590,TRAOPE!$G:$H,2,0),"")</f>
        <v/>
      </c>
      <c r="E590" s="8" t="inlineStr">
        <is>
          <t>DW70</t>
        </is>
      </c>
      <c r="F590" s="8" t="inlineStr">
        <is>
          <t>D075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10059180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20230501</t>
        </is>
      </c>
      <c r="M590" s="8" t="inlineStr">
        <is>
          <t>20250131</t>
        </is>
      </c>
      <c r="N590" s="10" t="n">
        <v>58.06</v>
      </c>
      <c r="O590" s="10">
        <f>IFERROR(VLOOKUP(A590,Flete!$A:$J,10,0),"")</f>
        <v/>
      </c>
      <c r="P590" s="8" t="inlineStr">
        <is>
          <t>TN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900003438</v>
      </c>
      <c r="D591" s="7">
        <f>IFERROR(VLOOKUP(C591,TRAOPE!$G:$H,2,0),"")</f>
        <v/>
      </c>
      <c r="E591" s="8" t="inlineStr">
        <is>
          <t>DW70</t>
        </is>
      </c>
      <c r="F591" s="8" t="inlineStr">
        <is>
          <t>D077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10000623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20230501</t>
        </is>
      </c>
      <c r="M591" s="8" t="inlineStr">
        <is>
          <t>20250131</t>
        </is>
      </c>
      <c r="N591" s="10" t="n">
        <v>109.94</v>
      </c>
      <c r="O591" s="10">
        <f>IFERROR(VLOOKUP(A591,Flete!$A:$J,10,0),"")</f>
        <v/>
      </c>
      <c r="P591" s="8" t="inlineStr">
        <is>
          <t>TN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900003438</v>
      </c>
      <c r="D592" s="7">
        <f>IFERROR(VLOOKUP(C592,TRAOPE!$G:$H,2,0),"")</f>
        <v/>
      </c>
      <c r="E592" s="8" t="inlineStr">
        <is>
          <t>DW70</t>
        </is>
      </c>
      <c r="F592" s="8" t="inlineStr">
        <is>
          <t>D077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10000630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20230501</t>
        </is>
      </c>
      <c r="M592" s="8" t="inlineStr">
        <is>
          <t>20250131</t>
        </is>
      </c>
      <c r="N592" s="10" t="n">
        <v>110.72</v>
      </c>
      <c r="O592" s="10">
        <f>IFERROR(VLOOKUP(A592,Flete!$A:$J,10,0),"")</f>
        <v/>
      </c>
      <c r="P592" s="8" t="inlineStr">
        <is>
          <t>TN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900003438</v>
      </c>
      <c r="D593" s="7">
        <f>IFERROR(VLOOKUP(C593,TRAOPE!$G:$H,2,0),"")</f>
        <v/>
      </c>
      <c r="E593" s="8" t="inlineStr">
        <is>
          <t>DW70</t>
        </is>
      </c>
      <c r="F593" s="8" t="inlineStr">
        <is>
          <t>D077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10000811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20230501</t>
        </is>
      </c>
      <c r="M593" s="8" t="inlineStr">
        <is>
          <t>20250131</t>
        </is>
      </c>
      <c r="N593" s="10" t="n">
        <v>97.44</v>
      </c>
      <c r="O593" s="10">
        <f>IFERROR(VLOOKUP(A593,Flete!$A:$J,10,0),"")</f>
        <v/>
      </c>
      <c r="P593" s="8" t="inlineStr">
        <is>
          <t>TN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900003438</v>
      </c>
      <c r="D594" s="7">
        <f>IFERROR(VLOOKUP(C594,TRAOPE!$G:$H,2,0),"")</f>
        <v/>
      </c>
      <c r="E594" s="8" t="inlineStr">
        <is>
          <t>DW70</t>
        </is>
      </c>
      <c r="F594" s="8" t="inlineStr">
        <is>
          <t>D077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10002802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20250701</t>
        </is>
      </c>
      <c r="M594" s="8" t="inlineStr">
        <is>
          <t>20251031</t>
        </is>
      </c>
      <c r="N594" s="10" t="n">
        <v>102.54</v>
      </c>
      <c r="O594" s="10">
        <f>IFERROR(VLOOKUP(A594,Flete!$A:$J,10,0),"")</f>
        <v/>
      </c>
      <c r="P594" s="8" t="inlineStr">
        <is>
          <t>TN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900003438</v>
      </c>
      <c r="D595" s="7">
        <f>IFERROR(VLOOKUP(C595,TRAOPE!$G:$H,2,0),"")</f>
        <v/>
      </c>
      <c r="E595" s="8" t="inlineStr">
        <is>
          <t>DW70</t>
        </is>
      </c>
      <c r="F595" s="8" t="inlineStr">
        <is>
          <t>D077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10059180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20230501</t>
        </is>
      </c>
      <c r="M595" s="8" t="inlineStr">
        <is>
          <t>20250131</t>
        </is>
      </c>
      <c r="N595" s="10" t="n">
        <v>58.06</v>
      </c>
      <c r="O595" s="10">
        <f>IFERROR(VLOOKUP(A595,Flete!$A:$J,10,0),"")</f>
        <v/>
      </c>
      <c r="P595" s="8" t="inlineStr">
        <is>
          <t>TN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900003438</v>
      </c>
      <c r="D596" s="7">
        <f>IFERROR(VLOOKUP(C596,TRAOPE!$G:$H,2,0),"")</f>
        <v/>
      </c>
      <c r="E596" s="8" t="inlineStr">
        <is>
          <t>DW70</t>
        </is>
      </c>
      <c r="F596" s="8" t="inlineStr">
        <is>
          <t>D079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10000623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20230501</t>
        </is>
      </c>
      <c r="M596" s="8" t="inlineStr">
        <is>
          <t>20250131</t>
        </is>
      </c>
      <c r="N596" s="10" t="n">
        <v>109.94</v>
      </c>
      <c r="O596" s="10">
        <f>IFERROR(VLOOKUP(A596,Flete!$A:$J,10,0),"")</f>
        <v/>
      </c>
      <c r="P596" s="8" t="inlineStr">
        <is>
          <t>TN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900003438</v>
      </c>
      <c r="D597" s="7">
        <f>IFERROR(VLOOKUP(C597,TRAOPE!$G:$H,2,0),"")</f>
        <v/>
      </c>
      <c r="E597" s="8" t="inlineStr">
        <is>
          <t>DW70</t>
        </is>
      </c>
      <c r="F597" s="8" t="inlineStr">
        <is>
          <t>D079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10000630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20230501</t>
        </is>
      </c>
      <c r="M597" s="8" t="inlineStr">
        <is>
          <t>20250131</t>
        </is>
      </c>
      <c r="N597" s="10" t="n">
        <v>110.72</v>
      </c>
      <c r="O597" s="10">
        <f>IFERROR(VLOOKUP(A597,Flete!$A:$J,10,0),"")</f>
        <v/>
      </c>
      <c r="P597" s="8" t="inlineStr">
        <is>
          <t>TN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900003438</v>
      </c>
      <c r="D598" s="7">
        <f>IFERROR(VLOOKUP(C598,TRAOPE!$G:$H,2,0),"")</f>
        <v/>
      </c>
      <c r="E598" s="8" t="inlineStr">
        <is>
          <t>DW70</t>
        </is>
      </c>
      <c r="F598" s="8" t="inlineStr">
        <is>
          <t>D079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10000811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20230501</t>
        </is>
      </c>
      <c r="M598" s="8" t="inlineStr">
        <is>
          <t>20250131</t>
        </is>
      </c>
      <c r="N598" s="10" t="n">
        <v>97.44</v>
      </c>
      <c r="O598" s="10">
        <f>IFERROR(VLOOKUP(A598,Flete!$A:$J,10,0),"")</f>
        <v/>
      </c>
      <c r="P598" s="8" t="inlineStr">
        <is>
          <t>TN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900003438</v>
      </c>
      <c r="D599" s="7">
        <f>IFERROR(VLOOKUP(C599,TRAOPE!$G:$H,2,0),"")</f>
        <v/>
      </c>
      <c r="E599" s="8" t="inlineStr">
        <is>
          <t>DW70</t>
        </is>
      </c>
      <c r="F599" s="8" t="inlineStr">
        <is>
          <t>D079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10002802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20250701</t>
        </is>
      </c>
      <c r="M599" s="8" t="inlineStr">
        <is>
          <t>20251031</t>
        </is>
      </c>
      <c r="N599" s="10" t="n">
        <v>92.28</v>
      </c>
      <c r="O599" s="10">
        <f>IFERROR(VLOOKUP(A599,Flete!$A:$J,10,0),"")</f>
        <v/>
      </c>
      <c r="P599" s="8" t="inlineStr">
        <is>
          <t>TN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900003438</v>
      </c>
      <c r="D600" s="7">
        <f>IFERROR(VLOOKUP(C600,TRAOPE!$G:$H,2,0),"")</f>
        <v/>
      </c>
      <c r="E600" s="8" t="inlineStr">
        <is>
          <t>DW70</t>
        </is>
      </c>
      <c r="F600" s="8" t="inlineStr">
        <is>
          <t>D079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10059180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20230501</t>
        </is>
      </c>
      <c r="M600" s="8" t="inlineStr">
        <is>
          <t>20250131</t>
        </is>
      </c>
      <c r="N600" s="10" t="n">
        <v>58.06</v>
      </c>
      <c r="O600" s="10">
        <f>IFERROR(VLOOKUP(A600,Flete!$A:$J,10,0),"")</f>
        <v/>
      </c>
      <c r="P600" s="8" t="inlineStr">
        <is>
          <t>TN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900003438</v>
      </c>
      <c r="D601" s="7">
        <f>IFERROR(VLOOKUP(C601,TRAOPE!$G:$H,2,0),"")</f>
        <v/>
      </c>
      <c r="E601" s="8" t="inlineStr">
        <is>
          <t>DW70</t>
        </is>
      </c>
      <c r="F601" s="8" t="inlineStr">
        <is>
          <t>D080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10000623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20230501</t>
        </is>
      </c>
      <c r="M601" s="8" t="inlineStr">
        <is>
          <t>20250131</t>
        </is>
      </c>
      <c r="N601" s="10" t="n">
        <v>109.94</v>
      </c>
      <c r="O601" s="10">
        <f>IFERROR(VLOOKUP(A601,Flete!$A:$J,10,0),"")</f>
        <v/>
      </c>
      <c r="P601" s="8" t="inlineStr">
        <is>
          <t>TN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900003438</v>
      </c>
      <c r="D602" s="7">
        <f>IFERROR(VLOOKUP(C602,TRAOPE!$G:$H,2,0),"")</f>
        <v/>
      </c>
      <c r="E602" s="8" t="inlineStr">
        <is>
          <t>DW70</t>
        </is>
      </c>
      <c r="F602" s="8" t="inlineStr">
        <is>
          <t>D080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10000630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20230501</t>
        </is>
      </c>
      <c r="M602" s="8" t="inlineStr">
        <is>
          <t>20250131</t>
        </is>
      </c>
      <c r="N602" s="10" t="n">
        <v>110.72</v>
      </c>
      <c r="O602" s="10">
        <f>IFERROR(VLOOKUP(A602,Flete!$A:$J,10,0),"")</f>
        <v/>
      </c>
      <c r="P602" s="8" t="inlineStr">
        <is>
          <t>TN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900003438</v>
      </c>
      <c r="D603" s="7">
        <f>IFERROR(VLOOKUP(C603,TRAOPE!$G:$H,2,0),"")</f>
        <v/>
      </c>
      <c r="E603" s="8" t="inlineStr">
        <is>
          <t>DW70</t>
        </is>
      </c>
      <c r="F603" s="8" t="inlineStr">
        <is>
          <t>D080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10000811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20230501</t>
        </is>
      </c>
      <c r="M603" s="8" t="inlineStr">
        <is>
          <t>20250131</t>
        </is>
      </c>
      <c r="N603" s="10" t="n">
        <v>97.44</v>
      </c>
      <c r="O603" s="10">
        <f>IFERROR(VLOOKUP(A603,Flete!$A:$J,10,0),"")</f>
        <v/>
      </c>
      <c r="P603" s="8" t="inlineStr">
        <is>
          <t>TN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900003438</v>
      </c>
      <c r="D604" s="7">
        <f>IFERROR(VLOOKUP(C604,TRAOPE!$G:$H,2,0),"")</f>
        <v/>
      </c>
      <c r="E604" s="8" t="inlineStr">
        <is>
          <t>DW70</t>
        </is>
      </c>
      <c r="F604" s="8" t="inlineStr">
        <is>
          <t>D080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10002802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20250701</t>
        </is>
      </c>
      <c r="M604" s="8" t="inlineStr">
        <is>
          <t>99991231</t>
        </is>
      </c>
      <c r="N604" s="10" t="n">
        <v>92.28</v>
      </c>
      <c r="O604" s="10">
        <f>IFERROR(VLOOKUP(A604,Flete!$A:$J,10,0),"")</f>
        <v/>
      </c>
      <c r="P604" s="8" t="inlineStr">
        <is>
          <t>TN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900003438</v>
      </c>
      <c r="D605" s="7">
        <f>IFERROR(VLOOKUP(C605,TRAOPE!$G:$H,2,0),"")</f>
        <v/>
      </c>
      <c r="E605" s="8" t="inlineStr">
        <is>
          <t>DW70</t>
        </is>
      </c>
      <c r="F605" s="8" t="inlineStr">
        <is>
          <t>D080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10059180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20230501</t>
        </is>
      </c>
      <c r="M605" s="8" t="inlineStr">
        <is>
          <t>20250131</t>
        </is>
      </c>
      <c r="N605" s="10" t="n">
        <v>58.06</v>
      </c>
      <c r="O605" s="10">
        <f>IFERROR(VLOOKUP(A605,Flete!$A:$J,10,0),"")</f>
        <v/>
      </c>
      <c r="P605" s="8" t="inlineStr">
        <is>
          <t>TN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900003438</v>
      </c>
      <c r="D606" s="7">
        <f>IFERROR(VLOOKUP(C606,TRAOPE!$G:$H,2,0),"")</f>
        <v/>
      </c>
      <c r="E606" s="8" t="inlineStr">
        <is>
          <t>DW70</t>
        </is>
      </c>
      <c r="F606" s="8" t="inlineStr">
        <is>
          <t>D081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10000104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20230501</t>
        </is>
      </c>
      <c r="M606" s="8" t="inlineStr">
        <is>
          <t>20250131</t>
        </is>
      </c>
      <c r="N606" s="10" t="n">
        <v>76.87</v>
      </c>
      <c r="O606" s="10">
        <f>IFERROR(VLOOKUP(A606,Flete!$A:$J,10,0),"")</f>
        <v/>
      </c>
      <c r="P606" s="8" t="inlineStr">
        <is>
          <t>TN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900003438</v>
      </c>
      <c r="D607" s="7">
        <f>IFERROR(VLOOKUP(C607,TRAOPE!$G:$H,2,0),"")</f>
        <v/>
      </c>
      <c r="E607" s="8" t="inlineStr">
        <is>
          <t>DW70</t>
        </is>
      </c>
      <c r="F607" s="8" t="inlineStr">
        <is>
          <t>D081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10000436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20230501</t>
        </is>
      </c>
      <c r="M607" s="8" t="inlineStr">
        <is>
          <t>20250131</t>
        </is>
      </c>
      <c r="N607" s="10" t="n">
        <v>1897.5</v>
      </c>
      <c r="O607" s="10">
        <f>IFERROR(VLOOKUP(A607,Flete!$A:$J,10,0),"")</f>
        <v/>
      </c>
      <c r="P607" s="8" t="inlineStr">
        <is>
          <t>TN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900003438</v>
      </c>
      <c r="D608" s="7">
        <f>IFERROR(VLOOKUP(C608,TRAOPE!$G:$H,2,0),"")</f>
        <v/>
      </c>
      <c r="E608" s="8" t="inlineStr">
        <is>
          <t>DW70</t>
        </is>
      </c>
      <c r="F608" s="8" t="inlineStr">
        <is>
          <t>D081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10000623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20230501</t>
        </is>
      </c>
      <c r="M608" s="8" t="inlineStr">
        <is>
          <t>20250131</t>
        </is>
      </c>
      <c r="N608" s="10" t="n">
        <v>109.94</v>
      </c>
      <c r="O608" s="10">
        <f>IFERROR(VLOOKUP(A608,Flete!$A:$J,10,0),"")</f>
        <v/>
      </c>
      <c r="P608" s="8" t="inlineStr">
        <is>
          <t>TN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  <row r="609">
      <c r="A609" s="7">
        <f>CONCATENATE(C609,E609,F609,I609)</f>
        <v/>
      </c>
      <c r="B609" s="7">
        <f>CONCATENATE(C609,E609,I609)</f>
        <v/>
      </c>
      <c r="C609" s="8" t="n">
        <v>900003438</v>
      </c>
      <c r="D609" s="7">
        <f>IFERROR(VLOOKUP(C609,TRAOPE!$G:$H,2,0),"")</f>
        <v/>
      </c>
      <c r="E609" s="8" t="inlineStr">
        <is>
          <t>DW70</t>
        </is>
      </c>
      <c r="F609" s="8" t="inlineStr">
        <is>
          <t>D081</t>
        </is>
      </c>
      <c r="G609" s="8">
        <f>IFERROR(VLOOKUP(A609,Flete!$A:$E,5,0),"")</f>
        <v/>
      </c>
      <c r="H609" s="7">
        <f>IFERROR(VLOOKUP(F609,TRAOPE!$AA:$AB,2,0),"")</f>
        <v/>
      </c>
      <c r="I609" s="7" t="n">
        <v>10000630</v>
      </c>
      <c r="J609" s="7">
        <f>IFERROR(VLOOKUP(I609,Materiales!$A:$H,8,0),"")</f>
        <v/>
      </c>
      <c r="K609" s="9">
        <f>IFERROR(VLOOKUP(I609,Materiales!$A:$G,7,0),"")</f>
        <v/>
      </c>
      <c r="L609" s="8" t="inlineStr">
        <is>
          <t>20230501</t>
        </is>
      </c>
      <c r="M609" s="8" t="inlineStr">
        <is>
          <t>20250131</t>
        </is>
      </c>
      <c r="N609" s="10" t="n">
        <v>110.72</v>
      </c>
      <c r="O609" s="10">
        <f>IFERROR(VLOOKUP(A609,Flete!$A:$J,10,0),"")</f>
        <v/>
      </c>
      <c r="P609" s="8" t="inlineStr">
        <is>
          <t>TN</t>
        </is>
      </c>
      <c r="Q609" s="10">
        <f>IFERROR(IFERROR(VLOOKUP(A609,TRAOPE!$A:$U,21,0),VLOOKUP(B609,TRAOPE!$A:$U,21,0)),"")</f>
        <v/>
      </c>
      <c r="R609" s="8">
        <f>IFERROR(IFERROR(VLOOKUP(A609,TRAOPE!$A:$W,23,0),VLOOKUP(B609,TRAOPE!$A:$W,23,0)),"")</f>
        <v/>
      </c>
      <c r="S609" s="10">
        <f>IF(AND(P609="TN",R609="TN"),N609+N(O609),IF(G609&amp;""="1",N(K609)*N609,(N609+N(O609))*N(K609)))</f>
        <v/>
      </c>
      <c r="T609" s="10">
        <f>IF(Q609="","",Q609-S609)</f>
        <v/>
      </c>
    </row>
    <row r="610">
      <c r="A610" s="7">
        <f>CONCATENATE(C610,E610,F610,I610)</f>
        <v/>
      </c>
      <c r="B610" s="7">
        <f>CONCATENATE(C610,E610,I610)</f>
        <v/>
      </c>
      <c r="C610" s="8" t="n">
        <v>900003438</v>
      </c>
      <c r="D610" s="7">
        <f>IFERROR(VLOOKUP(C610,TRAOPE!$G:$H,2,0),"")</f>
        <v/>
      </c>
      <c r="E610" s="8" t="inlineStr">
        <is>
          <t>DW70</t>
        </is>
      </c>
      <c r="F610" s="8" t="inlineStr">
        <is>
          <t>D081</t>
        </is>
      </c>
      <c r="G610" s="8">
        <f>IFERROR(VLOOKUP(A610,Flete!$A:$E,5,0),"")</f>
        <v/>
      </c>
      <c r="H610" s="7">
        <f>IFERROR(VLOOKUP(F610,TRAOPE!$AA:$AB,2,0),"")</f>
        <v/>
      </c>
      <c r="I610" s="7" t="n">
        <v>10000811</v>
      </c>
      <c r="J610" s="7">
        <f>IFERROR(VLOOKUP(I610,Materiales!$A:$H,8,0),"")</f>
        <v/>
      </c>
      <c r="K610" s="9">
        <f>IFERROR(VLOOKUP(I610,Materiales!$A:$G,7,0),"")</f>
        <v/>
      </c>
      <c r="L610" s="8" t="inlineStr">
        <is>
          <t>20260819</t>
        </is>
      </c>
      <c r="M610" s="8" t="inlineStr">
        <is>
          <t>99991231</t>
        </is>
      </c>
      <c r="N610" s="10" t="n">
        <v>138.22</v>
      </c>
      <c r="O610" s="10">
        <f>IFERROR(VLOOKUP(A610,Flete!$A:$J,10,0),"")</f>
        <v/>
      </c>
      <c r="P610" s="8" t="inlineStr">
        <is>
          <t>TN</t>
        </is>
      </c>
      <c r="Q610" s="10">
        <f>IFERROR(IFERROR(VLOOKUP(A610,TRAOPE!$A:$U,21,0),VLOOKUP(B610,TRAOPE!$A:$U,21,0)),"")</f>
        <v/>
      </c>
      <c r="R610" s="8">
        <f>IFERROR(IFERROR(VLOOKUP(A610,TRAOPE!$A:$W,23,0),VLOOKUP(B610,TRAOPE!$A:$W,23,0)),"")</f>
        <v/>
      </c>
      <c r="S610" s="10">
        <f>IF(AND(P610="TN",R610="TN"),N610+N(O610),IF(G610&amp;""="1",N(K610)*N610,(N610+N(O610))*N(K610)))</f>
        <v/>
      </c>
      <c r="T610" s="10">
        <f>IF(Q610="","",Q610-S610)</f>
        <v/>
      </c>
    </row>
    <row r="611">
      <c r="A611" s="7">
        <f>CONCATENATE(C611,E611,F611,I611)</f>
        <v/>
      </c>
      <c r="B611" s="7">
        <f>CONCATENATE(C611,E611,I611)</f>
        <v/>
      </c>
      <c r="C611" s="8" t="n">
        <v>900003438</v>
      </c>
      <c r="D611" s="7">
        <f>IFERROR(VLOOKUP(C611,TRAOPE!$G:$H,2,0),"")</f>
        <v/>
      </c>
      <c r="E611" s="8" t="inlineStr">
        <is>
          <t>DW70</t>
        </is>
      </c>
      <c r="F611" s="8" t="inlineStr">
        <is>
          <t>D081</t>
        </is>
      </c>
      <c r="G611" s="8">
        <f>IFERROR(VLOOKUP(A611,Flete!$A:$E,5,0),"")</f>
        <v/>
      </c>
      <c r="H611" s="7">
        <f>IFERROR(VLOOKUP(F611,TRAOPE!$AA:$AB,2,0),"")</f>
        <v/>
      </c>
      <c r="I611" s="7" t="n">
        <v>10002802</v>
      </c>
      <c r="J611" s="7">
        <f>IFERROR(VLOOKUP(I611,Materiales!$A:$H,8,0),"")</f>
        <v/>
      </c>
      <c r="K611" s="9">
        <f>IFERROR(VLOOKUP(I611,Materiales!$A:$G,7,0),"")</f>
        <v/>
      </c>
      <c r="L611" s="8" t="inlineStr">
        <is>
          <t>20250701</t>
        </is>
      </c>
      <c r="M611" s="8" t="inlineStr">
        <is>
          <t>20251031</t>
        </is>
      </c>
      <c r="N611" s="10" t="n">
        <v>102.54</v>
      </c>
      <c r="O611" s="10">
        <f>IFERROR(VLOOKUP(A611,Flete!$A:$J,10,0),"")</f>
        <v/>
      </c>
      <c r="P611" s="8" t="inlineStr">
        <is>
          <t>TN</t>
        </is>
      </c>
      <c r="Q611" s="10">
        <f>IFERROR(IFERROR(VLOOKUP(A611,TRAOPE!$A:$U,21,0),VLOOKUP(B611,TRAOPE!$A:$U,21,0)),"")</f>
        <v/>
      </c>
      <c r="R611" s="8">
        <f>IFERROR(IFERROR(VLOOKUP(A611,TRAOPE!$A:$W,23,0),VLOOKUP(B611,TRAOPE!$A:$W,23,0)),"")</f>
        <v/>
      </c>
      <c r="S611" s="10">
        <f>IF(AND(P611="TN",R611="TN"),N611+N(O611),IF(G611&amp;""="1",N(K611)*N611,(N611+N(O611))*N(K611)))</f>
        <v/>
      </c>
      <c r="T611" s="10">
        <f>IF(Q611="","",Q611-S611)</f>
        <v/>
      </c>
    </row>
    <row r="612">
      <c r="A612" s="7">
        <f>CONCATENATE(C612,E612,F612,I612)</f>
        <v/>
      </c>
      <c r="B612" s="7">
        <f>CONCATENATE(C612,E612,I612)</f>
        <v/>
      </c>
      <c r="C612" s="8" t="n">
        <v>900003438</v>
      </c>
      <c r="D612" s="7">
        <f>IFERROR(VLOOKUP(C612,TRAOPE!$G:$H,2,0),"")</f>
        <v/>
      </c>
      <c r="E612" s="8" t="inlineStr">
        <is>
          <t>DW70</t>
        </is>
      </c>
      <c r="F612" s="8" t="inlineStr">
        <is>
          <t>D081</t>
        </is>
      </c>
      <c r="G612" s="8">
        <f>IFERROR(VLOOKUP(A612,Flete!$A:$E,5,0),"")</f>
        <v/>
      </c>
      <c r="H612" s="7">
        <f>IFERROR(VLOOKUP(F612,TRAOPE!$AA:$AB,2,0),"")</f>
        <v/>
      </c>
      <c r="I612" s="7" t="n">
        <v>10017387</v>
      </c>
      <c r="J612" s="7">
        <f>IFERROR(VLOOKUP(I612,Materiales!$A:$H,8,0),"")</f>
        <v/>
      </c>
      <c r="K612" s="9">
        <f>IFERROR(VLOOKUP(I612,Materiales!$A:$G,7,0),"")</f>
        <v/>
      </c>
      <c r="L612" s="8" t="inlineStr">
        <is>
          <t>20230501</t>
        </is>
      </c>
      <c r="M612" s="8" t="inlineStr">
        <is>
          <t>20250131</t>
        </is>
      </c>
      <c r="N612" s="10" t="n">
        <v>2105.26</v>
      </c>
      <c r="O612" s="10">
        <f>IFERROR(VLOOKUP(A612,Flete!$A:$J,10,0),"")</f>
        <v/>
      </c>
      <c r="P612" s="8" t="inlineStr">
        <is>
          <t>TN</t>
        </is>
      </c>
      <c r="Q612" s="10">
        <f>IFERROR(IFERROR(VLOOKUP(A612,TRAOPE!$A:$U,21,0),VLOOKUP(B612,TRAOPE!$A:$U,21,0)),"")</f>
        <v/>
      </c>
      <c r="R612" s="8">
        <f>IFERROR(IFERROR(VLOOKUP(A612,TRAOPE!$A:$W,23,0),VLOOKUP(B612,TRAOPE!$A:$W,23,0)),"")</f>
        <v/>
      </c>
      <c r="S612" s="10">
        <f>IF(AND(P612="TN",R612="TN"),N612+N(O612),IF(G612&amp;""="1",N(K612)*N612,(N612+N(O612))*N(K612)))</f>
        <v/>
      </c>
      <c r="T612" s="10">
        <f>IF(Q612="","",Q612-S612)</f>
        <v/>
      </c>
    </row>
    <row r="613">
      <c r="A613" s="7">
        <f>CONCATENATE(C613,E613,F613,I613)</f>
        <v/>
      </c>
      <c r="B613" s="7">
        <f>CONCATENATE(C613,E613,I613)</f>
        <v/>
      </c>
      <c r="C613" s="8" t="n">
        <v>900003438</v>
      </c>
      <c r="D613" s="7">
        <f>IFERROR(VLOOKUP(C613,TRAOPE!$G:$H,2,0),"")</f>
        <v/>
      </c>
      <c r="E613" s="8" t="inlineStr">
        <is>
          <t>DW70</t>
        </is>
      </c>
      <c r="F613" s="8" t="inlineStr">
        <is>
          <t>D081</t>
        </is>
      </c>
      <c r="G613" s="8">
        <f>IFERROR(VLOOKUP(A613,Flete!$A:$E,5,0),"")</f>
        <v/>
      </c>
      <c r="H613" s="7">
        <f>IFERROR(VLOOKUP(F613,TRAOPE!$AA:$AB,2,0),"")</f>
        <v/>
      </c>
      <c r="I613" s="7" t="n">
        <v>10017461</v>
      </c>
      <c r="J613" s="7">
        <f>IFERROR(VLOOKUP(I613,Materiales!$A:$H,8,0),"")</f>
        <v/>
      </c>
      <c r="K613" s="9">
        <f>IFERROR(VLOOKUP(I613,Materiales!$A:$G,7,0),"")</f>
        <v/>
      </c>
      <c r="L613" s="8" t="inlineStr">
        <is>
          <t>20230501</t>
        </is>
      </c>
      <c r="M613" s="8" t="inlineStr">
        <is>
          <t>20250131</t>
        </is>
      </c>
      <c r="N613" s="10" t="n">
        <v>1289.47</v>
      </c>
      <c r="O613" s="10">
        <f>IFERROR(VLOOKUP(A613,Flete!$A:$J,10,0),"")</f>
        <v/>
      </c>
      <c r="P613" s="8" t="inlineStr">
        <is>
          <t>TN</t>
        </is>
      </c>
      <c r="Q613" s="10">
        <f>IFERROR(IFERROR(VLOOKUP(A613,TRAOPE!$A:$U,21,0),VLOOKUP(B613,TRAOPE!$A:$U,21,0)),"")</f>
        <v/>
      </c>
      <c r="R613" s="8">
        <f>IFERROR(IFERROR(VLOOKUP(A613,TRAOPE!$A:$W,23,0),VLOOKUP(B613,TRAOPE!$A:$W,23,0)),"")</f>
        <v/>
      </c>
      <c r="S613" s="10">
        <f>IF(AND(P613="TN",R613="TN"),N613+N(O613),IF(G613&amp;""="1",N(K613)*N613,(N613+N(O613))*N(K613)))</f>
        <v/>
      </c>
      <c r="T613" s="10">
        <f>IF(Q613="","",Q613-S613)</f>
        <v/>
      </c>
    </row>
    <row r="614">
      <c r="A614" s="7">
        <f>CONCATENATE(C614,E614,F614,I614)</f>
        <v/>
      </c>
      <c r="B614" s="7">
        <f>CONCATENATE(C614,E614,I614)</f>
        <v/>
      </c>
      <c r="C614" s="8" t="n">
        <v>900003438</v>
      </c>
      <c r="D614" s="7">
        <f>IFERROR(VLOOKUP(C614,TRAOPE!$G:$H,2,0),"")</f>
        <v/>
      </c>
      <c r="E614" s="8" t="inlineStr">
        <is>
          <t>DW70</t>
        </is>
      </c>
      <c r="F614" s="8" t="inlineStr">
        <is>
          <t>D081</t>
        </is>
      </c>
      <c r="G614" s="8">
        <f>IFERROR(VLOOKUP(A614,Flete!$A:$E,5,0),"")</f>
        <v/>
      </c>
      <c r="H614" s="7">
        <f>IFERROR(VLOOKUP(F614,TRAOPE!$AA:$AB,2,0),"")</f>
        <v/>
      </c>
      <c r="I614" s="7" t="n">
        <v>10059180</v>
      </c>
      <c r="J614" s="7">
        <f>IFERROR(VLOOKUP(I614,Materiales!$A:$H,8,0),"")</f>
        <v/>
      </c>
      <c r="K614" s="9">
        <f>IFERROR(VLOOKUP(I614,Materiales!$A:$G,7,0),"")</f>
        <v/>
      </c>
      <c r="L614" s="8" t="inlineStr">
        <is>
          <t>20230501</t>
        </is>
      </c>
      <c r="M614" s="8" t="inlineStr">
        <is>
          <t>20250131</t>
        </is>
      </c>
      <c r="N614" s="10" t="n">
        <v>58.06</v>
      </c>
      <c r="O614" s="10">
        <f>IFERROR(VLOOKUP(A614,Flete!$A:$J,10,0),"")</f>
        <v/>
      </c>
      <c r="P614" s="8" t="inlineStr">
        <is>
          <t>TN</t>
        </is>
      </c>
      <c r="Q614" s="10">
        <f>IFERROR(IFERROR(VLOOKUP(A614,TRAOPE!$A:$U,21,0),VLOOKUP(B614,TRAOPE!$A:$U,21,0)),"")</f>
        <v/>
      </c>
      <c r="R614" s="8">
        <f>IFERROR(IFERROR(VLOOKUP(A614,TRAOPE!$A:$W,23,0),VLOOKUP(B614,TRAOPE!$A:$W,23,0)),"")</f>
        <v/>
      </c>
      <c r="S614" s="10">
        <f>IF(AND(P614="TN",R614="TN"),N614+N(O614),IF(G614&amp;""="1",N(K614)*N614,(N614+N(O614))*N(K614)))</f>
        <v/>
      </c>
      <c r="T614" s="10">
        <f>IF(Q614="","",Q614-S614)</f>
        <v/>
      </c>
    </row>
    <row r="615">
      <c r="A615" s="7">
        <f>CONCATENATE(C615,E615,F615,I615)</f>
        <v/>
      </c>
      <c r="B615" s="7">
        <f>CONCATENATE(C615,E615,I615)</f>
        <v/>
      </c>
      <c r="C615" s="8" t="n">
        <v>900003438</v>
      </c>
      <c r="D615" s="7">
        <f>IFERROR(VLOOKUP(C615,TRAOPE!$G:$H,2,0),"")</f>
        <v/>
      </c>
      <c r="E615" s="8" t="inlineStr">
        <is>
          <t>DW70</t>
        </is>
      </c>
      <c r="F615" s="8" t="inlineStr">
        <is>
          <t>D083</t>
        </is>
      </c>
      <c r="G615" s="8">
        <f>IFERROR(VLOOKUP(A615,Flete!$A:$E,5,0),"")</f>
        <v/>
      </c>
      <c r="H615" s="7">
        <f>IFERROR(VLOOKUP(F615,TRAOPE!$AA:$AB,2,0),"")</f>
        <v/>
      </c>
      <c r="I615" s="7" t="n">
        <v>10000104</v>
      </c>
      <c r="J615" s="7">
        <f>IFERROR(VLOOKUP(I615,Materiales!$A:$H,8,0),"")</f>
        <v/>
      </c>
      <c r="K615" s="9">
        <f>IFERROR(VLOOKUP(I615,Materiales!$A:$G,7,0),"")</f>
        <v/>
      </c>
      <c r="L615" s="8" t="inlineStr">
        <is>
          <t>20230501</t>
        </is>
      </c>
      <c r="M615" s="8" t="inlineStr">
        <is>
          <t>20250131</t>
        </is>
      </c>
      <c r="N615" s="10" t="n">
        <v>73.39</v>
      </c>
      <c r="O615" s="10">
        <f>IFERROR(VLOOKUP(A615,Flete!$A:$J,10,0),"")</f>
        <v/>
      </c>
      <c r="P615" s="8" t="inlineStr">
        <is>
          <t>TN</t>
        </is>
      </c>
      <c r="Q615" s="10">
        <f>IFERROR(IFERROR(VLOOKUP(A615,TRAOPE!$A:$U,21,0),VLOOKUP(B615,TRAOPE!$A:$U,21,0)),"")</f>
        <v/>
      </c>
      <c r="R615" s="8">
        <f>IFERROR(IFERROR(VLOOKUP(A615,TRAOPE!$A:$W,23,0),VLOOKUP(B615,TRAOPE!$A:$W,23,0)),"")</f>
        <v/>
      </c>
      <c r="S615" s="10">
        <f>IF(AND(P615="TN",R615="TN"),N615+N(O615),IF(G615&amp;""="1",N(K615)*N615,(N615+N(O615))*N(K615)))</f>
        <v/>
      </c>
      <c r="T615" s="10">
        <f>IF(Q615="","",Q615-S615)</f>
        <v/>
      </c>
    </row>
    <row r="616">
      <c r="A616" s="7">
        <f>CONCATENATE(C616,E616,F616,I616)</f>
        <v/>
      </c>
      <c r="B616" s="7">
        <f>CONCATENATE(C616,E616,I616)</f>
        <v/>
      </c>
      <c r="C616" s="8" t="n">
        <v>900003438</v>
      </c>
      <c r="D616" s="7">
        <f>IFERROR(VLOOKUP(C616,TRAOPE!$G:$H,2,0),"")</f>
        <v/>
      </c>
      <c r="E616" s="8" t="inlineStr">
        <is>
          <t>DW70</t>
        </is>
      </c>
      <c r="F616" s="8" t="inlineStr">
        <is>
          <t>D083</t>
        </is>
      </c>
      <c r="G616" s="8">
        <f>IFERROR(VLOOKUP(A616,Flete!$A:$E,5,0),"")</f>
        <v/>
      </c>
      <c r="H616" s="7">
        <f>IFERROR(VLOOKUP(F616,TRAOPE!$AA:$AB,2,0),"")</f>
        <v/>
      </c>
      <c r="I616" s="7" t="n">
        <v>10000623</v>
      </c>
      <c r="J616" s="7">
        <f>IFERROR(VLOOKUP(I616,Materiales!$A:$H,8,0),"")</f>
        <v/>
      </c>
      <c r="K616" s="9">
        <f>IFERROR(VLOOKUP(I616,Materiales!$A:$G,7,0),"")</f>
        <v/>
      </c>
      <c r="L616" s="8" t="inlineStr">
        <is>
          <t>20230501</t>
        </is>
      </c>
      <c r="M616" s="8" t="inlineStr">
        <is>
          <t>20250131</t>
        </is>
      </c>
      <c r="N616" s="10" t="n">
        <v>109.94</v>
      </c>
      <c r="O616" s="10">
        <f>IFERROR(VLOOKUP(A616,Flete!$A:$J,10,0),"")</f>
        <v/>
      </c>
      <c r="P616" s="8" t="inlineStr">
        <is>
          <t>TN</t>
        </is>
      </c>
      <c r="Q616" s="10">
        <f>IFERROR(IFERROR(VLOOKUP(A616,TRAOPE!$A:$U,21,0),VLOOKUP(B616,TRAOPE!$A:$U,21,0)),"")</f>
        <v/>
      </c>
      <c r="R616" s="8">
        <f>IFERROR(IFERROR(VLOOKUP(A616,TRAOPE!$A:$W,23,0),VLOOKUP(B616,TRAOPE!$A:$W,23,0)),"")</f>
        <v/>
      </c>
      <c r="S616" s="10">
        <f>IF(AND(P616="TN",R616="TN"),N616+N(O616),IF(G616&amp;""="1",N(K616)*N616,(N616+N(O616))*N(K616)))</f>
        <v/>
      </c>
      <c r="T616" s="10">
        <f>IF(Q616="","",Q616-S616)</f>
        <v/>
      </c>
    </row>
    <row r="617">
      <c r="A617" s="7">
        <f>CONCATENATE(C617,E617,F617,I617)</f>
        <v/>
      </c>
      <c r="B617" s="7">
        <f>CONCATENATE(C617,E617,I617)</f>
        <v/>
      </c>
      <c r="C617" s="8" t="n">
        <v>900003438</v>
      </c>
      <c r="D617" s="7">
        <f>IFERROR(VLOOKUP(C617,TRAOPE!$G:$H,2,0),"")</f>
        <v/>
      </c>
      <c r="E617" s="8" t="inlineStr">
        <is>
          <t>DW70</t>
        </is>
      </c>
      <c r="F617" s="8" t="inlineStr">
        <is>
          <t>D083</t>
        </is>
      </c>
      <c r="G617" s="8">
        <f>IFERROR(VLOOKUP(A617,Flete!$A:$E,5,0),"")</f>
        <v/>
      </c>
      <c r="H617" s="7">
        <f>IFERROR(VLOOKUP(F617,TRAOPE!$AA:$AB,2,0),"")</f>
        <v/>
      </c>
      <c r="I617" s="7" t="n">
        <v>10000630</v>
      </c>
      <c r="J617" s="7">
        <f>IFERROR(VLOOKUP(I617,Materiales!$A:$H,8,0),"")</f>
        <v/>
      </c>
      <c r="K617" s="9">
        <f>IFERROR(VLOOKUP(I617,Materiales!$A:$G,7,0),"")</f>
        <v/>
      </c>
      <c r="L617" s="8" t="inlineStr">
        <is>
          <t>20230501</t>
        </is>
      </c>
      <c r="M617" s="8" t="inlineStr">
        <is>
          <t>20250131</t>
        </is>
      </c>
      <c r="N617" s="10" t="n">
        <v>110.72</v>
      </c>
      <c r="O617" s="10">
        <f>IFERROR(VLOOKUP(A617,Flete!$A:$J,10,0),"")</f>
        <v/>
      </c>
      <c r="P617" s="8" t="inlineStr">
        <is>
          <t>TN</t>
        </is>
      </c>
      <c r="Q617" s="10">
        <f>IFERROR(IFERROR(VLOOKUP(A617,TRAOPE!$A:$U,21,0),VLOOKUP(B617,TRAOPE!$A:$U,21,0)),"")</f>
        <v/>
      </c>
      <c r="R617" s="8">
        <f>IFERROR(IFERROR(VLOOKUP(A617,TRAOPE!$A:$W,23,0),VLOOKUP(B617,TRAOPE!$A:$W,23,0)),"")</f>
        <v/>
      </c>
      <c r="S617" s="10">
        <f>IF(AND(P617="TN",R617="TN"),N617+N(O617),IF(G617&amp;""="1",N(K617)*N617,(N617+N(O617))*N(K617)))</f>
        <v/>
      </c>
      <c r="T617" s="10">
        <f>IF(Q617="","",Q617-S617)</f>
        <v/>
      </c>
    </row>
    <row r="618">
      <c r="A618" s="7">
        <f>CONCATENATE(C618,E618,F618,I618)</f>
        <v/>
      </c>
      <c r="B618" s="7">
        <f>CONCATENATE(C618,E618,I618)</f>
        <v/>
      </c>
      <c r="C618" s="8" t="n">
        <v>900003438</v>
      </c>
      <c r="D618" s="7">
        <f>IFERROR(VLOOKUP(C618,TRAOPE!$G:$H,2,0),"")</f>
        <v/>
      </c>
      <c r="E618" s="8" t="inlineStr">
        <is>
          <t>DW70</t>
        </is>
      </c>
      <c r="F618" s="8" t="inlineStr">
        <is>
          <t>D083</t>
        </is>
      </c>
      <c r="G618" s="8">
        <f>IFERROR(VLOOKUP(A618,Flete!$A:$E,5,0),"")</f>
        <v/>
      </c>
      <c r="H618" s="7">
        <f>IFERROR(VLOOKUP(F618,TRAOPE!$AA:$AB,2,0),"")</f>
        <v/>
      </c>
      <c r="I618" s="7" t="n">
        <v>10000811</v>
      </c>
      <c r="J618" s="7">
        <f>IFERROR(VLOOKUP(I618,Materiales!$A:$H,8,0),"")</f>
        <v/>
      </c>
      <c r="K618" s="9">
        <f>IFERROR(VLOOKUP(I618,Materiales!$A:$G,7,0),"")</f>
        <v/>
      </c>
      <c r="L618" s="8" t="inlineStr">
        <is>
          <t>20230501</t>
        </is>
      </c>
      <c r="M618" s="8" t="inlineStr">
        <is>
          <t>20250131</t>
        </is>
      </c>
      <c r="N618" s="10" t="n">
        <v>97.44</v>
      </c>
      <c r="O618" s="10">
        <f>IFERROR(VLOOKUP(A618,Flete!$A:$J,10,0),"")</f>
        <v/>
      </c>
      <c r="P618" s="8" t="inlineStr">
        <is>
          <t>TN</t>
        </is>
      </c>
      <c r="Q618" s="10">
        <f>IFERROR(IFERROR(VLOOKUP(A618,TRAOPE!$A:$U,21,0),VLOOKUP(B618,TRAOPE!$A:$U,21,0)),"")</f>
        <v/>
      </c>
      <c r="R618" s="8">
        <f>IFERROR(IFERROR(VLOOKUP(A618,TRAOPE!$A:$W,23,0),VLOOKUP(B618,TRAOPE!$A:$W,23,0)),"")</f>
        <v/>
      </c>
      <c r="S618" s="10">
        <f>IF(AND(P618="TN",R618="TN"),N618+N(O618),IF(G618&amp;""="1",N(K618)*N618,(N618+N(O618))*N(K618)))</f>
        <v/>
      </c>
      <c r="T618" s="10">
        <f>IF(Q618="","",Q618-S618)</f>
        <v/>
      </c>
    </row>
    <row r="619">
      <c r="A619" s="7">
        <f>CONCATENATE(C619,E619,F619,I619)</f>
        <v/>
      </c>
      <c r="B619" s="7">
        <f>CONCATENATE(C619,E619,I619)</f>
        <v/>
      </c>
      <c r="C619" s="8" t="n">
        <v>900003438</v>
      </c>
      <c r="D619" s="7">
        <f>IFERROR(VLOOKUP(C619,TRAOPE!$G:$H,2,0),"")</f>
        <v/>
      </c>
      <c r="E619" s="8" t="inlineStr">
        <is>
          <t>DW70</t>
        </is>
      </c>
      <c r="F619" s="8" t="inlineStr">
        <is>
          <t>D083</t>
        </is>
      </c>
      <c r="G619" s="8">
        <f>IFERROR(VLOOKUP(A619,Flete!$A:$E,5,0),"")</f>
        <v/>
      </c>
      <c r="H619" s="7">
        <f>IFERROR(VLOOKUP(F619,TRAOPE!$AA:$AB,2,0),"")</f>
        <v/>
      </c>
      <c r="I619" s="7" t="n">
        <v>10002802</v>
      </c>
      <c r="J619" s="7">
        <f>IFERROR(VLOOKUP(I619,Materiales!$A:$H,8,0),"")</f>
        <v/>
      </c>
      <c r="K619" s="9">
        <f>IFERROR(VLOOKUP(I619,Materiales!$A:$G,7,0),"")</f>
        <v/>
      </c>
      <c r="L619" s="8" t="inlineStr">
        <is>
          <t>20230501</t>
        </is>
      </c>
      <c r="M619" s="8" t="inlineStr">
        <is>
          <t>20250131</t>
        </is>
      </c>
      <c r="N619" s="10" t="n">
        <v>102.54</v>
      </c>
      <c r="O619" s="10">
        <f>IFERROR(VLOOKUP(A619,Flete!$A:$J,10,0),"")</f>
        <v/>
      </c>
      <c r="P619" s="8" t="inlineStr">
        <is>
          <t>TN</t>
        </is>
      </c>
      <c r="Q619" s="10">
        <f>IFERROR(IFERROR(VLOOKUP(A619,TRAOPE!$A:$U,21,0),VLOOKUP(B619,TRAOPE!$A:$U,21,0)),"")</f>
        <v/>
      </c>
      <c r="R619" s="8">
        <f>IFERROR(IFERROR(VLOOKUP(A619,TRAOPE!$A:$W,23,0),VLOOKUP(B619,TRAOPE!$A:$W,23,0)),"")</f>
        <v/>
      </c>
      <c r="S619" s="10">
        <f>IF(AND(P619="TN",R619="TN"),N619+N(O619),IF(G619&amp;""="1",N(K619)*N619,(N619+N(O619))*N(K619)))</f>
        <v/>
      </c>
      <c r="T619" s="10">
        <f>IF(Q619="","",Q619-S619)</f>
        <v/>
      </c>
    </row>
    <row r="620">
      <c r="A620" s="7">
        <f>CONCATENATE(C620,E620,F620,I620)</f>
        <v/>
      </c>
      <c r="B620" s="7">
        <f>CONCATENATE(C620,E620,I620)</f>
        <v/>
      </c>
      <c r="C620" s="8" t="n">
        <v>900003438</v>
      </c>
      <c r="D620" s="7">
        <f>IFERROR(VLOOKUP(C620,TRAOPE!$G:$H,2,0),"")</f>
        <v/>
      </c>
      <c r="E620" s="8" t="inlineStr">
        <is>
          <t>DW70</t>
        </is>
      </c>
      <c r="F620" s="8" t="inlineStr">
        <is>
          <t>D083</t>
        </is>
      </c>
      <c r="G620" s="8">
        <f>IFERROR(VLOOKUP(A620,Flete!$A:$E,5,0),"")</f>
        <v/>
      </c>
      <c r="H620" s="7">
        <f>IFERROR(VLOOKUP(F620,TRAOPE!$AA:$AB,2,0),"")</f>
        <v/>
      </c>
      <c r="I620" s="7" t="n">
        <v>10059180</v>
      </c>
      <c r="J620" s="7">
        <f>IFERROR(VLOOKUP(I620,Materiales!$A:$H,8,0),"")</f>
        <v/>
      </c>
      <c r="K620" s="9">
        <f>IFERROR(VLOOKUP(I620,Materiales!$A:$G,7,0),"")</f>
        <v/>
      </c>
      <c r="L620" s="8" t="inlineStr">
        <is>
          <t>20230501</t>
        </is>
      </c>
      <c r="M620" s="8" t="inlineStr">
        <is>
          <t>20250131</t>
        </is>
      </c>
      <c r="N620" s="10" t="n">
        <v>58.06</v>
      </c>
      <c r="O620" s="10">
        <f>IFERROR(VLOOKUP(A620,Flete!$A:$J,10,0),"")</f>
        <v/>
      </c>
      <c r="P620" s="8" t="inlineStr">
        <is>
          <t>TN</t>
        </is>
      </c>
      <c r="Q620" s="10">
        <f>IFERROR(IFERROR(VLOOKUP(A620,TRAOPE!$A:$U,21,0),VLOOKUP(B620,TRAOPE!$A:$U,21,0)),"")</f>
        <v/>
      </c>
      <c r="R620" s="8">
        <f>IFERROR(IFERROR(VLOOKUP(A620,TRAOPE!$A:$W,23,0),VLOOKUP(B620,TRAOPE!$A:$W,23,0)),"")</f>
        <v/>
      </c>
      <c r="S620" s="10">
        <f>IF(AND(P620="TN",R620="TN"),N620+N(O620),IF(G620&amp;""="1",N(K620)*N620,(N620+N(O620))*N(K620)))</f>
        <v/>
      </c>
      <c r="T620" s="10">
        <f>IF(Q620="","",Q620-S620)</f>
        <v/>
      </c>
    </row>
    <row r="621">
      <c r="A621" s="7">
        <f>CONCATENATE(C621,E621,F621,I621)</f>
        <v/>
      </c>
      <c r="B621" s="7">
        <f>CONCATENATE(C621,E621,I621)</f>
        <v/>
      </c>
      <c r="C621" s="8" t="n">
        <v>900003438</v>
      </c>
      <c r="D621" s="7">
        <f>IFERROR(VLOOKUP(C621,TRAOPE!$G:$H,2,0),"")</f>
        <v/>
      </c>
      <c r="E621" s="8" t="inlineStr">
        <is>
          <t>DW70</t>
        </is>
      </c>
      <c r="F621" s="8" t="inlineStr">
        <is>
          <t>D084</t>
        </is>
      </c>
      <c r="G621" s="8">
        <f>IFERROR(VLOOKUP(A621,Flete!$A:$E,5,0),"")</f>
        <v/>
      </c>
      <c r="H621" s="7">
        <f>IFERROR(VLOOKUP(F621,TRAOPE!$AA:$AB,2,0),"")</f>
        <v/>
      </c>
      <c r="I621" s="7" t="n">
        <v>10000623</v>
      </c>
      <c r="J621" s="7">
        <f>IFERROR(VLOOKUP(I621,Materiales!$A:$H,8,0),"")</f>
        <v/>
      </c>
      <c r="K621" s="9">
        <f>IFERROR(VLOOKUP(I621,Materiales!$A:$G,7,0),"")</f>
        <v/>
      </c>
      <c r="L621" s="8" t="inlineStr">
        <is>
          <t>20230501</t>
        </is>
      </c>
      <c r="M621" s="8" t="inlineStr">
        <is>
          <t>20250131</t>
        </is>
      </c>
      <c r="N621" s="10" t="n">
        <v>109.94</v>
      </c>
      <c r="O621" s="10">
        <f>IFERROR(VLOOKUP(A621,Flete!$A:$J,10,0),"")</f>
        <v/>
      </c>
      <c r="P621" s="8" t="inlineStr">
        <is>
          <t>TN</t>
        </is>
      </c>
      <c r="Q621" s="10">
        <f>IFERROR(IFERROR(VLOOKUP(A621,TRAOPE!$A:$U,21,0),VLOOKUP(B621,TRAOPE!$A:$U,21,0)),"")</f>
        <v/>
      </c>
      <c r="R621" s="8">
        <f>IFERROR(IFERROR(VLOOKUP(A621,TRAOPE!$A:$W,23,0),VLOOKUP(B621,TRAOPE!$A:$W,23,0)),"")</f>
        <v/>
      </c>
      <c r="S621" s="10">
        <f>IF(AND(P621="TN",R621="TN"),N621+N(O621),IF(G621&amp;""="1",N(K621)*N621,(N621+N(O621))*N(K621)))</f>
        <v/>
      </c>
      <c r="T621" s="10">
        <f>IF(Q621="","",Q621-S621)</f>
        <v/>
      </c>
    </row>
    <row r="622">
      <c r="A622" s="7">
        <f>CONCATENATE(C622,E622,F622,I622)</f>
        <v/>
      </c>
      <c r="B622" s="7">
        <f>CONCATENATE(C622,E622,I622)</f>
        <v/>
      </c>
      <c r="C622" s="8" t="n">
        <v>900003438</v>
      </c>
      <c r="D622" s="7">
        <f>IFERROR(VLOOKUP(C622,TRAOPE!$G:$H,2,0),"")</f>
        <v/>
      </c>
      <c r="E622" s="8" t="inlineStr">
        <is>
          <t>DW70</t>
        </is>
      </c>
      <c r="F622" s="8" t="inlineStr">
        <is>
          <t>D084</t>
        </is>
      </c>
      <c r="G622" s="8">
        <f>IFERROR(VLOOKUP(A622,Flete!$A:$E,5,0),"")</f>
        <v/>
      </c>
      <c r="H622" s="7">
        <f>IFERROR(VLOOKUP(F622,TRAOPE!$AA:$AB,2,0),"")</f>
        <v/>
      </c>
      <c r="I622" s="7" t="n">
        <v>10000630</v>
      </c>
      <c r="J622" s="7">
        <f>IFERROR(VLOOKUP(I622,Materiales!$A:$H,8,0),"")</f>
        <v/>
      </c>
      <c r="K622" s="9">
        <f>IFERROR(VLOOKUP(I622,Materiales!$A:$G,7,0),"")</f>
        <v/>
      </c>
      <c r="L622" s="8" t="inlineStr">
        <is>
          <t>20230501</t>
        </is>
      </c>
      <c r="M622" s="8" t="inlineStr">
        <is>
          <t>20250131</t>
        </is>
      </c>
      <c r="N622" s="10" t="n">
        <v>110.72</v>
      </c>
      <c r="O622" s="10">
        <f>IFERROR(VLOOKUP(A622,Flete!$A:$J,10,0),"")</f>
        <v/>
      </c>
      <c r="P622" s="8" t="inlineStr">
        <is>
          <t>TN</t>
        </is>
      </c>
      <c r="Q622" s="10">
        <f>IFERROR(IFERROR(VLOOKUP(A622,TRAOPE!$A:$U,21,0),VLOOKUP(B622,TRAOPE!$A:$U,21,0)),"")</f>
        <v/>
      </c>
      <c r="R622" s="8">
        <f>IFERROR(IFERROR(VLOOKUP(A622,TRAOPE!$A:$W,23,0),VLOOKUP(B622,TRAOPE!$A:$W,23,0)),"")</f>
        <v/>
      </c>
      <c r="S622" s="10">
        <f>IF(AND(P622="TN",R622="TN"),N622+N(O622),IF(G622&amp;""="1",N(K622)*N622,(N622+N(O622))*N(K622)))</f>
        <v/>
      </c>
      <c r="T622" s="10">
        <f>IF(Q622="","",Q622-S622)</f>
        <v/>
      </c>
    </row>
    <row r="623">
      <c r="A623" s="7">
        <f>CONCATENATE(C623,E623,F623,I623)</f>
        <v/>
      </c>
      <c r="B623" s="7">
        <f>CONCATENATE(C623,E623,I623)</f>
        <v/>
      </c>
      <c r="C623" s="8" t="n">
        <v>900003438</v>
      </c>
      <c r="D623" s="7">
        <f>IFERROR(VLOOKUP(C623,TRAOPE!$G:$H,2,0),"")</f>
        <v/>
      </c>
      <c r="E623" s="8" t="inlineStr">
        <is>
          <t>DW70</t>
        </is>
      </c>
      <c r="F623" s="8" t="inlineStr">
        <is>
          <t>D084</t>
        </is>
      </c>
      <c r="G623" s="8">
        <f>IFERROR(VLOOKUP(A623,Flete!$A:$E,5,0),"")</f>
        <v/>
      </c>
      <c r="H623" s="7">
        <f>IFERROR(VLOOKUP(F623,TRAOPE!$AA:$AB,2,0),"")</f>
        <v/>
      </c>
      <c r="I623" s="7" t="n">
        <v>10000811</v>
      </c>
      <c r="J623" s="7">
        <f>IFERROR(VLOOKUP(I623,Materiales!$A:$H,8,0),"")</f>
        <v/>
      </c>
      <c r="K623" s="9">
        <f>IFERROR(VLOOKUP(I623,Materiales!$A:$G,7,0),"")</f>
        <v/>
      </c>
      <c r="L623" s="8" t="inlineStr">
        <is>
          <t>20230501</t>
        </is>
      </c>
      <c r="M623" s="8" t="inlineStr">
        <is>
          <t>20250131</t>
        </is>
      </c>
      <c r="N623" s="10" t="n">
        <v>97.44</v>
      </c>
      <c r="O623" s="10">
        <f>IFERROR(VLOOKUP(A623,Flete!$A:$J,10,0),"")</f>
        <v/>
      </c>
      <c r="P623" s="8" t="inlineStr">
        <is>
          <t>TN</t>
        </is>
      </c>
      <c r="Q623" s="10">
        <f>IFERROR(IFERROR(VLOOKUP(A623,TRAOPE!$A:$U,21,0),VLOOKUP(B623,TRAOPE!$A:$U,21,0)),"")</f>
        <v/>
      </c>
      <c r="R623" s="8">
        <f>IFERROR(IFERROR(VLOOKUP(A623,TRAOPE!$A:$W,23,0),VLOOKUP(B623,TRAOPE!$A:$W,23,0)),"")</f>
        <v/>
      </c>
      <c r="S623" s="10">
        <f>IF(AND(P623="TN",R623="TN"),N623+N(O623),IF(G623&amp;""="1",N(K623)*N623,(N623+N(O623))*N(K623)))</f>
        <v/>
      </c>
      <c r="T623" s="10">
        <f>IF(Q623="","",Q623-S623)</f>
        <v/>
      </c>
    </row>
    <row r="624">
      <c r="A624" s="7">
        <f>CONCATENATE(C624,E624,F624,I624)</f>
        <v/>
      </c>
      <c r="B624" s="7">
        <f>CONCATENATE(C624,E624,I624)</f>
        <v/>
      </c>
      <c r="C624" s="8" t="n">
        <v>900003438</v>
      </c>
      <c r="D624" s="7">
        <f>IFERROR(VLOOKUP(C624,TRAOPE!$G:$H,2,0),"")</f>
        <v/>
      </c>
      <c r="E624" s="8" t="inlineStr">
        <is>
          <t>DW70</t>
        </is>
      </c>
      <c r="F624" s="8" t="inlineStr">
        <is>
          <t>D084</t>
        </is>
      </c>
      <c r="G624" s="8">
        <f>IFERROR(VLOOKUP(A624,Flete!$A:$E,5,0),"")</f>
        <v/>
      </c>
      <c r="H624" s="7">
        <f>IFERROR(VLOOKUP(F624,TRAOPE!$AA:$AB,2,0),"")</f>
        <v/>
      </c>
      <c r="I624" s="7" t="n">
        <v>10002802</v>
      </c>
      <c r="J624" s="7">
        <f>IFERROR(VLOOKUP(I624,Materiales!$A:$H,8,0),"")</f>
        <v/>
      </c>
      <c r="K624" s="9">
        <f>IFERROR(VLOOKUP(I624,Materiales!$A:$G,7,0),"")</f>
        <v/>
      </c>
      <c r="L624" s="8" t="inlineStr">
        <is>
          <t>20250701</t>
        </is>
      </c>
      <c r="M624" s="8" t="inlineStr">
        <is>
          <t>20251031</t>
        </is>
      </c>
      <c r="N624" s="10" t="n">
        <v>92.28</v>
      </c>
      <c r="O624" s="10">
        <f>IFERROR(VLOOKUP(A624,Flete!$A:$J,10,0),"")</f>
        <v/>
      </c>
      <c r="P624" s="8" t="inlineStr">
        <is>
          <t>TN</t>
        </is>
      </c>
      <c r="Q624" s="10">
        <f>IFERROR(IFERROR(VLOOKUP(A624,TRAOPE!$A:$U,21,0),VLOOKUP(B624,TRAOPE!$A:$U,21,0)),"")</f>
        <v/>
      </c>
      <c r="R624" s="8">
        <f>IFERROR(IFERROR(VLOOKUP(A624,TRAOPE!$A:$W,23,0),VLOOKUP(B624,TRAOPE!$A:$W,23,0)),"")</f>
        <v/>
      </c>
      <c r="S624" s="10">
        <f>IF(AND(P624="TN",R624="TN"),N624+N(O624),IF(G624&amp;""="1",N(K624)*N624,(N624+N(O624))*N(K624)))</f>
        <v/>
      </c>
      <c r="T624" s="10">
        <f>IF(Q624="","",Q624-S624)</f>
        <v/>
      </c>
    </row>
    <row r="625">
      <c r="A625" s="7">
        <f>CONCATENATE(C625,E625,F625,I625)</f>
        <v/>
      </c>
      <c r="B625" s="7">
        <f>CONCATENATE(C625,E625,I625)</f>
        <v/>
      </c>
      <c r="C625" s="8" t="n">
        <v>900003438</v>
      </c>
      <c r="D625" s="7">
        <f>IFERROR(VLOOKUP(C625,TRAOPE!$G:$H,2,0),"")</f>
        <v/>
      </c>
      <c r="E625" s="8" t="inlineStr">
        <is>
          <t>DW70</t>
        </is>
      </c>
      <c r="F625" s="8" t="inlineStr">
        <is>
          <t>D084</t>
        </is>
      </c>
      <c r="G625" s="8">
        <f>IFERROR(VLOOKUP(A625,Flete!$A:$E,5,0),"")</f>
        <v/>
      </c>
      <c r="H625" s="7">
        <f>IFERROR(VLOOKUP(F625,TRAOPE!$AA:$AB,2,0),"")</f>
        <v/>
      </c>
      <c r="I625" s="7" t="n">
        <v>10059180</v>
      </c>
      <c r="J625" s="7">
        <f>IFERROR(VLOOKUP(I625,Materiales!$A:$H,8,0),"")</f>
        <v/>
      </c>
      <c r="K625" s="9">
        <f>IFERROR(VLOOKUP(I625,Materiales!$A:$G,7,0),"")</f>
        <v/>
      </c>
      <c r="L625" s="8" t="inlineStr">
        <is>
          <t>20230501</t>
        </is>
      </c>
      <c r="M625" s="8" t="inlineStr">
        <is>
          <t>20250131</t>
        </is>
      </c>
      <c r="N625" s="10" t="n">
        <v>58.06</v>
      </c>
      <c r="O625" s="10">
        <f>IFERROR(VLOOKUP(A625,Flete!$A:$J,10,0),"")</f>
        <v/>
      </c>
      <c r="P625" s="8" t="inlineStr">
        <is>
          <t>TN</t>
        </is>
      </c>
      <c r="Q625" s="10">
        <f>IFERROR(IFERROR(VLOOKUP(A625,TRAOPE!$A:$U,21,0),VLOOKUP(B625,TRAOPE!$A:$U,21,0)),"")</f>
        <v/>
      </c>
      <c r="R625" s="8">
        <f>IFERROR(IFERROR(VLOOKUP(A625,TRAOPE!$A:$W,23,0),VLOOKUP(B625,TRAOPE!$A:$W,23,0)),"")</f>
        <v/>
      </c>
      <c r="S625" s="10">
        <f>IF(AND(P625="TN",R625="TN"),N625+N(O625),IF(G625&amp;""="1",N(K625)*N625,(N625+N(O625))*N(K625)))</f>
        <v/>
      </c>
      <c r="T625" s="10">
        <f>IF(Q625="","",Q625-S625)</f>
        <v/>
      </c>
    </row>
    <row r="626">
      <c r="A626" s="7">
        <f>CONCATENATE(C626,E626,F626,I626)</f>
        <v/>
      </c>
      <c r="B626" s="7">
        <f>CONCATENATE(C626,E626,I626)</f>
        <v/>
      </c>
      <c r="C626" s="8" t="n">
        <v>900003438</v>
      </c>
      <c r="D626" s="7">
        <f>IFERROR(VLOOKUP(C626,TRAOPE!$G:$H,2,0),"")</f>
        <v/>
      </c>
      <c r="E626" s="8" t="inlineStr">
        <is>
          <t>DW70</t>
        </is>
      </c>
      <c r="F626" s="8" t="inlineStr">
        <is>
          <t>D085</t>
        </is>
      </c>
      <c r="G626" s="8">
        <f>IFERROR(VLOOKUP(A626,Flete!$A:$E,5,0),"")</f>
        <v/>
      </c>
      <c r="H626" s="7">
        <f>IFERROR(VLOOKUP(F626,TRAOPE!$AA:$AB,2,0),"")</f>
        <v/>
      </c>
      <c r="I626" s="7" t="n">
        <v>10000623</v>
      </c>
      <c r="J626" s="7">
        <f>IFERROR(VLOOKUP(I626,Materiales!$A:$H,8,0),"")</f>
        <v/>
      </c>
      <c r="K626" s="9">
        <f>IFERROR(VLOOKUP(I626,Materiales!$A:$G,7,0),"")</f>
        <v/>
      </c>
      <c r="L626" s="8" t="inlineStr">
        <is>
          <t>20230501</t>
        </is>
      </c>
      <c r="M626" s="8" t="inlineStr">
        <is>
          <t>20250131</t>
        </is>
      </c>
      <c r="N626" s="10" t="n">
        <v>109.94</v>
      </c>
      <c r="O626" s="10">
        <f>IFERROR(VLOOKUP(A626,Flete!$A:$J,10,0),"")</f>
        <v/>
      </c>
      <c r="P626" s="8" t="inlineStr">
        <is>
          <t>TN</t>
        </is>
      </c>
      <c r="Q626" s="10">
        <f>IFERROR(IFERROR(VLOOKUP(A626,TRAOPE!$A:$U,21,0),VLOOKUP(B626,TRAOPE!$A:$U,21,0)),"")</f>
        <v/>
      </c>
      <c r="R626" s="8">
        <f>IFERROR(IFERROR(VLOOKUP(A626,TRAOPE!$A:$W,23,0),VLOOKUP(B626,TRAOPE!$A:$W,23,0)),"")</f>
        <v/>
      </c>
      <c r="S626" s="10">
        <f>IF(AND(P626="TN",R626="TN"),N626+N(O626),IF(G626&amp;""="1",N(K626)*N626,(N626+N(O626))*N(K626)))</f>
        <v/>
      </c>
      <c r="T626" s="10">
        <f>IF(Q626="","",Q626-S626)</f>
        <v/>
      </c>
    </row>
    <row r="627">
      <c r="A627" s="7">
        <f>CONCATENATE(C627,E627,F627,I627)</f>
        <v/>
      </c>
      <c r="B627" s="7">
        <f>CONCATENATE(C627,E627,I627)</f>
        <v/>
      </c>
      <c r="C627" s="8" t="n">
        <v>900003438</v>
      </c>
      <c r="D627" s="7">
        <f>IFERROR(VLOOKUP(C627,TRAOPE!$G:$H,2,0),"")</f>
        <v/>
      </c>
      <c r="E627" s="8" t="inlineStr">
        <is>
          <t>DW70</t>
        </is>
      </c>
      <c r="F627" s="8" t="inlineStr">
        <is>
          <t>D085</t>
        </is>
      </c>
      <c r="G627" s="8">
        <f>IFERROR(VLOOKUP(A627,Flete!$A:$E,5,0),"")</f>
        <v/>
      </c>
      <c r="H627" s="7">
        <f>IFERROR(VLOOKUP(F627,TRAOPE!$AA:$AB,2,0),"")</f>
        <v/>
      </c>
      <c r="I627" s="7" t="n">
        <v>10000630</v>
      </c>
      <c r="J627" s="7">
        <f>IFERROR(VLOOKUP(I627,Materiales!$A:$H,8,0),"")</f>
        <v/>
      </c>
      <c r="K627" s="9">
        <f>IFERROR(VLOOKUP(I627,Materiales!$A:$G,7,0),"")</f>
        <v/>
      </c>
      <c r="L627" s="8" t="inlineStr">
        <is>
          <t>20230501</t>
        </is>
      </c>
      <c r="M627" s="8" t="inlineStr">
        <is>
          <t>20250131</t>
        </is>
      </c>
      <c r="N627" s="10" t="n">
        <v>110.72</v>
      </c>
      <c r="O627" s="10">
        <f>IFERROR(VLOOKUP(A627,Flete!$A:$J,10,0),"")</f>
        <v/>
      </c>
      <c r="P627" s="8" t="inlineStr">
        <is>
          <t>TN</t>
        </is>
      </c>
      <c r="Q627" s="10">
        <f>IFERROR(IFERROR(VLOOKUP(A627,TRAOPE!$A:$U,21,0),VLOOKUP(B627,TRAOPE!$A:$U,21,0)),"")</f>
        <v/>
      </c>
      <c r="R627" s="8">
        <f>IFERROR(IFERROR(VLOOKUP(A627,TRAOPE!$A:$W,23,0),VLOOKUP(B627,TRAOPE!$A:$W,23,0)),"")</f>
        <v/>
      </c>
      <c r="S627" s="10">
        <f>IF(AND(P627="TN",R627="TN"),N627+N(O627),IF(G627&amp;""="1",N(K627)*N627,(N627+N(O627))*N(K627)))</f>
        <v/>
      </c>
      <c r="T627" s="10">
        <f>IF(Q627="","",Q627-S627)</f>
        <v/>
      </c>
    </row>
    <row r="628">
      <c r="A628" s="7">
        <f>CONCATENATE(C628,E628,F628,I628)</f>
        <v/>
      </c>
      <c r="B628" s="7">
        <f>CONCATENATE(C628,E628,I628)</f>
        <v/>
      </c>
      <c r="C628" s="8" t="n">
        <v>900003438</v>
      </c>
      <c r="D628" s="7">
        <f>IFERROR(VLOOKUP(C628,TRAOPE!$G:$H,2,0),"")</f>
        <v/>
      </c>
      <c r="E628" s="8" t="inlineStr">
        <is>
          <t>DW70</t>
        </is>
      </c>
      <c r="F628" s="8" t="inlineStr">
        <is>
          <t>D085</t>
        </is>
      </c>
      <c r="G628" s="8">
        <f>IFERROR(VLOOKUP(A628,Flete!$A:$E,5,0),"")</f>
        <v/>
      </c>
      <c r="H628" s="7">
        <f>IFERROR(VLOOKUP(F628,TRAOPE!$AA:$AB,2,0),"")</f>
        <v/>
      </c>
      <c r="I628" s="7" t="n">
        <v>10000811</v>
      </c>
      <c r="J628" s="7">
        <f>IFERROR(VLOOKUP(I628,Materiales!$A:$H,8,0),"")</f>
        <v/>
      </c>
      <c r="K628" s="9">
        <f>IFERROR(VLOOKUP(I628,Materiales!$A:$G,7,0),"")</f>
        <v/>
      </c>
      <c r="L628" s="8" t="inlineStr">
        <is>
          <t>20230501</t>
        </is>
      </c>
      <c r="M628" s="8" t="inlineStr">
        <is>
          <t>20250131</t>
        </is>
      </c>
      <c r="N628" s="10" t="n">
        <v>97.44</v>
      </c>
      <c r="O628" s="10">
        <f>IFERROR(VLOOKUP(A628,Flete!$A:$J,10,0),"")</f>
        <v/>
      </c>
      <c r="P628" s="8" t="inlineStr">
        <is>
          <t>TN</t>
        </is>
      </c>
      <c r="Q628" s="10">
        <f>IFERROR(IFERROR(VLOOKUP(A628,TRAOPE!$A:$U,21,0),VLOOKUP(B628,TRAOPE!$A:$U,21,0)),"")</f>
        <v/>
      </c>
      <c r="R628" s="8">
        <f>IFERROR(IFERROR(VLOOKUP(A628,TRAOPE!$A:$W,23,0),VLOOKUP(B628,TRAOPE!$A:$W,23,0)),"")</f>
        <v/>
      </c>
      <c r="S628" s="10">
        <f>IF(AND(P628="TN",R628="TN"),N628+N(O628),IF(G628&amp;""="1",N(K628)*N628,(N628+N(O628))*N(K628)))</f>
        <v/>
      </c>
      <c r="T628" s="10">
        <f>IF(Q628="","",Q628-S628)</f>
        <v/>
      </c>
    </row>
    <row r="629">
      <c r="A629" s="7">
        <f>CONCATENATE(C629,E629,F629,I629)</f>
        <v/>
      </c>
      <c r="B629" s="7">
        <f>CONCATENATE(C629,E629,I629)</f>
        <v/>
      </c>
      <c r="C629" s="8" t="n">
        <v>900003438</v>
      </c>
      <c r="D629" s="7">
        <f>IFERROR(VLOOKUP(C629,TRAOPE!$G:$H,2,0),"")</f>
        <v/>
      </c>
      <c r="E629" s="8" t="inlineStr">
        <is>
          <t>DW70</t>
        </is>
      </c>
      <c r="F629" s="8" t="inlineStr">
        <is>
          <t>D085</t>
        </is>
      </c>
      <c r="G629" s="8">
        <f>IFERROR(VLOOKUP(A629,Flete!$A:$E,5,0),"")</f>
        <v/>
      </c>
      <c r="H629" s="7">
        <f>IFERROR(VLOOKUP(F629,TRAOPE!$AA:$AB,2,0),"")</f>
        <v/>
      </c>
      <c r="I629" s="7" t="n">
        <v>10002802</v>
      </c>
      <c r="J629" s="7">
        <f>IFERROR(VLOOKUP(I629,Materiales!$A:$H,8,0),"")</f>
        <v/>
      </c>
      <c r="K629" s="9">
        <f>IFERROR(VLOOKUP(I629,Materiales!$A:$G,7,0),"")</f>
        <v/>
      </c>
      <c r="L629" s="8" t="inlineStr">
        <is>
          <t>20250701</t>
        </is>
      </c>
      <c r="M629" s="8" t="inlineStr">
        <is>
          <t>20251031</t>
        </is>
      </c>
      <c r="N629" s="10" t="n">
        <v>92.28</v>
      </c>
      <c r="O629" s="10">
        <f>IFERROR(VLOOKUP(A629,Flete!$A:$J,10,0),"")</f>
        <v/>
      </c>
      <c r="P629" s="8" t="inlineStr">
        <is>
          <t>TN</t>
        </is>
      </c>
      <c r="Q629" s="10">
        <f>IFERROR(IFERROR(VLOOKUP(A629,TRAOPE!$A:$U,21,0),VLOOKUP(B629,TRAOPE!$A:$U,21,0)),"")</f>
        <v/>
      </c>
      <c r="R629" s="8">
        <f>IFERROR(IFERROR(VLOOKUP(A629,TRAOPE!$A:$W,23,0),VLOOKUP(B629,TRAOPE!$A:$W,23,0)),"")</f>
        <v/>
      </c>
      <c r="S629" s="10">
        <f>IF(AND(P629="TN",R629="TN"),N629+N(O629),IF(G629&amp;""="1",N(K629)*N629,(N629+N(O629))*N(K629)))</f>
        <v/>
      </c>
      <c r="T629" s="10">
        <f>IF(Q629="","",Q629-S629)</f>
        <v/>
      </c>
    </row>
    <row r="630">
      <c r="A630" s="7">
        <f>CONCATENATE(C630,E630,F630,I630)</f>
        <v/>
      </c>
      <c r="B630" s="7">
        <f>CONCATENATE(C630,E630,I630)</f>
        <v/>
      </c>
      <c r="C630" s="8" t="n">
        <v>900003438</v>
      </c>
      <c r="D630" s="7">
        <f>IFERROR(VLOOKUP(C630,TRAOPE!$G:$H,2,0),"")</f>
        <v/>
      </c>
      <c r="E630" s="8" t="inlineStr">
        <is>
          <t>DW70</t>
        </is>
      </c>
      <c r="F630" s="8" t="inlineStr">
        <is>
          <t>D085</t>
        </is>
      </c>
      <c r="G630" s="8">
        <f>IFERROR(VLOOKUP(A630,Flete!$A:$E,5,0),"")</f>
        <v/>
      </c>
      <c r="H630" s="7">
        <f>IFERROR(VLOOKUP(F630,TRAOPE!$AA:$AB,2,0),"")</f>
        <v/>
      </c>
      <c r="I630" s="7" t="n">
        <v>10059180</v>
      </c>
      <c r="J630" s="7">
        <f>IFERROR(VLOOKUP(I630,Materiales!$A:$H,8,0),"")</f>
        <v/>
      </c>
      <c r="K630" s="9">
        <f>IFERROR(VLOOKUP(I630,Materiales!$A:$G,7,0),"")</f>
        <v/>
      </c>
      <c r="L630" s="8" t="inlineStr">
        <is>
          <t>20230501</t>
        </is>
      </c>
      <c r="M630" s="8" t="inlineStr">
        <is>
          <t>20250131</t>
        </is>
      </c>
      <c r="N630" s="10" t="n">
        <v>58.06</v>
      </c>
      <c r="O630" s="10">
        <f>IFERROR(VLOOKUP(A630,Flete!$A:$J,10,0),"")</f>
        <v/>
      </c>
      <c r="P630" s="8" t="inlineStr">
        <is>
          <t>TN</t>
        </is>
      </c>
      <c r="Q630" s="10">
        <f>IFERROR(IFERROR(VLOOKUP(A630,TRAOPE!$A:$U,21,0),VLOOKUP(B630,TRAOPE!$A:$U,21,0)),"")</f>
        <v/>
      </c>
      <c r="R630" s="8">
        <f>IFERROR(IFERROR(VLOOKUP(A630,TRAOPE!$A:$W,23,0),VLOOKUP(B630,TRAOPE!$A:$W,23,0)),"")</f>
        <v/>
      </c>
      <c r="S630" s="10">
        <f>IF(AND(P630="TN",R630="TN"),N630+N(O630),IF(G630&amp;""="1",N(K630)*N630,(N630+N(O630))*N(K630)))</f>
        <v/>
      </c>
      <c r="T630" s="10">
        <f>IF(Q630="","",Q630-S630)</f>
        <v/>
      </c>
    </row>
    <row r="631">
      <c r="A631" s="7">
        <f>CONCATENATE(C631,E631,F631,I631)</f>
        <v/>
      </c>
      <c r="B631" s="7">
        <f>CONCATENATE(C631,E631,I631)</f>
        <v/>
      </c>
      <c r="C631" s="8" t="n">
        <v>900003438</v>
      </c>
      <c r="D631" s="7">
        <f>IFERROR(VLOOKUP(C631,TRAOPE!$G:$H,2,0),"")</f>
        <v/>
      </c>
      <c r="E631" s="8" t="inlineStr">
        <is>
          <t>DW70</t>
        </is>
      </c>
      <c r="F631" s="8" t="inlineStr">
        <is>
          <t>D086</t>
        </is>
      </c>
      <c r="G631" s="8">
        <f>IFERROR(VLOOKUP(A631,Flete!$A:$E,5,0),"")</f>
        <v/>
      </c>
      <c r="H631" s="7">
        <f>IFERROR(VLOOKUP(F631,TRAOPE!$AA:$AB,2,0),"")</f>
        <v/>
      </c>
      <c r="I631" s="7" t="n">
        <v>10000623</v>
      </c>
      <c r="J631" s="7">
        <f>IFERROR(VLOOKUP(I631,Materiales!$A:$H,8,0),"")</f>
        <v/>
      </c>
      <c r="K631" s="9">
        <f>IFERROR(VLOOKUP(I631,Materiales!$A:$G,7,0),"")</f>
        <v/>
      </c>
      <c r="L631" s="8" t="inlineStr">
        <is>
          <t>20230501</t>
        </is>
      </c>
      <c r="M631" s="8" t="inlineStr">
        <is>
          <t>20250131</t>
        </is>
      </c>
      <c r="N631" s="10" t="n">
        <v>109.94</v>
      </c>
      <c r="O631" s="10">
        <f>IFERROR(VLOOKUP(A631,Flete!$A:$J,10,0),"")</f>
        <v/>
      </c>
      <c r="P631" s="8" t="inlineStr">
        <is>
          <t>TN</t>
        </is>
      </c>
      <c r="Q631" s="10">
        <f>IFERROR(IFERROR(VLOOKUP(A631,TRAOPE!$A:$U,21,0),VLOOKUP(B631,TRAOPE!$A:$U,21,0)),"")</f>
        <v/>
      </c>
      <c r="R631" s="8">
        <f>IFERROR(IFERROR(VLOOKUP(A631,TRAOPE!$A:$W,23,0),VLOOKUP(B631,TRAOPE!$A:$W,23,0)),"")</f>
        <v/>
      </c>
      <c r="S631" s="10">
        <f>IF(AND(P631="TN",R631="TN"),N631+N(O631),IF(G631&amp;""="1",N(K631)*N631,(N631+N(O631))*N(K631)))</f>
        <v/>
      </c>
      <c r="T631" s="10">
        <f>IF(Q631="","",Q631-S631)</f>
        <v/>
      </c>
    </row>
    <row r="632">
      <c r="A632" s="7">
        <f>CONCATENATE(C632,E632,F632,I632)</f>
        <v/>
      </c>
      <c r="B632" s="7">
        <f>CONCATENATE(C632,E632,I632)</f>
        <v/>
      </c>
      <c r="C632" s="8" t="n">
        <v>900003438</v>
      </c>
      <c r="D632" s="7">
        <f>IFERROR(VLOOKUP(C632,TRAOPE!$G:$H,2,0),"")</f>
        <v/>
      </c>
      <c r="E632" s="8" t="inlineStr">
        <is>
          <t>DW70</t>
        </is>
      </c>
      <c r="F632" s="8" t="inlineStr">
        <is>
          <t>D086</t>
        </is>
      </c>
      <c r="G632" s="8">
        <f>IFERROR(VLOOKUP(A632,Flete!$A:$E,5,0),"")</f>
        <v/>
      </c>
      <c r="H632" s="7">
        <f>IFERROR(VLOOKUP(F632,TRAOPE!$AA:$AB,2,0),"")</f>
        <v/>
      </c>
      <c r="I632" s="7" t="n">
        <v>10000630</v>
      </c>
      <c r="J632" s="7">
        <f>IFERROR(VLOOKUP(I632,Materiales!$A:$H,8,0),"")</f>
        <v/>
      </c>
      <c r="K632" s="9">
        <f>IFERROR(VLOOKUP(I632,Materiales!$A:$G,7,0),"")</f>
        <v/>
      </c>
      <c r="L632" s="8" t="inlineStr">
        <is>
          <t>20230501</t>
        </is>
      </c>
      <c r="M632" s="8" t="inlineStr">
        <is>
          <t>20250131</t>
        </is>
      </c>
      <c r="N632" s="10" t="n">
        <v>110.72</v>
      </c>
      <c r="O632" s="10">
        <f>IFERROR(VLOOKUP(A632,Flete!$A:$J,10,0),"")</f>
        <v/>
      </c>
      <c r="P632" s="8" t="inlineStr">
        <is>
          <t>TN</t>
        </is>
      </c>
      <c r="Q632" s="10">
        <f>IFERROR(IFERROR(VLOOKUP(A632,TRAOPE!$A:$U,21,0),VLOOKUP(B632,TRAOPE!$A:$U,21,0)),"")</f>
        <v/>
      </c>
      <c r="R632" s="8">
        <f>IFERROR(IFERROR(VLOOKUP(A632,TRAOPE!$A:$W,23,0),VLOOKUP(B632,TRAOPE!$A:$W,23,0)),"")</f>
        <v/>
      </c>
      <c r="S632" s="10">
        <f>IF(AND(P632="TN",R632="TN"),N632+N(O632),IF(G632&amp;""="1",N(K632)*N632,(N632+N(O632))*N(K632)))</f>
        <v/>
      </c>
      <c r="T632" s="10">
        <f>IF(Q632="","",Q632-S632)</f>
        <v/>
      </c>
    </row>
    <row r="633">
      <c r="A633" s="7">
        <f>CONCATENATE(C633,E633,F633,I633)</f>
        <v/>
      </c>
      <c r="B633" s="7">
        <f>CONCATENATE(C633,E633,I633)</f>
        <v/>
      </c>
      <c r="C633" s="8" t="n">
        <v>900003438</v>
      </c>
      <c r="D633" s="7">
        <f>IFERROR(VLOOKUP(C633,TRAOPE!$G:$H,2,0),"")</f>
        <v/>
      </c>
      <c r="E633" s="8" t="inlineStr">
        <is>
          <t>DW70</t>
        </is>
      </c>
      <c r="F633" s="8" t="inlineStr">
        <is>
          <t>D086</t>
        </is>
      </c>
      <c r="G633" s="8">
        <f>IFERROR(VLOOKUP(A633,Flete!$A:$E,5,0),"")</f>
        <v/>
      </c>
      <c r="H633" s="7">
        <f>IFERROR(VLOOKUP(F633,TRAOPE!$AA:$AB,2,0),"")</f>
        <v/>
      </c>
      <c r="I633" s="7" t="n">
        <v>10000811</v>
      </c>
      <c r="J633" s="7">
        <f>IFERROR(VLOOKUP(I633,Materiales!$A:$H,8,0),"")</f>
        <v/>
      </c>
      <c r="K633" s="9">
        <f>IFERROR(VLOOKUP(I633,Materiales!$A:$G,7,0),"")</f>
        <v/>
      </c>
      <c r="L633" s="8" t="inlineStr">
        <is>
          <t>20260819</t>
        </is>
      </c>
      <c r="M633" s="8" t="inlineStr">
        <is>
          <t>99991231</t>
        </is>
      </c>
      <c r="N633" s="10" t="n">
        <v>138.22</v>
      </c>
      <c r="O633" s="10">
        <f>IFERROR(VLOOKUP(A633,Flete!$A:$J,10,0),"")</f>
        <v/>
      </c>
      <c r="P633" s="8" t="inlineStr">
        <is>
          <t>TN</t>
        </is>
      </c>
      <c r="Q633" s="10">
        <f>IFERROR(IFERROR(VLOOKUP(A633,TRAOPE!$A:$U,21,0),VLOOKUP(B633,TRAOPE!$A:$U,21,0)),"")</f>
        <v/>
      </c>
      <c r="R633" s="8">
        <f>IFERROR(IFERROR(VLOOKUP(A633,TRAOPE!$A:$W,23,0),VLOOKUP(B633,TRAOPE!$A:$W,23,0)),"")</f>
        <v/>
      </c>
      <c r="S633" s="10">
        <f>IF(AND(P633="TN",R633="TN"),N633+N(O633),IF(G633&amp;""="1",N(K633)*N633,(N633+N(O633))*N(K633)))</f>
        <v/>
      </c>
      <c r="T633" s="10">
        <f>IF(Q633="","",Q633-S633)</f>
        <v/>
      </c>
    </row>
    <row r="634">
      <c r="A634" s="7">
        <f>CONCATENATE(C634,E634,F634,I634)</f>
        <v/>
      </c>
      <c r="B634" s="7">
        <f>CONCATENATE(C634,E634,I634)</f>
        <v/>
      </c>
      <c r="C634" s="8" t="n">
        <v>900003438</v>
      </c>
      <c r="D634" s="7">
        <f>IFERROR(VLOOKUP(C634,TRAOPE!$G:$H,2,0),"")</f>
        <v/>
      </c>
      <c r="E634" s="8" t="inlineStr">
        <is>
          <t>DW70</t>
        </is>
      </c>
      <c r="F634" s="8" t="inlineStr">
        <is>
          <t>D086</t>
        </is>
      </c>
      <c r="G634" s="8">
        <f>IFERROR(VLOOKUP(A634,Flete!$A:$E,5,0),"")</f>
        <v/>
      </c>
      <c r="H634" s="7">
        <f>IFERROR(VLOOKUP(F634,TRAOPE!$AA:$AB,2,0),"")</f>
        <v/>
      </c>
      <c r="I634" s="7" t="n">
        <v>10002802</v>
      </c>
      <c r="J634" s="7">
        <f>IFERROR(VLOOKUP(I634,Materiales!$A:$H,8,0),"")</f>
        <v/>
      </c>
      <c r="K634" s="9">
        <f>IFERROR(VLOOKUP(I634,Materiales!$A:$G,7,0),"")</f>
        <v/>
      </c>
      <c r="L634" s="8" t="inlineStr">
        <is>
          <t>20250701</t>
        </is>
      </c>
      <c r="M634" s="8" t="inlineStr">
        <is>
          <t>20251031</t>
        </is>
      </c>
      <c r="N634" s="10" t="n">
        <v>102.54</v>
      </c>
      <c r="O634" s="10">
        <f>IFERROR(VLOOKUP(A634,Flete!$A:$J,10,0),"")</f>
        <v/>
      </c>
      <c r="P634" s="8" t="inlineStr">
        <is>
          <t>TN</t>
        </is>
      </c>
      <c r="Q634" s="10">
        <f>IFERROR(IFERROR(VLOOKUP(A634,TRAOPE!$A:$U,21,0),VLOOKUP(B634,TRAOPE!$A:$U,21,0)),"")</f>
        <v/>
      </c>
      <c r="R634" s="8">
        <f>IFERROR(IFERROR(VLOOKUP(A634,TRAOPE!$A:$W,23,0),VLOOKUP(B634,TRAOPE!$A:$W,23,0)),"")</f>
        <v/>
      </c>
      <c r="S634" s="10">
        <f>IF(AND(P634="TN",R634="TN"),N634+N(O634),IF(G634&amp;""="1",N(K634)*N634,(N634+N(O634))*N(K634)))</f>
        <v/>
      </c>
      <c r="T634" s="10">
        <f>IF(Q634="","",Q634-S634)</f>
        <v/>
      </c>
    </row>
    <row r="635">
      <c r="A635" s="7">
        <f>CONCATENATE(C635,E635,F635,I635)</f>
        <v/>
      </c>
      <c r="B635" s="7">
        <f>CONCATENATE(C635,E635,I635)</f>
        <v/>
      </c>
      <c r="C635" s="8" t="n">
        <v>900003438</v>
      </c>
      <c r="D635" s="7">
        <f>IFERROR(VLOOKUP(C635,TRAOPE!$G:$H,2,0),"")</f>
        <v/>
      </c>
      <c r="E635" s="8" t="inlineStr">
        <is>
          <t>DW70</t>
        </is>
      </c>
      <c r="F635" s="8" t="inlineStr">
        <is>
          <t>D086</t>
        </is>
      </c>
      <c r="G635" s="8">
        <f>IFERROR(VLOOKUP(A635,Flete!$A:$E,5,0),"")</f>
        <v/>
      </c>
      <c r="H635" s="7">
        <f>IFERROR(VLOOKUP(F635,TRAOPE!$AA:$AB,2,0),"")</f>
        <v/>
      </c>
      <c r="I635" s="7" t="n">
        <v>10059180</v>
      </c>
      <c r="J635" s="7">
        <f>IFERROR(VLOOKUP(I635,Materiales!$A:$H,8,0),"")</f>
        <v/>
      </c>
      <c r="K635" s="9">
        <f>IFERROR(VLOOKUP(I635,Materiales!$A:$G,7,0),"")</f>
        <v/>
      </c>
      <c r="L635" s="8" t="inlineStr">
        <is>
          <t>20230501</t>
        </is>
      </c>
      <c r="M635" s="8" t="inlineStr">
        <is>
          <t>20250131</t>
        </is>
      </c>
      <c r="N635" s="10" t="n">
        <v>58.06</v>
      </c>
      <c r="O635" s="10">
        <f>IFERROR(VLOOKUP(A635,Flete!$A:$J,10,0),"")</f>
        <v/>
      </c>
      <c r="P635" s="8" t="inlineStr">
        <is>
          <t>TN</t>
        </is>
      </c>
      <c r="Q635" s="10">
        <f>IFERROR(IFERROR(VLOOKUP(A635,TRAOPE!$A:$U,21,0),VLOOKUP(B635,TRAOPE!$A:$U,21,0)),"")</f>
        <v/>
      </c>
      <c r="R635" s="8">
        <f>IFERROR(IFERROR(VLOOKUP(A635,TRAOPE!$A:$W,23,0),VLOOKUP(B635,TRAOPE!$A:$W,23,0)),"")</f>
        <v/>
      </c>
      <c r="S635" s="10">
        <f>IF(AND(P635="TN",R635="TN"),N635+N(O635),IF(G635&amp;""="1",N(K635)*N635,(N635+N(O635))*N(K635)))</f>
        <v/>
      </c>
      <c r="T635" s="10">
        <f>IF(Q635="","",Q635-S635)</f>
        <v/>
      </c>
    </row>
    <row r="636">
      <c r="A636" s="7">
        <f>CONCATENATE(C636,E636,F636,I636)</f>
        <v/>
      </c>
      <c r="B636" s="7">
        <f>CONCATENATE(C636,E636,I636)</f>
        <v/>
      </c>
      <c r="C636" s="8" t="n">
        <v>900003438</v>
      </c>
      <c r="D636" s="7">
        <f>IFERROR(VLOOKUP(C636,TRAOPE!$G:$H,2,0),"")</f>
        <v/>
      </c>
      <c r="E636" s="8" t="inlineStr">
        <is>
          <t>DW70</t>
        </is>
      </c>
      <c r="F636" s="8" t="inlineStr">
        <is>
          <t>D088</t>
        </is>
      </c>
      <c r="G636" s="8">
        <f>IFERROR(VLOOKUP(A636,Flete!$A:$E,5,0),"")</f>
        <v/>
      </c>
      <c r="H636" s="7">
        <f>IFERROR(VLOOKUP(F636,TRAOPE!$AA:$AB,2,0),"")</f>
        <v/>
      </c>
      <c r="I636" s="7" t="n">
        <v>10000623</v>
      </c>
      <c r="J636" s="7">
        <f>IFERROR(VLOOKUP(I636,Materiales!$A:$H,8,0),"")</f>
        <v/>
      </c>
      <c r="K636" s="9">
        <f>IFERROR(VLOOKUP(I636,Materiales!$A:$G,7,0),"")</f>
        <v/>
      </c>
      <c r="L636" s="8" t="inlineStr">
        <is>
          <t>20230501</t>
        </is>
      </c>
      <c r="M636" s="8" t="inlineStr">
        <is>
          <t>20250131</t>
        </is>
      </c>
      <c r="N636" s="10" t="n">
        <v>95.73999999999999</v>
      </c>
      <c r="O636" s="10">
        <f>IFERROR(VLOOKUP(A636,Flete!$A:$J,10,0),"")</f>
        <v/>
      </c>
      <c r="P636" s="8" t="inlineStr">
        <is>
          <t>TN</t>
        </is>
      </c>
      <c r="Q636" s="10">
        <f>IFERROR(IFERROR(VLOOKUP(A636,TRAOPE!$A:$U,21,0),VLOOKUP(B636,TRAOPE!$A:$U,21,0)),"")</f>
        <v/>
      </c>
      <c r="R636" s="8">
        <f>IFERROR(IFERROR(VLOOKUP(A636,TRAOPE!$A:$W,23,0),VLOOKUP(B636,TRAOPE!$A:$W,23,0)),"")</f>
        <v/>
      </c>
      <c r="S636" s="10">
        <f>IF(AND(P636="TN",R636="TN"),N636+N(O636),IF(G636&amp;""="1",N(K636)*N636,(N636+N(O636))*N(K636)))</f>
        <v/>
      </c>
      <c r="T636" s="10">
        <f>IF(Q636="","",Q636-S636)</f>
        <v/>
      </c>
    </row>
    <row r="637">
      <c r="A637" s="7">
        <f>CONCATENATE(C637,E637,F637,I637)</f>
        <v/>
      </c>
      <c r="B637" s="7">
        <f>CONCATENATE(C637,E637,I637)</f>
        <v/>
      </c>
      <c r="C637" s="8" t="n">
        <v>900003438</v>
      </c>
      <c r="D637" s="7">
        <f>IFERROR(VLOOKUP(C637,TRAOPE!$G:$H,2,0),"")</f>
        <v/>
      </c>
      <c r="E637" s="8" t="inlineStr">
        <is>
          <t>DW70</t>
        </is>
      </c>
      <c r="F637" s="8" t="inlineStr">
        <is>
          <t>D088</t>
        </is>
      </c>
      <c r="G637" s="8">
        <f>IFERROR(VLOOKUP(A637,Flete!$A:$E,5,0),"")</f>
        <v/>
      </c>
      <c r="H637" s="7">
        <f>IFERROR(VLOOKUP(F637,TRAOPE!$AA:$AB,2,0),"")</f>
        <v/>
      </c>
      <c r="I637" s="7" t="n">
        <v>10000630</v>
      </c>
      <c r="J637" s="7">
        <f>IFERROR(VLOOKUP(I637,Materiales!$A:$H,8,0),"")</f>
        <v/>
      </c>
      <c r="K637" s="9">
        <f>IFERROR(VLOOKUP(I637,Materiales!$A:$G,7,0),"")</f>
        <v/>
      </c>
      <c r="L637" s="8" t="inlineStr">
        <is>
          <t>20230501</t>
        </is>
      </c>
      <c r="M637" s="8" t="inlineStr">
        <is>
          <t>20250131</t>
        </is>
      </c>
      <c r="N637" s="10" t="n">
        <v>96.43000000000001</v>
      </c>
      <c r="O637" s="10">
        <f>IFERROR(VLOOKUP(A637,Flete!$A:$J,10,0),"")</f>
        <v/>
      </c>
      <c r="P637" s="8" t="inlineStr">
        <is>
          <t>TN</t>
        </is>
      </c>
      <c r="Q637" s="10">
        <f>IFERROR(IFERROR(VLOOKUP(A637,TRAOPE!$A:$U,21,0),VLOOKUP(B637,TRAOPE!$A:$U,21,0)),"")</f>
        <v/>
      </c>
      <c r="R637" s="8">
        <f>IFERROR(IFERROR(VLOOKUP(A637,TRAOPE!$A:$W,23,0),VLOOKUP(B637,TRAOPE!$A:$W,23,0)),"")</f>
        <v/>
      </c>
      <c r="S637" s="10">
        <f>IF(AND(P637="TN",R637="TN"),N637+N(O637),IF(G637&amp;""="1",N(K637)*N637,(N637+N(O637))*N(K637)))</f>
        <v/>
      </c>
      <c r="T637" s="10">
        <f>IF(Q637="","",Q637-S637)</f>
        <v/>
      </c>
    </row>
    <row r="638">
      <c r="A638" s="7">
        <f>CONCATENATE(C638,E638,F638,I638)</f>
        <v/>
      </c>
      <c r="B638" s="7">
        <f>CONCATENATE(C638,E638,I638)</f>
        <v/>
      </c>
      <c r="C638" s="8" t="n">
        <v>900003438</v>
      </c>
      <c r="D638" s="7">
        <f>IFERROR(VLOOKUP(C638,TRAOPE!$G:$H,2,0),"")</f>
        <v/>
      </c>
      <c r="E638" s="8" t="inlineStr">
        <is>
          <t>DW70</t>
        </is>
      </c>
      <c r="F638" s="8" t="inlineStr">
        <is>
          <t>D088</t>
        </is>
      </c>
      <c r="G638" s="8">
        <f>IFERROR(VLOOKUP(A638,Flete!$A:$E,5,0),"")</f>
        <v/>
      </c>
      <c r="H638" s="7">
        <f>IFERROR(VLOOKUP(F638,TRAOPE!$AA:$AB,2,0),"")</f>
        <v/>
      </c>
      <c r="I638" s="7" t="n">
        <v>10000811</v>
      </c>
      <c r="J638" s="7">
        <f>IFERROR(VLOOKUP(I638,Materiales!$A:$H,8,0),"")</f>
        <v/>
      </c>
      <c r="K638" s="9">
        <f>IFERROR(VLOOKUP(I638,Materiales!$A:$G,7,0),"")</f>
        <v/>
      </c>
      <c r="L638" s="8" t="inlineStr">
        <is>
          <t>20230501</t>
        </is>
      </c>
      <c r="M638" s="8" t="inlineStr">
        <is>
          <t>20250131</t>
        </is>
      </c>
      <c r="N638" s="10" t="n">
        <v>97.44</v>
      </c>
      <c r="O638" s="10">
        <f>IFERROR(VLOOKUP(A638,Flete!$A:$J,10,0),"")</f>
        <v/>
      </c>
      <c r="P638" s="8" t="inlineStr">
        <is>
          <t>TN</t>
        </is>
      </c>
      <c r="Q638" s="10">
        <f>IFERROR(IFERROR(VLOOKUP(A638,TRAOPE!$A:$U,21,0),VLOOKUP(B638,TRAOPE!$A:$U,21,0)),"")</f>
        <v/>
      </c>
      <c r="R638" s="8">
        <f>IFERROR(IFERROR(VLOOKUP(A638,TRAOPE!$A:$W,23,0),VLOOKUP(B638,TRAOPE!$A:$W,23,0)),"")</f>
        <v/>
      </c>
      <c r="S638" s="10">
        <f>IF(AND(P638="TN",R638="TN"),N638+N(O638),IF(G638&amp;""="1",N(K638)*N638,(N638+N(O638))*N(K638)))</f>
        <v/>
      </c>
      <c r="T638" s="10">
        <f>IF(Q638="","",Q638-S638)</f>
        <v/>
      </c>
    </row>
    <row r="639">
      <c r="A639" s="7">
        <f>CONCATENATE(C639,E639,F639,I639)</f>
        <v/>
      </c>
      <c r="B639" s="7">
        <f>CONCATENATE(C639,E639,I639)</f>
        <v/>
      </c>
      <c r="C639" s="8" t="n">
        <v>900003438</v>
      </c>
      <c r="D639" s="7">
        <f>IFERROR(VLOOKUP(C639,TRAOPE!$G:$H,2,0),"")</f>
        <v/>
      </c>
      <c r="E639" s="8" t="inlineStr">
        <is>
          <t>DW70</t>
        </is>
      </c>
      <c r="F639" s="8" t="inlineStr">
        <is>
          <t>D088</t>
        </is>
      </c>
      <c r="G639" s="8">
        <f>IFERROR(VLOOKUP(A639,Flete!$A:$E,5,0),"")</f>
        <v/>
      </c>
      <c r="H639" s="7">
        <f>IFERROR(VLOOKUP(F639,TRAOPE!$AA:$AB,2,0),"")</f>
        <v/>
      </c>
      <c r="I639" s="7" t="n">
        <v>10059180</v>
      </c>
      <c r="J639" s="7">
        <f>IFERROR(VLOOKUP(I639,Materiales!$A:$H,8,0),"")</f>
        <v/>
      </c>
      <c r="K639" s="9">
        <f>IFERROR(VLOOKUP(I639,Materiales!$A:$G,7,0),"")</f>
        <v/>
      </c>
      <c r="L639" s="8" t="inlineStr">
        <is>
          <t>20230501</t>
        </is>
      </c>
      <c r="M639" s="8" t="inlineStr">
        <is>
          <t>20250131</t>
        </is>
      </c>
      <c r="N639" s="10" t="n">
        <v>58.06</v>
      </c>
      <c r="O639" s="10">
        <f>IFERROR(VLOOKUP(A639,Flete!$A:$J,10,0),"")</f>
        <v/>
      </c>
      <c r="P639" s="8" t="inlineStr">
        <is>
          <t>TN</t>
        </is>
      </c>
      <c r="Q639" s="10">
        <f>IFERROR(IFERROR(VLOOKUP(A639,TRAOPE!$A:$U,21,0),VLOOKUP(B639,TRAOPE!$A:$U,21,0)),"")</f>
        <v/>
      </c>
      <c r="R639" s="8">
        <f>IFERROR(IFERROR(VLOOKUP(A639,TRAOPE!$A:$W,23,0),VLOOKUP(B639,TRAOPE!$A:$W,23,0)),"")</f>
        <v/>
      </c>
      <c r="S639" s="10">
        <f>IF(AND(P639="TN",R639="TN"),N639+N(O639),IF(G639&amp;""="1",N(K639)*N639,(N639+N(O639))*N(K639)))</f>
        <v/>
      </c>
      <c r="T639" s="10">
        <f>IF(Q639="","",Q639-S639)</f>
        <v/>
      </c>
    </row>
    <row r="640">
      <c r="A640" s="7">
        <f>CONCATENATE(C640,E640,F640,I640)</f>
        <v/>
      </c>
      <c r="B640" s="7">
        <f>CONCATENATE(C640,E640,I640)</f>
        <v/>
      </c>
      <c r="C640" s="8" t="n">
        <v>900003438</v>
      </c>
      <c r="D640" s="7">
        <f>IFERROR(VLOOKUP(C640,TRAOPE!$G:$H,2,0),"")</f>
        <v/>
      </c>
      <c r="E640" s="8" t="inlineStr">
        <is>
          <t>DW70</t>
        </is>
      </c>
      <c r="F640" s="8" t="inlineStr">
        <is>
          <t>D093</t>
        </is>
      </c>
      <c r="G640" s="8">
        <f>IFERROR(VLOOKUP(A640,Flete!$A:$E,5,0),"")</f>
        <v/>
      </c>
      <c r="H640" s="7">
        <f>IFERROR(VLOOKUP(F640,TRAOPE!$AA:$AB,2,0),"")</f>
        <v/>
      </c>
      <c r="I640" s="7" t="n">
        <v>10000623</v>
      </c>
      <c r="J640" s="7">
        <f>IFERROR(VLOOKUP(I640,Materiales!$A:$H,8,0),"")</f>
        <v/>
      </c>
      <c r="K640" s="9">
        <f>IFERROR(VLOOKUP(I640,Materiales!$A:$G,7,0),"")</f>
        <v/>
      </c>
      <c r="L640" s="8" t="inlineStr">
        <is>
          <t>20230501</t>
        </is>
      </c>
      <c r="M640" s="8" t="inlineStr">
        <is>
          <t>20250131</t>
        </is>
      </c>
      <c r="N640" s="10" t="n">
        <v>109.94</v>
      </c>
      <c r="O640" s="10">
        <f>IFERROR(VLOOKUP(A640,Flete!$A:$J,10,0),"")</f>
        <v/>
      </c>
      <c r="P640" s="8" t="inlineStr">
        <is>
          <t>TN</t>
        </is>
      </c>
      <c r="Q640" s="10">
        <f>IFERROR(IFERROR(VLOOKUP(A640,TRAOPE!$A:$U,21,0),VLOOKUP(B640,TRAOPE!$A:$U,21,0)),"")</f>
        <v/>
      </c>
      <c r="R640" s="8">
        <f>IFERROR(IFERROR(VLOOKUP(A640,TRAOPE!$A:$W,23,0),VLOOKUP(B640,TRAOPE!$A:$W,23,0)),"")</f>
        <v/>
      </c>
      <c r="S640" s="10">
        <f>IF(AND(P640="TN",R640="TN"),N640+N(O640),IF(G640&amp;""="1",N(K640)*N640,(N640+N(O640))*N(K640)))</f>
        <v/>
      </c>
      <c r="T640" s="10">
        <f>IF(Q640="","",Q640-S640)</f>
        <v/>
      </c>
    </row>
    <row r="641">
      <c r="A641" s="7">
        <f>CONCATENATE(C641,E641,F641,I641)</f>
        <v/>
      </c>
      <c r="B641" s="7">
        <f>CONCATENATE(C641,E641,I641)</f>
        <v/>
      </c>
      <c r="C641" s="8" t="n">
        <v>900003438</v>
      </c>
      <c r="D641" s="7">
        <f>IFERROR(VLOOKUP(C641,TRAOPE!$G:$H,2,0),"")</f>
        <v/>
      </c>
      <c r="E641" s="8" t="inlineStr">
        <is>
          <t>DW70</t>
        </is>
      </c>
      <c r="F641" s="8" t="inlineStr">
        <is>
          <t>D093</t>
        </is>
      </c>
      <c r="G641" s="8">
        <f>IFERROR(VLOOKUP(A641,Flete!$A:$E,5,0),"")</f>
        <v/>
      </c>
      <c r="H641" s="7">
        <f>IFERROR(VLOOKUP(F641,TRAOPE!$AA:$AB,2,0),"")</f>
        <v/>
      </c>
      <c r="I641" s="7" t="n">
        <v>10000630</v>
      </c>
      <c r="J641" s="7">
        <f>IFERROR(VLOOKUP(I641,Materiales!$A:$H,8,0),"")</f>
        <v/>
      </c>
      <c r="K641" s="9">
        <f>IFERROR(VLOOKUP(I641,Materiales!$A:$G,7,0),"")</f>
        <v/>
      </c>
      <c r="L641" s="8" t="inlineStr">
        <is>
          <t>20230501</t>
        </is>
      </c>
      <c r="M641" s="8" t="inlineStr">
        <is>
          <t>20250131</t>
        </is>
      </c>
      <c r="N641" s="10" t="n">
        <v>110.72</v>
      </c>
      <c r="O641" s="10">
        <f>IFERROR(VLOOKUP(A641,Flete!$A:$J,10,0),"")</f>
        <v/>
      </c>
      <c r="P641" s="8" t="inlineStr">
        <is>
          <t>TN</t>
        </is>
      </c>
      <c r="Q641" s="10">
        <f>IFERROR(IFERROR(VLOOKUP(A641,TRAOPE!$A:$U,21,0),VLOOKUP(B641,TRAOPE!$A:$U,21,0)),"")</f>
        <v/>
      </c>
      <c r="R641" s="8">
        <f>IFERROR(IFERROR(VLOOKUP(A641,TRAOPE!$A:$W,23,0),VLOOKUP(B641,TRAOPE!$A:$W,23,0)),"")</f>
        <v/>
      </c>
      <c r="S641" s="10">
        <f>IF(AND(P641="TN",R641="TN"),N641+N(O641),IF(G641&amp;""="1",N(K641)*N641,(N641+N(O641))*N(K641)))</f>
        <v/>
      </c>
      <c r="T641" s="10">
        <f>IF(Q641="","",Q641-S641)</f>
        <v/>
      </c>
    </row>
    <row r="642">
      <c r="A642" s="7">
        <f>CONCATENATE(C642,E642,F642,I642)</f>
        <v/>
      </c>
      <c r="B642" s="7">
        <f>CONCATENATE(C642,E642,I642)</f>
        <v/>
      </c>
      <c r="C642" s="8" t="n">
        <v>900003438</v>
      </c>
      <c r="D642" s="7">
        <f>IFERROR(VLOOKUP(C642,TRAOPE!$G:$H,2,0),"")</f>
        <v/>
      </c>
      <c r="E642" s="8" t="inlineStr">
        <is>
          <t>DW70</t>
        </is>
      </c>
      <c r="F642" s="8" t="inlineStr">
        <is>
          <t>D093</t>
        </is>
      </c>
      <c r="G642" s="8">
        <f>IFERROR(VLOOKUP(A642,Flete!$A:$E,5,0),"")</f>
        <v/>
      </c>
      <c r="H642" s="7">
        <f>IFERROR(VLOOKUP(F642,TRAOPE!$AA:$AB,2,0),"")</f>
        <v/>
      </c>
      <c r="I642" s="7" t="n">
        <v>10000811</v>
      </c>
      <c r="J642" s="7">
        <f>IFERROR(VLOOKUP(I642,Materiales!$A:$H,8,0),"")</f>
        <v/>
      </c>
      <c r="K642" s="9">
        <f>IFERROR(VLOOKUP(I642,Materiales!$A:$G,7,0),"")</f>
        <v/>
      </c>
      <c r="L642" s="8" t="inlineStr">
        <is>
          <t>20260819</t>
        </is>
      </c>
      <c r="M642" s="8" t="inlineStr">
        <is>
          <t>99991231</t>
        </is>
      </c>
      <c r="N642" s="10" t="n">
        <v>138.22</v>
      </c>
      <c r="O642" s="10">
        <f>IFERROR(VLOOKUP(A642,Flete!$A:$J,10,0),"")</f>
        <v/>
      </c>
      <c r="P642" s="8" t="inlineStr">
        <is>
          <t>TN</t>
        </is>
      </c>
      <c r="Q642" s="10">
        <f>IFERROR(IFERROR(VLOOKUP(A642,TRAOPE!$A:$U,21,0),VLOOKUP(B642,TRAOPE!$A:$U,21,0)),"")</f>
        <v/>
      </c>
      <c r="R642" s="8">
        <f>IFERROR(IFERROR(VLOOKUP(A642,TRAOPE!$A:$W,23,0),VLOOKUP(B642,TRAOPE!$A:$W,23,0)),"")</f>
        <v/>
      </c>
      <c r="S642" s="10">
        <f>IF(AND(P642="TN",R642="TN"),N642+N(O642),IF(G642&amp;""="1",N(K642)*N642,(N642+N(O642))*N(K642)))</f>
        <v/>
      </c>
      <c r="T642" s="10">
        <f>IF(Q642="","",Q642-S642)</f>
        <v/>
      </c>
    </row>
    <row r="643">
      <c r="A643" s="7">
        <f>CONCATENATE(C643,E643,F643,I643)</f>
        <v/>
      </c>
      <c r="B643" s="7">
        <f>CONCATENATE(C643,E643,I643)</f>
        <v/>
      </c>
      <c r="C643" s="8" t="n">
        <v>900003438</v>
      </c>
      <c r="D643" s="7">
        <f>IFERROR(VLOOKUP(C643,TRAOPE!$G:$H,2,0),"")</f>
        <v/>
      </c>
      <c r="E643" s="8" t="inlineStr">
        <is>
          <t>DW70</t>
        </is>
      </c>
      <c r="F643" s="8" t="inlineStr">
        <is>
          <t>D093</t>
        </is>
      </c>
      <c r="G643" s="8">
        <f>IFERROR(VLOOKUP(A643,Flete!$A:$E,5,0),"")</f>
        <v/>
      </c>
      <c r="H643" s="7">
        <f>IFERROR(VLOOKUP(F643,TRAOPE!$AA:$AB,2,0),"")</f>
        <v/>
      </c>
      <c r="I643" s="7" t="n">
        <v>10002802</v>
      </c>
      <c r="J643" s="7">
        <f>IFERROR(VLOOKUP(I643,Materiales!$A:$H,8,0),"")</f>
        <v/>
      </c>
      <c r="K643" s="9">
        <f>IFERROR(VLOOKUP(I643,Materiales!$A:$G,7,0),"")</f>
        <v/>
      </c>
      <c r="L643" s="8" t="inlineStr">
        <is>
          <t>20230501</t>
        </is>
      </c>
      <c r="M643" s="8" t="inlineStr">
        <is>
          <t>20250131</t>
        </is>
      </c>
      <c r="N643" s="10" t="n">
        <v>102.54</v>
      </c>
      <c r="O643" s="10">
        <f>IFERROR(VLOOKUP(A643,Flete!$A:$J,10,0),"")</f>
        <v/>
      </c>
      <c r="P643" s="8" t="inlineStr">
        <is>
          <t>TN</t>
        </is>
      </c>
      <c r="Q643" s="10">
        <f>IFERROR(IFERROR(VLOOKUP(A643,TRAOPE!$A:$U,21,0),VLOOKUP(B643,TRAOPE!$A:$U,21,0)),"")</f>
        <v/>
      </c>
      <c r="R643" s="8">
        <f>IFERROR(IFERROR(VLOOKUP(A643,TRAOPE!$A:$W,23,0),VLOOKUP(B643,TRAOPE!$A:$W,23,0)),"")</f>
        <v/>
      </c>
      <c r="S643" s="10">
        <f>IF(AND(P643="TN",R643="TN"),N643+N(O643),IF(G643&amp;""="1",N(K643)*N643,(N643+N(O643))*N(K643)))</f>
        <v/>
      </c>
      <c r="T643" s="10">
        <f>IF(Q643="","",Q643-S643)</f>
        <v/>
      </c>
    </row>
    <row r="644">
      <c r="A644" s="7">
        <f>CONCATENATE(C644,E644,F644,I644)</f>
        <v/>
      </c>
      <c r="B644" s="7">
        <f>CONCATENATE(C644,E644,I644)</f>
        <v/>
      </c>
      <c r="C644" s="8" t="n">
        <v>900003438</v>
      </c>
      <c r="D644" s="7">
        <f>IFERROR(VLOOKUP(C644,TRAOPE!$G:$H,2,0),"")</f>
        <v/>
      </c>
      <c r="E644" s="8" t="inlineStr">
        <is>
          <t>DW70</t>
        </is>
      </c>
      <c r="F644" s="8" t="inlineStr">
        <is>
          <t>D098</t>
        </is>
      </c>
      <c r="G644" s="8">
        <f>IFERROR(VLOOKUP(A644,Flete!$A:$E,5,0),"")</f>
        <v/>
      </c>
      <c r="H644" s="7">
        <f>IFERROR(VLOOKUP(F644,TRAOPE!$AA:$AB,2,0),"")</f>
        <v/>
      </c>
      <c r="I644" s="7" t="n">
        <v>10000623</v>
      </c>
      <c r="J644" s="7">
        <f>IFERROR(VLOOKUP(I644,Materiales!$A:$H,8,0),"")</f>
        <v/>
      </c>
      <c r="K644" s="9">
        <f>IFERROR(VLOOKUP(I644,Materiales!$A:$G,7,0),"")</f>
        <v/>
      </c>
      <c r="L644" s="8" t="inlineStr">
        <is>
          <t>20230501</t>
        </is>
      </c>
      <c r="M644" s="8" t="inlineStr">
        <is>
          <t>20250131</t>
        </is>
      </c>
      <c r="N644" s="10" t="n">
        <v>109.94</v>
      </c>
      <c r="O644" s="10">
        <f>IFERROR(VLOOKUP(A644,Flete!$A:$J,10,0),"")</f>
        <v/>
      </c>
      <c r="P644" s="8" t="inlineStr">
        <is>
          <t>TN</t>
        </is>
      </c>
      <c r="Q644" s="10">
        <f>IFERROR(IFERROR(VLOOKUP(A644,TRAOPE!$A:$U,21,0),VLOOKUP(B644,TRAOPE!$A:$U,21,0)),"")</f>
        <v/>
      </c>
      <c r="R644" s="8">
        <f>IFERROR(IFERROR(VLOOKUP(A644,TRAOPE!$A:$W,23,0),VLOOKUP(B644,TRAOPE!$A:$W,23,0)),"")</f>
        <v/>
      </c>
      <c r="S644" s="10">
        <f>IF(AND(P644="TN",R644="TN"),N644+N(O644),IF(G644&amp;""="1",N(K644)*N644,(N644+N(O644))*N(K644)))</f>
        <v/>
      </c>
      <c r="T644" s="10">
        <f>IF(Q644="","",Q644-S644)</f>
        <v/>
      </c>
    </row>
    <row r="645">
      <c r="A645" s="7">
        <f>CONCATENATE(C645,E645,F645,I645)</f>
        <v/>
      </c>
      <c r="B645" s="7">
        <f>CONCATENATE(C645,E645,I645)</f>
        <v/>
      </c>
      <c r="C645" s="8" t="n">
        <v>900003438</v>
      </c>
      <c r="D645" s="7">
        <f>IFERROR(VLOOKUP(C645,TRAOPE!$G:$H,2,0),"")</f>
        <v/>
      </c>
      <c r="E645" s="8" t="inlineStr">
        <is>
          <t>DW70</t>
        </is>
      </c>
      <c r="F645" s="8" t="inlineStr">
        <is>
          <t>D098</t>
        </is>
      </c>
      <c r="G645" s="8">
        <f>IFERROR(VLOOKUP(A645,Flete!$A:$E,5,0),"")</f>
        <v/>
      </c>
      <c r="H645" s="7">
        <f>IFERROR(VLOOKUP(F645,TRAOPE!$AA:$AB,2,0),"")</f>
        <v/>
      </c>
      <c r="I645" s="7" t="n">
        <v>10000630</v>
      </c>
      <c r="J645" s="7">
        <f>IFERROR(VLOOKUP(I645,Materiales!$A:$H,8,0),"")</f>
        <v/>
      </c>
      <c r="K645" s="9">
        <f>IFERROR(VLOOKUP(I645,Materiales!$A:$G,7,0),"")</f>
        <v/>
      </c>
      <c r="L645" s="8" t="inlineStr">
        <is>
          <t>20230501</t>
        </is>
      </c>
      <c r="M645" s="8" t="inlineStr">
        <is>
          <t>20250131</t>
        </is>
      </c>
      <c r="N645" s="10" t="n">
        <v>110.72</v>
      </c>
      <c r="O645" s="10">
        <f>IFERROR(VLOOKUP(A645,Flete!$A:$J,10,0),"")</f>
        <v/>
      </c>
      <c r="P645" s="8" t="inlineStr">
        <is>
          <t>TN</t>
        </is>
      </c>
      <c r="Q645" s="10">
        <f>IFERROR(IFERROR(VLOOKUP(A645,TRAOPE!$A:$U,21,0),VLOOKUP(B645,TRAOPE!$A:$U,21,0)),"")</f>
        <v/>
      </c>
      <c r="R645" s="8">
        <f>IFERROR(IFERROR(VLOOKUP(A645,TRAOPE!$A:$W,23,0),VLOOKUP(B645,TRAOPE!$A:$W,23,0)),"")</f>
        <v/>
      </c>
      <c r="S645" s="10">
        <f>IF(AND(P645="TN",R645="TN"),N645+N(O645),IF(G645&amp;""="1",N(K645)*N645,(N645+N(O645))*N(K645)))</f>
        <v/>
      </c>
      <c r="T645" s="10">
        <f>IF(Q645="","",Q645-S645)</f>
        <v/>
      </c>
    </row>
    <row r="646">
      <c r="A646" s="7">
        <f>CONCATENATE(C646,E646,F646,I646)</f>
        <v/>
      </c>
      <c r="B646" s="7">
        <f>CONCATENATE(C646,E646,I646)</f>
        <v/>
      </c>
      <c r="C646" s="8" t="n">
        <v>900003438</v>
      </c>
      <c r="D646" s="7">
        <f>IFERROR(VLOOKUP(C646,TRAOPE!$G:$H,2,0),"")</f>
        <v/>
      </c>
      <c r="E646" s="8" t="inlineStr">
        <is>
          <t>DW70</t>
        </is>
      </c>
      <c r="F646" s="8" t="inlineStr">
        <is>
          <t>D098</t>
        </is>
      </c>
      <c r="G646" s="8">
        <f>IFERROR(VLOOKUP(A646,Flete!$A:$E,5,0),"")</f>
        <v/>
      </c>
      <c r="H646" s="7">
        <f>IFERROR(VLOOKUP(F646,TRAOPE!$AA:$AB,2,0),"")</f>
        <v/>
      </c>
      <c r="I646" s="7" t="n">
        <v>10000811</v>
      </c>
      <c r="J646" s="7">
        <f>IFERROR(VLOOKUP(I646,Materiales!$A:$H,8,0),"")</f>
        <v/>
      </c>
      <c r="K646" s="9">
        <f>IFERROR(VLOOKUP(I646,Materiales!$A:$G,7,0),"")</f>
        <v/>
      </c>
      <c r="L646" s="8" t="inlineStr">
        <is>
          <t>20260819</t>
        </is>
      </c>
      <c r="M646" s="8" t="inlineStr">
        <is>
          <t>99991231</t>
        </is>
      </c>
      <c r="N646" s="10" t="n">
        <v>138.22</v>
      </c>
      <c r="O646" s="10">
        <f>IFERROR(VLOOKUP(A646,Flete!$A:$J,10,0),"")</f>
        <v/>
      </c>
      <c r="P646" s="8" t="inlineStr">
        <is>
          <t>TN</t>
        </is>
      </c>
      <c r="Q646" s="10">
        <f>IFERROR(IFERROR(VLOOKUP(A646,TRAOPE!$A:$U,21,0),VLOOKUP(B646,TRAOPE!$A:$U,21,0)),"")</f>
        <v/>
      </c>
      <c r="R646" s="8">
        <f>IFERROR(IFERROR(VLOOKUP(A646,TRAOPE!$A:$W,23,0),VLOOKUP(B646,TRAOPE!$A:$W,23,0)),"")</f>
        <v/>
      </c>
      <c r="S646" s="10">
        <f>IF(AND(P646="TN",R646="TN"),N646+N(O646),IF(G646&amp;""="1",N(K646)*N646,(N646+N(O646))*N(K646)))</f>
        <v/>
      </c>
      <c r="T646" s="10">
        <f>IF(Q646="","",Q646-S646)</f>
        <v/>
      </c>
    </row>
    <row r="647">
      <c r="A647" s="7">
        <f>CONCATENATE(C647,E647,F647,I647)</f>
        <v/>
      </c>
      <c r="B647" s="7">
        <f>CONCATENATE(C647,E647,I647)</f>
        <v/>
      </c>
      <c r="C647" s="8" t="n">
        <v>900003438</v>
      </c>
      <c r="D647" s="7">
        <f>IFERROR(VLOOKUP(C647,TRAOPE!$G:$H,2,0),"")</f>
        <v/>
      </c>
      <c r="E647" s="8" t="inlineStr">
        <is>
          <t>DW70</t>
        </is>
      </c>
      <c r="F647" s="8" t="inlineStr">
        <is>
          <t>D098</t>
        </is>
      </c>
      <c r="G647" s="8">
        <f>IFERROR(VLOOKUP(A647,Flete!$A:$E,5,0),"")</f>
        <v/>
      </c>
      <c r="H647" s="7">
        <f>IFERROR(VLOOKUP(F647,TRAOPE!$AA:$AB,2,0),"")</f>
        <v/>
      </c>
      <c r="I647" s="7" t="n">
        <v>10002802</v>
      </c>
      <c r="J647" s="7">
        <f>IFERROR(VLOOKUP(I647,Materiales!$A:$H,8,0),"")</f>
        <v/>
      </c>
      <c r="K647" s="9">
        <f>IFERROR(VLOOKUP(I647,Materiales!$A:$G,7,0),"")</f>
        <v/>
      </c>
      <c r="L647" s="8" t="inlineStr">
        <is>
          <t>20250701</t>
        </is>
      </c>
      <c r="M647" s="8" t="inlineStr">
        <is>
          <t>20251031</t>
        </is>
      </c>
      <c r="N647" s="10" t="n">
        <v>102.54</v>
      </c>
      <c r="O647" s="10">
        <f>IFERROR(VLOOKUP(A647,Flete!$A:$J,10,0),"")</f>
        <v/>
      </c>
      <c r="P647" s="8" t="inlineStr">
        <is>
          <t>TN</t>
        </is>
      </c>
      <c r="Q647" s="10">
        <f>IFERROR(IFERROR(VLOOKUP(A647,TRAOPE!$A:$U,21,0),VLOOKUP(B647,TRAOPE!$A:$U,21,0)),"")</f>
        <v/>
      </c>
      <c r="R647" s="8">
        <f>IFERROR(IFERROR(VLOOKUP(A647,TRAOPE!$A:$W,23,0),VLOOKUP(B647,TRAOPE!$A:$W,23,0)),"")</f>
        <v/>
      </c>
      <c r="S647" s="10">
        <f>IF(AND(P647="TN",R647="TN"),N647+N(O647),IF(G647&amp;""="1",N(K647)*N647,(N647+N(O647))*N(K647)))</f>
        <v/>
      </c>
      <c r="T647" s="10">
        <f>IF(Q647="","",Q647-S647)</f>
        <v/>
      </c>
    </row>
    <row r="648">
      <c r="A648" s="7">
        <f>CONCATENATE(C648,E648,F648,I648)</f>
        <v/>
      </c>
      <c r="B648" s="7">
        <f>CONCATENATE(C648,E648,I648)</f>
        <v/>
      </c>
      <c r="C648" s="8" t="n">
        <v>900003438</v>
      </c>
      <c r="D648" s="7">
        <f>IFERROR(VLOOKUP(C648,TRAOPE!$G:$H,2,0),"")</f>
        <v/>
      </c>
      <c r="E648" s="8" t="inlineStr">
        <is>
          <t>DW70</t>
        </is>
      </c>
      <c r="F648" s="8" t="inlineStr">
        <is>
          <t>D098</t>
        </is>
      </c>
      <c r="G648" s="8">
        <f>IFERROR(VLOOKUP(A648,Flete!$A:$E,5,0),"")</f>
        <v/>
      </c>
      <c r="H648" s="7">
        <f>IFERROR(VLOOKUP(F648,TRAOPE!$AA:$AB,2,0),"")</f>
        <v/>
      </c>
      <c r="I648" s="7" t="n">
        <v>10059180</v>
      </c>
      <c r="J648" s="7">
        <f>IFERROR(VLOOKUP(I648,Materiales!$A:$H,8,0),"")</f>
        <v/>
      </c>
      <c r="K648" s="9">
        <f>IFERROR(VLOOKUP(I648,Materiales!$A:$G,7,0),"")</f>
        <v/>
      </c>
      <c r="L648" s="8" t="inlineStr">
        <is>
          <t>20230501</t>
        </is>
      </c>
      <c r="M648" s="8" t="inlineStr">
        <is>
          <t>20250131</t>
        </is>
      </c>
      <c r="N648" s="10" t="n">
        <v>58.06</v>
      </c>
      <c r="O648" s="10">
        <f>IFERROR(VLOOKUP(A648,Flete!$A:$J,10,0),"")</f>
        <v/>
      </c>
      <c r="P648" s="8" t="inlineStr">
        <is>
          <t>TN</t>
        </is>
      </c>
      <c r="Q648" s="10">
        <f>IFERROR(IFERROR(VLOOKUP(A648,TRAOPE!$A:$U,21,0),VLOOKUP(B648,TRAOPE!$A:$U,21,0)),"")</f>
        <v/>
      </c>
      <c r="R648" s="8">
        <f>IFERROR(IFERROR(VLOOKUP(A648,TRAOPE!$A:$W,23,0),VLOOKUP(B648,TRAOPE!$A:$W,23,0)),"")</f>
        <v/>
      </c>
      <c r="S648" s="10">
        <f>IF(AND(P648="TN",R648="TN"),N648+N(O648),IF(G648&amp;""="1",N(K648)*N648,(N648+N(O648))*N(K648)))</f>
        <v/>
      </c>
      <c r="T648" s="10">
        <f>IF(Q648="","",Q648-S648)</f>
        <v/>
      </c>
    </row>
    <row r="649">
      <c r="A649" s="7">
        <f>CONCATENATE(C649,E649,F649,I649)</f>
        <v/>
      </c>
      <c r="B649" s="7">
        <f>CONCATENATE(C649,E649,I649)</f>
        <v/>
      </c>
      <c r="C649" s="8" t="n">
        <v>900003438</v>
      </c>
      <c r="D649" s="7">
        <f>IFERROR(VLOOKUP(C649,TRAOPE!$G:$H,2,0),"")</f>
        <v/>
      </c>
      <c r="E649" s="8" t="inlineStr">
        <is>
          <t>DW70</t>
        </is>
      </c>
      <c r="F649" s="8" t="inlineStr">
        <is>
          <t>D105</t>
        </is>
      </c>
      <c r="G649" s="8">
        <f>IFERROR(VLOOKUP(A649,Flete!$A:$E,5,0),"")</f>
        <v/>
      </c>
      <c r="H649" s="7">
        <f>IFERROR(VLOOKUP(F649,TRAOPE!$AA:$AB,2,0),"")</f>
        <v/>
      </c>
      <c r="I649" s="7" t="n">
        <v>10000623</v>
      </c>
      <c r="J649" s="7">
        <f>IFERROR(VLOOKUP(I649,Materiales!$A:$H,8,0),"")</f>
        <v/>
      </c>
      <c r="K649" s="9">
        <f>IFERROR(VLOOKUP(I649,Materiales!$A:$G,7,0),"")</f>
        <v/>
      </c>
      <c r="L649" s="8" t="inlineStr">
        <is>
          <t>20230501</t>
        </is>
      </c>
      <c r="M649" s="8" t="inlineStr">
        <is>
          <t>20250131</t>
        </is>
      </c>
      <c r="N649" s="10" t="n">
        <v>109.94</v>
      </c>
      <c r="O649" s="10">
        <f>IFERROR(VLOOKUP(A649,Flete!$A:$J,10,0),"")</f>
        <v/>
      </c>
      <c r="P649" s="8" t="inlineStr">
        <is>
          <t>TN</t>
        </is>
      </c>
      <c r="Q649" s="10">
        <f>IFERROR(IFERROR(VLOOKUP(A649,TRAOPE!$A:$U,21,0),VLOOKUP(B649,TRAOPE!$A:$U,21,0)),"")</f>
        <v/>
      </c>
      <c r="R649" s="8">
        <f>IFERROR(IFERROR(VLOOKUP(A649,TRAOPE!$A:$W,23,0),VLOOKUP(B649,TRAOPE!$A:$W,23,0)),"")</f>
        <v/>
      </c>
      <c r="S649" s="10">
        <f>IF(AND(P649="TN",R649="TN"),N649+N(O649),IF(G649&amp;""="1",N(K649)*N649,(N649+N(O649))*N(K649)))</f>
        <v/>
      </c>
      <c r="T649" s="10">
        <f>IF(Q649="","",Q649-S649)</f>
        <v/>
      </c>
    </row>
    <row r="650">
      <c r="A650" s="7">
        <f>CONCATENATE(C650,E650,F650,I650)</f>
        <v/>
      </c>
      <c r="B650" s="7">
        <f>CONCATENATE(C650,E650,I650)</f>
        <v/>
      </c>
      <c r="C650" s="8" t="n">
        <v>900003438</v>
      </c>
      <c r="D650" s="7">
        <f>IFERROR(VLOOKUP(C650,TRAOPE!$G:$H,2,0),"")</f>
        <v/>
      </c>
      <c r="E650" s="8" t="inlineStr">
        <is>
          <t>DW70</t>
        </is>
      </c>
      <c r="F650" s="8" t="inlineStr">
        <is>
          <t>D105</t>
        </is>
      </c>
      <c r="G650" s="8">
        <f>IFERROR(VLOOKUP(A650,Flete!$A:$E,5,0),"")</f>
        <v/>
      </c>
      <c r="H650" s="7">
        <f>IFERROR(VLOOKUP(F650,TRAOPE!$AA:$AB,2,0),"")</f>
        <v/>
      </c>
      <c r="I650" s="7" t="n">
        <v>10000630</v>
      </c>
      <c r="J650" s="7">
        <f>IFERROR(VLOOKUP(I650,Materiales!$A:$H,8,0),"")</f>
        <v/>
      </c>
      <c r="K650" s="9">
        <f>IFERROR(VLOOKUP(I650,Materiales!$A:$G,7,0),"")</f>
        <v/>
      </c>
      <c r="L650" s="8" t="inlineStr">
        <is>
          <t>20230501</t>
        </is>
      </c>
      <c r="M650" s="8" t="inlineStr">
        <is>
          <t>20250131</t>
        </is>
      </c>
      <c r="N650" s="10" t="n">
        <v>110.72</v>
      </c>
      <c r="O650" s="10">
        <f>IFERROR(VLOOKUP(A650,Flete!$A:$J,10,0),"")</f>
        <v/>
      </c>
      <c r="P650" s="8" t="inlineStr">
        <is>
          <t>TN</t>
        </is>
      </c>
      <c r="Q650" s="10">
        <f>IFERROR(IFERROR(VLOOKUP(A650,TRAOPE!$A:$U,21,0),VLOOKUP(B650,TRAOPE!$A:$U,21,0)),"")</f>
        <v/>
      </c>
      <c r="R650" s="8">
        <f>IFERROR(IFERROR(VLOOKUP(A650,TRAOPE!$A:$W,23,0),VLOOKUP(B650,TRAOPE!$A:$W,23,0)),"")</f>
        <v/>
      </c>
      <c r="S650" s="10">
        <f>IF(AND(P650="TN",R650="TN"),N650+N(O650),IF(G650&amp;""="1",N(K650)*N650,(N650+N(O650))*N(K650)))</f>
        <v/>
      </c>
      <c r="T650" s="10">
        <f>IF(Q650="","",Q650-S650)</f>
        <v/>
      </c>
    </row>
    <row r="651">
      <c r="A651" s="7">
        <f>CONCATENATE(C651,E651,F651,I651)</f>
        <v/>
      </c>
      <c r="B651" s="7">
        <f>CONCATENATE(C651,E651,I651)</f>
        <v/>
      </c>
      <c r="C651" s="8" t="n">
        <v>900003438</v>
      </c>
      <c r="D651" s="7">
        <f>IFERROR(VLOOKUP(C651,TRAOPE!$G:$H,2,0),"")</f>
        <v/>
      </c>
      <c r="E651" s="8" t="inlineStr">
        <is>
          <t>DW70</t>
        </is>
      </c>
      <c r="F651" s="8" t="inlineStr">
        <is>
          <t>D105</t>
        </is>
      </c>
      <c r="G651" s="8">
        <f>IFERROR(VLOOKUP(A651,Flete!$A:$E,5,0),"")</f>
        <v/>
      </c>
      <c r="H651" s="7">
        <f>IFERROR(VLOOKUP(F651,TRAOPE!$AA:$AB,2,0),"")</f>
        <v/>
      </c>
      <c r="I651" s="7" t="n">
        <v>10000811</v>
      </c>
      <c r="J651" s="7">
        <f>IFERROR(VLOOKUP(I651,Materiales!$A:$H,8,0),"")</f>
        <v/>
      </c>
      <c r="K651" s="9">
        <f>IFERROR(VLOOKUP(I651,Materiales!$A:$G,7,0),"")</f>
        <v/>
      </c>
      <c r="L651" s="8" t="inlineStr">
        <is>
          <t>20230501</t>
        </is>
      </c>
      <c r="M651" s="8" t="inlineStr">
        <is>
          <t>20250131</t>
        </is>
      </c>
      <c r="N651" s="10" t="n">
        <v>97.44</v>
      </c>
      <c r="O651" s="10">
        <f>IFERROR(VLOOKUP(A651,Flete!$A:$J,10,0),"")</f>
        <v/>
      </c>
      <c r="P651" s="8" t="inlineStr">
        <is>
          <t>TN</t>
        </is>
      </c>
      <c r="Q651" s="10">
        <f>IFERROR(IFERROR(VLOOKUP(A651,TRAOPE!$A:$U,21,0),VLOOKUP(B651,TRAOPE!$A:$U,21,0)),"")</f>
        <v/>
      </c>
      <c r="R651" s="8">
        <f>IFERROR(IFERROR(VLOOKUP(A651,TRAOPE!$A:$W,23,0),VLOOKUP(B651,TRAOPE!$A:$W,23,0)),"")</f>
        <v/>
      </c>
      <c r="S651" s="10">
        <f>IF(AND(P651="TN",R651="TN"),N651+N(O651),IF(G651&amp;""="1",N(K651)*N651,(N651+N(O651))*N(K651)))</f>
        <v/>
      </c>
      <c r="T651" s="10">
        <f>IF(Q651="","",Q651-S651)</f>
        <v/>
      </c>
    </row>
    <row r="652">
      <c r="A652" s="7">
        <f>CONCATENATE(C652,E652,F652,I652)</f>
        <v/>
      </c>
      <c r="B652" s="7">
        <f>CONCATENATE(C652,E652,I652)</f>
        <v/>
      </c>
      <c r="C652" s="8" t="n">
        <v>900003438</v>
      </c>
      <c r="D652" s="7">
        <f>IFERROR(VLOOKUP(C652,TRAOPE!$G:$H,2,0),"")</f>
        <v/>
      </c>
      <c r="E652" s="8" t="inlineStr">
        <is>
          <t>DW70</t>
        </is>
      </c>
      <c r="F652" s="8" t="inlineStr">
        <is>
          <t>D105</t>
        </is>
      </c>
      <c r="G652" s="8">
        <f>IFERROR(VLOOKUP(A652,Flete!$A:$E,5,0),"")</f>
        <v/>
      </c>
      <c r="H652" s="7">
        <f>IFERROR(VLOOKUP(F652,TRAOPE!$AA:$AB,2,0),"")</f>
        <v/>
      </c>
      <c r="I652" s="7" t="n">
        <v>10002802</v>
      </c>
      <c r="J652" s="7">
        <f>IFERROR(VLOOKUP(I652,Materiales!$A:$H,8,0),"")</f>
        <v/>
      </c>
      <c r="K652" s="9">
        <f>IFERROR(VLOOKUP(I652,Materiales!$A:$G,7,0),"")</f>
        <v/>
      </c>
      <c r="L652" s="8" t="inlineStr">
        <is>
          <t>20230501</t>
        </is>
      </c>
      <c r="M652" s="8" t="inlineStr">
        <is>
          <t>20250131</t>
        </is>
      </c>
      <c r="N652" s="10" t="n">
        <v>102.54</v>
      </c>
      <c r="O652" s="10">
        <f>IFERROR(VLOOKUP(A652,Flete!$A:$J,10,0),"")</f>
        <v/>
      </c>
      <c r="P652" s="8" t="inlineStr">
        <is>
          <t>TN</t>
        </is>
      </c>
      <c r="Q652" s="10">
        <f>IFERROR(IFERROR(VLOOKUP(A652,TRAOPE!$A:$U,21,0),VLOOKUP(B652,TRAOPE!$A:$U,21,0)),"")</f>
        <v/>
      </c>
      <c r="R652" s="8">
        <f>IFERROR(IFERROR(VLOOKUP(A652,TRAOPE!$A:$W,23,0),VLOOKUP(B652,TRAOPE!$A:$W,23,0)),"")</f>
        <v/>
      </c>
      <c r="S652" s="10">
        <f>IF(AND(P652="TN",R652="TN"),N652+N(O652),IF(G652&amp;""="1",N(K652)*N652,(N652+N(O652))*N(K652)))</f>
        <v/>
      </c>
      <c r="T652" s="10">
        <f>IF(Q652="","",Q652-S652)</f>
        <v/>
      </c>
    </row>
    <row r="653">
      <c r="A653" s="7">
        <f>CONCATENATE(C653,E653,F653,I653)</f>
        <v/>
      </c>
      <c r="B653" s="7">
        <f>CONCATENATE(C653,E653,I653)</f>
        <v/>
      </c>
      <c r="C653" s="8" t="n">
        <v>900003438</v>
      </c>
      <c r="D653" s="7">
        <f>IFERROR(VLOOKUP(C653,TRAOPE!$G:$H,2,0),"")</f>
        <v/>
      </c>
      <c r="E653" s="8" t="inlineStr">
        <is>
          <t>DW70</t>
        </is>
      </c>
      <c r="F653" s="8" t="inlineStr">
        <is>
          <t>D105</t>
        </is>
      </c>
      <c r="G653" s="8">
        <f>IFERROR(VLOOKUP(A653,Flete!$A:$E,5,0),"")</f>
        <v/>
      </c>
      <c r="H653" s="7">
        <f>IFERROR(VLOOKUP(F653,TRAOPE!$AA:$AB,2,0),"")</f>
        <v/>
      </c>
      <c r="I653" s="7" t="n">
        <v>10059180</v>
      </c>
      <c r="J653" s="7">
        <f>IFERROR(VLOOKUP(I653,Materiales!$A:$H,8,0),"")</f>
        <v/>
      </c>
      <c r="K653" s="9">
        <f>IFERROR(VLOOKUP(I653,Materiales!$A:$G,7,0),"")</f>
        <v/>
      </c>
      <c r="L653" s="8" t="inlineStr">
        <is>
          <t>20230501</t>
        </is>
      </c>
      <c r="M653" s="8" t="inlineStr">
        <is>
          <t>20250131</t>
        </is>
      </c>
      <c r="N653" s="10" t="n">
        <v>58.06</v>
      </c>
      <c r="O653" s="10">
        <f>IFERROR(VLOOKUP(A653,Flete!$A:$J,10,0),"")</f>
        <v/>
      </c>
      <c r="P653" s="8" t="inlineStr">
        <is>
          <t>TN</t>
        </is>
      </c>
      <c r="Q653" s="10">
        <f>IFERROR(IFERROR(VLOOKUP(A653,TRAOPE!$A:$U,21,0),VLOOKUP(B653,TRAOPE!$A:$U,21,0)),"")</f>
        <v/>
      </c>
      <c r="R653" s="8">
        <f>IFERROR(IFERROR(VLOOKUP(A653,TRAOPE!$A:$W,23,0),VLOOKUP(B653,TRAOPE!$A:$W,23,0)),"")</f>
        <v/>
      </c>
      <c r="S653" s="10">
        <f>IF(AND(P653="TN",R653="TN"),N653+N(O653),IF(G653&amp;""="1",N(K653)*N653,(N653+N(O653))*N(K653)))</f>
        <v/>
      </c>
      <c r="T653" s="10">
        <f>IF(Q653="","",Q653-S653)</f>
        <v/>
      </c>
    </row>
    <row r="654">
      <c r="A654" s="7">
        <f>CONCATENATE(C654,E654,F654,I654)</f>
        <v/>
      </c>
      <c r="B654" s="7">
        <f>CONCATENATE(C654,E654,I654)</f>
        <v/>
      </c>
      <c r="C654" s="8" t="n">
        <v>900003438</v>
      </c>
      <c r="D654" s="7">
        <f>IFERROR(VLOOKUP(C654,TRAOPE!$G:$H,2,0),"")</f>
        <v/>
      </c>
      <c r="E654" s="8" t="inlineStr">
        <is>
          <t>DW70</t>
        </is>
      </c>
      <c r="F654" s="8" t="inlineStr">
        <is>
          <t>D110</t>
        </is>
      </c>
      <c r="G654" s="8">
        <f>IFERROR(VLOOKUP(A654,Flete!$A:$E,5,0),"")</f>
        <v/>
      </c>
      <c r="H654" s="7">
        <f>IFERROR(VLOOKUP(F654,TRAOPE!$AA:$AB,2,0),"")</f>
        <v/>
      </c>
      <c r="I654" s="7" t="n">
        <v>10002802</v>
      </c>
      <c r="J654" s="7">
        <f>IFERROR(VLOOKUP(I654,Materiales!$A:$H,8,0),"")</f>
        <v/>
      </c>
      <c r="K654" s="9">
        <f>IFERROR(VLOOKUP(I654,Materiales!$A:$G,7,0),"")</f>
        <v/>
      </c>
      <c r="L654" s="8" t="inlineStr">
        <is>
          <t>20230501</t>
        </is>
      </c>
      <c r="M654" s="8" t="inlineStr">
        <is>
          <t>20250131</t>
        </is>
      </c>
      <c r="N654" s="10" t="n">
        <v>89.89</v>
      </c>
      <c r="O654" s="10">
        <f>IFERROR(VLOOKUP(A654,Flete!$A:$J,10,0),"")</f>
        <v/>
      </c>
      <c r="P654" s="8" t="inlineStr">
        <is>
          <t>TN</t>
        </is>
      </c>
      <c r="Q654" s="10">
        <f>IFERROR(IFERROR(VLOOKUP(A654,TRAOPE!$A:$U,21,0),VLOOKUP(B654,TRAOPE!$A:$U,21,0)),"")</f>
        <v/>
      </c>
      <c r="R654" s="8">
        <f>IFERROR(IFERROR(VLOOKUP(A654,TRAOPE!$A:$W,23,0),VLOOKUP(B654,TRAOPE!$A:$W,23,0)),"")</f>
        <v/>
      </c>
      <c r="S654" s="10">
        <f>IF(AND(P654="TN",R654="TN"),N654+N(O654),IF(G654&amp;""="1",N(K654)*N654,(N654+N(O654))*N(K654)))</f>
        <v/>
      </c>
      <c r="T654" s="10">
        <f>IF(Q654="","",Q654-S654)</f>
        <v/>
      </c>
    </row>
    <row r="655">
      <c r="A655" s="7">
        <f>CONCATENATE(C655,E655,F655,I655)</f>
        <v/>
      </c>
      <c r="B655" s="7">
        <f>CONCATENATE(C655,E655,I655)</f>
        <v/>
      </c>
      <c r="C655" s="8" t="n">
        <v>900003438</v>
      </c>
      <c r="D655" s="7">
        <f>IFERROR(VLOOKUP(C655,TRAOPE!$G:$H,2,0),"")</f>
        <v/>
      </c>
      <c r="E655" s="8" t="inlineStr">
        <is>
          <t>DW70</t>
        </is>
      </c>
      <c r="F655" s="8" t="inlineStr">
        <is>
          <t>D111</t>
        </is>
      </c>
      <c r="G655" s="8">
        <f>IFERROR(VLOOKUP(A655,Flete!$A:$E,5,0),"")</f>
        <v/>
      </c>
      <c r="H655" s="7">
        <f>IFERROR(VLOOKUP(F655,TRAOPE!$AA:$AB,2,0),"")</f>
        <v/>
      </c>
      <c r="I655" s="7" t="n">
        <v>10000623</v>
      </c>
      <c r="J655" s="7">
        <f>IFERROR(VLOOKUP(I655,Materiales!$A:$H,8,0),"")</f>
        <v/>
      </c>
      <c r="K655" s="9">
        <f>IFERROR(VLOOKUP(I655,Materiales!$A:$G,7,0),"")</f>
        <v/>
      </c>
      <c r="L655" s="8" t="inlineStr">
        <is>
          <t>20230501</t>
        </is>
      </c>
      <c r="M655" s="8" t="inlineStr">
        <is>
          <t>20250131</t>
        </is>
      </c>
      <c r="N655" s="10" t="n">
        <v>95.73999999999999</v>
      </c>
      <c r="O655" s="10">
        <f>IFERROR(VLOOKUP(A655,Flete!$A:$J,10,0),"")</f>
        <v/>
      </c>
      <c r="P655" s="8" t="inlineStr">
        <is>
          <t>TN</t>
        </is>
      </c>
      <c r="Q655" s="10">
        <f>IFERROR(IFERROR(VLOOKUP(A655,TRAOPE!$A:$U,21,0),VLOOKUP(B655,TRAOPE!$A:$U,21,0)),"")</f>
        <v/>
      </c>
      <c r="R655" s="8">
        <f>IFERROR(IFERROR(VLOOKUP(A655,TRAOPE!$A:$W,23,0),VLOOKUP(B655,TRAOPE!$A:$W,23,0)),"")</f>
        <v/>
      </c>
      <c r="S655" s="10">
        <f>IF(AND(P655="TN",R655="TN"),N655+N(O655),IF(G655&amp;""="1",N(K655)*N655,(N655+N(O655))*N(K655)))</f>
        <v/>
      </c>
      <c r="T655" s="10">
        <f>IF(Q655="","",Q655-S655)</f>
        <v/>
      </c>
    </row>
    <row r="656">
      <c r="A656" s="7">
        <f>CONCATENATE(C656,E656,F656,I656)</f>
        <v/>
      </c>
      <c r="B656" s="7">
        <f>CONCATENATE(C656,E656,I656)</f>
        <v/>
      </c>
      <c r="C656" s="8" t="n">
        <v>900003438</v>
      </c>
      <c r="D656" s="7">
        <f>IFERROR(VLOOKUP(C656,TRAOPE!$G:$H,2,0),"")</f>
        <v/>
      </c>
      <c r="E656" s="8" t="inlineStr">
        <is>
          <t>DW70</t>
        </is>
      </c>
      <c r="F656" s="8" t="inlineStr">
        <is>
          <t>D111</t>
        </is>
      </c>
      <c r="G656" s="8">
        <f>IFERROR(VLOOKUP(A656,Flete!$A:$E,5,0),"")</f>
        <v/>
      </c>
      <c r="H656" s="7">
        <f>IFERROR(VLOOKUP(F656,TRAOPE!$AA:$AB,2,0),"")</f>
        <v/>
      </c>
      <c r="I656" s="7" t="n">
        <v>10000630</v>
      </c>
      <c r="J656" s="7">
        <f>IFERROR(VLOOKUP(I656,Materiales!$A:$H,8,0),"")</f>
        <v/>
      </c>
      <c r="K656" s="9">
        <f>IFERROR(VLOOKUP(I656,Materiales!$A:$G,7,0),"")</f>
        <v/>
      </c>
      <c r="L656" s="8" t="inlineStr">
        <is>
          <t>20230501</t>
        </is>
      </c>
      <c r="M656" s="8" t="inlineStr">
        <is>
          <t>20250131</t>
        </is>
      </c>
      <c r="N656" s="10" t="n">
        <v>96.43000000000001</v>
      </c>
      <c r="O656" s="10">
        <f>IFERROR(VLOOKUP(A656,Flete!$A:$J,10,0),"")</f>
        <v/>
      </c>
      <c r="P656" s="8" t="inlineStr">
        <is>
          <t>TN</t>
        </is>
      </c>
      <c r="Q656" s="10">
        <f>IFERROR(IFERROR(VLOOKUP(A656,TRAOPE!$A:$U,21,0),VLOOKUP(B656,TRAOPE!$A:$U,21,0)),"")</f>
        <v/>
      </c>
      <c r="R656" s="8">
        <f>IFERROR(IFERROR(VLOOKUP(A656,TRAOPE!$A:$W,23,0),VLOOKUP(B656,TRAOPE!$A:$W,23,0)),"")</f>
        <v/>
      </c>
      <c r="S656" s="10">
        <f>IF(AND(P656="TN",R656="TN"),N656+N(O656),IF(G656&amp;""="1",N(K656)*N656,(N656+N(O656))*N(K656)))</f>
        <v/>
      </c>
      <c r="T656" s="10">
        <f>IF(Q656="","",Q656-S656)</f>
        <v/>
      </c>
    </row>
    <row r="657">
      <c r="A657" s="7">
        <f>CONCATENATE(C657,E657,F657,I657)</f>
        <v/>
      </c>
      <c r="B657" s="7">
        <f>CONCATENATE(C657,E657,I657)</f>
        <v/>
      </c>
      <c r="C657" s="8" t="n">
        <v>900003438</v>
      </c>
      <c r="D657" s="7">
        <f>IFERROR(VLOOKUP(C657,TRAOPE!$G:$H,2,0),"")</f>
        <v/>
      </c>
      <c r="E657" s="8" t="inlineStr">
        <is>
          <t>DW70</t>
        </is>
      </c>
      <c r="F657" s="8" t="inlineStr">
        <is>
          <t>D111</t>
        </is>
      </c>
      <c r="G657" s="8">
        <f>IFERROR(VLOOKUP(A657,Flete!$A:$E,5,0),"")</f>
        <v/>
      </c>
      <c r="H657" s="7">
        <f>IFERROR(VLOOKUP(F657,TRAOPE!$AA:$AB,2,0),"")</f>
        <v/>
      </c>
      <c r="I657" s="7" t="n">
        <v>10000811</v>
      </c>
      <c r="J657" s="7">
        <f>IFERROR(VLOOKUP(I657,Materiales!$A:$H,8,0),"")</f>
        <v/>
      </c>
      <c r="K657" s="9">
        <f>IFERROR(VLOOKUP(I657,Materiales!$A:$G,7,0),"")</f>
        <v/>
      </c>
      <c r="L657" s="8" t="inlineStr">
        <is>
          <t>20230501</t>
        </is>
      </c>
      <c r="M657" s="8" t="inlineStr">
        <is>
          <t>20250131</t>
        </is>
      </c>
      <c r="N657" s="10" t="n">
        <v>97.44</v>
      </c>
      <c r="O657" s="10">
        <f>IFERROR(VLOOKUP(A657,Flete!$A:$J,10,0),"")</f>
        <v/>
      </c>
      <c r="P657" s="8" t="inlineStr">
        <is>
          <t>TN</t>
        </is>
      </c>
      <c r="Q657" s="10">
        <f>IFERROR(IFERROR(VLOOKUP(A657,TRAOPE!$A:$U,21,0),VLOOKUP(B657,TRAOPE!$A:$U,21,0)),"")</f>
        <v/>
      </c>
      <c r="R657" s="8">
        <f>IFERROR(IFERROR(VLOOKUP(A657,TRAOPE!$A:$W,23,0),VLOOKUP(B657,TRAOPE!$A:$W,23,0)),"")</f>
        <v/>
      </c>
      <c r="S657" s="10">
        <f>IF(AND(P657="TN",R657="TN"),N657+N(O657),IF(G657&amp;""="1",N(K657)*N657,(N657+N(O657))*N(K657)))</f>
        <v/>
      </c>
      <c r="T657" s="10">
        <f>IF(Q657="","",Q657-S657)</f>
        <v/>
      </c>
    </row>
    <row r="658">
      <c r="A658" s="7">
        <f>CONCATENATE(C658,E658,F658,I658)</f>
        <v/>
      </c>
      <c r="B658" s="7">
        <f>CONCATENATE(C658,E658,I658)</f>
        <v/>
      </c>
      <c r="C658" s="8" t="n">
        <v>900003438</v>
      </c>
      <c r="D658" s="7">
        <f>IFERROR(VLOOKUP(C658,TRAOPE!$G:$H,2,0),"")</f>
        <v/>
      </c>
      <c r="E658" s="8" t="inlineStr">
        <is>
          <t>DW70</t>
        </is>
      </c>
      <c r="F658" s="8" t="inlineStr">
        <is>
          <t>D111</t>
        </is>
      </c>
      <c r="G658" s="8">
        <f>IFERROR(VLOOKUP(A658,Flete!$A:$E,5,0),"")</f>
        <v/>
      </c>
      <c r="H658" s="7">
        <f>IFERROR(VLOOKUP(F658,TRAOPE!$AA:$AB,2,0),"")</f>
        <v/>
      </c>
      <c r="I658" s="7" t="n">
        <v>10002802</v>
      </c>
      <c r="J658" s="7">
        <f>IFERROR(VLOOKUP(I658,Materiales!$A:$H,8,0),"")</f>
        <v/>
      </c>
      <c r="K658" s="9">
        <f>IFERROR(VLOOKUP(I658,Materiales!$A:$G,7,0),"")</f>
        <v/>
      </c>
      <c r="L658" s="8" t="inlineStr">
        <is>
          <t>20230501</t>
        </is>
      </c>
      <c r="M658" s="8" t="inlineStr">
        <is>
          <t>20250131</t>
        </is>
      </c>
      <c r="N658" s="10" t="n">
        <v>90.23</v>
      </c>
      <c r="O658" s="10">
        <f>IFERROR(VLOOKUP(A658,Flete!$A:$J,10,0),"")</f>
        <v/>
      </c>
      <c r="P658" s="8" t="inlineStr">
        <is>
          <t>TN</t>
        </is>
      </c>
      <c r="Q658" s="10">
        <f>IFERROR(IFERROR(VLOOKUP(A658,TRAOPE!$A:$U,21,0),VLOOKUP(B658,TRAOPE!$A:$U,21,0)),"")</f>
        <v/>
      </c>
      <c r="R658" s="8">
        <f>IFERROR(IFERROR(VLOOKUP(A658,TRAOPE!$A:$W,23,0),VLOOKUP(B658,TRAOPE!$A:$W,23,0)),"")</f>
        <v/>
      </c>
      <c r="S658" s="10">
        <f>IF(AND(P658="TN",R658="TN"),N658+N(O658),IF(G658&amp;""="1",N(K658)*N658,(N658+N(O658))*N(K658)))</f>
        <v/>
      </c>
      <c r="T658" s="10">
        <f>IF(Q658="","",Q658-S658)</f>
        <v/>
      </c>
    </row>
    <row r="659">
      <c r="A659" s="7">
        <f>CONCATENATE(C659,E659,F659,I659)</f>
        <v/>
      </c>
      <c r="B659" s="7">
        <f>CONCATENATE(C659,E659,I659)</f>
        <v/>
      </c>
      <c r="C659" s="8" t="n">
        <v>900003438</v>
      </c>
      <c r="D659" s="7">
        <f>IFERROR(VLOOKUP(C659,TRAOPE!$G:$H,2,0),"")</f>
        <v/>
      </c>
      <c r="E659" s="8" t="inlineStr">
        <is>
          <t>DW70</t>
        </is>
      </c>
      <c r="F659" s="8" t="inlineStr">
        <is>
          <t>D136</t>
        </is>
      </c>
      <c r="G659" s="8">
        <f>IFERROR(VLOOKUP(A659,Flete!$A:$E,5,0),"")</f>
        <v/>
      </c>
      <c r="H659" s="7">
        <f>IFERROR(VLOOKUP(F659,TRAOPE!$AA:$AB,2,0),"")</f>
        <v/>
      </c>
      <c r="I659" s="7" t="n">
        <v>10000623</v>
      </c>
      <c r="J659" s="7">
        <f>IFERROR(VLOOKUP(I659,Materiales!$A:$H,8,0),"")</f>
        <v/>
      </c>
      <c r="K659" s="9">
        <f>IFERROR(VLOOKUP(I659,Materiales!$A:$G,7,0),"")</f>
        <v/>
      </c>
      <c r="L659" s="8" t="inlineStr">
        <is>
          <t>20230501</t>
        </is>
      </c>
      <c r="M659" s="8" t="inlineStr">
        <is>
          <t>20250131</t>
        </is>
      </c>
      <c r="N659" s="10" t="n">
        <v>109.94</v>
      </c>
      <c r="O659" s="10">
        <f>IFERROR(VLOOKUP(A659,Flete!$A:$J,10,0),"")</f>
        <v/>
      </c>
      <c r="P659" s="8" t="inlineStr">
        <is>
          <t>TN</t>
        </is>
      </c>
      <c r="Q659" s="10">
        <f>IFERROR(IFERROR(VLOOKUP(A659,TRAOPE!$A:$U,21,0),VLOOKUP(B659,TRAOPE!$A:$U,21,0)),"")</f>
        <v/>
      </c>
      <c r="R659" s="8">
        <f>IFERROR(IFERROR(VLOOKUP(A659,TRAOPE!$A:$W,23,0),VLOOKUP(B659,TRAOPE!$A:$W,23,0)),"")</f>
        <v/>
      </c>
      <c r="S659" s="10">
        <f>IF(AND(P659="TN",R659="TN"),N659+N(O659),IF(G659&amp;""="1",N(K659)*N659,(N659+N(O659))*N(K659)))</f>
        <v/>
      </c>
      <c r="T659" s="10">
        <f>IF(Q659="","",Q659-S659)</f>
        <v/>
      </c>
    </row>
    <row r="660">
      <c r="A660" s="7">
        <f>CONCATENATE(C660,E660,F660,I660)</f>
        <v/>
      </c>
      <c r="B660" s="7">
        <f>CONCATENATE(C660,E660,I660)</f>
        <v/>
      </c>
      <c r="C660" s="8" t="n">
        <v>900003438</v>
      </c>
      <c r="D660" s="7">
        <f>IFERROR(VLOOKUP(C660,TRAOPE!$G:$H,2,0),"")</f>
        <v/>
      </c>
      <c r="E660" s="8" t="inlineStr">
        <is>
          <t>DW70</t>
        </is>
      </c>
      <c r="F660" s="8" t="inlineStr">
        <is>
          <t>D136</t>
        </is>
      </c>
      <c r="G660" s="8">
        <f>IFERROR(VLOOKUP(A660,Flete!$A:$E,5,0),"")</f>
        <v/>
      </c>
      <c r="H660" s="7">
        <f>IFERROR(VLOOKUP(F660,TRAOPE!$AA:$AB,2,0),"")</f>
        <v/>
      </c>
      <c r="I660" s="7" t="n">
        <v>10000630</v>
      </c>
      <c r="J660" s="7">
        <f>IFERROR(VLOOKUP(I660,Materiales!$A:$H,8,0),"")</f>
        <v/>
      </c>
      <c r="K660" s="9">
        <f>IFERROR(VLOOKUP(I660,Materiales!$A:$G,7,0),"")</f>
        <v/>
      </c>
      <c r="L660" s="8" t="inlineStr">
        <is>
          <t>20230501</t>
        </is>
      </c>
      <c r="M660" s="8" t="inlineStr">
        <is>
          <t>20250131</t>
        </is>
      </c>
      <c r="N660" s="10" t="n">
        <v>110.72</v>
      </c>
      <c r="O660" s="10">
        <f>IFERROR(VLOOKUP(A660,Flete!$A:$J,10,0),"")</f>
        <v/>
      </c>
      <c r="P660" s="8" t="inlineStr">
        <is>
          <t>TN</t>
        </is>
      </c>
      <c r="Q660" s="10">
        <f>IFERROR(IFERROR(VLOOKUP(A660,TRAOPE!$A:$U,21,0),VLOOKUP(B660,TRAOPE!$A:$U,21,0)),"")</f>
        <v/>
      </c>
      <c r="R660" s="8">
        <f>IFERROR(IFERROR(VLOOKUP(A660,TRAOPE!$A:$W,23,0),VLOOKUP(B660,TRAOPE!$A:$W,23,0)),"")</f>
        <v/>
      </c>
      <c r="S660" s="10">
        <f>IF(AND(P660="TN",R660="TN"),N660+N(O660),IF(G660&amp;""="1",N(K660)*N660,(N660+N(O660))*N(K660)))</f>
        <v/>
      </c>
      <c r="T660" s="10">
        <f>IF(Q660="","",Q660-S660)</f>
        <v/>
      </c>
    </row>
    <row r="661">
      <c r="A661" s="7">
        <f>CONCATENATE(C661,E661,F661,I661)</f>
        <v/>
      </c>
      <c r="B661" s="7">
        <f>CONCATENATE(C661,E661,I661)</f>
        <v/>
      </c>
      <c r="C661" s="8" t="n">
        <v>900003438</v>
      </c>
      <c r="D661" s="7">
        <f>IFERROR(VLOOKUP(C661,TRAOPE!$G:$H,2,0),"")</f>
        <v/>
      </c>
      <c r="E661" s="8" t="inlineStr">
        <is>
          <t>DW70</t>
        </is>
      </c>
      <c r="F661" s="8" t="inlineStr">
        <is>
          <t>D136</t>
        </is>
      </c>
      <c r="G661" s="8">
        <f>IFERROR(VLOOKUP(A661,Flete!$A:$E,5,0),"")</f>
        <v/>
      </c>
      <c r="H661" s="7">
        <f>IFERROR(VLOOKUP(F661,TRAOPE!$AA:$AB,2,0),"")</f>
        <v/>
      </c>
      <c r="I661" s="7" t="n">
        <v>10000811</v>
      </c>
      <c r="J661" s="7">
        <f>IFERROR(VLOOKUP(I661,Materiales!$A:$H,8,0),"")</f>
        <v/>
      </c>
      <c r="K661" s="9">
        <f>IFERROR(VLOOKUP(I661,Materiales!$A:$G,7,0),"")</f>
        <v/>
      </c>
      <c r="L661" s="8" t="inlineStr">
        <is>
          <t>20230501</t>
        </is>
      </c>
      <c r="M661" s="8" t="inlineStr">
        <is>
          <t>20250131</t>
        </is>
      </c>
      <c r="N661" s="10" t="n">
        <v>97.44</v>
      </c>
      <c r="O661" s="10">
        <f>IFERROR(VLOOKUP(A661,Flete!$A:$J,10,0),"")</f>
        <v/>
      </c>
      <c r="P661" s="8" t="inlineStr">
        <is>
          <t>TN</t>
        </is>
      </c>
      <c r="Q661" s="10">
        <f>IFERROR(IFERROR(VLOOKUP(A661,TRAOPE!$A:$U,21,0),VLOOKUP(B661,TRAOPE!$A:$U,21,0)),"")</f>
        <v/>
      </c>
      <c r="R661" s="8">
        <f>IFERROR(IFERROR(VLOOKUP(A661,TRAOPE!$A:$W,23,0),VLOOKUP(B661,TRAOPE!$A:$W,23,0)),"")</f>
        <v/>
      </c>
      <c r="S661" s="10">
        <f>IF(AND(P661="TN",R661="TN"),N661+N(O661),IF(G661&amp;""="1",N(K661)*N661,(N661+N(O661))*N(K661)))</f>
        <v/>
      </c>
      <c r="T661" s="10">
        <f>IF(Q661="","",Q661-S661)</f>
        <v/>
      </c>
    </row>
    <row r="662">
      <c r="A662" s="7">
        <f>CONCATENATE(C662,E662,F662,I662)</f>
        <v/>
      </c>
      <c r="B662" s="7">
        <f>CONCATENATE(C662,E662,I662)</f>
        <v/>
      </c>
      <c r="C662" s="8" t="n">
        <v>900003438</v>
      </c>
      <c r="D662" s="7">
        <f>IFERROR(VLOOKUP(C662,TRAOPE!$G:$H,2,0),"")</f>
        <v/>
      </c>
      <c r="E662" s="8" t="inlineStr">
        <is>
          <t>DW70</t>
        </is>
      </c>
      <c r="F662" s="8" t="inlineStr">
        <is>
          <t>D136</t>
        </is>
      </c>
      <c r="G662" s="8">
        <f>IFERROR(VLOOKUP(A662,Flete!$A:$E,5,0),"")</f>
        <v/>
      </c>
      <c r="H662" s="7">
        <f>IFERROR(VLOOKUP(F662,TRAOPE!$AA:$AB,2,0),"")</f>
        <v/>
      </c>
      <c r="I662" s="7" t="n">
        <v>10002802</v>
      </c>
      <c r="J662" s="7">
        <f>IFERROR(VLOOKUP(I662,Materiales!$A:$H,8,0),"")</f>
        <v/>
      </c>
      <c r="K662" s="9">
        <f>IFERROR(VLOOKUP(I662,Materiales!$A:$G,7,0),"")</f>
        <v/>
      </c>
      <c r="L662" s="8" t="inlineStr">
        <is>
          <t>20230501</t>
        </is>
      </c>
      <c r="M662" s="8" t="inlineStr">
        <is>
          <t>20250131</t>
        </is>
      </c>
      <c r="N662" s="10" t="n">
        <v>102.54</v>
      </c>
      <c r="O662" s="10">
        <f>IFERROR(VLOOKUP(A662,Flete!$A:$J,10,0),"")</f>
        <v/>
      </c>
      <c r="P662" s="8" t="inlineStr">
        <is>
          <t>TN</t>
        </is>
      </c>
      <c r="Q662" s="10">
        <f>IFERROR(IFERROR(VLOOKUP(A662,TRAOPE!$A:$U,21,0),VLOOKUP(B662,TRAOPE!$A:$U,21,0)),"")</f>
        <v/>
      </c>
      <c r="R662" s="8">
        <f>IFERROR(IFERROR(VLOOKUP(A662,TRAOPE!$A:$W,23,0),VLOOKUP(B662,TRAOPE!$A:$W,23,0)),"")</f>
        <v/>
      </c>
      <c r="S662" s="10">
        <f>IF(AND(P662="TN",R662="TN"),N662+N(O662),IF(G662&amp;""="1",N(K662)*N662,(N662+N(O662))*N(K662)))</f>
        <v/>
      </c>
      <c r="T662" s="10">
        <f>IF(Q662="","",Q662-S662)</f>
        <v/>
      </c>
    </row>
    <row r="663">
      <c r="A663" s="7">
        <f>CONCATENATE(C663,E663,F663,I663)</f>
        <v/>
      </c>
      <c r="B663" s="7">
        <f>CONCATENATE(C663,E663,I663)</f>
        <v/>
      </c>
      <c r="C663" s="8" t="n">
        <v>900003438</v>
      </c>
      <c r="D663" s="7">
        <f>IFERROR(VLOOKUP(C663,TRAOPE!$G:$H,2,0),"")</f>
        <v/>
      </c>
      <c r="E663" s="8" t="inlineStr">
        <is>
          <t>DW70</t>
        </is>
      </c>
      <c r="F663" s="8" t="inlineStr">
        <is>
          <t>D136</t>
        </is>
      </c>
      <c r="G663" s="8">
        <f>IFERROR(VLOOKUP(A663,Flete!$A:$E,5,0),"")</f>
        <v/>
      </c>
      <c r="H663" s="7">
        <f>IFERROR(VLOOKUP(F663,TRAOPE!$AA:$AB,2,0),"")</f>
        <v/>
      </c>
      <c r="I663" s="7" t="n">
        <v>10059180</v>
      </c>
      <c r="J663" s="7">
        <f>IFERROR(VLOOKUP(I663,Materiales!$A:$H,8,0),"")</f>
        <v/>
      </c>
      <c r="K663" s="9">
        <f>IFERROR(VLOOKUP(I663,Materiales!$A:$G,7,0),"")</f>
        <v/>
      </c>
      <c r="L663" s="8" t="inlineStr">
        <is>
          <t>20230501</t>
        </is>
      </c>
      <c r="M663" s="8" t="inlineStr">
        <is>
          <t>20250131</t>
        </is>
      </c>
      <c r="N663" s="10" t="n">
        <v>58.06</v>
      </c>
      <c r="O663" s="10">
        <f>IFERROR(VLOOKUP(A663,Flete!$A:$J,10,0),"")</f>
        <v/>
      </c>
      <c r="P663" s="8" t="inlineStr">
        <is>
          <t>TN</t>
        </is>
      </c>
      <c r="Q663" s="10">
        <f>IFERROR(IFERROR(VLOOKUP(A663,TRAOPE!$A:$U,21,0),VLOOKUP(B663,TRAOPE!$A:$U,21,0)),"")</f>
        <v/>
      </c>
      <c r="R663" s="8">
        <f>IFERROR(IFERROR(VLOOKUP(A663,TRAOPE!$A:$W,23,0),VLOOKUP(B663,TRAOPE!$A:$W,23,0)),"")</f>
        <v/>
      </c>
      <c r="S663" s="10">
        <f>IF(AND(P663="TN",R663="TN"),N663+N(O663),IF(G663&amp;""="1",N(K663)*N663,(N663+N(O663))*N(K663)))</f>
        <v/>
      </c>
      <c r="T663" s="10">
        <f>IF(Q663="","",Q663-S663)</f>
        <v/>
      </c>
    </row>
    <row r="664">
      <c r="A664" s="7">
        <f>CONCATENATE(C664,E664,F664,I664)</f>
        <v/>
      </c>
      <c r="B664" s="7">
        <f>CONCATENATE(C664,E664,I664)</f>
        <v/>
      </c>
      <c r="C664" s="8" t="n">
        <v>900003438</v>
      </c>
      <c r="D664" s="7">
        <f>IFERROR(VLOOKUP(C664,TRAOPE!$G:$H,2,0),"")</f>
        <v/>
      </c>
      <c r="E664" s="8" t="inlineStr">
        <is>
          <t>DW70</t>
        </is>
      </c>
      <c r="F664" s="8" t="inlineStr">
        <is>
          <t>D145</t>
        </is>
      </c>
      <c r="G664" s="8">
        <f>IFERROR(VLOOKUP(A664,Flete!$A:$E,5,0),"")</f>
        <v/>
      </c>
      <c r="H664" s="7">
        <f>IFERROR(VLOOKUP(F664,TRAOPE!$AA:$AB,2,0),"")</f>
        <v/>
      </c>
      <c r="I664" s="7" t="n">
        <v>10000623</v>
      </c>
      <c r="J664" s="7">
        <f>IFERROR(VLOOKUP(I664,Materiales!$A:$H,8,0),"")</f>
        <v/>
      </c>
      <c r="K664" s="9">
        <f>IFERROR(VLOOKUP(I664,Materiales!$A:$G,7,0),"")</f>
        <v/>
      </c>
      <c r="L664" s="8" t="inlineStr">
        <is>
          <t>20230501</t>
        </is>
      </c>
      <c r="M664" s="8" t="inlineStr">
        <is>
          <t>20250131</t>
        </is>
      </c>
      <c r="N664" s="10" t="n">
        <v>109.94</v>
      </c>
      <c r="O664" s="10">
        <f>IFERROR(VLOOKUP(A664,Flete!$A:$J,10,0),"")</f>
        <v/>
      </c>
      <c r="P664" s="8" t="inlineStr">
        <is>
          <t>TN</t>
        </is>
      </c>
      <c r="Q664" s="10">
        <f>IFERROR(IFERROR(VLOOKUP(A664,TRAOPE!$A:$U,21,0),VLOOKUP(B664,TRAOPE!$A:$U,21,0)),"")</f>
        <v/>
      </c>
      <c r="R664" s="8">
        <f>IFERROR(IFERROR(VLOOKUP(A664,TRAOPE!$A:$W,23,0),VLOOKUP(B664,TRAOPE!$A:$W,23,0)),"")</f>
        <v/>
      </c>
      <c r="S664" s="10">
        <f>IF(AND(P664="TN",R664="TN"),N664+N(O664),IF(G664&amp;""="1",N(K664)*N664,(N664+N(O664))*N(K664)))</f>
        <v/>
      </c>
      <c r="T664" s="10">
        <f>IF(Q664="","",Q664-S664)</f>
        <v/>
      </c>
    </row>
    <row r="665">
      <c r="A665" s="7">
        <f>CONCATENATE(C665,E665,F665,I665)</f>
        <v/>
      </c>
      <c r="B665" s="7">
        <f>CONCATENATE(C665,E665,I665)</f>
        <v/>
      </c>
      <c r="C665" s="8" t="n">
        <v>900003438</v>
      </c>
      <c r="D665" s="7">
        <f>IFERROR(VLOOKUP(C665,TRAOPE!$G:$H,2,0),"")</f>
        <v/>
      </c>
      <c r="E665" s="8" t="inlineStr">
        <is>
          <t>DW70</t>
        </is>
      </c>
      <c r="F665" s="8" t="inlineStr">
        <is>
          <t>D145</t>
        </is>
      </c>
      <c r="G665" s="8">
        <f>IFERROR(VLOOKUP(A665,Flete!$A:$E,5,0),"")</f>
        <v/>
      </c>
      <c r="H665" s="7">
        <f>IFERROR(VLOOKUP(F665,TRAOPE!$AA:$AB,2,0),"")</f>
        <v/>
      </c>
      <c r="I665" s="7" t="n">
        <v>10000630</v>
      </c>
      <c r="J665" s="7">
        <f>IFERROR(VLOOKUP(I665,Materiales!$A:$H,8,0),"")</f>
        <v/>
      </c>
      <c r="K665" s="9">
        <f>IFERROR(VLOOKUP(I665,Materiales!$A:$G,7,0),"")</f>
        <v/>
      </c>
      <c r="L665" s="8" t="inlineStr">
        <is>
          <t>20230501</t>
        </is>
      </c>
      <c r="M665" s="8" t="inlineStr">
        <is>
          <t>20250131</t>
        </is>
      </c>
      <c r="N665" s="10" t="n">
        <v>110.72</v>
      </c>
      <c r="O665" s="10">
        <f>IFERROR(VLOOKUP(A665,Flete!$A:$J,10,0),"")</f>
        <v/>
      </c>
      <c r="P665" s="8" t="inlineStr">
        <is>
          <t>TN</t>
        </is>
      </c>
      <c r="Q665" s="10">
        <f>IFERROR(IFERROR(VLOOKUP(A665,TRAOPE!$A:$U,21,0),VLOOKUP(B665,TRAOPE!$A:$U,21,0)),"")</f>
        <v/>
      </c>
      <c r="R665" s="8">
        <f>IFERROR(IFERROR(VLOOKUP(A665,TRAOPE!$A:$W,23,0),VLOOKUP(B665,TRAOPE!$A:$W,23,0)),"")</f>
        <v/>
      </c>
      <c r="S665" s="10">
        <f>IF(AND(P665="TN",R665="TN"),N665+N(O665),IF(G665&amp;""="1",N(K665)*N665,(N665+N(O665))*N(K665)))</f>
        <v/>
      </c>
      <c r="T665" s="10">
        <f>IF(Q665="","",Q665-S665)</f>
        <v/>
      </c>
    </row>
    <row r="666">
      <c r="A666" s="7">
        <f>CONCATENATE(C666,E666,F666,I666)</f>
        <v/>
      </c>
      <c r="B666" s="7">
        <f>CONCATENATE(C666,E666,I666)</f>
        <v/>
      </c>
      <c r="C666" s="8" t="n">
        <v>900003438</v>
      </c>
      <c r="D666" s="7">
        <f>IFERROR(VLOOKUP(C666,TRAOPE!$G:$H,2,0),"")</f>
        <v/>
      </c>
      <c r="E666" s="8" t="inlineStr">
        <is>
          <t>DW70</t>
        </is>
      </c>
      <c r="F666" s="8" t="inlineStr">
        <is>
          <t>D145</t>
        </is>
      </c>
      <c r="G666" s="8">
        <f>IFERROR(VLOOKUP(A666,Flete!$A:$E,5,0),"")</f>
        <v/>
      </c>
      <c r="H666" s="7">
        <f>IFERROR(VLOOKUP(F666,TRAOPE!$AA:$AB,2,0),"")</f>
        <v/>
      </c>
      <c r="I666" s="7" t="n">
        <v>10000811</v>
      </c>
      <c r="J666" s="7">
        <f>IFERROR(VLOOKUP(I666,Materiales!$A:$H,8,0),"")</f>
        <v/>
      </c>
      <c r="K666" s="9">
        <f>IFERROR(VLOOKUP(I666,Materiales!$A:$G,7,0),"")</f>
        <v/>
      </c>
      <c r="L666" s="8" t="inlineStr">
        <is>
          <t>20260819</t>
        </is>
      </c>
      <c r="M666" s="8" t="inlineStr">
        <is>
          <t>99991231</t>
        </is>
      </c>
      <c r="N666" s="10" t="n">
        <v>138.22</v>
      </c>
      <c r="O666" s="10">
        <f>IFERROR(VLOOKUP(A666,Flete!$A:$J,10,0),"")</f>
        <v/>
      </c>
      <c r="P666" s="8" t="inlineStr">
        <is>
          <t>TN</t>
        </is>
      </c>
      <c r="Q666" s="10">
        <f>IFERROR(IFERROR(VLOOKUP(A666,TRAOPE!$A:$U,21,0),VLOOKUP(B666,TRAOPE!$A:$U,21,0)),"")</f>
        <v/>
      </c>
      <c r="R666" s="8">
        <f>IFERROR(IFERROR(VLOOKUP(A666,TRAOPE!$A:$W,23,0),VLOOKUP(B666,TRAOPE!$A:$W,23,0)),"")</f>
        <v/>
      </c>
      <c r="S666" s="10">
        <f>IF(AND(P666="TN",R666="TN"),N666+N(O666),IF(G666&amp;""="1",N(K666)*N666,(N666+N(O666))*N(K666)))</f>
        <v/>
      </c>
      <c r="T666" s="10">
        <f>IF(Q666="","",Q666-S666)</f>
        <v/>
      </c>
    </row>
    <row r="667">
      <c r="A667" s="7">
        <f>CONCATENATE(C667,E667,F667,I667)</f>
        <v/>
      </c>
      <c r="B667" s="7">
        <f>CONCATENATE(C667,E667,I667)</f>
        <v/>
      </c>
      <c r="C667" s="8" t="n">
        <v>900003438</v>
      </c>
      <c r="D667" s="7">
        <f>IFERROR(VLOOKUP(C667,TRAOPE!$G:$H,2,0),"")</f>
        <v/>
      </c>
      <c r="E667" s="8" t="inlineStr">
        <is>
          <t>DW70</t>
        </is>
      </c>
      <c r="F667" s="8" t="inlineStr">
        <is>
          <t>D145</t>
        </is>
      </c>
      <c r="G667" s="8">
        <f>IFERROR(VLOOKUP(A667,Flete!$A:$E,5,0),"")</f>
        <v/>
      </c>
      <c r="H667" s="7">
        <f>IFERROR(VLOOKUP(F667,TRAOPE!$AA:$AB,2,0),"")</f>
        <v/>
      </c>
      <c r="I667" s="7" t="n">
        <v>10002802</v>
      </c>
      <c r="J667" s="7">
        <f>IFERROR(VLOOKUP(I667,Materiales!$A:$H,8,0),"")</f>
        <v/>
      </c>
      <c r="K667" s="9">
        <f>IFERROR(VLOOKUP(I667,Materiales!$A:$G,7,0),"")</f>
        <v/>
      </c>
      <c r="L667" s="8" t="inlineStr">
        <is>
          <t>20250701</t>
        </is>
      </c>
      <c r="M667" s="8" t="inlineStr">
        <is>
          <t>20251031</t>
        </is>
      </c>
      <c r="N667" s="10" t="n">
        <v>92.28</v>
      </c>
      <c r="O667" s="10">
        <f>IFERROR(VLOOKUP(A667,Flete!$A:$J,10,0),"")</f>
        <v/>
      </c>
      <c r="P667" s="8" t="inlineStr">
        <is>
          <t>TN</t>
        </is>
      </c>
      <c r="Q667" s="10">
        <f>IFERROR(IFERROR(VLOOKUP(A667,TRAOPE!$A:$U,21,0),VLOOKUP(B667,TRAOPE!$A:$U,21,0)),"")</f>
        <v/>
      </c>
      <c r="R667" s="8">
        <f>IFERROR(IFERROR(VLOOKUP(A667,TRAOPE!$A:$W,23,0),VLOOKUP(B667,TRAOPE!$A:$W,23,0)),"")</f>
        <v/>
      </c>
      <c r="S667" s="10">
        <f>IF(AND(P667="TN",R667="TN"),N667+N(O667),IF(G667&amp;""="1",N(K667)*N667,(N667+N(O667))*N(K667)))</f>
        <v/>
      </c>
      <c r="T667" s="10">
        <f>IF(Q667="","",Q667-S667)</f>
        <v/>
      </c>
    </row>
    <row r="668">
      <c r="A668" s="7">
        <f>CONCATENATE(C668,E668,F668,I668)</f>
        <v/>
      </c>
      <c r="B668" s="7">
        <f>CONCATENATE(C668,E668,I668)</f>
        <v/>
      </c>
      <c r="C668" s="8" t="n">
        <v>900003438</v>
      </c>
      <c r="D668" s="7">
        <f>IFERROR(VLOOKUP(C668,TRAOPE!$G:$H,2,0),"")</f>
        <v/>
      </c>
      <c r="E668" s="8" t="inlineStr">
        <is>
          <t>DW70</t>
        </is>
      </c>
      <c r="F668" s="8" t="inlineStr">
        <is>
          <t>D145</t>
        </is>
      </c>
      <c r="G668" s="8">
        <f>IFERROR(VLOOKUP(A668,Flete!$A:$E,5,0),"")</f>
        <v/>
      </c>
      <c r="H668" s="7">
        <f>IFERROR(VLOOKUP(F668,TRAOPE!$AA:$AB,2,0),"")</f>
        <v/>
      </c>
      <c r="I668" s="7" t="n">
        <v>10059180</v>
      </c>
      <c r="J668" s="7">
        <f>IFERROR(VLOOKUP(I668,Materiales!$A:$H,8,0),"")</f>
        <v/>
      </c>
      <c r="K668" s="9">
        <f>IFERROR(VLOOKUP(I668,Materiales!$A:$G,7,0),"")</f>
        <v/>
      </c>
      <c r="L668" s="8" t="inlineStr">
        <is>
          <t>20230501</t>
        </is>
      </c>
      <c r="M668" s="8" t="inlineStr">
        <is>
          <t>20250131</t>
        </is>
      </c>
      <c r="N668" s="10" t="n">
        <v>58.06</v>
      </c>
      <c r="O668" s="10">
        <f>IFERROR(VLOOKUP(A668,Flete!$A:$J,10,0),"")</f>
        <v/>
      </c>
      <c r="P668" s="8" t="inlineStr">
        <is>
          <t>TN</t>
        </is>
      </c>
      <c r="Q668" s="10">
        <f>IFERROR(IFERROR(VLOOKUP(A668,TRAOPE!$A:$U,21,0),VLOOKUP(B668,TRAOPE!$A:$U,21,0)),"")</f>
        <v/>
      </c>
      <c r="R668" s="8">
        <f>IFERROR(IFERROR(VLOOKUP(A668,TRAOPE!$A:$W,23,0),VLOOKUP(B668,TRAOPE!$A:$W,23,0)),"")</f>
        <v/>
      </c>
      <c r="S668" s="10">
        <f>IF(AND(P668="TN",R668="TN"),N668+N(O668),IF(G668&amp;""="1",N(K668)*N668,(N668+N(O668))*N(K668)))</f>
        <v/>
      </c>
      <c r="T668" s="10">
        <f>IF(Q668="","",Q668-S668)</f>
        <v/>
      </c>
    </row>
    <row r="669">
      <c r="A669" s="7">
        <f>CONCATENATE(C669,E669,F669,I669)</f>
        <v/>
      </c>
      <c r="B669" s="7">
        <f>CONCATENATE(C669,E669,I669)</f>
        <v/>
      </c>
      <c r="C669" s="8" t="n">
        <v>900003438</v>
      </c>
      <c r="D669" s="7">
        <f>IFERROR(VLOOKUP(C669,TRAOPE!$G:$H,2,0),"")</f>
        <v/>
      </c>
      <c r="E669" s="8" t="inlineStr">
        <is>
          <t>DW70</t>
        </is>
      </c>
      <c r="F669" s="8" t="inlineStr">
        <is>
          <t>D681</t>
        </is>
      </c>
      <c r="G669" s="8">
        <f>IFERROR(VLOOKUP(A669,Flete!$A:$E,5,0),"")</f>
        <v/>
      </c>
      <c r="H669" s="7">
        <f>IFERROR(VLOOKUP(F669,TRAOPE!$AA:$AB,2,0),"")</f>
        <v/>
      </c>
      <c r="I669" s="7" t="n">
        <v>10000811</v>
      </c>
      <c r="J669" s="7">
        <f>IFERROR(VLOOKUP(I669,Materiales!$A:$H,8,0),"")</f>
        <v/>
      </c>
      <c r="K669" s="9">
        <f>IFERROR(VLOOKUP(I669,Materiales!$A:$G,7,0),"")</f>
        <v/>
      </c>
      <c r="L669" s="8" t="inlineStr">
        <is>
          <t>20260819</t>
        </is>
      </c>
      <c r="M669" s="8" t="inlineStr">
        <is>
          <t>99991231</t>
        </is>
      </c>
      <c r="N669" s="10" t="n">
        <v>138.22</v>
      </c>
      <c r="O669" s="10">
        <f>IFERROR(VLOOKUP(A669,Flete!$A:$J,10,0),"")</f>
        <v/>
      </c>
      <c r="P669" s="8" t="inlineStr">
        <is>
          <t>TN</t>
        </is>
      </c>
      <c r="Q669" s="10">
        <f>IFERROR(IFERROR(VLOOKUP(A669,TRAOPE!$A:$U,21,0),VLOOKUP(B669,TRAOPE!$A:$U,21,0)),"")</f>
        <v/>
      </c>
      <c r="R669" s="8">
        <f>IFERROR(IFERROR(VLOOKUP(A669,TRAOPE!$A:$W,23,0),VLOOKUP(B669,TRAOPE!$A:$W,23,0)),"")</f>
        <v/>
      </c>
      <c r="S669" s="10">
        <f>IF(AND(P669="TN",R669="TN"),N669+N(O669),IF(G669&amp;""="1",N(K669)*N669,(N669+N(O669))*N(K669)))</f>
        <v/>
      </c>
      <c r="T669" s="10">
        <f>IF(Q669="","",Q669-S669)</f>
        <v/>
      </c>
    </row>
    <row r="670">
      <c r="A670" s="7">
        <f>CONCATENATE(C670,E670,F670,I670)</f>
        <v/>
      </c>
      <c r="B670" s="7">
        <f>CONCATENATE(C670,E670,I670)</f>
        <v/>
      </c>
      <c r="C670" s="8" t="n">
        <v>900003438</v>
      </c>
      <c r="D670" s="7">
        <f>IFERROR(VLOOKUP(C670,TRAOPE!$G:$H,2,0),"")</f>
        <v/>
      </c>
      <c r="E670" s="8" t="inlineStr">
        <is>
          <t>DW70</t>
        </is>
      </c>
      <c r="F670" s="8" t="inlineStr">
        <is>
          <t>D681</t>
        </is>
      </c>
      <c r="G670" s="8">
        <f>IFERROR(VLOOKUP(A670,Flete!$A:$E,5,0),"")</f>
        <v/>
      </c>
      <c r="H670" s="7">
        <f>IFERROR(VLOOKUP(F670,TRAOPE!$AA:$AB,2,0),"")</f>
        <v/>
      </c>
      <c r="I670" s="7" t="n">
        <v>10002802</v>
      </c>
      <c r="J670" s="7">
        <f>IFERROR(VLOOKUP(I670,Materiales!$A:$H,8,0),"")</f>
        <v/>
      </c>
      <c r="K670" s="9">
        <f>IFERROR(VLOOKUP(I670,Materiales!$A:$G,7,0),"")</f>
        <v/>
      </c>
      <c r="L670" s="8" t="inlineStr">
        <is>
          <t>20250701</t>
        </is>
      </c>
      <c r="M670" s="8" t="inlineStr">
        <is>
          <t>20251031</t>
        </is>
      </c>
      <c r="N670" s="10" t="n">
        <v>92.28</v>
      </c>
      <c r="O670" s="10">
        <f>IFERROR(VLOOKUP(A670,Flete!$A:$J,10,0),"")</f>
        <v/>
      </c>
      <c r="P670" s="8" t="inlineStr">
        <is>
          <t>TN</t>
        </is>
      </c>
      <c r="Q670" s="10">
        <f>IFERROR(IFERROR(VLOOKUP(A670,TRAOPE!$A:$U,21,0),VLOOKUP(B670,TRAOPE!$A:$U,21,0)),"")</f>
        <v/>
      </c>
      <c r="R670" s="8">
        <f>IFERROR(IFERROR(VLOOKUP(A670,TRAOPE!$A:$W,23,0),VLOOKUP(B670,TRAOPE!$A:$W,23,0)),"")</f>
        <v/>
      </c>
      <c r="S670" s="10">
        <f>IF(AND(P670="TN",R670="TN"),N670+N(O670),IF(G670&amp;""="1",N(K670)*N670,(N670+N(O670))*N(K670)))</f>
        <v/>
      </c>
      <c r="T670" s="10">
        <f>IF(Q670="","",Q670-S670)</f>
        <v/>
      </c>
    </row>
    <row r="671">
      <c r="A671" s="7">
        <f>CONCATENATE(C671,E671,F671,I671)</f>
        <v/>
      </c>
      <c r="B671" s="7">
        <f>CONCATENATE(C671,E671,I671)</f>
        <v/>
      </c>
      <c r="C671" s="8" t="n">
        <v>900003438</v>
      </c>
      <c r="D671" s="7">
        <f>IFERROR(VLOOKUP(C671,TRAOPE!$G:$H,2,0),"")</f>
        <v/>
      </c>
      <c r="E671" s="8" t="inlineStr">
        <is>
          <t>DW70</t>
        </is>
      </c>
      <c r="F671" s="8" t="inlineStr">
        <is>
          <t>DE16</t>
        </is>
      </c>
      <c r="G671" s="8">
        <f>IFERROR(VLOOKUP(A671,Flete!$A:$E,5,0),"")</f>
        <v/>
      </c>
      <c r="H671" s="7">
        <f>IFERROR(VLOOKUP(F671,TRAOPE!$AA:$AB,2,0),"")</f>
        <v/>
      </c>
      <c r="I671" s="7" t="n">
        <v>10000811</v>
      </c>
      <c r="J671" s="7">
        <f>IFERROR(VLOOKUP(I671,Materiales!$A:$H,8,0),"")</f>
        <v/>
      </c>
      <c r="K671" s="9">
        <f>IFERROR(VLOOKUP(I671,Materiales!$A:$G,7,0),"")</f>
        <v/>
      </c>
      <c r="L671" s="8" t="inlineStr">
        <is>
          <t>20230501</t>
        </is>
      </c>
      <c r="M671" s="8" t="inlineStr">
        <is>
          <t>20250131</t>
        </is>
      </c>
      <c r="N671" s="10" t="n">
        <v>102.57</v>
      </c>
      <c r="O671" s="10">
        <f>IFERROR(VLOOKUP(A671,Flete!$A:$J,10,0),"")</f>
        <v/>
      </c>
      <c r="P671" s="8" t="inlineStr">
        <is>
          <t>TN</t>
        </is>
      </c>
      <c r="Q671" s="10">
        <f>IFERROR(IFERROR(VLOOKUP(A671,TRAOPE!$A:$U,21,0),VLOOKUP(B671,TRAOPE!$A:$U,21,0)),"")</f>
        <v/>
      </c>
      <c r="R671" s="8">
        <f>IFERROR(IFERROR(VLOOKUP(A671,TRAOPE!$A:$W,23,0),VLOOKUP(B671,TRAOPE!$A:$W,23,0)),"")</f>
        <v/>
      </c>
      <c r="S671" s="10">
        <f>IF(AND(P671="TN",R671="TN"),N671+N(O671),IF(G671&amp;""="1",N(K671)*N671,(N671+N(O671))*N(K671)))</f>
        <v/>
      </c>
      <c r="T671" s="10">
        <f>IF(Q671="","",Q671-S671)</f>
        <v/>
      </c>
    </row>
    <row r="672">
      <c r="A672" s="7">
        <f>CONCATENATE(C672,E672,F672,I672)</f>
        <v/>
      </c>
      <c r="B672" s="7">
        <f>CONCATENATE(C672,E672,I672)</f>
        <v/>
      </c>
      <c r="C672" s="8" t="n">
        <v>900003438</v>
      </c>
      <c r="D672" s="7">
        <f>IFERROR(VLOOKUP(C672,TRAOPE!$G:$H,2,0),"")</f>
        <v/>
      </c>
      <c r="E672" s="8" t="inlineStr">
        <is>
          <t>DW70</t>
        </is>
      </c>
      <c r="F672" s="8" t="inlineStr">
        <is>
          <t>DE17</t>
        </is>
      </c>
      <c r="G672" s="8">
        <f>IFERROR(VLOOKUP(A672,Flete!$A:$E,5,0),"")</f>
        <v/>
      </c>
      <c r="H672" s="7">
        <f>IFERROR(VLOOKUP(F672,TRAOPE!$AA:$AB,2,0),"")</f>
        <v/>
      </c>
      <c r="I672" s="7" t="n">
        <v>10000811</v>
      </c>
      <c r="J672" s="7">
        <f>IFERROR(VLOOKUP(I672,Materiales!$A:$H,8,0),"")</f>
        <v/>
      </c>
      <c r="K672" s="9">
        <f>IFERROR(VLOOKUP(I672,Materiales!$A:$G,7,0),"")</f>
        <v/>
      </c>
      <c r="L672" s="8" t="inlineStr">
        <is>
          <t>20230501</t>
        </is>
      </c>
      <c r="M672" s="8" t="inlineStr">
        <is>
          <t>20250131</t>
        </is>
      </c>
      <c r="N672" s="10" t="n">
        <v>102.57</v>
      </c>
      <c r="O672" s="10">
        <f>IFERROR(VLOOKUP(A672,Flete!$A:$J,10,0),"")</f>
        <v/>
      </c>
      <c r="P672" s="8" t="inlineStr">
        <is>
          <t>TN</t>
        </is>
      </c>
      <c r="Q672" s="10">
        <f>IFERROR(IFERROR(VLOOKUP(A672,TRAOPE!$A:$U,21,0),VLOOKUP(B672,TRAOPE!$A:$U,21,0)),"")</f>
        <v/>
      </c>
      <c r="R672" s="8">
        <f>IFERROR(IFERROR(VLOOKUP(A672,TRAOPE!$A:$W,23,0),VLOOKUP(B672,TRAOPE!$A:$W,23,0)),"")</f>
        <v/>
      </c>
      <c r="S672" s="10">
        <f>IF(AND(P672="TN",R672="TN"),N672+N(O672),IF(G672&amp;""="1",N(K672)*N672,(N672+N(O672))*N(K672)))</f>
        <v/>
      </c>
      <c r="T672" s="10">
        <f>IF(Q672="","",Q672-S672)</f>
        <v/>
      </c>
    </row>
    <row r="673">
      <c r="A673" s="7">
        <f>CONCATENATE(C673,E673,F673,I673)</f>
        <v/>
      </c>
      <c r="B673" s="7">
        <f>CONCATENATE(C673,E673,I673)</f>
        <v/>
      </c>
      <c r="C673" s="8" t="n">
        <v>900003438</v>
      </c>
      <c r="D673" s="7">
        <f>IFERROR(VLOOKUP(C673,TRAOPE!$G:$H,2,0),"")</f>
        <v/>
      </c>
      <c r="E673" s="8" t="inlineStr">
        <is>
          <t>DW70</t>
        </is>
      </c>
      <c r="F673" s="8" t="inlineStr">
        <is>
          <t>DE19</t>
        </is>
      </c>
      <c r="G673" s="8">
        <f>IFERROR(VLOOKUP(A673,Flete!$A:$E,5,0),"")</f>
        <v/>
      </c>
      <c r="H673" s="7">
        <f>IFERROR(VLOOKUP(F673,TRAOPE!$AA:$AB,2,0),"")</f>
        <v/>
      </c>
      <c r="I673" s="7" t="n">
        <v>10000811</v>
      </c>
      <c r="J673" s="7">
        <f>IFERROR(VLOOKUP(I673,Materiales!$A:$H,8,0),"")</f>
        <v/>
      </c>
      <c r="K673" s="9">
        <f>IFERROR(VLOOKUP(I673,Materiales!$A:$G,7,0),"")</f>
        <v/>
      </c>
      <c r="L673" s="8" t="inlineStr">
        <is>
          <t>20230501</t>
        </is>
      </c>
      <c r="M673" s="8" t="inlineStr">
        <is>
          <t>20250131</t>
        </is>
      </c>
      <c r="N673" s="10" t="n">
        <v>102.57</v>
      </c>
      <c r="O673" s="10">
        <f>IFERROR(VLOOKUP(A673,Flete!$A:$J,10,0),"")</f>
        <v/>
      </c>
      <c r="P673" s="8" t="inlineStr">
        <is>
          <t>TN</t>
        </is>
      </c>
      <c r="Q673" s="10">
        <f>IFERROR(IFERROR(VLOOKUP(A673,TRAOPE!$A:$U,21,0),VLOOKUP(B673,TRAOPE!$A:$U,21,0)),"")</f>
        <v/>
      </c>
      <c r="R673" s="8">
        <f>IFERROR(IFERROR(VLOOKUP(A673,TRAOPE!$A:$W,23,0),VLOOKUP(B673,TRAOPE!$A:$W,23,0)),"")</f>
        <v/>
      </c>
      <c r="S673" s="10">
        <f>IF(AND(P673="TN",R673="TN"),N673+N(O673),IF(G673&amp;""="1",N(K673)*N673,(N673+N(O673))*N(K673)))</f>
        <v/>
      </c>
      <c r="T673" s="10">
        <f>IF(Q673="","",Q673-S673)</f>
        <v/>
      </c>
    </row>
    <row r="674">
      <c r="A674" s="7">
        <f>CONCATENATE(C674,E674,F674,I674)</f>
        <v/>
      </c>
      <c r="B674" s="7">
        <f>CONCATENATE(C674,E674,I674)</f>
        <v/>
      </c>
      <c r="C674" s="8" t="n">
        <v>900003438</v>
      </c>
      <c r="D674" s="7">
        <f>IFERROR(VLOOKUP(C674,TRAOPE!$G:$H,2,0),"")</f>
        <v/>
      </c>
      <c r="E674" s="8" t="inlineStr">
        <is>
          <t>DW70</t>
        </is>
      </c>
      <c r="F674" s="8" t="inlineStr">
        <is>
          <t>DE23</t>
        </is>
      </c>
      <c r="G674" s="8">
        <f>IFERROR(VLOOKUP(A674,Flete!$A:$E,5,0),"")</f>
        <v/>
      </c>
      <c r="H674" s="7">
        <f>IFERROR(VLOOKUP(F674,TRAOPE!$AA:$AB,2,0),"")</f>
        <v/>
      </c>
      <c r="I674" s="7" t="n">
        <v>10000811</v>
      </c>
      <c r="J674" s="7">
        <f>IFERROR(VLOOKUP(I674,Materiales!$A:$H,8,0),"")</f>
        <v/>
      </c>
      <c r="K674" s="9">
        <f>IFERROR(VLOOKUP(I674,Materiales!$A:$G,7,0),"")</f>
        <v/>
      </c>
      <c r="L674" s="8" t="inlineStr">
        <is>
          <t>20230501</t>
        </is>
      </c>
      <c r="M674" s="8" t="inlineStr">
        <is>
          <t>20250131</t>
        </is>
      </c>
      <c r="N674" s="10" t="n">
        <v>102.57</v>
      </c>
      <c r="O674" s="10">
        <f>IFERROR(VLOOKUP(A674,Flete!$A:$J,10,0),"")</f>
        <v/>
      </c>
      <c r="P674" s="8" t="inlineStr">
        <is>
          <t>TN</t>
        </is>
      </c>
      <c r="Q674" s="10">
        <f>IFERROR(IFERROR(VLOOKUP(A674,TRAOPE!$A:$U,21,0),VLOOKUP(B674,TRAOPE!$A:$U,21,0)),"")</f>
        <v/>
      </c>
      <c r="R674" s="8">
        <f>IFERROR(IFERROR(VLOOKUP(A674,TRAOPE!$A:$W,23,0),VLOOKUP(B674,TRAOPE!$A:$W,23,0)),"")</f>
        <v/>
      </c>
      <c r="S674" s="10">
        <f>IF(AND(P674="TN",R674="TN"),N674+N(O674),IF(G674&amp;""="1",N(K674)*N674,(N674+N(O674))*N(K674)))</f>
        <v/>
      </c>
      <c r="T674" s="10">
        <f>IF(Q674="","",Q674-S674)</f>
        <v/>
      </c>
    </row>
    <row r="675">
      <c r="A675" s="7">
        <f>CONCATENATE(C675,E675,F675,I675)</f>
        <v/>
      </c>
      <c r="B675" s="7">
        <f>CONCATENATE(C675,E675,I675)</f>
        <v/>
      </c>
      <c r="C675" s="8" t="n">
        <v>900003438</v>
      </c>
      <c r="D675" s="7">
        <f>IFERROR(VLOOKUP(C675,TRAOPE!$G:$H,2,0),"")</f>
        <v/>
      </c>
      <c r="E675" s="8" t="inlineStr">
        <is>
          <t>DW70</t>
        </is>
      </c>
      <c r="F675" s="8" t="inlineStr">
        <is>
          <t>DE26</t>
        </is>
      </c>
      <c r="G675" s="8">
        <f>IFERROR(VLOOKUP(A675,Flete!$A:$E,5,0),"")</f>
        <v/>
      </c>
      <c r="H675" s="7">
        <f>IFERROR(VLOOKUP(F675,TRAOPE!$AA:$AB,2,0),"")</f>
        <v/>
      </c>
      <c r="I675" s="7" t="n">
        <v>10000811</v>
      </c>
      <c r="J675" s="7">
        <f>IFERROR(VLOOKUP(I675,Materiales!$A:$H,8,0),"")</f>
        <v/>
      </c>
      <c r="K675" s="9">
        <f>IFERROR(VLOOKUP(I675,Materiales!$A:$G,7,0),"")</f>
        <v/>
      </c>
      <c r="L675" s="8" t="inlineStr">
        <is>
          <t>20230501</t>
        </is>
      </c>
      <c r="M675" s="8" t="inlineStr">
        <is>
          <t>20250131</t>
        </is>
      </c>
      <c r="N675" s="10" t="n">
        <v>102.57</v>
      </c>
      <c r="O675" s="10">
        <f>IFERROR(VLOOKUP(A675,Flete!$A:$J,10,0),"")</f>
        <v/>
      </c>
      <c r="P675" s="8" t="inlineStr">
        <is>
          <t>TN</t>
        </is>
      </c>
      <c r="Q675" s="10">
        <f>IFERROR(IFERROR(VLOOKUP(A675,TRAOPE!$A:$U,21,0),VLOOKUP(B675,TRAOPE!$A:$U,21,0)),"")</f>
        <v/>
      </c>
      <c r="R675" s="8">
        <f>IFERROR(IFERROR(VLOOKUP(A675,TRAOPE!$A:$W,23,0),VLOOKUP(B675,TRAOPE!$A:$W,23,0)),"")</f>
        <v/>
      </c>
      <c r="S675" s="10">
        <f>IF(AND(P675="TN",R675="TN"),N675+N(O675),IF(G675&amp;""="1",N(K675)*N675,(N675+N(O675))*N(K675)))</f>
        <v/>
      </c>
      <c r="T675" s="10">
        <f>IF(Q675="","",Q675-S675)</f>
        <v/>
      </c>
    </row>
    <row r="676">
      <c r="A676" s="7">
        <f>CONCATENATE(C676,E676,F676,I676)</f>
        <v/>
      </c>
      <c r="B676" s="7">
        <f>CONCATENATE(C676,E676,I676)</f>
        <v/>
      </c>
      <c r="C676" s="8" t="n">
        <v>900003438</v>
      </c>
      <c r="D676" s="7">
        <f>IFERROR(VLOOKUP(C676,TRAOPE!$G:$H,2,0),"")</f>
        <v/>
      </c>
      <c r="E676" s="8" t="inlineStr">
        <is>
          <t>DW70</t>
        </is>
      </c>
      <c r="F676" s="8" t="inlineStr">
        <is>
          <t>DE28</t>
        </is>
      </c>
      <c r="G676" s="8">
        <f>IFERROR(VLOOKUP(A676,Flete!$A:$E,5,0),"")</f>
        <v/>
      </c>
      <c r="H676" s="7">
        <f>IFERROR(VLOOKUP(F676,TRAOPE!$AA:$AB,2,0),"")</f>
        <v/>
      </c>
      <c r="I676" s="7" t="n">
        <v>10000811</v>
      </c>
      <c r="J676" s="7">
        <f>IFERROR(VLOOKUP(I676,Materiales!$A:$H,8,0),"")</f>
        <v/>
      </c>
      <c r="K676" s="9">
        <f>IFERROR(VLOOKUP(I676,Materiales!$A:$G,7,0),"")</f>
        <v/>
      </c>
      <c r="L676" s="8" t="inlineStr">
        <is>
          <t>20230501</t>
        </is>
      </c>
      <c r="M676" s="8" t="inlineStr">
        <is>
          <t>20250131</t>
        </is>
      </c>
      <c r="N676" s="10" t="n">
        <v>102.57</v>
      </c>
      <c r="O676" s="10">
        <f>IFERROR(VLOOKUP(A676,Flete!$A:$J,10,0),"")</f>
        <v/>
      </c>
      <c r="P676" s="8" t="inlineStr">
        <is>
          <t>TN</t>
        </is>
      </c>
      <c r="Q676" s="10">
        <f>IFERROR(IFERROR(VLOOKUP(A676,TRAOPE!$A:$U,21,0),VLOOKUP(B676,TRAOPE!$A:$U,21,0)),"")</f>
        <v/>
      </c>
      <c r="R676" s="8">
        <f>IFERROR(IFERROR(VLOOKUP(A676,TRAOPE!$A:$W,23,0),VLOOKUP(B676,TRAOPE!$A:$W,23,0)),"")</f>
        <v/>
      </c>
      <c r="S676" s="10">
        <f>IF(AND(P676="TN",R676="TN"),N676+N(O676),IF(G676&amp;""="1",N(K676)*N676,(N676+N(O676))*N(K676)))</f>
        <v/>
      </c>
      <c r="T676" s="10">
        <f>IF(Q676="","",Q676-S676)</f>
        <v/>
      </c>
    </row>
    <row r="677">
      <c r="A677" s="7">
        <f>CONCATENATE(C677,E677,F677,I677)</f>
        <v/>
      </c>
      <c r="B677" s="7">
        <f>CONCATENATE(C677,E677,I677)</f>
        <v/>
      </c>
      <c r="C677" s="8" t="n">
        <v>900003438</v>
      </c>
      <c r="D677" s="7">
        <f>IFERROR(VLOOKUP(C677,TRAOPE!$G:$H,2,0),"")</f>
        <v/>
      </c>
      <c r="E677" s="8" t="inlineStr">
        <is>
          <t>DW70</t>
        </is>
      </c>
      <c r="F677" s="8" t="inlineStr">
        <is>
          <t>DE29</t>
        </is>
      </c>
      <c r="G677" s="8">
        <f>IFERROR(VLOOKUP(A677,Flete!$A:$E,5,0),"")</f>
        <v/>
      </c>
      <c r="H677" s="7">
        <f>IFERROR(VLOOKUP(F677,TRAOPE!$AA:$AB,2,0),"")</f>
        <v/>
      </c>
      <c r="I677" s="7" t="n">
        <v>10000811</v>
      </c>
      <c r="J677" s="7">
        <f>IFERROR(VLOOKUP(I677,Materiales!$A:$H,8,0),"")</f>
        <v/>
      </c>
      <c r="K677" s="9">
        <f>IFERROR(VLOOKUP(I677,Materiales!$A:$G,7,0),"")</f>
        <v/>
      </c>
      <c r="L677" s="8" t="inlineStr">
        <is>
          <t>20230501</t>
        </is>
      </c>
      <c r="M677" s="8" t="inlineStr">
        <is>
          <t>20250131</t>
        </is>
      </c>
      <c r="N677" s="10" t="n">
        <v>102.57</v>
      </c>
      <c r="O677" s="10">
        <f>IFERROR(VLOOKUP(A677,Flete!$A:$J,10,0),"")</f>
        <v/>
      </c>
      <c r="P677" s="8" t="inlineStr">
        <is>
          <t>TN</t>
        </is>
      </c>
      <c r="Q677" s="10">
        <f>IFERROR(IFERROR(VLOOKUP(A677,TRAOPE!$A:$U,21,0),VLOOKUP(B677,TRAOPE!$A:$U,21,0)),"")</f>
        <v/>
      </c>
      <c r="R677" s="8">
        <f>IFERROR(IFERROR(VLOOKUP(A677,TRAOPE!$A:$W,23,0),VLOOKUP(B677,TRAOPE!$A:$W,23,0)),"")</f>
        <v/>
      </c>
      <c r="S677" s="10">
        <f>IF(AND(P677="TN",R677="TN"),N677+N(O677),IF(G677&amp;""="1",N(K677)*N677,(N677+N(O677))*N(K677)))</f>
        <v/>
      </c>
      <c r="T677" s="10">
        <f>IF(Q677="","",Q677-S677)</f>
        <v/>
      </c>
    </row>
    <row r="678">
      <c r="A678" s="7">
        <f>CONCATENATE(C678,E678,F678,I678)</f>
        <v/>
      </c>
      <c r="B678" s="7">
        <f>CONCATENATE(C678,E678,I678)</f>
        <v/>
      </c>
      <c r="C678" s="8" t="n">
        <v>900003438</v>
      </c>
      <c r="D678" s="7">
        <f>IFERROR(VLOOKUP(C678,TRAOPE!$G:$H,2,0),"")</f>
        <v/>
      </c>
      <c r="E678" s="8" t="inlineStr">
        <is>
          <t>DW70</t>
        </is>
      </c>
      <c r="F678" s="8" t="inlineStr">
        <is>
          <t>DE30</t>
        </is>
      </c>
      <c r="G678" s="8">
        <f>IFERROR(VLOOKUP(A678,Flete!$A:$E,5,0),"")</f>
        <v/>
      </c>
      <c r="H678" s="7">
        <f>IFERROR(VLOOKUP(F678,TRAOPE!$AA:$AB,2,0),"")</f>
        <v/>
      </c>
      <c r="I678" s="7" t="n">
        <v>10000811</v>
      </c>
      <c r="J678" s="7">
        <f>IFERROR(VLOOKUP(I678,Materiales!$A:$H,8,0),"")</f>
        <v/>
      </c>
      <c r="K678" s="9">
        <f>IFERROR(VLOOKUP(I678,Materiales!$A:$G,7,0),"")</f>
        <v/>
      </c>
      <c r="L678" s="8" t="inlineStr">
        <is>
          <t>20230501</t>
        </is>
      </c>
      <c r="M678" s="8" t="inlineStr">
        <is>
          <t>20250131</t>
        </is>
      </c>
      <c r="N678" s="10" t="n">
        <v>102.57</v>
      </c>
      <c r="O678" s="10">
        <f>IFERROR(VLOOKUP(A678,Flete!$A:$J,10,0),"")</f>
        <v/>
      </c>
      <c r="P678" s="8" t="inlineStr">
        <is>
          <t>TN</t>
        </is>
      </c>
      <c r="Q678" s="10">
        <f>IFERROR(IFERROR(VLOOKUP(A678,TRAOPE!$A:$U,21,0),VLOOKUP(B678,TRAOPE!$A:$U,21,0)),"")</f>
        <v/>
      </c>
      <c r="R678" s="8">
        <f>IFERROR(IFERROR(VLOOKUP(A678,TRAOPE!$A:$W,23,0),VLOOKUP(B678,TRAOPE!$A:$W,23,0)),"")</f>
        <v/>
      </c>
      <c r="S678" s="10">
        <f>IF(AND(P678="TN",R678="TN"),N678+N(O678),IF(G678&amp;""="1",N(K678)*N678,(N678+N(O678))*N(K678)))</f>
        <v/>
      </c>
      <c r="T678" s="10">
        <f>IF(Q678="","",Q678-S678)</f>
        <v/>
      </c>
    </row>
    <row r="679">
      <c r="A679" s="7">
        <f>CONCATENATE(C679,E679,F679,I679)</f>
        <v/>
      </c>
      <c r="B679" s="7">
        <f>CONCATENATE(C679,E679,I679)</f>
        <v/>
      </c>
      <c r="C679" s="8" t="n">
        <v>900003438</v>
      </c>
      <c r="D679" s="7">
        <f>IFERROR(VLOOKUP(C679,TRAOPE!$G:$H,2,0),"")</f>
        <v/>
      </c>
      <c r="E679" s="8" t="inlineStr">
        <is>
          <t>DW70</t>
        </is>
      </c>
      <c r="F679" s="8" t="inlineStr">
        <is>
          <t>DE31</t>
        </is>
      </c>
      <c r="G679" s="8">
        <f>IFERROR(VLOOKUP(A679,Flete!$A:$E,5,0),"")</f>
        <v/>
      </c>
      <c r="H679" s="7">
        <f>IFERROR(VLOOKUP(F679,TRAOPE!$AA:$AB,2,0),"")</f>
        <v/>
      </c>
      <c r="I679" s="7" t="n">
        <v>10000811</v>
      </c>
      <c r="J679" s="7">
        <f>IFERROR(VLOOKUP(I679,Materiales!$A:$H,8,0),"")</f>
        <v/>
      </c>
      <c r="K679" s="9">
        <f>IFERROR(VLOOKUP(I679,Materiales!$A:$G,7,0),"")</f>
        <v/>
      </c>
      <c r="L679" s="8" t="inlineStr">
        <is>
          <t>20230501</t>
        </is>
      </c>
      <c r="M679" s="8" t="inlineStr">
        <is>
          <t>20250131</t>
        </is>
      </c>
      <c r="N679" s="10" t="n">
        <v>102.57</v>
      </c>
      <c r="O679" s="10">
        <f>IFERROR(VLOOKUP(A679,Flete!$A:$J,10,0),"")</f>
        <v/>
      </c>
      <c r="P679" s="8" t="inlineStr">
        <is>
          <t>TN</t>
        </is>
      </c>
      <c r="Q679" s="10">
        <f>IFERROR(IFERROR(VLOOKUP(A679,TRAOPE!$A:$U,21,0),VLOOKUP(B679,TRAOPE!$A:$U,21,0)),"")</f>
        <v/>
      </c>
      <c r="R679" s="8">
        <f>IFERROR(IFERROR(VLOOKUP(A679,TRAOPE!$A:$W,23,0),VLOOKUP(B679,TRAOPE!$A:$W,23,0)),"")</f>
        <v/>
      </c>
      <c r="S679" s="10">
        <f>IF(AND(P679="TN",R679="TN"),N679+N(O679),IF(G679&amp;""="1",N(K679)*N679,(N679+N(O679))*N(K679)))</f>
        <v/>
      </c>
      <c r="T679" s="10">
        <f>IF(Q679="","",Q679-S679)</f>
        <v/>
      </c>
    </row>
    <row r="680">
      <c r="A680" s="7">
        <f>CONCATENATE(C680,E680,F680,I680)</f>
        <v/>
      </c>
      <c r="B680" s="7">
        <f>CONCATENATE(C680,E680,I680)</f>
        <v/>
      </c>
      <c r="C680" s="8" t="n">
        <v>900003438</v>
      </c>
      <c r="D680" s="7">
        <f>IFERROR(VLOOKUP(C680,TRAOPE!$G:$H,2,0),"")</f>
        <v/>
      </c>
      <c r="E680" s="8" t="inlineStr">
        <is>
          <t>DW70</t>
        </is>
      </c>
      <c r="F680" s="8" t="inlineStr">
        <is>
          <t>DE33</t>
        </is>
      </c>
      <c r="G680" s="8">
        <f>IFERROR(VLOOKUP(A680,Flete!$A:$E,5,0),"")</f>
        <v/>
      </c>
      <c r="H680" s="7">
        <f>IFERROR(VLOOKUP(F680,TRAOPE!$AA:$AB,2,0),"")</f>
        <v/>
      </c>
      <c r="I680" s="7" t="n">
        <v>10000811</v>
      </c>
      <c r="J680" s="7">
        <f>IFERROR(VLOOKUP(I680,Materiales!$A:$H,8,0),"")</f>
        <v/>
      </c>
      <c r="K680" s="9">
        <f>IFERROR(VLOOKUP(I680,Materiales!$A:$G,7,0),"")</f>
        <v/>
      </c>
      <c r="L680" s="8" t="inlineStr">
        <is>
          <t>20230501</t>
        </is>
      </c>
      <c r="M680" s="8" t="inlineStr">
        <is>
          <t>20250131</t>
        </is>
      </c>
      <c r="N680" s="10" t="n">
        <v>102.57</v>
      </c>
      <c r="O680" s="10">
        <f>IFERROR(VLOOKUP(A680,Flete!$A:$J,10,0),"")</f>
        <v/>
      </c>
      <c r="P680" s="8" t="inlineStr">
        <is>
          <t>TN</t>
        </is>
      </c>
      <c r="Q680" s="10">
        <f>IFERROR(IFERROR(VLOOKUP(A680,TRAOPE!$A:$U,21,0),VLOOKUP(B680,TRAOPE!$A:$U,21,0)),"")</f>
        <v/>
      </c>
      <c r="R680" s="8">
        <f>IFERROR(IFERROR(VLOOKUP(A680,TRAOPE!$A:$W,23,0),VLOOKUP(B680,TRAOPE!$A:$W,23,0)),"")</f>
        <v/>
      </c>
      <c r="S680" s="10">
        <f>IF(AND(P680="TN",R680="TN"),N680+N(O680),IF(G680&amp;""="1",N(K680)*N680,(N680+N(O680))*N(K680)))</f>
        <v/>
      </c>
      <c r="T680" s="10">
        <f>IF(Q680="","",Q680-S680)</f>
        <v/>
      </c>
    </row>
    <row r="681">
      <c r="A681" s="7">
        <f>CONCATENATE(C681,E681,F681,I681)</f>
        <v/>
      </c>
      <c r="B681" s="7">
        <f>CONCATENATE(C681,E681,I681)</f>
        <v/>
      </c>
      <c r="C681" s="8" t="n">
        <v>900003438</v>
      </c>
      <c r="D681" s="7">
        <f>IFERROR(VLOOKUP(C681,TRAOPE!$G:$H,2,0),"")</f>
        <v/>
      </c>
      <c r="E681" s="8" t="inlineStr">
        <is>
          <t>DW70</t>
        </is>
      </c>
      <c r="F681" s="8" t="inlineStr">
        <is>
          <t>DE42</t>
        </is>
      </c>
      <c r="G681" s="8">
        <f>IFERROR(VLOOKUP(A681,Flete!$A:$E,5,0),"")</f>
        <v/>
      </c>
      <c r="H681" s="7">
        <f>IFERROR(VLOOKUP(F681,TRAOPE!$AA:$AB,2,0),"")</f>
        <v/>
      </c>
      <c r="I681" s="7" t="n">
        <v>10000811</v>
      </c>
      <c r="J681" s="7">
        <f>IFERROR(VLOOKUP(I681,Materiales!$A:$H,8,0),"")</f>
        <v/>
      </c>
      <c r="K681" s="9">
        <f>IFERROR(VLOOKUP(I681,Materiales!$A:$G,7,0),"")</f>
        <v/>
      </c>
      <c r="L681" s="8" t="inlineStr">
        <is>
          <t>20230501</t>
        </is>
      </c>
      <c r="M681" s="8" t="inlineStr">
        <is>
          <t>20250131</t>
        </is>
      </c>
      <c r="N681" s="10" t="n">
        <v>102.57</v>
      </c>
      <c r="O681" s="10">
        <f>IFERROR(VLOOKUP(A681,Flete!$A:$J,10,0),"")</f>
        <v/>
      </c>
      <c r="P681" s="8" t="inlineStr">
        <is>
          <t>TN</t>
        </is>
      </c>
      <c r="Q681" s="10">
        <f>IFERROR(IFERROR(VLOOKUP(A681,TRAOPE!$A:$U,21,0),VLOOKUP(B681,TRAOPE!$A:$U,21,0)),"")</f>
        <v/>
      </c>
      <c r="R681" s="8">
        <f>IFERROR(IFERROR(VLOOKUP(A681,TRAOPE!$A:$W,23,0),VLOOKUP(B681,TRAOPE!$A:$W,23,0)),"")</f>
        <v/>
      </c>
      <c r="S681" s="10">
        <f>IF(AND(P681="TN",R681="TN"),N681+N(O681),IF(G681&amp;""="1",N(K681)*N681,(N681+N(O681))*N(K681)))</f>
        <v/>
      </c>
      <c r="T681" s="10">
        <f>IF(Q681="","",Q681-S681)</f>
        <v/>
      </c>
    </row>
    <row r="682">
      <c r="A682" s="7">
        <f>CONCATENATE(C682,E682,F682,I682)</f>
        <v/>
      </c>
      <c r="B682" s="7">
        <f>CONCATENATE(C682,E682,I682)</f>
        <v/>
      </c>
      <c r="C682" s="8" t="n">
        <v>900003438</v>
      </c>
      <c r="D682" s="7">
        <f>IFERROR(VLOOKUP(C682,TRAOPE!$G:$H,2,0),"")</f>
        <v/>
      </c>
      <c r="E682" s="8" t="inlineStr">
        <is>
          <t>DW70</t>
        </is>
      </c>
      <c r="F682" s="8" t="inlineStr">
        <is>
          <t>DE46</t>
        </is>
      </c>
      <c r="G682" s="8">
        <f>IFERROR(VLOOKUP(A682,Flete!$A:$E,5,0),"")</f>
        <v/>
      </c>
      <c r="H682" s="7">
        <f>IFERROR(VLOOKUP(F682,TRAOPE!$AA:$AB,2,0),"")</f>
        <v/>
      </c>
      <c r="I682" s="7" t="n">
        <v>10000811</v>
      </c>
      <c r="J682" s="7">
        <f>IFERROR(VLOOKUP(I682,Materiales!$A:$H,8,0),"")</f>
        <v/>
      </c>
      <c r="K682" s="9">
        <f>IFERROR(VLOOKUP(I682,Materiales!$A:$G,7,0),"")</f>
        <v/>
      </c>
      <c r="L682" s="8" t="inlineStr">
        <is>
          <t>20230501</t>
        </is>
      </c>
      <c r="M682" s="8" t="inlineStr">
        <is>
          <t>20250131</t>
        </is>
      </c>
      <c r="N682" s="10" t="n">
        <v>102.57</v>
      </c>
      <c r="O682" s="10">
        <f>IFERROR(VLOOKUP(A682,Flete!$A:$J,10,0),"")</f>
        <v/>
      </c>
      <c r="P682" s="8" t="inlineStr">
        <is>
          <t>TN</t>
        </is>
      </c>
      <c r="Q682" s="10">
        <f>IFERROR(IFERROR(VLOOKUP(A682,TRAOPE!$A:$U,21,0),VLOOKUP(B682,TRAOPE!$A:$U,21,0)),"")</f>
        <v/>
      </c>
      <c r="R682" s="8">
        <f>IFERROR(IFERROR(VLOOKUP(A682,TRAOPE!$A:$W,23,0),VLOOKUP(B682,TRAOPE!$A:$W,23,0)),"")</f>
        <v/>
      </c>
      <c r="S682" s="10">
        <f>IF(AND(P682="TN",R682="TN"),N682+N(O682),IF(G682&amp;""="1",N(K682)*N682,(N682+N(O682))*N(K682)))</f>
        <v/>
      </c>
      <c r="T682" s="10">
        <f>IF(Q682="","",Q682-S682)</f>
        <v/>
      </c>
    </row>
    <row r="683">
      <c r="A683" s="7">
        <f>CONCATENATE(C683,E683,F683,I683)</f>
        <v/>
      </c>
      <c r="B683" s="7">
        <f>CONCATENATE(C683,E683,I683)</f>
        <v/>
      </c>
      <c r="C683" s="8" t="n">
        <v>900003438</v>
      </c>
      <c r="D683" s="7">
        <f>IFERROR(VLOOKUP(C683,TRAOPE!$G:$H,2,0),"")</f>
        <v/>
      </c>
      <c r="E683" s="8" t="inlineStr">
        <is>
          <t>DW70</t>
        </is>
      </c>
      <c r="F683" s="8" t="inlineStr">
        <is>
          <t>DE50</t>
        </is>
      </c>
      <c r="G683" s="8">
        <f>IFERROR(VLOOKUP(A683,Flete!$A:$E,5,0),"")</f>
        <v/>
      </c>
      <c r="H683" s="7">
        <f>IFERROR(VLOOKUP(F683,TRAOPE!$AA:$AB,2,0),"")</f>
        <v/>
      </c>
      <c r="I683" s="7" t="n">
        <v>10000811</v>
      </c>
      <c r="J683" s="7">
        <f>IFERROR(VLOOKUP(I683,Materiales!$A:$H,8,0),"")</f>
        <v/>
      </c>
      <c r="K683" s="9">
        <f>IFERROR(VLOOKUP(I683,Materiales!$A:$G,7,0),"")</f>
        <v/>
      </c>
      <c r="L683" s="8" t="inlineStr">
        <is>
          <t>20230501</t>
        </is>
      </c>
      <c r="M683" s="8" t="inlineStr">
        <is>
          <t>20250131</t>
        </is>
      </c>
      <c r="N683" s="10" t="n">
        <v>102.57</v>
      </c>
      <c r="O683" s="10">
        <f>IFERROR(VLOOKUP(A683,Flete!$A:$J,10,0),"")</f>
        <v/>
      </c>
      <c r="P683" s="8" t="inlineStr">
        <is>
          <t>TN</t>
        </is>
      </c>
      <c r="Q683" s="10">
        <f>IFERROR(IFERROR(VLOOKUP(A683,TRAOPE!$A:$U,21,0),VLOOKUP(B683,TRAOPE!$A:$U,21,0)),"")</f>
        <v/>
      </c>
      <c r="R683" s="8">
        <f>IFERROR(IFERROR(VLOOKUP(A683,TRAOPE!$A:$W,23,0),VLOOKUP(B683,TRAOPE!$A:$W,23,0)),"")</f>
        <v/>
      </c>
      <c r="S683" s="10">
        <f>IF(AND(P683="TN",R683="TN"),N683+N(O683),IF(G683&amp;""="1",N(K683)*N683,(N683+N(O683))*N(K683)))</f>
        <v/>
      </c>
      <c r="T683" s="10">
        <f>IF(Q683="","",Q683-S683)</f>
        <v/>
      </c>
    </row>
    <row r="684">
      <c r="A684" s="7">
        <f>CONCATENATE(C684,E684,F684,I684)</f>
        <v/>
      </c>
      <c r="B684" s="7">
        <f>CONCATENATE(C684,E684,I684)</f>
        <v/>
      </c>
      <c r="C684" s="8" t="n">
        <v>900003438</v>
      </c>
      <c r="D684" s="7">
        <f>IFERROR(VLOOKUP(C684,TRAOPE!$G:$H,2,0),"")</f>
        <v/>
      </c>
      <c r="E684" s="8" t="inlineStr">
        <is>
          <t>DW70</t>
        </is>
      </c>
      <c r="F684" s="8" t="inlineStr">
        <is>
          <t>DE75</t>
        </is>
      </c>
      <c r="G684" s="8">
        <f>IFERROR(VLOOKUP(A684,Flete!$A:$E,5,0),"")</f>
        <v/>
      </c>
      <c r="H684" s="7">
        <f>IFERROR(VLOOKUP(F684,TRAOPE!$AA:$AB,2,0),"")</f>
        <v/>
      </c>
      <c r="I684" s="7" t="n">
        <v>10000811</v>
      </c>
      <c r="J684" s="7">
        <f>IFERROR(VLOOKUP(I684,Materiales!$A:$H,8,0),"")</f>
        <v/>
      </c>
      <c r="K684" s="9">
        <f>IFERROR(VLOOKUP(I684,Materiales!$A:$G,7,0),"")</f>
        <v/>
      </c>
      <c r="L684" s="8" t="inlineStr">
        <is>
          <t>20230501</t>
        </is>
      </c>
      <c r="M684" s="8" t="inlineStr">
        <is>
          <t>20250131</t>
        </is>
      </c>
      <c r="N684" s="10" t="n">
        <v>102.57</v>
      </c>
      <c r="O684" s="10">
        <f>IFERROR(VLOOKUP(A684,Flete!$A:$J,10,0),"")</f>
        <v/>
      </c>
      <c r="P684" s="8" t="inlineStr">
        <is>
          <t>TN</t>
        </is>
      </c>
      <c r="Q684" s="10">
        <f>IFERROR(IFERROR(VLOOKUP(A684,TRAOPE!$A:$U,21,0),VLOOKUP(B684,TRAOPE!$A:$U,21,0)),"")</f>
        <v/>
      </c>
      <c r="R684" s="8">
        <f>IFERROR(IFERROR(VLOOKUP(A684,TRAOPE!$A:$W,23,0),VLOOKUP(B684,TRAOPE!$A:$W,23,0)),"")</f>
        <v/>
      </c>
      <c r="S684" s="10">
        <f>IF(AND(P684="TN",R684="TN"),N684+N(O684),IF(G684&amp;""="1",N(K684)*N684,(N684+N(O684))*N(K684)))</f>
        <v/>
      </c>
      <c r="T684" s="10">
        <f>IF(Q684="","",Q684-S684)</f>
        <v/>
      </c>
    </row>
    <row r="685">
      <c r="A685" s="7">
        <f>CONCATENATE(C685,E685,F685,I685)</f>
        <v/>
      </c>
      <c r="B685" s="7">
        <f>CONCATENATE(C685,E685,I685)</f>
        <v/>
      </c>
      <c r="C685" s="8" t="n">
        <v>900003438</v>
      </c>
      <c r="D685" s="7">
        <f>IFERROR(VLOOKUP(C685,TRAOPE!$G:$H,2,0),"")</f>
        <v/>
      </c>
      <c r="E685" s="8" t="inlineStr">
        <is>
          <t>DW70</t>
        </is>
      </c>
      <c r="F685" s="8" t="inlineStr">
        <is>
          <t>DE89</t>
        </is>
      </c>
      <c r="G685" s="8">
        <f>IFERROR(VLOOKUP(A685,Flete!$A:$E,5,0),"")</f>
        <v/>
      </c>
      <c r="H685" s="7">
        <f>IFERROR(VLOOKUP(F685,TRAOPE!$AA:$AB,2,0),"")</f>
        <v/>
      </c>
      <c r="I685" s="7" t="n">
        <v>10000811</v>
      </c>
      <c r="J685" s="7">
        <f>IFERROR(VLOOKUP(I685,Materiales!$A:$H,8,0),"")</f>
        <v/>
      </c>
      <c r="K685" s="9">
        <f>IFERROR(VLOOKUP(I685,Materiales!$A:$G,7,0),"")</f>
        <v/>
      </c>
      <c r="L685" s="8" t="inlineStr">
        <is>
          <t>20230501</t>
        </is>
      </c>
      <c r="M685" s="8" t="inlineStr">
        <is>
          <t>20250131</t>
        </is>
      </c>
      <c r="N685" s="10" t="n">
        <v>102.57</v>
      </c>
      <c r="O685" s="10">
        <f>IFERROR(VLOOKUP(A685,Flete!$A:$J,10,0),"")</f>
        <v/>
      </c>
      <c r="P685" s="8" t="inlineStr">
        <is>
          <t>TN</t>
        </is>
      </c>
      <c r="Q685" s="10">
        <f>IFERROR(IFERROR(VLOOKUP(A685,TRAOPE!$A:$U,21,0),VLOOKUP(B685,TRAOPE!$A:$U,21,0)),"")</f>
        <v/>
      </c>
      <c r="R685" s="8">
        <f>IFERROR(IFERROR(VLOOKUP(A685,TRAOPE!$A:$W,23,0),VLOOKUP(B685,TRAOPE!$A:$W,23,0)),"")</f>
        <v/>
      </c>
      <c r="S685" s="10">
        <f>IF(AND(P685="TN",R685="TN"),N685+N(O685),IF(G685&amp;""="1",N(K685)*N685,(N685+N(O685))*N(K685)))</f>
        <v/>
      </c>
      <c r="T685" s="10">
        <f>IF(Q685="","",Q685-S685)</f>
        <v/>
      </c>
    </row>
    <row r="686">
      <c r="A686" s="7">
        <f>CONCATENATE(C686,E686,F686,I686)</f>
        <v/>
      </c>
      <c r="B686" s="7">
        <f>CONCATENATE(C686,E686,I686)</f>
        <v/>
      </c>
      <c r="C686" s="8" t="n">
        <v>900003438</v>
      </c>
      <c r="D686" s="7">
        <f>IFERROR(VLOOKUP(C686,TRAOPE!$G:$H,2,0),"")</f>
        <v/>
      </c>
      <c r="E686" s="8" t="inlineStr">
        <is>
          <t>DW70</t>
        </is>
      </c>
      <c r="F686" s="8" t="inlineStr">
        <is>
          <t>DE92</t>
        </is>
      </c>
      <c r="G686" s="8">
        <f>IFERROR(VLOOKUP(A686,Flete!$A:$E,5,0),"")</f>
        <v/>
      </c>
      <c r="H686" s="7">
        <f>IFERROR(VLOOKUP(F686,TRAOPE!$AA:$AB,2,0),"")</f>
        <v/>
      </c>
      <c r="I686" s="7" t="n">
        <v>10000811</v>
      </c>
      <c r="J686" s="7">
        <f>IFERROR(VLOOKUP(I686,Materiales!$A:$H,8,0),"")</f>
        <v/>
      </c>
      <c r="K686" s="9">
        <f>IFERROR(VLOOKUP(I686,Materiales!$A:$G,7,0),"")</f>
        <v/>
      </c>
      <c r="L686" s="8" t="inlineStr">
        <is>
          <t>20230501</t>
        </is>
      </c>
      <c r="M686" s="8" t="inlineStr">
        <is>
          <t>20250131</t>
        </is>
      </c>
      <c r="N686" s="10" t="n">
        <v>102.57</v>
      </c>
      <c r="O686" s="10">
        <f>IFERROR(VLOOKUP(A686,Flete!$A:$J,10,0),"")</f>
        <v/>
      </c>
      <c r="P686" s="8" t="inlineStr">
        <is>
          <t>TN</t>
        </is>
      </c>
      <c r="Q686" s="10">
        <f>IFERROR(IFERROR(VLOOKUP(A686,TRAOPE!$A:$U,21,0),VLOOKUP(B686,TRAOPE!$A:$U,21,0)),"")</f>
        <v/>
      </c>
      <c r="R686" s="8">
        <f>IFERROR(IFERROR(VLOOKUP(A686,TRAOPE!$A:$W,23,0),VLOOKUP(B686,TRAOPE!$A:$W,23,0)),"")</f>
        <v/>
      </c>
      <c r="S686" s="10">
        <f>IF(AND(P686="TN",R686="TN"),N686+N(O686),IF(G686&amp;""="1",N(K686)*N686,(N686+N(O686))*N(K686)))</f>
        <v/>
      </c>
      <c r="T686" s="10">
        <f>IF(Q686="","",Q686-S686)</f>
        <v/>
      </c>
    </row>
    <row r="687">
      <c r="A687" s="7">
        <f>CONCATENATE(C687,E687,F687,I687)</f>
        <v/>
      </c>
      <c r="B687" s="7">
        <f>CONCATENATE(C687,E687,I687)</f>
        <v/>
      </c>
      <c r="C687" s="8" t="n">
        <v>900003438</v>
      </c>
      <c r="D687" s="7">
        <f>IFERROR(VLOOKUP(C687,TRAOPE!$G:$H,2,0),"")</f>
        <v/>
      </c>
      <c r="E687" s="8" t="inlineStr">
        <is>
          <t>DW70</t>
        </is>
      </c>
      <c r="F687" s="8" t="inlineStr">
        <is>
          <t>E673</t>
        </is>
      </c>
      <c r="G687" s="8">
        <f>IFERROR(VLOOKUP(A687,Flete!$A:$E,5,0),"")</f>
        <v/>
      </c>
      <c r="H687" s="7">
        <f>IFERROR(VLOOKUP(F687,TRAOPE!$AA:$AB,2,0),"")</f>
        <v/>
      </c>
      <c r="I687" s="7" t="n">
        <v>10000206</v>
      </c>
      <c r="J687" s="7">
        <f>IFERROR(VLOOKUP(I687,Materiales!$A:$H,8,0),"")</f>
        <v/>
      </c>
      <c r="K687" s="9">
        <f>IFERROR(VLOOKUP(I687,Materiales!$A:$G,7,0),"")</f>
        <v/>
      </c>
      <c r="L687" s="8" t="inlineStr">
        <is>
          <t>20230501</t>
        </is>
      </c>
      <c r="M687" s="8" t="inlineStr">
        <is>
          <t>20250131</t>
        </is>
      </c>
      <c r="N687" s="10" t="n">
        <v>26.55</v>
      </c>
      <c r="O687" s="10">
        <f>IFERROR(VLOOKUP(A687,Flete!$A:$J,10,0),"")</f>
        <v/>
      </c>
      <c r="P687" s="8" t="inlineStr">
        <is>
          <t>TN</t>
        </is>
      </c>
      <c r="Q687" s="10">
        <f>IFERROR(IFERROR(VLOOKUP(A687,TRAOPE!$A:$U,21,0),VLOOKUP(B687,TRAOPE!$A:$U,21,0)),"")</f>
        <v/>
      </c>
      <c r="R687" s="8">
        <f>IFERROR(IFERROR(VLOOKUP(A687,TRAOPE!$A:$W,23,0),VLOOKUP(B687,TRAOPE!$A:$W,23,0)),"")</f>
        <v/>
      </c>
      <c r="S687" s="10">
        <f>IF(AND(P687="TN",R687="TN"),N687+N(O687),IF(G687&amp;""="1",N(K687)*N687,(N687+N(O687))*N(K687)))</f>
        <v/>
      </c>
      <c r="T687" s="10">
        <f>IF(Q687="","",Q687-S687)</f>
        <v/>
      </c>
    </row>
    <row r="688">
      <c r="A688" s="7">
        <f>CONCATENATE(C688,E688,F688,I688)</f>
        <v/>
      </c>
      <c r="B688" s="7">
        <f>CONCATENATE(C688,E688,I688)</f>
        <v/>
      </c>
      <c r="C688" s="8" t="n">
        <v>900003438</v>
      </c>
      <c r="D688" s="7">
        <f>IFERROR(VLOOKUP(C688,TRAOPE!$G:$H,2,0),"")</f>
        <v/>
      </c>
      <c r="E688" s="8" t="inlineStr">
        <is>
          <t>DW70</t>
        </is>
      </c>
      <c r="F688" s="8" t="inlineStr">
        <is>
          <t>E673</t>
        </is>
      </c>
      <c r="G688" s="8">
        <f>IFERROR(VLOOKUP(A688,Flete!$A:$E,5,0),"")</f>
        <v/>
      </c>
      <c r="H688" s="7">
        <f>IFERROR(VLOOKUP(F688,TRAOPE!$AA:$AB,2,0),"")</f>
        <v/>
      </c>
      <c r="I688" s="7" t="n">
        <v>10019515</v>
      </c>
      <c r="J688" s="7">
        <f>IFERROR(VLOOKUP(I688,Materiales!$A:$H,8,0),"")</f>
        <v/>
      </c>
      <c r="K688" s="9">
        <f>IFERROR(VLOOKUP(I688,Materiales!$A:$G,7,0),"")</f>
        <v/>
      </c>
      <c r="L688" s="8" t="inlineStr">
        <is>
          <t>20230501</t>
        </is>
      </c>
      <c r="M688" s="8" t="inlineStr">
        <is>
          <t>20250131</t>
        </is>
      </c>
      <c r="N688" s="10" t="n">
        <v>88.84999999999999</v>
      </c>
      <c r="O688" s="10">
        <f>IFERROR(VLOOKUP(A688,Flete!$A:$J,10,0),"")</f>
        <v/>
      </c>
      <c r="P688" s="8" t="inlineStr">
        <is>
          <t>TN</t>
        </is>
      </c>
      <c r="Q688" s="10">
        <f>IFERROR(IFERROR(VLOOKUP(A688,TRAOPE!$A:$U,21,0),VLOOKUP(B688,TRAOPE!$A:$U,21,0)),"")</f>
        <v/>
      </c>
      <c r="R688" s="8">
        <f>IFERROR(IFERROR(VLOOKUP(A688,TRAOPE!$A:$W,23,0),VLOOKUP(B688,TRAOPE!$A:$W,23,0)),"")</f>
        <v/>
      </c>
      <c r="S688" s="10">
        <f>IF(AND(P688="TN",R688="TN"),N688+N(O688),IF(G688&amp;""="1",N(K688)*N688,(N688+N(O688))*N(K688)))</f>
        <v/>
      </c>
      <c r="T688" s="10">
        <f>IF(Q688="","",Q688-S688)</f>
        <v/>
      </c>
    </row>
    <row r="689">
      <c r="A689" s="7">
        <f>CONCATENATE(C689,E689,F689,I689)</f>
        <v/>
      </c>
      <c r="B689" s="7">
        <f>CONCATENATE(C689,E689,I689)</f>
        <v/>
      </c>
      <c r="C689" s="8" t="n">
        <v>900003438</v>
      </c>
      <c r="D689" s="7">
        <f>IFERROR(VLOOKUP(C689,TRAOPE!$G:$H,2,0),"")</f>
        <v/>
      </c>
      <c r="E689" s="8" t="inlineStr">
        <is>
          <t>DW70</t>
        </is>
      </c>
      <c r="F689" s="8" t="inlineStr">
        <is>
          <t>E673</t>
        </is>
      </c>
      <c r="G689" s="8">
        <f>IFERROR(VLOOKUP(A689,Flete!$A:$E,5,0),"")</f>
        <v/>
      </c>
      <c r="H689" s="7">
        <f>IFERROR(VLOOKUP(F689,TRAOPE!$AA:$AB,2,0),"")</f>
        <v/>
      </c>
      <c r="I689" s="7" t="n">
        <v>10207871</v>
      </c>
      <c r="J689" s="7">
        <f>IFERROR(VLOOKUP(I689,Materiales!$A:$H,8,0),"")</f>
        <v/>
      </c>
      <c r="K689" s="9">
        <f>IFERROR(VLOOKUP(I689,Materiales!$A:$G,7,0),"")</f>
        <v/>
      </c>
      <c r="L689" s="8" t="inlineStr">
        <is>
          <t>20230501</t>
        </is>
      </c>
      <c r="M689" s="8" t="inlineStr">
        <is>
          <t>20250131</t>
        </is>
      </c>
      <c r="N689" s="10" t="n">
        <v>88.84999999999999</v>
      </c>
      <c r="O689" s="10">
        <f>IFERROR(VLOOKUP(A689,Flete!$A:$J,10,0),"")</f>
        <v/>
      </c>
      <c r="P689" s="8" t="inlineStr">
        <is>
          <t>TN</t>
        </is>
      </c>
      <c r="Q689" s="10">
        <f>IFERROR(IFERROR(VLOOKUP(A689,TRAOPE!$A:$U,21,0),VLOOKUP(B689,TRAOPE!$A:$U,21,0)),"")</f>
        <v/>
      </c>
      <c r="R689" s="8">
        <f>IFERROR(IFERROR(VLOOKUP(A689,TRAOPE!$A:$W,23,0),VLOOKUP(B689,TRAOPE!$A:$W,23,0)),"")</f>
        <v/>
      </c>
      <c r="S689" s="10">
        <f>IF(AND(P689="TN",R689="TN"),N689+N(O689),IF(G689&amp;""="1",N(K689)*N689,(N689+N(O689))*N(K689)))</f>
        <v/>
      </c>
      <c r="T689" s="10">
        <f>IF(Q689="","",Q689-S689)</f>
        <v/>
      </c>
    </row>
    <row r="690">
      <c r="A690" s="7">
        <f>CONCATENATE(C690,E690,F690,I690)</f>
        <v/>
      </c>
      <c r="B690" s="7">
        <f>CONCATENATE(C690,E690,I690)</f>
        <v/>
      </c>
      <c r="C690" s="8" t="n">
        <v>900003438</v>
      </c>
      <c r="D690" s="7">
        <f>IFERROR(VLOOKUP(C690,TRAOPE!$G:$H,2,0),"")</f>
        <v/>
      </c>
      <c r="E690" s="8" t="inlineStr">
        <is>
          <t>DW70</t>
        </is>
      </c>
      <c r="F690" s="8" t="inlineStr">
        <is>
          <t>E673</t>
        </is>
      </c>
      <c r="G690" s="8">
        <f>IFERROR(VLOOKUP(A690,Flete!$A:$E,5,0),"")</f>
        <v/>
      </c>
      <c r="H690" s="7">
        <f>IFERROR(VLOOKUP(F690,TRAOPE!$AA:$AB,2,0),"")</f>
        <v/>
      </c>
      <c r="I690" s="7" t="n">
        <v>10207892</v>
      </c>
      <c r="J690" s="7">
        <f>IFERROR(VLOOKUP(I690,Materiales!$A:$H,8,0),"")</f>
        <v/>
      </c>
      <c r="K690" s="9">
        <f>IFERROR(VLOOKUP(I690,Materiales!$A:$G,7,0),"")</f>
        <v/>
      </c>
      <c r="L690" s="8" t="inlineStr">
        <is>
          <t>20230501</t>
        </is>
      </c>
      <c r="M690" s="8" t="inlineStr">
        <is>
          <t>20250131</t>
        </is>
      </c>
      <c r="N690" s="10" t="n">
        <v>26.55</v>
      </c>
      <c r="O690" s="10">
        <f>IFERROR(VLOOKUP(A690,Flete!$A:$J,10,0),"")</f>
        <v/>
      </c>
      <c r="P690" s="8" t="inlineStr">
        <is>
          <t>TN</t>
        </is>
      </c>
      <c r="Q690" s="10">
        <f>IFERROR(IFERROR(VLOOKUP(A690,TRAOPE!$A:$U,21,0),VLOOKUP(B690,TRAOPE!$A:$U,21,0)),"")</f>
        <v/>
      </c>
      <c r="R690" s="8">
        <f>IFERROR(IFERROR(VLOOKUP(A690,TRAOPE!$A:$W,23,0),VLOOKUP(B690,TRAOPE!$A:$W,23,0)),"")</f>
        <v/>
      </c>
      <c r="S690" s="10">
        <f>IF(AND(P690="TN",R690="TN"),N690+N(O690),IF(G690&amp;""="1",N(K690)*N690,(N690+N(O690))*N(K690)))</f>
        <v/>
      </c>
      <c r="T690" s="10">
        <f>IF(Q690="","",Q690-S690)</f>
        <v/>
      </c>
    </row>
    <row r="691">
      <c r="A691" s="7">
        <f>CONCATENATE(C691,E691,F691,I691)</f>
        <v/>
      </c>
      <c r="B691" s="7">
        <f>CONCATENATE(C691,E691,I691)</f>
        <v/>
      </c>
      <c r="C691" s="8" t="n">
        <v>900003438</v>
      </c>
      <c r="D691" s="7">
        <f>IFERROR(VLOOKUP(C691,TRAOPE!$G:$H,2,0),"")</f>
        <v/>
      </c>
      <c r="E691" s="8" t="inlineStr">
        <is>
          <t>DW70</t>
        </is>
      </c>
      <c r="F691" s="8" t="inlineStr">
        <is>
          <t>EQ75</t>
        </is>
      </c>
      <c r="G691" s="8">
        <f>IFERROR(VLOOKUP(A691,Flete!$A:$E,5,0),"")</f>
        <v/>
      </c>
      <c r="H691" s="7">
        <f>IFERROR(VLOOKUP(F691,TRAOPE!$AA:$AB,2,0),"")</f>
        <v/>
      </c>
      <c r="I691" s="7" t="n">
        <v>10000206</v>
      </c>
      <c r="J691" s="7">
        <f>IFERROR(VLOOKUP(I691,Materiales!$A:$H,8,0),"")</f>
        <v/>
      </c>
      <c r="K691" s="9">
        <f>IFERROR(VLOOKUP(I691,Materiales!$A:$G,7,0),"")</f>
        <v/>
      </c>
      <c r="L691" s="8" t="inlineStr">
        <is>
          <t>20230501</t>
        </is>
      </c>
      <c r="M691" s="8" t="inlineStr">
        <is>
          <t>20250131</t>
        </is>
      </c>
      <c r="N691" s="10" t="n">
        <v>26.55</v>
      </c>
      <c r="O691" s="10">
        <f>IFERROR(VLOOKUP(A691,Flete!$A:$J,10,0),"")</f>
        <v/>
      </c>
      <c r="P691" s="8" t="inlineStr">
        <is>
          <t>TN</t>
        </is>
      </c>
      <c r="Q691" s="10">
        <f>IFERROR(IFERROR(VLOOKUP(A691,TRAOPE!$A:$U,21,0),VLOOKUP(B691,TRAOPE!$A:$U,21,0)),"")</f>
        <v/>
      </c>
      <c r="R691" s="8">
        <f>IFERROR(IFERROR(VLOOKUP(A691,TRAOPE!$A:$W,23,0),VLOOKUP(B691,TRAOPE!$A:$W,23,0)),"")</f>
        <v/>
      </c>
      <c r="S691" s="10">
        <f>IF(AND(P691="TN",R691="TN"),N691+N(O691),IF(G691&amp;""="1",N(K691)*N691,(N691+N(O691))*N(K691)))</f>
        <v/>
      </c>
      <c r="T691" s="10">
        <f>IF(Q691="","",Q691-S691)</f>
        <v/>
      </c>
    </row>
    <row r="692">
      <c r="A692" s="7">
        <f>CONCATENATE(C692,E692,F692,I692)</f>
        <v/>
      </c>
      <c r="B692" s="7">
        <f>CONCATENATE(C692,E692,I692)</f>
        <v/>
      </c>
      <c r="C692" s="8" t="n">
        <v>900003438</v>
      </c>
      <c r="D692" s="7">
        <f>IFERROR(VLOOKUP(C692,TRAOPE!$G:$H,2,0),"")</f>
        <v/>
      </c>
      <c r="E692" s="8" t="inlineStr">
        <is>
          <t>DW70</t>
        </is>
      </c>
      <c r="F692" s="8" t="inlineStr">
        <is>
          <t>EQ75</t>
        </is>
      </c>
      <c r="G692" s="8">
        <f>IFERROR(VLOOKUP(A692,Flete!$A:$E,5,0),"")</f>
        <v/>
      </c>
      <c r="H692" s="7">
        <f>IFERROR(VLOOKUP(F692,TRAOPE!$AA:$AB,2,0),"")</f>
        <v/>
      </c>
      <c r="I692" s="7" t="n">
        <v>10019515</v>
      </c>
      <c r="J692" s="7">
        <f>IFERROR(VLOOKUP(I692,Materiales!$A:$H,8,0),"")</f>
        <v/>
      </c>
      <c r="K692" s="9">
        <f>IFERROR(VLOOKUP(I692,Materiales!$A:$G,7,0),"")</f>
        <v/>
      </c>
      <c r="L692" s="8" t="inlineStr">
        <is>
          <t>20230501</t>
        </is>
      </c>
      <c r="M692" s="8" t="inlineStr">
        <is>
          <t>20250131</t>
        </is>
      </c>
      <c r="N692" s="10" t="n">
        <v>88.84999999999999</v>
      </c>
      <c r="O692" s="10">
        <f>IFERROR(VLOOKUP(A692,Flete!$A:$J,10,0),"")</f>
        <v/>
      </c>
      <c r="P692" s="8" t="inlineStr">
        <is>
          <t>TN</t>
        </is>
      </c>
      <c r="Q692" s="10">
        <f>IFERROR(IFERROR(VLOOKUP(A692,TRAOPE!$A:$U,21,0),VLOOKUP(B692,TRAOPE!$A:$U,21,0)),"")</f>
        <v/>
      </c>
      <c r="R692" s="8">
        <f>IFERROR(IFERROR(VLOOKUP(A692,TRAOPE!$A:$W,23,0),VLOOKUP(B692,TRAOPE!$A:$W,23,0)),"")</f>
        <v/>
      </c>
      <c r="S692" s="10">
        <f>IF(AND(P692="TN",R692="TN"),N692+N(O692),IF(G692&amp;""="1",N(K692)*N692,(N692+N(O692))*N(K692)))</f>
        <v/>
      </c>
      <c r="T692" s="10">
        <f>IF(Q692="","",Q692-S692)</f>
        <v/>
      </c>
    </row>
    <row r="693">
      <c r="A693" s="7">
        <f>CONCATENATE(C693,E693,F693,I693)</f>
        <v/>
      </c>
      <c r="B693" s="7">
        <f>CONCATENATE(C693,E693,I693)</f>
        <v/>
      </c>
      <c r="C693" s="8" t="n">
        <v>900004069</v>
      </c>
      <c r="D693" s="7">
        <f>IFERROR(VLOOKUP(C693,TRAOPE!$G:$H,2,0),"")</f>
        <v/>
      </c>
      <c r="E693" s="8" t="inlineStr">
        <is>
          <t>DW70</t>
        </is>
      </c>
      <c r="F693" s="8" t="inlineStr">
        <is>
          <t>D074</t>
        </is>
      </c>
      <c r="G693" s="8">
        <f>IFERROR(VLOOKUP(A693,Flete!$A:$E,5,0),"")</f>
        <v/>
      </c>
      <c r="H693" s="7">
        <f>IFERROR(VLOOKUP(F693,TRAOPE!$AA:$AB,2,0),"")</f>
        <v/>
      </c>
      <c r="I693" s="7" t="n">
        <v>10000623</v>
      </c>
      <c r="J693" s="7">
        <f>IFERROR(VLOOKUP(I693,Materiales!$A:$H,8,0),"")</f>
        <v/>
      </c>
      <c r="K693" s="9">
        <f>IFERROR(VLOOKUP(I693,Materiales!$A:$G,7,0),"")</f>
        <v/>
      </c>
      <c r="L693" s="8" t="inlineStr">
        <is>
          <t>20230501</t>
        </is>
      </c>
      <c r="M693" s="8" t="inlineStr">
        <is>
          <t>20250131</t>
        </is>
      </c>
      <c r="N693" s="10" t="n">
        <v>100.46</v>
      </c>
      <c r="O693" s="10">
        <f>IFERROR(VLOOKUP(A693,Flete!$A:$J,10,0),"")</f>
        <v/>
      </c>
      <c r="P693" s="8" t="inlineStr">
        <is>
          <t>TN</t>
        </is>
      </c>
      <c r="Q693" s="10">
        <f>IFERROR(IFERROR(VLOOKUP(A693,TRAOPE!$A:$U,21,0),VLOOKUP(B693,TRAOPE!$A:$U,21,0)),"")</f>
        <v/>
      </c>
      <c r="R693" s="8">
        <f>IFERROR(IFERROR(VLOOKUP(A693,TRAOPE!$A:$W,23,0),VLOOKUP(B693,TRAOPE!$A:$W,23,0)),"")</f>
        <v/>
      </c>
      <c r="S693" s="10">
        <f>IF(AND(P693="TN",R693="TN"),N693+N(O693),IF(G693&amp;""="1",N(K693)*N693,(N693+N(O693))*N(K693)))</f>
        <v/>
      </c>
      <c r="T693" s="10">
        <f>IF(Q693="","",Q693-S693)</f>
        <v/>
      </c>
    </row>
    <row r="694">
      <c r="A694" s="7">
        <f>CONCATENATE(C694,E694,F694,I694)</f>
        <v/>
      </c>
      <c r="B694" s="7">
        <f>CONCATENATE(C694,E694,I694)</f>
        <v/>
      </c>
      <c r="C694" s="8" t="n">
        <v>900004069</v>
      </c>
      <c r="D694" s="7">
        <f>IFERROR(VLOOKUP(C694,TRAOPE!$G:$H,2,0),"")</f>
        <v/>
      </c>
      <c r="E694" s="8" t="inlineStr">
        <is>
          <t>DW70</t>
        </is>
      </c>
      <c r="F694" s="8" t="inlineStr">
        <is>
          <t>D074</t>
        </is>
      </c>
      <c r="G694" s="8">
        <f>IFERROR(VLOOKUP(A694,Flete!$A:$E,5,0),"")</f>
        <v/>
      </c>
      <c r="H694" s="7">
        <f>IFERROR(VLOOKUP(F694,TRAOPE!$AA:$AB,2,0),"")</f>
        <v/>
      </c>
      <c r="I694" s="7" t="n">
        <v>10059180</v>
      </c>
      <c r="J694" s="7">
        <f>IFERROR(VLOOKUP(I694,Materiales!$A:$H,8,0),"")</f>
        <v/>
      </c>
      <c r="K694" s="9">
        <f>IFERROR(VLOOKUP(I694,Materiales!$A:$G,7,0),"")</f>
        <v/>
      </c>
      <c r="L694" s="8" t="inlineStr">
        <is>
          <t>20230501</t>
        </is>
      </c>
      <c r="M694" s="8" t="inlineStr">
        <is>
          <t>20250131</t>
        </is>
      </c>
      <c r="N694" s="10" t="n">
        <v>50.49</v>
      </c>
      <c r="O694" s="10">
        <f>IFERROR(VLOOKUP(A694,Flete!$A:$J,10,0),"")</f>
        <v/>
      </c>
      <c r="P694" s="8" t="inlineStr">
        <is>
          <t>TN</t>
        </is>
      </c>
      <c r="Q694" s="10">
        <f>IFERROR(IFERROR(VLOOKUP(A694,TRAOPE!$A:$U,21,0),VLOOKUP(B694,TRAOPE!$A:$U,21,0)),"")</f>
        <v/>
      </c>
      <c r="R694" s="8">
        <f>IFERROR(IFERROR(VLOOKUP(A694,TRAOPE!$A:$W,23,0),VLOOKUP(B694,TRAOPE!$A:$W,23,0)),"")</f>
        <v/>
      </c>
      <c r="S694" s="10">
        <f>IF(AND(P694="TN",R694="TN"),N694+N(O694),IF(G694&amp;""="1",N(K694)*N694,(N694+N(O694))*N(K694)))</f>
        <v/>
      </c>
      <c r="T694" s="10">
        <f>IF(Q694="","",Q694-S694)</f>
        <v/>
      </c>
    </row>
    <row r="695">
      <c r="A695" s="7">
        <f>CONCATENATE(C695,E695,F695,I695)</f>
        <v/>
      </c>
      <c r="B695" s="7">
        <f>CONCATENATE(C695,E695,I695)</f>
        <v/>
      </c>
      <c r="C695" s="8" t="n">
        <v>900004069</v>
      </c>
      <c r="D695" s="7">
        <f>IFERROR(VLOOKUP(C695,TRAOPE!$G:$H,2,0),"")</f>
        <v/>
      </c>
      <c r="E695" s="8" t="inlineStr">
        <is>
          <t>DW70</t>
        </is>
      </c>
      <c r="F695" s="8" t="inlineStr">
        <is>
          <t>D075</t>
        </is>
      </c>
      <c r="G695" s="8">
        <f>IFERROR(VLOOKUP(A695,Flete!$A:$E,5,0),"")</f>
        <v/>
      </c>
      <c r="H695" s="7">
        <f>IFERROR(VLOOKUP(F695,TRAOPE!$AA:$AB,2,0),"")</f>
        <v/>
      </c>
      <c r="I695" s="7" t="n">
        <v>10000623</v>
      </c>
      <c r="J695" s="7">
        <f>IFERROR(VLOOKUP(I695,Materiales!$A:$H,8,0),"")</f>
        <v/>
      </c>
      <c r="K695" s="9">
        <f>IFERROR(VLOOKUP(I695,Materiales!$A:$G,7,0),"")</f>
        <v/>
      </c>
      <c r="L695" s="8" t="inlineStr">
        <is>
          <t>20230501</t>
        </is>
      </c>
      <c r="M695" s="8" t="inlineStr">
        <is>
          <t>20250131</t>
        </is>
      </c>
      <c r="N695" s="10" t="n">
        <v>100.46</v>
      </c>
      <c r="O695" s="10">
        <f>IFERROR(VLOOKUP(A695,Flete!$A:$J,10,0),"")</f>
        <v/>
      </c>
      <c r="P695" s="8" t="inlineStr">
        <is>
          <t>TN</t>
        </is>
      </c>
      <c r="Q695" s="10">
        <f>IFERROR(IFERROR(VLOOKUP(A695,TRAOPE!$A:$U,21,0),VLOOKUP(B695,TRAOPE!$A:$U,21,0)),"")</f>
        <v/>
      </c>
      <c r="R695" s="8">
        <f>IFERROR(IFERROR(VLOOKUP(A695,TRAOPE!$A:$W,23,0),VLOOKUP(B695,TRAOPE!$A:$W,23,0)),"")</f>
        <v/>
      </c>
      <c r="S695" s="10">
        <f>IF(AND(P695="TN",R695="TN"),N695+N(O695),IF(G695&amp;""="1",N(K695)*N695,(N695+N(O695))*N(K695)))</f>
        <v/>
      </c>
      <c r="T695" s="10">
        <f>IF(Q695="","",Q695-S695)</f>
        <v/>
      </c>
    </row>
    <row r="696">
      <c r="A696" s="7">
        <f>CONCATENATE(C696,E696,F696,I696)</f>
        <v/>
      </c>
      <c r="B696" s="7">
        <f>CONCATENATE(C696,E696,I696)</f>
        <v/>
      </c>
      <c r="C696" s="8" t="n">
        <v>900004069</v>
      </c>
      <c r="D696" s="7">
        <f>IFERROR(VLOOKUP(C696,TRAOPE!$G:$H,2,0),"")</f>
        <v/>
      </c>
      <c r="E696" s="8" t="inlineStr">
        <is>
          <t>DW70</t>
        </is>
      </c>
      <c r="F696" s="8" t="inlineStr">
        <is>
          <t>D075</t>
        </is>
      </c>
      <c r="G696" s="8">
        <f>IFERROR(VLOOKUP(A696,Flete!$A:$E,5,0),"")</f>
        <v/>
      </c>
      <c r="H696" s="7">
        <f>IFERROR(VLOOKUP(F696,TRAOPE!$AA:$AB,2,0),"")</f>
        <v/>
      </c>
      <c r="I696" s="7" t="n">
        <v>10059180</v>
      </c>
      <c r="J696" s="7">
        <f>IFERROR(VLOOKUP(I696,Materiales!$A:$H,8,0),"")</f>
        <v/>
      </c>
      <c r="K696" s="9">
        <f>IFERROR(VLOOKUP(I696,Materiales!$A:$G,7,0),"")</f>
        <v/>
      </c>
      <c r="L696" s="8" t="inlineStr">
        <is>
          <t>20230501</t>
        </is>
      </c>
      <c r="M696" s="8" t="inlineStr">
        <is>
          <t>20250131</t>
        </is>
      </c>
      <c r="N696" s="10" t="n">
        <v>50.49</v>
      </c>
      <c r="O696" s="10">
        <f>IFERROR(VLOOKUP(A696,Flete!$A:$J,10,0),"")</f>
        <v/>
      </c>
      <c r="P696" s="8" t="inlineStr">
        <is>
          <t>TN</t>
        </is>
      </c>
      <c r="Q696" s="10">
        <f>IFERROR(IFERROR(VLOOKUP(A696,TRAOPE!$A:$U,21,0),VLOOKUP(B696,TRAOPE!$A:$U,21,0)),"")</f>
        <v/>
      </c>
      <c r="R696" s="8">
        <f>IFERROR(IFERROR(VLOOKUP(A696,TRAOPE!$A:$W,23,0),VLOOKUP(B696,TRAOPE!$A:$W,23,0)),"")</f>
        <v/>
      </c>
      <c r="S696" s="10">
        <f>IF(AND(P696="TN",R696="TN"),N696+N(O696),IF(G696&amp;""="1",N(K696)*N696,(N696+N(O696))*N(K696)))</f>
        <v/>
      </c>
      <c r="T696" s="10">
        <f>IF(Q696="","",Q696-S696)</f>
        <v/>
      </c>
    </row>
    <row r="697">
      <c r="A697" s="7">
        <f>CONCATENATE(C697,E697,F697,I697)</f>
        <v/>
      </c>
      <c r="B697" s="7">
        <f>CONCATENATE(C697,E697,I697)</f>
        <v/>
      </c>
      <c r="C697" s="8" t="n">
        <v>900004069</v>
      </c>
      <c r="D697" s="7">
        <f>IFERROR(VLOOKUP(C697,TRAOPE!$G:$H,2,0),"")</f>
        <v/>
      </c>
      <c r="E697" s="8" t="inlineStr">
        <is>
          <t>DW70</t>
        </is>
      </c>
      <c r="F697" s="8" t="inlineStr">
        <is>
          <t>D077</t>
        </is>
      </c>
      <c r="G697" s="8">
        <f>IFERROR(VLOOKUP(A697,Flete!$A:$E,5,0),"")</f>
        <v/>
      </c>
      <c r="H697" s="7">
        <f>IFERROR(VLOOKUP(F697,TRAOPE!$AA:$AB,2,0),"")</f>
        <v/>
      </c>
      <c r="I697" s="7" t="n">
        <v>10000623</v>
      </c>
      <c r="J697" s="7">
        <f>IFERROR(VLOOKUP(I697,Materiales!$A:$H,8,0),"")</f>
        <v/>
      </c>
      <c r="K697" s="9">
        <f>IFERROR(VLOOKUP(I697,Materiales!$A:$G,7,0),"")</f>
        <v/>
      </c>
      <c r="L697" s="8" t="inlineStr">
        <is>
          <t>20230501</t>
        </is>
      </c>
      <c r="M697" s="8" t="inlineStr">
        <is>
          <t>20250131</t>
        </is>
      </c>
      <c r="N697" s="10" t="n">
        <v>100.46</v>
      </c>
      <c r="O697" s="10">
        <f>IFERROR(VLOOKUP(A697,Flete!$A:$J,10,0),"")</f>
        <v/>
      </c>
      <c r="P697" s="8" t="inlineStr">
        <is>
          <t>TN</t>
        </is>
      </c>
      <c r="Q697" s="10">
        <f>IFERROR(IFERROR(VLOOKUP(A697,TRAOPE!$A:$U,21,0),VLOOKUP(B697,TRAOPE!$A:$U,21,0)),"")</f>
        <v/>
      </c>
      <c r="R697" s="8">
        <f>IFERROR(IFERROR(VLOOKUP(A697,TRAOPE!$A:$W,23,0),VLOOKUP(B697,TRAOPE!$A:$W,23,0)),"")</f>
        <v/>
      </c>
      <c r="S697" s="10">
        <f>IF(AND(P697="TN",R697="TN"),N697+N(O697),IF(G697&amp;""="1",N(K697)*N697,(N697+N(O697))*N(K697)))</f>
        <v/>
      </c>
      <c r="T697" s="10">
        <f>IF(Q697="","",Q697-S697)</f>
        <v/>
      </c>
    </row>
    <row r="698">
      <c r="A698" s="7">
        <f>CONCATENATE(C698,E698,F698,I698)</f>
        <v/>
      </c>
      <c r="B698" s="7">
        <f>CONCATENATE(C698,E698,I698)</f>
        <v/>
      </c>
      <c r="C698" s="8" t="n">
        <v>900004069</v>
      </c>
      <c r="D698" s="7">
        <f>IFERROR(VLOOKUP(C698,TRAOPE!$G:$H,2,0),"")</f>
        <v/>
      </c>
      <c r="E698" s="8" t="inlineStr">
        <is>
          <t>DW70</t>
        </is>
      </c>
      <c r="F698" s="8" t="inlineStr">
        <is>
          <t>D077</t>
        </is>
      </c>
      <c r="G698" s="8">
        <f>IFERROR(VLOOKUP(A698,Flete!$A:$E,5,0),"")</f>
        <v/>
      </c>
      <c r="H698" s="7">
        <f>IFERROR(VLOOKUP(F698,TRAOPE!$AA:$AB,2,0),"")</f>
        <v/>
      </c>
      <c r="I698" s="7" t="n">
        <v>10059180</v>
      </c>
      <c r="J698" s="7">
        <f>IFERROR(VLOOKUP(I698,Materiales!$A:$H,8,0),"")</f>
        <v/>
      </c>
      <c r="K698" s="9">
        <f>IFERROR(VLOOKUP(I698,Materiales!$A:$G,7,0),"")</f>
        <v/>
      </c>
      <c r="L698" s="8" t="inlineStr">
        <is>
          <t>20230501</t>
        </is>
      </c>
      <c r="M698" s="8" t="inlineStr">
        <is>
          <t>20250131</t>
        </is>
      </c>
      <c r="N698" s="10" t="n">
        <v>50.49</v>
      </c>
      <c r="O698" s="10">
        <f>IFERROR(VLOOKUP(A698,Flete!$A:$J,10,0),"")</f>
        <v/>
      </c>
      <c r="P698" s="8" t="inlineStr">
        <is>
          <t>TN</t>
        </is>
      </c>
      <c r="Q698" s="10">
        <f>IFERROR(IFERROR(VLOOKUP(A698,TRAOPE!$A:$U,21,0),VLOOKUP(B698,TRAOPE!$A:$U,21,0)),"")</f>
        <v/>
      </c>
      <c r="R698" s="8">
        <f>IFERROR(IFERROR(VLOOKUP(A698,TRAOPE!$A:$W,23,0),VLOOKUP(B698,TRAOPE!$A:$W,23,0)),"")</f>
        <v/>
      </c>
      <c r="S698" s="10">
        <f>IF(AND(P698="TN",R698="TN"),N698+N(O698),IF(G698&amp;""="1",N(K698)*N698,(N698+N(O698))*N(K698)))</f>
        <v/>
      </c>
      <c r="T698" s="10">
        <f>IF(Q698="","",Q698-S698)</f>
        <v/>
      </c>
    </row>
    <row r="699">
      <c r="A699" s="7">
        <f>CONCATENATE(C699,E699,F699,I699)</f>
        <v/>
      </c>
      <c r="B699" s="7">
        <f>CONCATENATE(C699,E699,I699)</f>
        <v/>
      </c>
      <c r="C699" s="8" t="n">
        <v>900004069</v>
      </c>
      <c r="D699" s="7">
        <f>IFERROR(VLOOKUP(C699,TRAOPE!$G:$H,2,0),"")</f>
        <v/>
      </c>
      <c r="E699" s="8" t="inlineStr">
        <is>
          <t>DW70</t>
        </is>
      </c>
      <c r="F699" s="8" t="inlineStr">
        <is>
          <t>D079</t>
        </is>
      </c>
      <c r="G699" s="8">
        <f>IFERROR(VLOOKUP(A699,Flete!$A:$E,5,0),"")</f>
        <v/>
      </c>
      <c r="H699" s="7">
        <f>IFERROR(VLOOKUP(F699,TRAOPE!$AA:$AB,2,0),"")</f>
        <v/>
      </c>
      <c r="I699" s="7" t="n">
        <v>10000623</v>
      </c>
      <c r="J699" s="7">
        <f>IFERROR(VLOOKUP(I699,Materiales!$A:$H,8,0),"")</f>
        <v/>
      </c>
      <c r="K699" s="9">
        <f>IFERROR(VLOOKUP(I699,Materiales!$A:$G,7,0),"")</f>
        <v/>
      </c>
      <c r="L699" s="8" t="inlineStr">
        <is>
          <t>20230501</t>
        </is>
      </c>
      <c r="M699" s="8" t="inlineStr">
        <is>
          <t>20250131</t>
        </is>
      </c>
      <c r="N699" s="10" t="n">
        <v>100.46</v>
      </c>
      <c r="O699" s="10">
        <f>IFERROR(VLOOKUP(A699,Flete!$A:$J,10,0),"")</f>
        <v/>
      </c>
      <c r="P699" s="8" t="inlineStr">
        <is>
          <t>TN</t>
        </is>
      </c>
      <c r="Q699" s="10">
        <f>IFERROR(IFERROR(VLOOKUP(A699,TRAOPE!$A:$U,21,0),VLOOKUP(B699,TRAOPE!$A:$U,21,0)),"")</f>
        <v/>
      </c>
      <c r="R699" s="8">
        <f>IFERROR(IFERROR(VLOOKUP(A699,TRAOPE!$A:$W,23,0),VLOOKUP(B699,TRAOPE!$A:$W,23,0)),"")</f>
        <v/>
      </c>
      <c r="S699" s="10">
        <f>IF(AND(P699="TN",R699="TN"),N699+N(O699),IF(G699&amp;""="1",N(K699)*N699,(N699+N(O699))*N(K699)))</f>
        <v/>
      </c>
      <c r="T699" s="10">
        <f>IF(Q699="","",Q699-S699)</f>
        <v/>
      </c>
    </row>
    <row r="700">
      <c r="A700" s="7">
        <f>CONCATENATE(C700,E700,F700,I700)</f>
        <v/>
      </c>
      <c r="B700" s="7">
        <f>CONCATENATE(C700,E700,I700)</f>
        <v/>
      </c>
      <c r="C700" s="8" t="n">
        <v>900004069</v>
      </c>
      <c r="D700" s="7">
        <f>IFERROR(VLOOKUP(C700,TRAOPE!$G:$H,2,0),"")</f>
        <v/>
      </c>
      <c r="E700" s="8" t="inlineStr">
        <is>
          <t>DW70</t>
        </is>
      </c>
      <c r="F700" s="8" t="inlineStr">
        <is>
          <t>D079</t>
        </is>
      </c>
      <c r="G700" s="8">
        <f>IFERROR(VLOOKUP(A700,Flete!$A:$E,5,0),"")</f>
        <v/>
      </c>
      <c r="H700" s="7">
        <f>IFERROR(VLOOKUP(F700,TRAOPE!$AA:$AB,2,0),"")</f>
        <v/>
      </c>
      <c r="I700" s="7" t="n">
        <v>10059180</v>
      </c>
      <c r="J700" s="7">
        <f>IFERROR(VLOOKUP(I700,Materiales!$A:$H,8,0),"")</f>
        <v/>
      </c>
      <c r="K700" s="9">
        <f>IFERROR(VLOOKUP(I700,Materiales!$A:$G,7,0),"")</f>
        <v/>
      </c>
      <c r="L700" s="8" t="inlineStr">
        <is>
          <t>20230501</t>
        </is>
      </c>
      <c r="M700" s="8" t="inlineStr">
        <is>
          <t>20250131</t>
        </is>
      </c>
      <c r="N700" s="10" t="n">
        <v>50.49</v>
      </c>
      <c r="O700" s="10">
        <f>IFERROR(VLOOKUP(A700,Flete!$A:$J,10,0),"")</f>
        <v/>
      </c>
      <c r="P700" s="8" t="inlineStr">
        <is>
          <t>TN</t>
        </is>
      </c>
      <c r="Q700" s="10">
        <f>IFERROR(IFERROR(VLOOKUP(A700,TRAOPE!$A:$U,21,0),VLOOKUP(B700,TRAOPE!$A:$U,21,0)),"")</f>
        <v/>
      </c>
      <c r="R700" s="8">
        <f>IFERROR(IFERROR(VLOOKUP(A700,TRAOPE!$A:$W,23,0),VLOOKUP(B700,TRAOPE!$A:$W,23,0)),"")</f>
        <v/>
      </c>
      <c r="S700" s="10">
        <f>IF(AND(P700="TN",R700="TN"),N700+N(O700),IF(G700&amp;""="1",N(K700)*N700,(N700+N(O700))*N(K700)))</f>
        <v/>
      </c>
      <c r="T700" s="10">
        <f>IF(Q700="","",Q700-S700)</f>
        <v/>
      </c>
    </row>
    <row r="701">
      <c r="A701" s="7">
        <f>CONCATENATE(C701,E701,F701,I701)</f>
        <v/>
      </c>
      <c r="B701" s="7">
        <f>CONCATENATE(C701,E701,I701)</f>
        <v/>
      </c>
      <c r="C701" s="8" t="n">
        <v>900004069</v>
      </c>
      <c r="D701" s="7">
        <f>IFERROR(VLOOKUP(C701,TRAOPE!$G:$H,2,0),"")</f>
        <v/>
      </c>
      <c r="E701" s="8" t="inlineStr">
        <is>
          <t>DW70</t>
        </is>
      </c>
      <c r="F701" s="8" t="inlineStr">
        <is>
          <t>D080</t>
        </is>
      </c>
      <c r="G701" s="8">
        <f>IFERROR(VLOOKUP(A701,Flete!$A:$E,5,0),"")</f>
        <v/>
      </c>
      <c r="H701" s="7">
        <f>IFERROR(VLOOKUP(F701,TRAOPE!$AA:$AB,2,0),"")</f>
        <v/>
      </c>
      <c r="I701" s="7" t="n">
        <v>10000623</v>
      </c>
      <c r="J701" s="7">
        <f>IFERROR(VLOOKUP(I701,Materiales!$A:$H,8,0),"")</f>
        <v/>
      </c>
      <c r="K701" s="9">
        <f>IFERROR(VLOOKUP(I701,Materiales!$A:$G,7,0),"")</f>
        <v/>
      </c>
      <c r="L701" s="8" t="inlineStr">
        <is>
          <t>20230501</t>
        </is>
      </c>
      <c r="M701" s="8" t="inlineStr">
        <is>
          <t>20250131</t>
        </is>
      </c>
      <c r="N701" s="10" t="n">
        <v>100.46</v>
      </c>
      <c r="O701" s="10">
        <f>IFERROR(VLOOKUP(A701,Flete!$A:$J,10,0),"")</f>
        <v/>
      </c>
      <c r="P701" s="8" t="inlineStr">
        <is>
          <t>TN</t>
        </is>
      </c>
      <c r="Q701" s="10">
        <f>IFERROR(IFERROR(VLOOKUP(A701,TRAOPE!$A:$U,21,0),VLOOKUP(B701,TRAOPE!$A:$U,21,0)),"")</f>
        <v/>
      </c>
      <c r="R701" s="8">
        <f>IFERROR(IFERROR(VLOOKUP(A701,TRAOPE!$A:$W,23,0),VLOOKUP(B701,TRAOPE!$A:$W,23,0)),"")</f>
        <v/>
      </c>
      <c r="S701" s="10">
        <f>IF(AND(P701="TN",R701="TN"),N701+N(O701),IF(G701&amp;""="1",N(K701)*N701,(N701+N(O701))*N(K701)))</f>
        <v/>
      </c>
      <c r="T701" s="10">
        <f>IF(Q701="","",Q701-S701)</f>
        <v/>
      </c>
    </row>
    <row r="702">
      <c r="A702" s="7">
        <f>CONCATENATE(C702,E702,F702,I702)</f>
        <v/>
      </c>
      <c r="B702" s="7">
        <f>CONCATENATE(C702,E702,I702)</f>
        <v/>
      </c>
      <c r="C702" s="8" t="n">
        <v>900004069</v>
      </c>
      <c r="D702" s="7">
        <f>IFERROR(VLOOKUP(C702,TRAOPE!$G:$H,2,0),"")</f>
        <v/>
      </c>
      <c r="E702" s="8" t="inlineStr">
        <is>
          <t>DW70</t>
        </is>
      </c>
      <c r="F702" s="8" t="inlineStr">
        <is>
          <t>D080</t>
        </is>
      </c>
      <c r="G702" s="8">
        <f>IFERROR(VLOOKUP(A702,Flete!$A:$E,5,0),"")</f>
        <v/>
      </c>
      <c r="H702" s="7">
        <f>IFERROR(VLOOKUP(F702,TRAOPE!$AA:$AB,2,0),"")</f>
        <v/>
      </c>
      <c r="I702" s="7" t="n">
        <v>10059180</v>
      </c>
      <c r="J702" s="7">
        <f>IFERROR(VLOOKUP(I702,Materiales!$A:$H,8,0),"")</f>
        <v/>
      </c>
      <c r="K702" s="9">
        <f>IFERROR(VLOOKUP(I702,Materiales!$A:$G,7,0),"")</f>
        <v/>
      </c>
      <c r="L702" s="8" t="inlineStr">
        <is>
          <t>20230501</t>
        </is>
      </c>
      <c r="M702" s="8" t="inlineStr">
        <is>
          <t>20250131</t>
        </is>
      </c>
      <c r="N702" s="10" t="n">
        <v>50.49</v>
      </c>
      <c r="O702" s="10">
        <f>IFERROR(VLOOKUP(A702,Flete!$A:$J,10,0),"")</f>
        <v/>
      </c>
      <c r="P702" s="8" t="inlineStr">
        <is>
          <t>TN</t>
        </is>
      </c>
      <c r="Q702" s="10">
        <f>IFERROR(IFERROR(VLOOKUP(A702,TRAOPE!$A:$U,21,0),VLOOKUP(B702,TRAOPE!$A:$U,21,0)),"")</f>
        <v/>
      </c>
      <c r="R702" s="8">
        <f>IFERROR(IFERROR(VLOOKUP(A702,TRAOPE!$A:$W,23,0),VLOOKUP(B702,TRAOPE!$A:$W,23,0)),"")</f>
        <v/>
      </c>
      <c r="S702" s="10">
        <f>IF(AND(P702="TN",R702="TN"),N702+N(O702),IF(G702&amp;""="1",N(K702)*N702,(N702+N(O702))*N(K702)))</f>
        <v/>
      </c>
      <c r="T702" s="10">
        <f>IF(Q702="","",Q702-S702)</f>
        <v/>
      </c>
    </row>
    <row r="703">
      <c r="A703" s="7">
        <f>CONCATENATE(C703,E703,F703,I703)</f>
        <v/>
      </c>
      <c r="B703" s="7">
        <f>CONCATENATE(C703,E703,I703)</f>
        <v/>
      </c>
      <c r="C703" s="8" t="n">
        <v>900004069</v>
      </c>
      <c r="D703" s="7">
        <f>IFERROR(VLOOKUP(C703,TRAOPE!$G:$H,2,0),"")</f>
        <v/>
      </c>
      <c r="E703" s="8" t="inlineStr">
        <is>
          <t>DW70</t>
        </is>
      </c>
      <c r="F703" s="8" t="inlineStr">
        <is>
          <t>D081</t>
        </is>
      </c>
      <c r="G703" s="8">
        <f>IFERROR(VLOOKUP(A703,Flete!$A:$E,5,0),"")</f>
        <v/>
      </c>
      <c r="H703" s="7">
        <f>IFERROR(VLOOKUP(F703,TRAOPE!$AA:$AB,2,0),"")</f>
        <v/>
      </c>
      <c r="I703" s="7" t="n">
        <v>10000623</v>
      </c>
      <c r="J703" s="7">
        <f>IFERROR(VLOOKUP(I703,Materiales!$A:$H,8,0),"")</f>
        <v/>
      </c>
      <c r="K703" s="9">
        <f>IFERROR(VLOOKUP(I703,Materiales!$A:$G,7,0),"")</f>
        <v/>
      </c>
      <c r="L703" s="8" t="inlineStr">
        <is>
          <t>20230501</t>
        </is>
      </c>
      <c r="M703" s="8" t="inlineStr">
        <is>
          <t>20250131</t>
        </is>
      </c>
      <c r="N703" s="10" t="n">
        <v>100.46</v>
      </c>
      <c r="O703" s="10">
        <f>IFERROR(VLOOKUP(A703,Flete!$A:$J,10,0),"")</f>
        <v/>
      </c>
      <c r="P703" s="8" t="inlineStr">
        <is>
          <t>TN</t>
        </is>
      </c>
      <c r="Q703" s="10">
        <f>IFERROR(IFERROR(VLOOKUP(A703,TRAOPE!$A:$U,21,0),VLOOKUP(B703,TRAOPE!$A:$U,21,0)),"")</f>
        <v/>
      </c>
      <c r="R703" s="8">
        <f>IFERROR(IFERROR(VLOOKUP(A703,TRAOPE!$A:$W,23,0),VLOOKUP(B703,TRAOPE!$A:$W,23,0)),"")</f>
        <v/>
      </c>
      <c r="S703" s="10">
        <f>IF(AND(P703="TN",R703="TN"),N703+N(O703),IF(G703&amp;""="1",N(K703)*N703,(N703+N(O703))*N(K703)))</f>
        <v/>
      </c>
      <c r="T703" s="10">
        <f>IF(Q703="","",Q703-S703)</f>
        <v/>
      </c>
    </row>
    <row r="704">
      <c r="A704" s="7">
        <f>CONCATENATE(C704,E704,F704,I704)</f>
        <v/>
      </c>
      <c r="B704" s="7">
        <f>CONCATENATE(C704,E704,I704)</f>
        <v/>
      </c>
      <c r="C704" s="8" t="n">
        <v>900004069</v>
      </c>
      <c r="D704" s="7">
        <f>IFERROR(VLOOKUP(C704,TRAOPE!$G:$H,2,0),"")</f>
        <v/>
      </c>
      <c r="E704" s="8" t="inlineStr">
        <is>
          <t>DW70</t>
        </is>
      </c>
      <c r="F704" s="8" t="inlineStr">
        <is>
          <t>D081</t>
        </is>
      </c>
      <c r="G704" s="8">
        <f>IFERROR(VLOOKUP(A704,Flete!$A:$E,5,0),"")</f>
        <v/>
      </c>
      <c r="H704" s="7">
        <f>IFERROR(VLOOKUP(F704,TRAOPE!$AA:$AB,2,0),"")</f>
        <v/>
      </c>
      <c r="I704" s="7" t="n">
        <v>10059180</v>
      </c>
      <c r="J704" s="7">
        <f>IFERROR(VLOOKUP(I704,Materiales!$A:$H,8,0),"")</f>
        <v/>
      </c>
      <c r="K704" s="9">
        <f>IFERROR(VLOOKUP(I704,Materiales!$A:$G,7,0),"")</f>
        <v/>
      </c>
      <c r="L704" s="8" t="inlineStr">
        <is>
          <t>20230501</t>
        </is>
      </c>
      <c r="M704" s="8" t="inlineStr">
        <is>
          <t>20250131</t>
        </is>
      </c>
      <c r="N704" s="10" t="n">
        <v>50.49</v>
      </c>
      <c r="O704" s="10">
        <f>IFERROR(VLOOKUP(A704,Flete!$A:$J,10,0),"")</f>
        <v/>
      </c>
      <c r="P704" s="8" t="inlineStr">
        <is>
          <t>TN</t>
        </is>
      </c>
      <c r="Q704" s="10">
        <f>IFERROR(IFERROR(VLOOKUP(A704,TRAOPE!$A:$U,21,0),VLOOKUP(B704,TRAOPE!$A:$U,21,0)),"")</f>
        <v/>
      </c>
      <c r="R704" s="8">
        <f>IFERROR(IFERROR(VLOOKUP(A704,TRAOPE!$A:$W,23,0),VLOOKUP(B704,TRAOPE!$A:$W,23,0)),"")</f>
        <v/>
      </c>
      <c r="S704" s="10">
        <f>IF(AND(P704="TN",R704="TN"),N704+N(O704),IF(G704&amp;""="1",N(K704)*N704,(N704+N(O704))*N(K704)))</f>
        <v/>
      </c>
      <c r="T704" s="10">
        <f>IF(Q704="","",Q704-S704)</f>
        <v/>
      </c>
    </row>
    <row r="705">
      <c r="A705" s="7">
        <f>CONCATENATE(C705,E705,F705,I705)</f>
        <v/>
      </c>
      <c r="B705" s="7">
        <f>CONCATENATE(C705,E705,I705)</f>
        <v/>
      </c>
      <c r="C705" s="8" t="n">
        <v>900004069</v>
      </c>
      <c r="D705" s="7">
        <f>IFERROR(VLOOKUP(C705,TRAOPE!$G:$H,2,0),"")</f>
        <v/>
      </c>
      <c r="E705" s="8" t="inlineStr">
        <is>
          <t>DW70</t>
        </is>
      </c>
      <c r="F705" s="8" t="inlineStr">
        <is>
          <t>D083</t>
        </is>
      </c>
      <c r="G705" s="8">
        <f>IFERROR(VLOOKUP(A705,Flete!$A:$E,5,0),"")</f>
        <v/>
      </c>
      <c r="H705" s="7">
        <f>IFERROR(VLOOKUP(F705,TRAOPE!$AA:$AB,2,0),"")</f>
        <v/>
      </c>
      <c r="I705" s="7" t="n">
        <v>10000623</v>
      </c>
      <c r="J705" s="7">
        <f>IFERROR(VLOOKUP(I705,Materiales!$A:$H,8,0),"")</f>
        <v/>
      </c>
      <c r="K705" s="9">
        <f>IFERROR(VLOOKUP(I705,Materiales!$A:$G,7,0),"")</f>
        <v/>
      </c>
      <c r="L705" s="8" t="inlineStr">
        <is>
          <t>20230501</t>
        </is>
      </c>
      <c r="M705" s="8" t="inlineStr">
        <is>
          <t>20250131</t>
        </is>
      </c>
      <c r="N705" s="10" t="n">
        <v>100.46</v>
      </c>
      <c r="O705" s="10">
        <f>IFERROR(VLOOKUP(A705,Flete!$A:$J,10,0),"")</f>
        <v/>
      </c>
      <c r="P705" s="8" t="inlineStr">
        <is>
          <t>TN</t>
        </is>
      </c>
      <c r="Q705" s="10">
        <f>IFERROR(IFERROR(VLOOKUP(A705,TRAOPE!$A:$U,21,0),VLOOKUP(B705,TRAOPE!$A:$U,21,0)),"")</f>
        <v/>
      </c>
      <c r="R705" s="8">
        <f>IFERROR(IFERROR(VLOOKUP(A705,TRAOPE!$A:$W,23,0),VLOOKUP(B705,TRAOPE!$A:$W,23,0)),"")</f>
        <v/>
      </c>
      <c r="S705" s="10">
        <f>IF(AND(P705="TN",R705="TN"),N705+N(O705),IF(G705&amp;""="1",N(K705)*N705,(N705+N(O705))*N(K705)))</f>
        <v/>
      </c>
      <c r="T705" s="10">
        <f>IF(Q705="","",Q705-S705)</f>
        <v/>
      </c>
    </row>
    <row r="706">
      <c r="A706" s="7">
        <f>CONCATENATE(C706,E706,F706,I706)</f>
        <v/>
      </c>
      <c r="B706" s="7">
        <f>CONCATENATE(C706,E706,I706)</f>
        <v/>
      </c>
      <c r="C706" s="8" t="n">
        <v>900004069</v>
      </c>
      <c r="D706" s="7">
        <f>IFERROR(VLOOKUP(C706,TRAOPE!$G:$H,2,0),"")</f>
        <v/>
      </c>
      <c r="E706" s="8" t="inlineStr">
        <is>
          <t>DW70</t>
        </is>
      </c>
      <c r="F706" s="8" t="inlineStr">
        <is>
          <t>D083</t>
        </is>
      </c>
      <c r="G706" s="8">
        <f>IFERROR(VLOOKUP(A706,Flete!$A:$E,5,0),"")</f>
        <v/>
      </c>
      <c r="H706" s="7">
        <f>IFERROR(VLOOKUP(F706,TRAOPE!$AA:$AB,2,0),"")</f>
        <v/>
      </c>
      <c r="I706" s="7" t="n">
        <v>10059180</v>
      </c>
      <c r="J706" s="7">
        <f>IFERROR(VLOOKUP(I706,Materiales!$A:$H,8,0),"")</f>
        <v/>
      </c>
      <c r="K706" s="9">
        <f>IFERROR(VLOOKUP(I706,Materiales!$A:$G,7,0),"")</f>
        <v/>
      </c>
      <c r="L706" s="8" t="inlineStr">
        <is>
          <t>20230501</t>
        </is>
      </c>
      <c r="M706" s="8" t="inlineStr">
        <is>
          <t>20250131</t>
        </is>
      </c>
      <c r="N706" s="10" t="n">
        <v>50.49</v>
      </c>
      <c r="O706" s="10">
        <f>IFERROR(VLOOKUP(A706,Flete!$A:$J,10,0),"")</f>
        <v/>
      </c>
      <c r="P706" s="8" t="inlineStr">
        <is>
          <t>TN</t>
        </is>
      </c>
      <c r="Q706" s="10">
        <f>IFERROR(IFERROR(VLOOKUP(A706,TRAOPE!$A:$U,21,0),VLOOKUP(B706,TRAOPE!$A:$U,21,0)),"")</f>
        <v/>
      </c>
      <c r="R706" s="8">
        <f>IFERROR(IFERROR(VLOOKUP(A706,TRAOPE!$A:$W,23,0),VLOOKUP(B706,TRAOPE!$A:$W,23,0)),"")</f>
        <v/>
      </c>
      <c r="S706" s="10">
        <f>IF(AND(P706="TN",R706="TN"),N706+N(O706),IF(G706&amp;""="1",N(K706)*N706,(N706+N(O706))*N(K706)))</f>
        <v/>
      </c>
      <c r="T706" s="10">
        <f>IF(Q706="","",Q706-S706)</f>
        <v/>
      </c>
    </row>
    <row r="707">
      <c r="A707" s="7">
        <f>CONCATENATE(C707,E707,F707,I707)</f>
        <v/>
      </c>
      <c r="B707" s="7">
        <f>CONCATENATE(C707,E707,I707)</f>
        <v/>
      </c>
      <c r="C707" s="8" t="n">
        <v>900004069</v>
      </c>
      <c r="D707" s="7">
        <f>IFERROR(VLOOKUP(C707,TRAOPE!$G:$H,2,0),"")</f>
        <v/>
      </c>
      <c r="E707" s="8" t="inlineStr">
        <is>
          <t>DW70</t>
        </is>
      </c>
      <c r="F707" s="8" t="inlineStr">
        <is>
          <t>D084</t>
        </is>
      </c>
      <c r="G707" s="8">
        <f>IFERROR(VLOOKUP(A707,Flete!$A:$E,5,0),"")</f>
        <v/>
      </c>
      <c r="H707" s="7">
        <f>IFERROR(VLOOKUP(F707,TRAOPE!$AA:$AB,2,0),"")</f>
        <v/>
      </c>
      <c r="I707" s="7" t="n">
        <v>10000623</v>
      </c>
      <c r="J707" s="7">
        <f>IFERROR(VLOOKUP(I707,Materiales!$A:$H,8,0),"")</f>
        <v/>
      </c>
      <c r="K707" s="9">
        <f>IFERROR(VLOOKUP(I707,Materiales!$A:$G,7,0),"")</f>
        <v/>
      </c>
      <c r="L707" s="8" t="inlineStr">
        <is>
          <t>20230501</t>
        </is>
      </c>
      <c r="M707" s="8" t="inlineStr">
        <is>
          <t>20250131</t>
        </is>
      </c>
      <c r="N707" s="10" t="n">
        <v>100.46</v>
      </c>
      <c r="O707" s="10">
        <f>IFERROR(VLOOKUP(A707,Flete!$A:$J,10,0),"")</f>
        <v/>
      </c>
      <c r="P707" s="8" t="inlineStr">
        <is>
          <t>TN</t>
        </is>
      </c>
      <c r="Q707" s="10">
        <f>IFERROR(IFERROR(VLOOKUP(A707,TRAOPE!$A:$U,21,0),VLOOKUP(B707,TRAOPE!$A:$U,21,0)),"")</f>
        <v/>
      </c>
      <c r="R707" s="8">
        <f>IFERROR(IFERROR(VLOOKUP(A707,TRAOPE!$A:$W,23,0),VLOOKUP(B707,TRAOPE!$A:$W,23,0)),"")</f>
        <v/>
      </c>
      <c r="S707" s="10">
        <f>IF(AND(P707="TN",R707="TN"),N707+N(O707),IF(G707&amp;""="1",N(K707)*N707,(N707+N(O707))*N(K707)))</f>
        <v/>
      </c>
      <c r="T707" s="10">
        <f>IF(Q707="","",Q707-S707)</f>
        <v/>
      </c>
    </row>
    <row r="708">
      <c r="A708" s="7">
        <f>CONCATENATE(C708,E708,F708,I708)</f>
        <v/>
      </c>
      <c r="B708" s="7">
        <f>CONCATENATE(C708,E708,I708)</f>
        <v/>
      </c>
      <c r="C708" s="8" t="n">
        <v>900004069</v>
      </c>
      <c r="D708" s="7">
        <f>IFERROR(VLOOKUP(C708,TRAOPE!$G:$H,2,0),"")</f>
        <v/>
      </c>
      <c r="E708" s="8" t="inlineStr">
        <is>
          <t>DW70</t>
        </is>
      </c>
      <c r="F708" s="8" t="inlineStr">
        <is>
          <t>D084</t>
        </is>
      </c>
      <c r="G708" s="8">
        <f>IFERROR(VLOOKUP(A708,Flete!$A:$E,5,0),"")</f>
        <v/>
      </c>
      <c r="H708" s="7">
        <f>IFERROR(VLOOKUP(F708,TRAOPE!$AA:$AB,2,0),"")</f>
        <v/>
      </c>
      <c r="I708" s="7" t="n">
        <v>10059180</v>
      </c>
      <c r="J708" s="7">
        <f>IFERROR(VLOOKUP(I708,Materiales!$A:$H,8,0),"")</f>
        <v/>
      </c>
      <c r="K708" s="9">
        <f>IFERROR(VLOOKUP(I708,Materiales!$A:$G,7,0),"")</f>
        <v/>
      </c>
      <c r="L708" s="8" t="inlineStr">
        <is>
          <t>20230501</t>
        </is>
      </c>
      <c r="M708" s="8" t="inlineStr">
        <is>
          <t>20250131</t>
        </is>
      </c>
      <c r="N708" s="10" t="n">
        <v>50.49</v>
      </c>
      <c r="O708" s="10">
        <f>IFERROR(VLOOKUP(A708,Flete!$A:$J,10,0),"")</f>
        <v/>
      </c>
      <c r="P708" s="8" t="inlineStr">
        <is>
          <t>TN</t>
        </is>
      </c>
      <c r="Q708" s="10">
        <f>IFERROR(IFERROR(VLOOKUP(A708,TRAOPE!$A:$U,21,0),VLOOKUP(B708,TRAOPE!$A:$U,21,0)),"")</f>
        <v/>
      </c>
      <c r="R708" s="8">
        <f>IFERROR(IFERROR(VLOOKUP(A708,TRAOPE!$A:$W,23,0),VLOOKUP(B708,TRAOPE!$A:$W,23,0)),"")</f>
        <v/>
      </c>
      <c r="S708" s="10">
        <f>IF(AND(P708="TN",R708="TN"),N708+N(O708),IF(G708&amp;""="1",N(K708)*N708,(N708+N(O708))*N(K708)))</f>
        <v/>
      </c>
      <c r="T708" s="10">
        <f>IF(Q708="","",Q708-S708)</f>
        <v/>
      </c>
    </row>
    <row r="709">
      <c r="A709" s="7">
        <f>CONCATENATE(C709,E709,F709,I709)</f>
        <v/>
      </c>
      <c r="B709" s="7">
        <f>CONCATENATE(C709,E709,I709)</f>
        <v/>
      </c>
      <c r="C709" s="8" t="n">
        <v>900004069</v>
      </c>
      <c r="D709" s="7">
        <f>IFERROR(VLOOKUP(C709,TRAOPE!$G:$H,2,0),"")</f>
        <v/>
      </c>
      <c r="E709" s="8" t="inlineStr">
        <is>
          <t>DW70</t>
        </is>
      </c>
      <c r="F709" s="8" t="inlineStr">
        <is>
          <t>D085</t>
        </is>
      </c>
      <c r="G709" s="8">
        <f>IFERROR(VLOOKUP(A709,Flete!$A:$E,5,0),"")</f>
        <v/>
      </c>
      <c r="H709" s="7">
        <f>IFERROR(VLOOKUP(F709,TRAOPE!$AA:$AB,2,0),"")</f>
        <v/>
      </c>
      <c r="I709" s="7" t="n">
        <v>10000623</v>
      </c>
      <c r="J709" s="7">
        <f>IFERROR(VLOOKUP(I709,Materiales!$A:$H,8,0),"")</f>
        <v/>
      </c>
      <c r="K709" s="9">
        <f>IFERROR(VLOOKUP(I709,Materiales!$A:$G,7,0),"")</f>
        <v/>
      </c>
      <c r="L709" s="8" t="inlineStr">
        <is>
          <t>20230501</t>
        </is>
      </c>
      <c r="M709" s="8" t="inlineStr">
        <is>
          <t>20250131</t>
        </is>
      </c>
      <c r="N709" s="10" t="n">
        <v>100.46</v>
      </c>
      <c r="O709" s="10">
        <f>IFERROR(VLOOKUP(A709,Flete!$A:$J,10,0),"")</f>
        <v/>
      </c>
      <c r="P709" s="8" t="inlineStr">
        <is>
          <t>TN</t>
        </is>
      </c>
      <c r="Q709" s="10">
        <f>IFERROR(IFERROR(VLOOKUP(A709,TRAOPE!$A:$U,21,0),VLOOKUP(B709,TRAOPE!$A:$U,21,0)),"")</f>
        <v/>
      </c>
      <c r="R709" s="8">
        <f>IFERROR(IFERROR(VLOOKUP(A709,TRAOPE!$A:$W,23,0),VLOOKUP(B709,TRAOPE!$A:$W,23,0)),"")</f>
        <v/>
      </c>
      <c r="S709" s="10">
        <f>IF(AND(P709="TN",R709="TN"),N709+N(O709),IF(G709&amp;""="1",N(K709)*N709,(N709+N(O709))*N(K709)))</f>
        <v/>
      </c>
      <c r="T709" s="10">
        <f>IF(Q709="","",Q709-S709)</f>
        <v/>
      </c>
    </row>
    <row r="710">
      <c r="A710" s="7">
        <f>CONCATENATE(C710,E710,F710,I710)</f>
        <v/>
      </c>
      <c r="B710" s="7">
        <f>CONCATENATE(C710,E710,I710)</f>
        <v/>
      </c>
      <c r="C710" s="8" t="n">
        <v>900004069</v>
      </c>
      <c r="D710" s="7">
        <f>IFERROR(VLOOKUP(C710,TRAOPE!$G:$H,2,0),"")</f>
        <v/>
      </c>
      <c r="E710" s="8" t="inlineStr">
        <is>
          <t>DW70</t>
        </is>
      </c>
      <c r="F710" s="8" t="inlineStr">
        <is>
          <t>D085</t>
        </is>
      </c>
      <c r="G710" s="8">
        <f>IFERROR(VLOOKUP(A710,Flete!$A:$E,5,0),"")</f>
        <v/>
      </c>
      <c r="H710" s="7">
        <f>IFERROR(VLOOKUP(F710,TRAOPE!$AA:$AB,2,0),"")</f>
        <v/>
      </c>
      <c r="I710" s="7" t="n">
        <v>10059180</v>
      </c>
      <c r="J710" s="7">
        <f>IFERROR(VLOOKUP(I710,Materiales!$A:$H,8,0),"")</f>
        <v/>
      </c>
      <c r="K710" s="9">
        <f>IFERROR(VLOOKUP(I710,Materiales!$A:$G,7,0),"")</f>
        <v/>
      </c>
      <c r="L710" s="8" t="inlineStr">
        <is>
          <t>20230501</t>
        </is>
      </c>
      <c r="M710" s="8" t="inlineStr">
        <is>
          <t>20250131</t>
        </is>
      </c>
      <c r="N710" s="10" t="n">
        <v>50.49</v>
      </c>
      <c r="O710" s="10">
        <f>IFERROR(VLOOKUP(A710,Flete!$A:$J,10,0),"")</f>
        <v/>
      </c>
      <c r="P710" s="8" t="inlineStr">
        <is>
          <t>TN</t>
        </is>
      </c>
      <c r="Q710" s="10">
        <f>IFERROR(IFERROR(VLOOKUP(A710,TRAOPE!$A:$U,21,0),VLOOKUP(B710,TRAOPE!$A:$U,21,0)),"")</f>
        <v/>
      </c>
      <c r="R710" s="8">
        <f>IFERROR(IFERROR(VLOOKUP(A710,TRAOPE!$A:$W,23,0),VLOOKUP(B710,TRAOPE!$A:$W,23,0)),"")</f>
        <v/>
      </c>
      <c r="S710" s="10">
        <f>IF(AND(P710="TN",R710="TN"),N710+N(O710),IF(G710&amp;""="1",N(K710)*N710,(N710+N(O710))*N(K710)))</f>
        <v/>
      </c>
      <c r="T710" s="10">
        <f>IF(Q710="","",Q710-S710)</f>
        <v/>
      </c>
    </row>
    <row r="711">
      <c r="A711" s="7">
        <f>CONCATENATE(C711,E711,F711,I711)</f>
        <v/>
      </c>
      <c r="B711" s="7">
        <f>CONCATENATE(C711,E711,I711)</f>
        <v/>
      </c>
      <c r="C711" s="8" t="n">
        <v>900004069</v>
      </c>
      <c r="D711" s="7">
        <f>IFERROR(VLOOKUP(C711,TRAOPE!$G:$H,2,0),"")</f>
        <v/>
      </c>
      <c r="E711" s="8" t="inlineStr">
        <is>
          <t>DW70</t>
        </is>
      </c>
      <c r="F711" s="8" t="inlineStr">
        <is>
          <t>D086</t>
        </is>
      </c>
      <c r="G711" s="8">
        <f>IFERROR(VLOOKUP(A711,Flete!$A:$E,5,0),"")</f>
        <v/>
      </c>
      <c r="H711" s="7">
        <f>IFERROR(VLOOKUP(F711,TRAOPE!$AA:$AB,2,0),"")</f>
        <v/>
      </c>
      <c r="I711" s="7" t="n">
        <v>10000623</v>
      </c>
      <c r="J711" s="7">
        <f>IFERROR(VLOOKUP(I711,Materiales!$A:$H,8,0),"")</f>
        <v/>
      </c>
      <c r="K711" s="9">
        <f>IFERROR(VLOOKUP(I711,Materiales!$A:$G,7,0),"")</f>
        <v/>
      </c>
      <c r="L711" s="8" t="inlineStr">
        <is>
          <t>20230501</t>
        </is>
      </c>
      <c r="M711" s="8" t="inlineStr">
        <is>
          <t>20250131</t>
        </is>
      </c>
      <c r="N711" s="10" t="n">
        <v>100.46</v>
      </c>
      <c r="O711" s="10">
        <f>IFERROR(VLOOKUP(A711,Flete!$A:$J,10,0),"")</f>
        <v/>
      </c>
      <c r="P711" s="8" t="inlineStr">
        <is>
          <t>TN</t>
        </is>
      </c>
      <c r="Q711" s="10">
        <f>IFERROR(IFERROR(VLOOKUP(A711,TRAOPE!$A:$U,21,0),VLOOKUP(B711,TRAOPE!$A:$U,21,0)),"")</f>
        <v/>
      </c>
      <c r="R711" s="8">
        <f>IFERROR(IFERROR(VLOOKUP(A711,TRAOPE!$A:$W,23,0),VLOOKUP(B711,TRAOPE!$A:$W,23,0)),"")</f>
        <v/>
      </c>
      <c r="S711" s="10">
        <f>IF(AND(P711="TN",R711="TN"),N711+N(O711),IF(G711&amp;""="1",N(K711)*N711,(N711+N(O711))*N(K711)))</f>
        <v/>
      </c>
      <c r="T711" s="10">
        <f>IF(Q711="","",Q711-S711)</f>
        <v/>
      </c>
    </row>
    <row r="712">
      <c r="A712" s="7">
        <f>CONCATENATE(C712,E712,F712,I712)</f>
        <v/>
      </c>
      <c r="B712" s="7">
        <f>CONCATENATE(C712,E712,I712)</f>
        <v/>
      </c>
      <c r="C712" s="8" t="n">
        <v>900004069</v>
      </c>
      <c r="D712" s="7">
        <f>IFERROR(VLOOKUP(C712,TRAOPE!$G:$H,2,0),"")</f>
        <v/>
      </c>
      <c r="E712" s="8" t="inlineStr">
        <is>
          <t>DW70</t>
        </is>
      </c>
      <c r="F712" s="8" t="inlineStr">
        <is>
          <t>D086</t>
        </is>
      </c>
      <c r="G712" s="8">
        <f>IFERROR(VLOOKUP(A712,Flete!$A:$E,5,0),"")</f>
        <v/>
      </c>
      <c r="H712" s="7">
        <f>IFERROR(VLOOKUP(F712,TRAOPE!$AA:$AB,2,0),"")</f>
        <v/>
      </c>
      <c r="I712" s="7" t="n">
        <v>10059180</v>
      </c>
      <c r="J712" s="7">
        <f>IFERROR(VLOOKUP(I712,Materiales!$A:$H,8,0),"")</f>
        <v/>
      </c>
      <c r="K712" s="9">
        <f>IFERROR(VLOOKUP(I712,Materiales!$A:$G,7,0),"")</f>
        <v/>
      </c>
      <c r="L712" s="8" t="inlineStr">
        <is>
          <t>20230501</t>
        </is>
      </c>
      <c r="M712" s="8" t="inlineStr">
        <is>
          <t>20250131</t>
        </is>
      </c>
      <c r="N712" s="10" t="n">
        <v>50.49</v>
      </c>
      <c r="O712" s="10">
        <f>IFERROR(VLOOKUP(A712,Flete!$A:$J,10,0),"")</f>
        <v/>
      </c>
      <c r="P712" s="8" t="inlineStr">
        <is>
          <t>TN</t>
        </is>
      </c>
      <c r="Q712" s="10">
        <f>IFERROR(IFERROR(VLOOKUP(A712,TRAOPE!$A:$U,21,0),VLOOKUP(B712,TRAOPE!$A:$U,21,0)),"")</f>
        <v/>
      </c>
      <c r="R712" s="8">
        <f>IFERROR(IFERROR(VLOOKUP(A712,TRAOPE!$A:$W,23,0),VLOOKUP(B712,TRAOPE!$A:$W,23,0)),"")</f>
        <v/>
      </c>
      <c r="S712" s="10">
        <f>IF(AND(P712="TN",R712="TN"),N712+N(O712),IF(G712&amp;""="1",N(K712)*N712,(N712+N(O712))*N(K712)))</f>
        <v/>
      </c>
      <c r="T712" s="10">
        <f>IF(Q712="","",Q712-S712)</f>
        <v/>
      </c>
    </row>
    <row r="713">
      <c r="A713" s="7">
        <f>CONCATENATE(C713,E713,F713,I713)</f>
        <v/>
      </c>
      <c r="B713" s="7">
        <f>CONCATENATE(C713,E713,I713)</f>
        <v/>
      </c>
      <c r="C713" s="8" t="n">
        <v>900004069</v>
      </c>
      <c r="D713" s="7">
        <f>IFERROR(VLOOKUP(C713,TRAOPE!$G:$H,2,0),"")</f>
        <v/>
      </c>
      <c r="E713" s="8" t="inlineStr">
        <is>
          <t>DW70</t>
        </is>
      </c>
      <c r="F713" s="8" t="inlineStr">
        <is>
          <t>D088</t>
        </is>
      </c>
      <c r="G713" s="8">
        <f>IFERROR(VLOOKUP(A713,Flete!$A:$E,5,0),"")</f>
        <v/>
      </c>
      <c r="H713" s="7">
        <f>IFERROR(VLOOKUP(F713,TRAOPE!$AA:$AB,2,0),"")</f>
        <v/>
      </c>
      <c r="I713" s="7" t="n">
        <v>10000623</v>
      </c>
      <c r="J713" s="7">
        <f>IFERROR(VLOOKUP(I713,Materiales!$A:$H,8,0),"")</f>
        <v/>
      </c>
      <c r="K713" s="9">
        <f>IFERROR(VLOOKUP(I713,Materiales!$A:$G,7,0),"")</f>
        <v/>
      </c>
      <c r="L713" s="8" t="inlineStr">
        <is>
          <t>20230501</t>
        </is>
      </c>
      <c r="M713" s="8" t="inlineStr">
        <is>
          <t>20250131</t>
        </is>
      </c>
      <c r="N713" s="10" t="n">
        <v>100.46</v>
      </c>
      <c r="O713" s="10">
        <f>IFERROR(VLOOKUP(A713,Flete!$A:$J,10,0),"")</f>
        <v/>
      </c>
      <c r="P713" s="8" t="inlineStr">
        <is>
          <t>TN</t>
        </is>
      </c>
      <c r="Q713" s="10">
        <f>IFERROR(IFERROR(VLOOKUP(A713,TRAOPE!$A:$U,21,0),VLOOKUP(B713,TRAOPE!$A:$U,21,0)),"")</f>
        <v/>
      </c>
      <c r="R713" s="8">
        <f>IFERROR(IFERROR(VLOOKUP(A713,TRAOPE!$A:$W,23,0),VLOOKUP(B713,TRAOPE!$A:$W,23,0)),"")</f>
        <v/>
      </c>
      <c r="S713" s="10">
        <f>IF(AND(P713="TN",R713="TN"),N713+N(O713),IF(G713&amp;""="1",N(K713)*N713,(N713+N(O713))*N(K713)))</f>
        <v/>
      </c>
      <c r="T713" s="10">
        <f>IF(Q713="","",Q713-S713)</f>
        <v/>
      </c>
    </row>
    <row r="714">
      <c r="A714" s="7">
        <f>CONCATENATE(C714,E714,F714,I714)</f>
        <v/>
      </c>
      <c r="B714" s="7">
        <f>CONCATENATE(C714,E714,I714)</f>
        <v/>
      </c>
      <c r="C714" s="8" t="n">
        <v>900004069</v>
      </c>
      <c r="D714" s="7">
        <f>IFERROR(VLOOKUP(C714,TRAOPE!$G:$H,2,0),"")</f>
        <v/>
      </c>
      <c r="E714" s="8" t="inlineStr">
        <is>
          <t>DW70</t>
        </is>
      </c>
      <c r="F714" s="8" t="inlineStr">
        <is>
          <t>D088</t>
        </is>
      </c>
      <c r="G714" s="8">
        <f>IFERROR(VLOOKUP(A714,Flete!$A:$E,5,0),"")</f>
        <v/>
      </c>
      <c r="H714" s="7">
        <f>IFERROR(VLOOKUP(F714,TRAOPE!$AA:$AB,2,0),"")</f>
        <v/>
      </c>
      <c r="I714" s="7" t="n">
        <v>10059180</v>
      </c>
      <c r="J714" s="7">
        <f>IFERROR(VLOOKUP(I714,Materiales!$A:$H,8,0),"")</f>
        <v/>
      </c>
      <c r="K714" s="9">
        <f>IFERROR(VLOOKUP(I714,Materiales!$A:$G,7,0),"")</f>
        <v/>
      </c>
      <c r="L714" s="8" t="inlineStr">
        <is>
          <t>20230501</t>
        </is>
      </c>
      <c r="M714" s="8" t="inlineStr">
        <is>
          <t>20250131</t>
        </is>
      </c>
      <c r="N714" s="10" t="n">
        <v>50.49</v>
      </c>
      <c r="O714" s="10">
        <f>IFERROR(VLOOKUP(A714,Flete!$A:$J,10,0),"")</f>
        <v/>
      </c>
      <c r="P714" s="8" t="inlineStr">
        <is>
          <t>TN</t>
        </is>
      </c>
      <c r="Q714" s="10">
        <f>IFERROR(IFERROR(VLOOKUP(A714,TRAOPE!$A:$U,21,0),VLOOKUP(B714,TRAOPE!$A:$U,21,0)),"")</f>
        <v/>
      </c>
      <c r="R714" s="8">
        <f>IFERROR(IFERROR(VLOOKUP(A714,TRAOPE!$A:$W,23,0),VLOOKUP(B714,TRAOPE!$A:$W,23,0)),"")</f>
        <v/>
      </c>
      <c r="S714" s="10">
        <f>IF(AND(P714="TN",R714="TN"),N714+N(O714),IF(G714&amp;""="1",N(K714)*N714,(N714+N(O714))*N(K714)))</f>
        <v/>
      </c>
      <c r="T714" s="10">
        <f>IF(Q714="","",Q714-S714)</f>
        <v/>
      </c>
    </row>
    <row r="715">
      <c r="A715" s="7">
        <f>CONCATENATE(C715,E715,F715,I715)</f>
        <v/>
      </c>
      <c r="B715" s="7">
        <f>CONCATENATE(C715,E715,I715)</f>
        <v/>
      </c>
      <c r="C715" s="8" t="n">
        <v>900004069</v>
      </c>
      <c r="D715" s="7">
        <f>IFERROR(VLOOKUP(C715,TRAOPE!$G:$H,2,0),"")</f>
        <v/>
      </c>
      <c r="E715" s="8" t="inlineStr">
        <is>
          <t>DW70</t>
        </is>
      </c>
      <c r="F715" s="8" t="inlineStr">
        <is>
          <t>D089</t>
        </is>
      </c>
      <c r="G715" s="8">
        <f>IFERROR(VLOOKUP(A715,Flete!$A:$E,5,0),"")</f>
        <v/>
      </c>
      <c r="H715" s="7">
        <f>IFERROR(VLOOKUP(F715,TRAOPE!$AA:$AB,2,0),"")</f>
        <v/>
      </c>
      <c r="I715" s="7" t="n">
        <v>10000623</v>
      </c>
      <c r="J715" s="7">
        <f>IFERROR(VLOOKUP(I715,Materiales!$A:$H,8,0),"")</f>
        <v/>
      </c>
      <c r="K715" s="9">
        <f>IFERROR(VLOOKUP(I715,Materiales!$A:$G,7,0),"")</f>
        <v/>
      </c>
      <c r="L715" s="8" t="inlineStr">
        <is>
          <t>20230501</t>
        </is>
      </c>
      <c r="M715" s="8" t="inlineStr">
        <is>
          <t>20250131</t>
        </is>
      </c>
      <c r="N715" s="10" t="n">
        <v>100.46</v>
      </c>
      <c r="O715" s="10">
        <f>IFERROR(VLOOKUP(A715,Flete!$A:$J,10,0),"")</f>
        <v/>
      </c>
      <c r="P715" s="8" t="inlineStr">
        <is>
          <t>TN</t>
        </is>
      </c>
      <c r="Q715" s="10">
        <f>IFERROR(IFERROR(VLOOKUP(A715,TRAOPE!$A:$U,21,0),VLOOKUP(B715,TRAOPE!$A:$U,21,0)),"")</f>
        <v/>
      </c>
      <c r="R715" s="8">
        <f>IFERROR(IFERROR(VLOOKUP(A715,TRAOPE!$A:$W,23,0),VLOOKUP(B715,TRAOPE!$A:$W,23,0)),"")</f>
        <v/>
      </c>
      <c r="S715" s="10">
        <f>IF(AND(P715="TN",R715="TN"),N715+N(O715),IF(G715&amp;""="1",N(K715)*N715,(N715+N(O715))*N(K715)))</f>
        <v/>
      </c>
      <c r="T715" s="10">
        <f>IF(Q715="","",Q715-S715)</f>
        <v/>
      </c>
    </row>
    <row r="716">
      <c r="A716" s="7">
        <f>CONCATENATE(C716,E716,F716,I716)</f>
        <v/>
      </c>
      <c r="B716" s="7">
        <f>CONCATENATE(C716,E716,I716)</f>
        <v/>
      </c>
      <c r="C716" s="8" t="n">
        <v>900004069</v>
      </c>
      <c r="D716" s="7">
        <f>IFERROR(VLOOKUP(C716,TRAOPE!$G:$H,2,0),"")</f>
        <v/>
      </c>
      <c r="E716" s="8" t="inlineStr">
        <is>
          <t>DW70</t>
        </is>
      </c>
      <c r="F716" s="8" t="inlineStr">
        <is>
          <t>D089</t>
        </is>
      </c>
      <c r="G716" s="8">
        <f>IFERROR(VLOOKUP(A716,Flete!$A:$E,5,0),"")</f>
        <v/>
      </c>
      <c r="H716" s="7">
        <f>IFERROR(VLOOKUP(F716,TRAOPE!$AA:$AB,2,0),"")</f>
        <v/>
      </c>
      <c r="I716" s="7" t="n">
        <v>10059180</v>
      </c>
      <c r="J716" s="7">
        <f>IFERROR(VLOOKUP(I716,Materiales!$A:$H,8,0),"")</f>
        <v/>
      </c>
      <c r="K716" s="9">
        <f>IFERROR(VLOOKUP(I716,Materiales!$A:$G,7,0),"")</f>
        <v/>
      </c>
      <c r="L716" s="8" t="inlineStr">
        <is>
          <t>20230501</t>
        </is>
      </c>
      <c r="M716" s="8" t="inlineStr">
        <is>
          <t>20250131</t>
        </is>
      </c>
      <c r="N716" s="10" t="n">
        <v>50.49</v>
      </c>
      <c r="O716" s="10">
        <f>IFERROR(VLOOKUP(A716,Flete!$A:$J,10,0),"")</f>
        <v/>
      </c>
      <c r="P716" s="8" t="inlineStr">
        <is>
          <t>TN</t>
        </is>
      </c>
      <c r="Q716" s="10">
        <f>IFERROR(IFERROR(VLOOKUP(A716,TRAOPE!$A:$U,21,0),VLOOKUP(B716,TRAOPE!$A:$U,21,0)),"")</f>
        <v/>
      </c>
      <c r="R716" s="8">
        <f>IFERROR(IFERROR(VLOOKUP(A716,TRAOPE!$A:$W,23,0),VLOOKUP(B716,TRAOPE!$A:$W,23,0)),"")</f>
        <v/>
      </c>
      <c r="S716" s="10">
        <f>IF(AND(P716="TN",R716="TN"),N716+N(O716),IF(G716&amp;""="1",N(K716)*N716,(N716+N(O716))*N(K716)))</f>
        <v/>
      </c>
      <c r="T716" s="10">
        <f>IF(Q716="","",Q716-S716)</f>
        <v/>
      </c>
    </row>
    <row r="717">
      <c r="A717" s="7">
        <f>CONCATENATE(C717,E717,F717,I717)</f>
        <v/>
      </c>
      <c r="B717" s="7">
        <f>CONCATENATE(C717,E717,I717)</f>
        <v/>
      </c>
      <c r="C717" s="8" t="n">
        <v>900004069</v>
      </c>
      <c r="D717" s="7">
        <f>IFERROR(VLOOKUP(C717,TRAOPE!$G:$H,2,0),"")</f>
        <v/>
      </c>
      <c r="E717" s="8" t="inlineStr">
        <is>
          <t>DW70</t>
        </is>
      </c>
      <c r="F717" s="8" t="inlineStr">
        <is>
          <t>D098</t>
        </is>
      </c>
      <c r="G717" s="8">
        <f>IFERROR(VLOOKUP(A717,Flete!$A:$E,5,0),"")</f>
        <v/>
      </c>
      <c r="H717" s="7">
        <f>IFERROR(VLOOKUP(F717,TRAOPE!$AA:$AB,2,0),"")</f>
        <v/>
      </c>
      <c r="I717" s="7" t="n">
        <v>10000623</v>
      </c>
      <c r="J717" s="7">
        <f>IFERROR(VLOOKUP(I717,Materiales!$A:$H,8,0),"")</f>
        <v/>
      </c>
      <c r="K717" s="9">
        <f>IFERROR(VLOOKUP(I717,Materiales!$A:$G,7,0),"")</f>
        <v/>
      </c>
      <c r="L717" s="8" t="inlineStr">
        <is>
          <t>20230501</t>
        </is>
      </c>
      <c r="M717" s="8" t="inlineStr">
        <is>
          <t>20250131</t>
        </is>
      </c>
      <c r="N717" s="10" t="n">
        <v>100.46</v>
      </c>
      <c r="O717" s="10">
        <f>IFERROR(VLOOKUP(A717,Flete!$A:$J,10,0),"")</f>
        <v/>
      </c>
      <c r="P717" s="8" t="inlineStr">
        <is>
          <t>TN</t>
        </is>
      </c>
      <c r="Q717" s="10">
        <f>IFERROR(IFERROR(VLOOKUP(A717,TRAOPE!$A:$U,21,0),VLOOKUP(B717,TRAOPE!$A:$U,21,0)),"")</f>
        <v/>
      </c>
      <c r="R717" s="8">
        <f>IFERROR(IFERROR(VLOOKUP(A717,TRAOPE!$A:$W,23,0),VLOOKUP(B717,TRAOPE!$A:$W,23,0)),"")</f>
        <v/>
      </c>
      <c r="S717" s="10">
        <f>IF(AND(P717="TN",R717="TN"),N717+N(O717),IF(G717&amp;""="1",N(K717)*N717,(N717+N(O717))*N(K717)))</f>
        <v/>
      </c>
      <c r="T717" s="10">
        <f>IF(Q717="","",Q717-S717)</f>
        <v/>
      </c>
    </row>
    <row r="718">
      <c r="A718" s="7">
        <f>CONCATENATE(C718,E718,F718,I718)</f>
        <v/>
      </c>
      <c r="B718" s="7">
        <f>CONCATENATE(C718,E718,I718)</f>
        <v/>
      </c>
      <c r="C718" s="8" t="n">
        <v>900004069</v>
      </c>
      <c r="D718" s="7">
        <f>IFERROR(VLOOKUP(C718,TRAOPE!$G:$H,2,0),"")</f>
        <v/>
      </c>
      <c r="E718" s="8" t="inlineStr">
        <is>
          <t>DW70</t>
        </is>
      </c>
      <c r="F718" s="8" t="inlineStr">
        <is>
          <t>D098</t>
        </is>
      </c>
      <c r="G718" s="8">
        <f>IFERROR(VLOOKUP(A718,Flete!$A:$E,5,0),"")</f>
        <v/>
      </c>
      <c r="H718" s="7">
        <f>IFERROR(VLOOKUP(F718,TRAOPE!$AA:$AB,2,0),"")</f>
        <v/>
      </c>
      <c r="I718" s="7" t="n">
        <v>10059180</v>
      </c>
      <c r="J718" s="7">
        <f>IFERROR(VLOOKUP(I718,Materiales!$A:$H,8,0),"")</f>
        <v/>
      </c>
      <c r="K718" s="9">
        <f>IFERROR(VLOOKUP(I718,Materiales!$A:$G,7,0),"")</f>
        <v/>
      </c>
      <c r="L718" s="8" t="inlineStr">
        <is>
          <t>20230501</t>
        </is>
      </c>
      <c r="M718" s="8" t="inlineStr">
        <is>
          <t>20250131</t>
        </is>
      </c>
      <c r="N718" s="10" t="n">
        <v>50.49</v>
      </c>
      <c r="O718" s="10">
        <f>IFERROR(VLOOKUP(A718,Flete!$A:$J,10,0),"")</f>
        <v/>
      </c>
      <c r="P718" s="8" t="inlineStr">
        <is>
          <t>TN</t>
        </is>
      </c>
      <c r="Q718" s="10">
        <f>IFERROR(IFERROR(VLOOKUP(A718,TRAOPE!$A:$U,21,0),VLOOKUP(B718,TRAOPE!$A:$U,21,0)),"")</f>
        <v/>
      </c>
      <c r="R718" s="8">
        <f>IFERROR(IFERROR(VLOOKUP(A718,TRAOPE!$A:$W,23,0),VLOOKUP(B718,TRAOPE!$A:$W,23,0)),"")</f>
        <v/>
      </c>
      <c r="S718" s="10">
        <f>IF(AND(P718="TN",R718="TN"),N718+N(O718),IF(G718&amp;""="1",N(K718)*N718,(N718+N(O718))*N(K718)))</f>
        <v/>
      </c>
      <c r="T718" s="10">
        <f>IF(Q718="","",Q718-S718)</f>
        <v/>
      </c>
    </row>
    <row r="719">
      <c r="A719" s="7">
        <f>CONCATENATE(C719,E719,F719,I719)</f>
        <v/>
      </c>
      <c r="B719" s="7">
        <f>CONCATENATE(C719,E719,I719)</f>
        <v/>
      </c>
      <c r="C719" s="8" t="n">
        <v>900004069</v>
      </c>
      <c r="D719" s="7">
        <f>IFERROR(VLOOKUP(C719,TRAOPE!$G:$H,2,0),"")</f>
        <v/>
      </c>
      <c r="E719" s="8" t="inlineStr">
        <is>
          <t>DW70</t>
        </is>
      </c>
      <c r="F719" s="8" t="inlineStr">
        <is>
          <t>D105</t>
        </is>
      </c>
      <c r="G719" s="8">
        <f>IFERROR(VLOOKUP(A719,Flete!$A:$E,5,0),"")</f>
        <v/>
      </c>
      <c r="H719" s="7">
        <f>IFERROR(VLOOKUP(F719,TRAOPE!$AA:$AB,2,0),"")</f>
        <v/>
      </c>
      <c r="I719" s="7" t="n">
        <v>10000623</v>
      </c>
      <c r="J719" s="7">
        <f>IFERROR(VLOOKUP(I719,Materiales!$A:$H,8,0),"")</f>
        <v/>
      </c>
      <c r="K719" s="9">
        <f>IFERROR(VLOOKUP(I719,Materiales!$A:$G,7,0),"")</f>
        <v/>
      </c>
      <c r="L719" s="8" t="inlineStr">
        <is>
          <t>20230501</t>
        </is>
      </c>
      <c r="M719" s="8" t="inlineStr">
        <is>
          <t>20250131</t>
        </is>
      </c>
      <c r="N719" s="10" t="n">
        <v>100.46</v>
      </c>
      <c r="O719" s="10">
        <f>IFERROR(VLOOKUP(A719,Flete!$A:$J,10,0),"")</f>
        <v/>
      </c>
      <c r="P719" s="8" t="inlineStr">
        <is>
          <t>TN</t>
        </is>
      </c>
      <c r="Q719" s="10">
        <f>IFERROR(IFERROR(VLOOKUP(A719,TRAOPE!$A:$U,21,0),VLOOKUP(B719,TRAOPE!$A:$U,21,0)),"")</f>
        <v/>
      </c>
      <c r="R719" s="8">
        <f>IFERROR(IFERROR(VLOOKUP(A719,TRAOPE!$A:$W,23,0),VLOOKUP(B719,TRAOPE!$A:$W,23,0)),"")</f>
        <v/>
      </c>
      <c r="S719" s="10">
        <f>IF(AND(P719="TN",R719="TN"),N719+N(O719),IF(G719&amp;""="1",N(K719)*N719,(N719+N(O719))*N(K719)))</f>
        <v/>
      </c>
      <c r="T719" s="10">
        <f>IF(Q719="","",Q719-S719)</f>
        <v/>
      </c>
    </row>
    <row r="720">
      <c r="A720" s="7">
        <f>CONCATENATE(C720,E720,F720,I720)</f>
        <v/>
      </c>
      <c r="B720" s="7">
        <f>CONCATENATE(C720,E720,I720)</f>
        <v/>
      </c>
      <c r="C720" s="8" t="n">
        <v>900004069</v>
      </c>
      <c r="D720" s="7">
        <f>IFERROR(VLOOKUP(C720,TRAOPE!$G:$H,2,0),"")</f>
        <v/>
      </c>
      <c r="E720" s="8" t="inlineStr">
        <is>
          <t>DW70</t>
        </is>
      </c>
      <c r="F720" s="8" t="inlineStr">
        <is>
          <t>D105</t>
        </is>
      </c>
      <c r="G720" s="8">
        <f>IFERROR(VLOOKUP(A720,Flete!$A:$E,5,0),"")</f>
        <v/>
      </c>
      <c r="H720" s="7">
        <f>IFERROR(VLOOKUP(F720,TRAOPE!$AA:$AB,2,0),"")</f>
        <v/>
      </c>
      <c r="I720" s="7" t="n">
        <v>10059180</v>
      </c>
      <c r="J720" s="7">
        <f>IFERROR(VLOOKUP(I720,Materiales!$A:$H,8,0),"")</f>
        <v/>
      </c>
      <c r="K720" s="9">
        <f>IFERROR(VLOOKUP(I720,Materiales!$A:$G,7,0),"")</f>
        <v/>
      </c>
      <c r="L720" s="8" t="inlineStr">
        <is>
          <t>20230501</t>
        </is>
      </c>
      <c r="M720" s="8" t="inlineStr">
        <is>
          <t>20250131</t>
        </is>
      </c>
      <c r="N720" s="10" t="n">
        <v>50.49</v>
      </c>
      <c r="O720" s="10">
        <f>IFERROR(VLOOKUP(A720,Flete!$A:$J,10,0),"")</f>
        <v/>
      </c>
      <c r="P720" s="8" t="inlineStr">
        <is>
          <t>TN</t>
        </is>
      </c>
      <c r="Q720" s="10">
        <f>IFERROR(IFERROR(VLOOKUP(A720,TRAOPE!$A:$U,21,0),VLOOKUP(B720,TRAOPE!$A:$U,21,0)),"")</f>
        <v/>
      </c>
      <c r="R720" s="8">
        <f>IFERROR(IFERROR(VLOOKUP(A720,TRAOPE!$A:$W,23,0),VLOOKUP(B720,TRAOPE!$A:$W,23,0)),"")</f>
        <v/>
      </c>
      <c r="S720" s="10">
        <f>IF(AND(P720="TN",R720="TN"),N720+N(O720),IF(G720&amp;""="1",N(K720)*N720,(N720+N(O720))*N(K720)))</f>
        <v/>
      </c>
      <c r="T720" s="10">
        <f>IF(Q720="","",Q720-S720)</f>
        <v/>
      </c>
    </row>
    <row r="721">
      <c r="A721" s="7">
        <f>CONCATENATE(C721,E721,F721,I721)</f>
        <v/>
      </c>
      <c r="B721" s="7">
        <f>CONCATENATE(C721,E721,I721)</f>
        <v/>
      </c>
      <c r="C721" s="8" t="n">
        <v>900004069</v>
      </c>
      <c r="D721" s="7">
        <f>IFERROR(VLOOKUP(C721,TRAOPE!$G:$H,2,0),"")</f>
        <v/>
      </c>
      <c r="E721" s="8" t="inlineStr">
        <is>
          <t>DW70</t>
        </is>
      </c>
      <c r="F721" s="8" t="inlineStr">
        <is>
          <t>D136</t>
        </is>
      </c>
      <c r="G721" s="8">
        <f>IFERROR(VLOOKUP(A721,Flete!$A:$E,5,0),"")</f>
        <v/>
      </c>
      <c r="H721" s="7">
        <f>IFERROR(VLOOKUP(F721,TRAOPE!$AA:$AB,2,0),"")</f>
        <v/>
      </c>
      <c r="I721" s="7" t="n">
        <v>10000623</v>
      </c>
      <c r="J721" s="7">
        <f>IFERROR(VLOOKUP(I721,Materiales!$A:$H,8,0),"")</f>
        <v/>
      </c>
      <c r="K721" s="9">
        <f>IFERROR(VLOOKUP(I721,Materiales!$A:$G,7,0),"")</f>
        <v/>
      </c>
      <c r="L721" s="8" t="inlineStr">
        <is>
          <t>20230501</t>
        </is>
      </c>
      <c r="M721" s="8" t="inlineStr">
        <is>
          <t>20250131</t>
        </is>
      </c>
      <c r="N721" s="10" t="n">
        <v>100.46</v>
      </c>
      <c r="O721" s="10">
        <f>IFERROR(VLOOKUP(A721,Flete!$A:$J,10,0),"")</f>
        <v/>
      </c>
      <c r="P721" s="8" t="inlineStr">
        <is>
          <t>TN</t>
        </is>
      </c>
      <c r="Q721" s="10">
        <f>IFERROR(IFERROR(VLOOKUP(A721,TRAOPE!$A:$U,21,0),VLOOKUP(B721,TRAOPE!$A:$U,21,0)),"")</f>
        <v/>
      </c>
      <c r="R721" s="8">
        <f>IFERROR(IFERROR(VLOOKUP(A721,TRAOPE!$A:$W,23,0),VLOOKUP(B721,TRAOPE!$A:$W,23,0)),"")</f>
        <v/>
      </c>
      <c r="S721" s="10">
        <f>IF(AND(P721="TN",R721="TN"),N721+N(O721),IF(G721&amp;""="1",N(K721)*N721,(N721+N(O721))*N(K721)))</f>
        <v/>
      </c>
      <c r="T721" s="10">
        <f>IF(Q721="","",Q721-S721)</f>
        <v/>
      </c>
    </row>
    <row r="722">
      <c r="A722" s="7">
        <f>CONCATENATE(C722,E722,F722,I722)</f>
        <v/>
      </c>
      <c r="B722" s="7">
        <f>CONCATENATE(C722,E722,I722)</f>
        <v/>
      </c>
      <c r="C722" s="8" t="n">
        <v>900004069</v>
      </c>
      <c r="D722" s="7">
        <f>IFERROR(VLOOKUP(C722,TRAOPE!$G:$H,2,0),"")</f>
        <v/>
      </c>
      <c r="E722" s="8" t="inlineStr">
        <is>
          <t>DW70</t>
        </is>
      </c>
      <c r="F722" s="8" t="inlineStr">
        <is>
          <t>D136</t>
        </is>
      </c>
      <c r="G722" s="8">
        <f>IFERROR(VLOOKUP(A722,Flete!$A:$E,5,0),"")</f>
        <v/>
      </c>
      <c r="H722" s="7">
        <f>IFERROR(VLOOKUP(F722,TRAOPE!$AA:$AB,2,0),"")</f>
        <v/>
      </c>
      <c r="I722" s="7" t="n">
        <v>10059180</v>
      </c>
      <c r="J722" s="7">
        <f>IFERROR(VLOOKUP(I722,Materiales!$A:$H,8,0),"")</f>
        <v/>
      </c>
      <c r="K722" s="9">
        <f>IFERROR(VLOOKUP(I722,Materiales!$A:$G,7,0),"")</f>
        <v/>
      </c>
      <c r="L722" s="8" t="inlineStr">
        <is>
          <t>20230501</t>
        </is>
      </c>
      <c r="M722" s="8" t="inlineStr">
        <is>
          <t>20250131</t>
        </is>
      </c>
      <c r="N722" s="10" t="n">
        <v>50.49</v>
      </c>
      <c r="O722" s="10">
        <f>IFERROR(VLOOKUP(A722,Flete!$A:$J,10,0),"")</f>
        <v/>
      </c>
      <c r="P722" s="8" t="inlineStr">
        <is>
          <t>TN</t>
        </is>
      </c>
      <c r="Q722" s="10">
        <f>IFERROR(IFERROR(VLOOKUP(A722,TRAOPE!$A:$U,21,0),VLOOKUP(B722,TRAOPE!$A:$U,21,0)),"")</f>
        <v/>
      </c>
      <c r="R722" s="8">
        <f>IFERROR(IFERROR(VLOOKUP(A722,TRAOPE!$A:$W,23,0),VLOOKUP(B722,TRAOPE!$A:$W,23,0)),"")</f>
        <v/>
      </c>
      <c r="S722" s="10">
        <f>IF(AND(P722="TN",R722="TN"),N722+N(O722),IF(G722&amp;""="1",N(K722)*N722,(N722+N(O722))*N(K722)))</f>
        <v/>
      </c>
      <c r="T722" s="10">
        <f>IF(Q722="","",Q722-S722)</f>
        <v/>
      </c>
    </row>
    <row r="723">
      <c r="A723" s="7">
        <f>CONCATENATE(C723,E723,F723,I723)</f>
        <v/>
      </c>
      <c r="B723" s="7">
        <f>CONCATENATE(C723,E723,I723)</f>
        <v/>
      </c>
      <c r="C723" s="8" t="n">
        <v>900004069</v>
      </c>
      <c r="D723" s="7">
        <f>IFERROR(VLOOKUP(C723,TRAOPE!$G:$H,2,0),"")</f>
        <v/>
      </c>
      <c r="E723" s="8" t="inlineStr">
        <is>
          <t>DW70</t>
        </is>
      </c>
      <c r="F723" s="8" t="inlineStr">
        <is>
          <t>D145</t>
        </is>
      </c>
      <c r="G723" s="8">
        <f>IFERROR(VLOOKUP(A723,Flete!$A:$E,5,0),"")</f>
        <v/>
      </c>
      <c r="H723" s="7">
        <f>IFERROR(VLOOKUP(F723,TRAOPE!$AA:$AB,2,0),"")</f>
        <v/>
      </c>
      <c r="I723" s="7" t="n">
        <v>10000623</v>
      </c>
      <c r="J723" s="7">
        <f>IFERROR(VLOOKUP(I723,Materiales!$A:$H,8,0),"")</f>
        <v/>
      </c>
      <c r="K723" s="9">
        <f>IFERROR(VLOOKUP(I723,Materiales!$A:$G,7,0),"")</f>
        <v/>
      </c>
      <c r="L723" s="8" t="inlineStr">
        <is>
          <t>20230501</t>
        </is>
      </c>
      <c r="M723" s="8" t="inlineStr">
        <is>
          <t>20250131</t>
        </is>
      </c>
      <c r="N723" s="10" t="n">
        <v>100.46</v>
      </c>
      <c r="O723" s="10">
        <f>IFERROR(VLOOKUP(A723,Flete!$A:$J,10,0),"")</f>
        <v/>
      </c>
      <c r="P723" s="8" t="inlineStr">
        <is>
          <t>TN</t>
        </is>
      </c>
      <c r="Q723" s="10">
        <f>IFERROR(IFERROR(VLOOKUP(A723,TRAOPE!$A:$U,21,0),VLOOKUP(B723,TRAOPE!$A:$U,21,0)),"")</f>
        <v/>
      </c>
      <c r="R723" s="8">
        <f>IFERROR(IFERROR(VLOOKUP(A723,TRAOPE!$A:$W,23,0),VLOOKUP(B723,TRAOPE!$A:$W,23,0)),"")</f>
        <v/>
      </c>
      <c r="S723" s="10">
        <f>IF(AND(P723="TN",R723="TN"),N723+N(O723),IF(G723&amp;""="1",N(K723)*N723,(N723+N(O723))*N(K723)))</f>
        <v/>
      </c>
      <c r="T723" s="10">
        <f>IF(Q723="","",Q723-S723)</f>
        <v/>
      </c>
    </row>
    <row r="724">
      <c r="A724" s="7">
        <f>CONCATENATE(C724,E724,F724,I724)</f>
        <v/>
      </c>
      <c r="B724" s="7">
        <f>CONCATENATE(C724,E724,I724)</f>
        <v/>
      </c>
      <c r="C724" s="8" t="n">
        <v>900004069</v>
      </c>
      <c r="D724" s="7">
        <f>IFERROR(VLOOKUP(C724,TRAOPE!$G:$H,2,0),"")</f>
        <v/>
      </c>
      <c r="E724" s="8" t="inlineStr">
        <is>
          <t>DW70</t>
        </is>
      </c>
      <c r="F724" s="8" t="inlineStr">
        <is>
          <t>D145</t>
        </is>
      </c>
      <c r="G724" s="8">
        <f>IFERROR(VLOOKUP(A724,Flete!$A:$E,5,0),"")</f>
        <v/>
      </c>
      <c r="H724" s="7">
        <f>IFERROR(VLOOKUP(F724,TRAOPE!$AA:$AB,2,0),"")</f>
        <v/>
      </c>
      <c r="I724" s="7" t="n">
        <v>10059180</v>
      </c>
      <c r="J724" s="7">
        <f>IFERROR(VLOOKUP(I724,Materiales!$A:$H,8,0),"")</f>
        <v/>
      </c>
      <c r="K724" s="9">
        <f>IFERROR(VLOOKUP(I724,Materiales!$A:$G,7,0),"")</f>
        <v/>
      </c>
      <c r="L724" s="8" t="inlineStr">
        <is>
          <t>20230501</t>
        </is>
      </c>
      <c r="M724" s="8" t="inlineStr">
        <is>
          <t>20250131</t>
        </is>
      </c>
      <c r="N724" s="10" t="n">
        <v>50.49</v>
      </c>
      <c r="O724" s="10">
        <f>IFERROR(VLOOKUP(A724,Flete!$A:$J,10,0),"")</f>
        <v/>
      </c>
      <c r="P724" s="8" t="inlineStr">
        <is>
          <t>TN</t>
        </is>
      </c>
      <c r="Q724" s="10">
        <f>IFERROR(IFERROR(VLOOKUP(A724,TRAOPE!$A:$U,21,0),VLOOKUP(B724,TRAOPE!$A:$U,21,0)),"")</f>
        <v/>
      </c>
      <c r="R724" s="8">
        <f>IFERROR(IFERROR(VLOOKUP(A724,TRAOPE!$A:$W,23,0),VLOOKUP(B724,TRAOPE!$A:$W,23,0)),"")</f>
        <v/>
      </c>
      <c r="S724" s="10">
        <f>IF(AND(P724="TN",R724="TN"),N724+N(O724),IF(G724&amp;""="1",N(K724)*N724,(N724+N(O724))*N(K724)))</f>
        <v/>
      </c>
      <c r="T724" s="10">
        <f>IF(Q724="","",Q724-S724)</f>
        <v/>
      </c>
    </row>
    <row r="725">
      <c r="A725" s="7">
        <f>CONCATENATE(C725,E725,F725,I725)</f>
        <v/>
      </c>
      <c r="B725" s="7">
        <f>CONCATENATE(C725,E725,I725)</f>
        <v/>
      </c>
      <c r="C725" s="8" t="n">
        <v>900004090</v>
      </c>
      <c r="D725" s="7">
        <f>IFERROR(VLOOKUP(C725,TRAOPE!$G:$H,2,0),"")</f>
        <v/>
      </c>
      <c r="E725" s="8" t="inlineStr">
        <is>
          <t>DW70</t>
        </is>
      </c>
      <c r="F725" s="8" t="inlineStr">
        <is>
          <t>D074</t>
        </is>
      </c>
      <c r="G725" s="8">
        <f>IFERROR(VLOOKUP(A725,Flete!$A:$E,5,0),"")</f>
        <v/>
      </c>
      <c r="H725" s="7">
        <f>IFERROR(VLOOKUP(F725,TRAOPE!$AA:$AB,2,0),"")</f>
        <v/>
      </c>
      <c r="I725" s="7" t="n">
        <v>10000623</v>
      </c>
      <c r="J725" s="7">
        <f>IFERROR(VLOOKUP(I725,Materiales!$A:$H,8,0),"")</f>
        <v/>
      </c>
      <c r="K725" s="9">
        <f>IFERROR(VLOOKUP(I725,Materiales!$A:$G,7,0),"")</f>
        <v/>
      </c>
      <c r="L725" s="8" t="inlineStr">
        <is>
          <t>20230501</t>
        </is>
      </c>
      <c r="M725" s="8" t="inlineStr">
        <is>
          <t>20250131</t>
        </is>
      </c>
      <c r="N725" s="10" t="n">
        <v>95.73999999999999</v>
      </c>
      <c r="O725" s="10">
        <f>IFERROR(VLOOKUP(A725,Flete!$A:$J,10,0),"")</f>
        <v/>
      </c>
      <c r="P725" s="8" t="inlineStr">
        <is>
          <t>TN</t>
        </is>
      </c>
      <c r="Q725" s="10">
        <f>IFERROR(IFERROR(VLOOKUP(A725,TRAOPE!$A:$U,21,0),VLOOKUP(B725,TRAOPE!$A:$U,21,0)),"")</f>
        <v/>
      </c>
      <c r="R725" s="8">
        <f>IFERROR(IFERROR(VLOOKUP(A725,TRAOPE!$A:$W,23,0),VLOOKUP(B725,TRAOPE!$A:$W,23,0)),"")</f>
        <v/>
      </c>
      <c r="S725" s="10">
        <f>IF(AND(P725="TN",R725="TN"),N725+N(O725),IF(G725&amp;""="1",N(K725)*N725,(N725+N(O725))*N(K725)))</f>
        <v/>
      </c>
      <c r="T725" s="10">
        <f>IF(Q725="","",Q725-S725)</f>
        <v/>
      </c>
    </row>
    <row r="726">
      <c r="A726" s="7">
        <f>CONCATENATE(C726,E726,F726,I726)</f>
        <v/>
      </c>
      <c r="B726" s="7">
        <f>CONCATENATE(C726,E726,I726)</f>
        <v/>
      </c>
      <c r="C726" s="8" t="n">
        <v>900004090</v>
      </c>
      <c r="D726" s="7">
        <f>IFERROR(VLOOKUP(C726,TRAOPE!$G:$H,2,0),"")</f>
        <v/>
      </c>
      <c r="E726" s="8" t="inlineStr">
        <is>
          <t>DW70</t>
        </is>
      </c>
      <c r="F726" s="8" t="inlineStr">
        <is>
          <t>D077</t>
        </is>
      </c>
      <c r="G726" s="8">
        <f>IFERROR(VLOOKUP(A726,Flete!$A:$E,5,0),"")</f>
        <v/>
      </c>
      <c r="H726" s="7">
        <f>IFERROR(VLOOKUP(F726,TRAOPE!$AA:$AB,2,0),"")</f>
        <v/>
      </c>
      <c r="I726" s="7" t="n">
        <v>10000623</v>
      </c>
      <c r="J726" s="7">
        <f>IFERROR(VLOOKUP(I726,Materiales!$A:$H,8,0),"")</f>
        <v/>
      </c>
      <c r="K726" s="9">
        <f>IFERROR(VLOOKUP(I726,Materiales!$A:$G,7,0),"")</f>
        <v/>
      </c>
      <c r="L726" s="8" t="inlineStr">
        <is>
          <t>20230501</t>
        </is>
      </c>
      <c r="M726" s="8" t="inlineStr">
        <is>
          <t>20250131</t>
        </is>
      </c>
      <c r="N726" s="10" t="n">
        <v>95.73999999999999</v>
      </c>
      <c r="O726" s="10">
        <f>IFERROR(VLOOKUP(A726,Flete!$A:$J,10,0),"")</f>
        <v/>
      </c>
      <c r="P726" s="8" t="inlineStr">
        <is>
          <t>TN</t>
        </is>
      </c>
      <c r="Q726" s="10">
        <f>IFERROR(IFERROR(VLOOKUP(A726,TRAOPE!$A:$U,21,0),VLOOKUP(B726,TRAOPE!$A:$U,21,0)),"")</f>
        <v/>
      </c>
      <c r="R726" s="8">
        <f>IFERROR(IFERROR(VLOOKUP(A726,TRAOPE!$A:$W,23,0),VLOOKUP(B726,TRAOPE!$A:$W,23,0)),"")</f>
        <v/>
      </c>
      <c r="S726" s="10">
        <f>IF(AND(P726="TN",R726="TN"),N726+N(O726),IF(G726&amp;""="1",N(K726)*N726,(N726+N(O726))*N(K726)))</f>
        <v/>
      </c>
      <c r="T726" s="10">
        <f>IF(Q726="","",Q726-S726)</f>
        <v/>
      </c>
    </row>
    <row r="727">
      <c r="A727" s="7">
        <f>CONCATENATE(C727,E727,F727,I727)</f>
        <v/>
      </c>
      <c r="B727" s="7">
        <f>CONCATENATE(C727,E727,I727)</f>
        <v/>
      </c>
      <c r="C727" s="8" t="n">
        <v>900004090</v>
      </c>
      <c r="D727" s="7">
        <f>IFERROR(VLOOKUP(C727,TRAOPE!$G:$H,2,0),"")</f>
        <v/>
      </c>
      <c r="E727" s="8" t="inlineStr">
        <is>
          <t>DW70</t>
        </is>
      </c>
      <c r="F727" s="8" t="inlineStr">
        <is>
          <t>D079</t>
        </is>
      </c>
      <c r="G727" s="8">
        <f>IFERROR(VLOOKUP(A727,Flete!$A:$E,5,0),"")</f>
        <v/>
      </c>
      <c r="H727" s="7">
        <f>IFERROR(VLOOKUP(F727,TRAOPE!$AA:$AB,2,0),"")</f>
        <v/>
      </c>
      <c r="I727" s="7" t="n">
        <v>10000623</v>
      </c>
      <c r="J727" s="7">
        <f>IFERROR(VLOOKUP(I727,Materiales!$A:$H,8,0),"")</f>
        <v/>
      </c>
      <c r="K727" s="9">
        <f>IFERROR(VLOOKUP(I727,Materiales!$A:$G,7,0),"")</f>
        <v/>
      </c>
      <c r="L727" s="8" t="inlineStr">
        <is>
          <t>20230501</t>
        </is>
      </c>
      <c r="M727" s="8" t="inlineStr">
        <is>
          <t>20250131</t>
        </is>
      </c>
      <c r="N727" s="10" t="n">
        <v>95.73999999999999</v>
      </c>
      <c r="O727" s="10">
        <f>IFERROR(VLOOKUP(A727,Flete!$A:$J,10,0),"")</f>
        <v/>
      </c>
      <c r="P727" s="8" t="inlineStr">
        <is>
          <t>TN</t>
        </is>
      </c>
      <c r="Q727" s="10">
        <f>IFERROR(IFERROR(VLOOKUP(A727,TRAOPE!$A:$U,21,0),VLOOKUP(B727,TRAOPE!$A:$U,21,0)),"")</f>
        <v/>
      </c>
      <c r="R727" s="8">
        <f>IFERROR(IFERROR(VLOOKUP(A727,TRAOPE!$A:$W,23,0),VLOOKUP(B727,TRAOPE!$A:$W,23,0)),"")</f>
        <v/>
      </c>
      <c r="S727" s="10">
        <f>IF(AND(P727="TN",R727="TN"),N727+N(O727),IF(G727&amp;""="1",N(K727)*N727,(N727+N(O727))*N(K727)))</f>
        <v/>
      </c>
      <c r="T727" s="10">
        <f>IF(Q727="","",Q727-S727)</f>
        <v/>
      </c>
    </row>
    <row r="728">
      <c r="A728" s="7">
        <f>CONCATENATE(C728,E728,F728,I728)</f>
        <v/>
      </c>
      <c r="B728" s="7">
        <f>CONCATENATE(C728,E728,I728)</f>
        <v/>
      </c>
      <c r="C728" s="8" t="n">
        <v>900004090</v>
      </c>
      <c r="D728" s="7">
        <f>IFERROR(VLOOKUP(C728,TRAOPE!$G:$H,2,0),"")</f>
        <v/>
      </c>
      <c r="E728" s="8" t="inlineStr">
        <is>
          <t>DW70</t>
        </is>
      </c>
      <c r="F728" s="8" t="inlineStr">
        <is>
          <t>D081</t>
        </is>
      </c>
      <c r="G728" s="8">
        <f>IFERROR(VLOOKUP(A728,Flete!$A:$E,5,0),"")</f>
        <v/>
      </c>
      <c r="H728" s="7">
        <f>IFERROR(VLOOKUP(F728,TRAOPE!$AA:$AB,2,0),"")</f>
        <v/>
      </c>
      <c r="I728" s="7" t="n">
        <v>10000623</v>
      </c>
      <c r="J728" s="7">
        <f>IFERROR(VLOOKUP(I728,Materiales!$A:$H,8,0),"")</f>
        <v/>
      </c>
      <c r="K728" s="9">
        <f>IFERROR(VLOOKUP(I728,Materiales!$A:$G,7,0),"")</f>
        <v/>
      </c>
      <c r="L728" s="8" t="inlineStr">
        <is>
          <t>20230501</t>
        </is>
      </c>
      <c r="M728" s="8" t="inlineStr">
        <is>
          <t>20250131</t>
        </is>
      </c>
      <c r="N728" s="10" t="n">
        <v>95.73999999999999</v>
      </c>
      <c r="O728" s="10">
        <f>IFERROR(VLOOKUP(A728,Flete!$A:$J,10,0),"")</f>
        <v/>
      </c>
      <c r="P728" s="8" t="inlineStr">
        <is>
          <t>TN</t>
        </is>
      </c>
      <c r="Q728" s="10">
        <f>IFERROR(IFERROR(VLOOKUP(A728,TRAOPE!$A:$U,21,0),VLOOKUP(B728,TRAOPE!$A:$U,21,0)),"")</f>
        <v/>
      </c>
      <c r="R728" s="8">
        <f>IFERROR(IFERROR(VLOOKUP(A728,TRAOPE!$A:$W,23,0),VLOOKUP(B728,TRAOPE!$A:$W,23,0)),"")</f>
        <v/>
      </c>
      <c r="S728" s="10">
        <f>IF(AND(P728="TN",R728="TN"),N728+N(O728),IF(G728&amp;""="1",N(K728)*N728,(N728+N(O728))*N(K728)))</f>
        <v/>
      </c>
      <c r="T728" s="10">
        <f>IF(Q728="","",Q728-S728)</f>
        <v/>
      </c>
    </row>
    <row r="729">
      <c r="A729" s="7">
        <f>CONCATENATE(C729,E729,F729,I729)</f>
        <v/>
      </c>
      <c r="B729" s="7">
        <f>CONCATENATE(C729,E729,I729)</f>
        <v/>
      </c>
      <c r="C729" s="8" t="n">
        <v>900004090</v>
      </c>
      <c r="D729" s="7">
        <f>IFERROR(VLOOKUP(C729,TRAOPE!$G:$H,2,0),"")</f>
        <v/>
      </c>
      <c r="E729" s="8" t="inlineStr">
        <is>
          <t>DW70</t>
        </is>
      </c>
      <c r="F729" s="8" t="inlineStr">
        <is>
          <t>D083</t>
        </is>
      </c>
      <c r="G729" s="8">
        <f>IFERROR(VLOOKUP(A729,Flete!$A:$E,5,0),"")</f>
        <v/>
      </c>
      <c r="H729" s="7">
        <f>IFERROR(VLOOKUP(F729,TRAOPE!$AA:$AB,2,0),"")</f>
        <v/>
      </c>
      <c r="I729" s="7" t="n">
        <v>10000623</v>
      </c>
      <c r="J729" s="7">
        <f>IFERROR(VLOOKUP(I729,Materiales!$A:$H,8,0),"")</f>
        <v/>
      </c>
      <c r="K729" s="9">
        <f>IFERROR(VLOOKUP(I729,Materiales!$A:$G,7,0),"")</f>
        <v/>
      </c>
      <c r="L729" s="8" t="inlineStr">
        <is>
          <t>20230501</t>
        </is>
      </c>
      <c r="M729" s="8" t="inlineStr">
        <is>
          <t>20250131</t>
        </is>
      </c>
      <c r="N729" s="10" t="n">
        <v>95.73999999999999</v>
      </c>
      <c r="O729" s="10">
        <f>IFERROR(VLOOKUP(A729,Flete!$A:$J,10,0),"")</f>
        <v/>
      </c>
      <c r="P729" s="8" t="inlineStr">
        <is>
          <t>TN</t>
        </is>
      </c>
      <c r="Q729" s="10">
        <f>IFERROR(IFERROR(VLOOKUP(A729,TRAOPE!$A:$U,21,0),VLOOKUP(B729,TRAOPE!$A:$U,21,0)),"")</f>
        <v/>
      </c>
      <c r="R729" s="8">
        <f>IFERROR(IFERROR(VLOOKUP(A729,TRAOPE!$A:$W,23,0),VLOOKUP(B729,TRAOPE!$A:$W,23,0)),"")</f>
        <v/>
      </c>
      <c r="S729" s="10">
        <f>IF(AND(P729="TN",R729="TN"),N729+N(O729),IF(G729&amp;""="1",N(K729)*N729,(N729+N(O729))*N(K729)))</f>
        <v/>
      </c>
      <c r="T729" s="10">
        <f>IF(Q729="","",Q729-S729)</f>
        <v/>
      </c>
    </row>
    <row r="730">
      <c r="A730" s="7">
        <f>CONCATENATE(C730,E730,F730,I730)</f>
        <v/>
      </c>
      <c r="B730" s="7">
        <f>CONCATENATE(C730,E730,I730)</f>
        <v/>
      </c>
      <c r="C730" s="8" t="n">
        <v>900004090</v>
      </c>
      <c r="D730" s="7">
        <f>IFERROR(VLOOKUP(C730,TRAOPE!$G:$H,2,0),"")</f>
        <v/>
      </c>
      <c r="E730" s="8" t="inlineStr">
        <is>
          <t>DW70</t>
        </is>
      </c>
      <c r="F730" s="8" t="inlineStr">
        <is>
          <t>D084</t>
        </is>
      </c>
      <c r="G730" s="8">
        <f>IFERROR(VLOOKUP(A730,Flete!$A:$E,5,0),"")</f>
        <v/>
      </c>
      <c r="H730" s="7">
        <f>IFERROR(VLOOKUP(F730,TRAOPE!$AA:$AB,2,0),"")</f>
        <v/>
      </c>
      <c r="I730" s="7" t="n">
        <v>10000623</v>
      </c>
      <c r="J730" s="7">
        <f>IFERROR(VLOOKUP(I730,Materiales!$A:$H,8,0),"")</f>
        <v/>
      </c>
      <c r="K730" s="9">
        <f>IFERROR(VLOOKUP(I730,Materiales!$A:$G,7,0),"")</f>
        <v/>
      </c>
      <c r="L730" s="8" t="inlineStr">
        <is>
          <t>20230501</t>
        </is>
      </c>
      <c r="M730" s="8" t="inlineStr">
        <is>
          <t>20250131</t>
        </is>
      </c>
      <c r="N730" s="10" t="n">
        <v>95.73999999999999</v>
      </c>
      <c r="O730" s="10">
        <f>IFERROR(VLOOKUP(A730,Flete!$A:$J,10,0),"")</f>
        <v/>
      </c>
      <c r="P730" s="8" t="inlineStr">
        <is>
          <t>TN</t>
        </is>
      </c>
      <c r="Q730" s="10">
        <f>IFERROR(IFERROR(VLOOKUP(A730,TRAOPE!$A:$U,21,0),VLOOKUP(B730,TRAOPE!$A:$U,21,0)),"")</f>
        <v/>
      </c>
      <c r="R730" s="8">
        <f>IFERROR(IFERROR(VLOOKUP(A730,TRAOPE!$A:$W,23,0),VLOOKUP(B730,TRAOPE!$A:$W,23,0)),"")</f>
        <v/>
      </c>
      <c r="S730" s="10">
        <f>IF(AND(P730="TN",R730="TN"),N730+N(O730),IF(G730&amp;""="1",N(K730)*N730,(N730+N(O730))*N(K730)))</f>
        <v/>
      </c>
      <c r="T730" s="10">
        <f>IF(Q730="","",Q730-S730)</f>
        <v/>
      </c>
    </row>
    <row r="731">
      <c r="A731" s="7">
        <f>CONCATENATE(C731,E731,F731,I731)</f>
        <v/>
      </c>
      <c r="B731" s="7">
        <f>CONCATENATE(C731,E731,I731)</f>
        <v/>
      </c>
      <c r="C731" s="8" t="n">
        <v>900004090</v>
      </c>
      <c r="D731" s="7">
        <f>IFERROR(VLOOKUP(C731,TRAOPE!$G:$H,2,0),"")</f>
        <v/>
      </c>
      <c r="E731" s="8" t="inlineStr">
        <is>
          <t>DW70</t>
        </is>
      </c>
      <c r="F731" s="8" t="inlineStr">
        <is>
          <t>D086</t>
        </is>
      </c>
      <c r="G731" s="8">
        <f>IFERROR(VLOOKUP(A731,Flete!$A:$E,5,0),"")</f>
        <v/>
      </c>
      <c r="H731" s="7">
        <f>IFERROR(VLOOKUP(F731,TRAOPE!$AA:$AB,2,0),"")</f>
        <v/>
      </c>
      <c r="I731" s="7" t="n">
        <v>10000623</v>
      </c>
      <c r="J731" s="7">
        <f>IFERROR(VLOOKUP(I731,Materiales!$A:$H,8,0),"")</f>
        <v/>
      </c>
      <c r="K731" s="9">
        <f>IFERROR(VLOOKUP(I731,Materiales!$A:$G,7,0),"")</f>
        <v/>
      </c>
      <c r="L731" s="8" t="inlineStr">
        <is>
          <t>20230501</t>
        </is>
      </c>
      <c r="M731" s="8" t="inlineStr">
        <is>
          <t>20250131</t>
        </is>
      </c>
      <c r="N731" s="10" t="n">
        <v>95.73999999999999</v>
      </c>
      <c r="O731" s="10">
        <f>IFERROR(VLOOKUP(A731,Flete!$A:$J,10,0),"")</f>
        <v/>
      </c>
      <c r="P731" s="8" t="inlineStr">
        <is>
          <t>TN</t>
        </is>
      </c>
      <c r="Q731" s="10">
        <f>IFERROR(IFERROR(VLOOKUP(A731,TRAOPE!$A:$U,21,0),VLOOKUP(B731,TRAOPE!$A:$U,21,0)),"")</f>
        <v/>
      </c>
      <c r="R731" s="8">
        <f>IFERROR(IFERROR(VLOOKUP(A731,TRAOPE!$A:$W,23,0),VLOOKUP(B731,TRAOPE!$A:$W,23,0)),"")</f>
        <v/>
      </c>
      <c r="S731" s="10">
        <f>IF(AND(P731="TN",R731="TN"),N731+N(O731),IF(G731&amp;""="1",N(K731)*N731,(N731+N(O731))*N(K731)))</f>
        <v/>
      </c>
      <c r="T731" s="10">
        <f>IF(Q731="","",Q731-S731)</f>
        <v/>
      </c>
    </row>
    <row r="732">
      <c r="A732" s="7">
        <f>CONCATENATE(C732,E732,F732,I732)</f>
        <v/>
      </c>
      <c r="B732" s="7">
        <f>CONCATENATE(C732,E732,I732)</f>
        <v/>
      </c>
      <c r="C732" s="8" t="n">
        <v>900004090</v>
      </c>
      <c r="D732" s="7">
        <f>IFERROR(VLOOKUP(C732,TRAOPE!$G:$H,2,0),"")</f>
        <v/>
      </c>
      <c r="E732" s="8" t="inlineStr">
        <is>
          <t>DW70</t>
        </is>
      </c>
      <c r="F732" s="8" t="inlineStr">
        <is>
          <t>D088</t>
        </is>
      </c>
      <c r="G732" s="8">
        <f>IFERROR(VLOOKUP(A732,Flete!$A:$E,5,0),"")</f>
        <v/>
      </c>
      <c r="H732" s="7">
        <f>IFERROR(VLOOKUP(F732,TRAOPE!$AA:$AB,2,0),"")</f>
        <v/>
      </c>
      <c r="I732" s="7" t="n">
        <v>10000623</v>
      </c>
      <c r="J732" s="7">
        <f>IFERROR(VLOOKUP(I732,Materiales!$A:$H,8,0),"")</f>
        <v/>
      </c>
      <c r="K732" s="9">
        <f>IFERROR(VLOOKUP(I732,Materiales!$A:$G,7,0),"")</f>
        <v/>
      </c>
      <c r="L732" s="8" t="inlineStr">
        <is>
          <t>20230501</t>
        </is>
      </c>
      <c r="M732" s="8" t="inlineStr">
        <is>
          <t>20250131</t>
        </is>
      </c>
      <c r="N732" s="10" t="n">
        <v>95.73999999999999</v>
      </c>
      <c r="O732" s="10">
        <f>IFERROR(VLOOKUP(A732,Flete!$A:$J,10,0),"")</f>
        <v/>
      </c>
      <c r="P732" s="8" t="inlineStr">
        <is>
          <t>TN</t>
        </is>
      </c>
      <c r="Q732" s="10">
        <f>IFERROR(IFERROR(VLOOKUP(A732,TRAOPE!$A:$U,21,0),VLOOKUP(B732,TRAOPE!$A:$U,21,0)),"")</f>
        <v/>
      </c>
      <c r="R732" s="8">
        <f>IFERROR(IFERROR(VLOOKUP(A732,TRAOPE!$A:$W,23,0),VLOOKUP(B732,TRAOPE!$A:$W,23,0)),"")</f>
        <v/>
      </c>
      <c r="S732" s="10">
        <f>IF(AND(P732="TN",R732="TN"),N732+N(O732),IF(G732&amp;""="1",N(K732)*N732,(N732+N(O732))*N(K732)))</f>
        <v/>
      </c>
      <c r="T732" s="10">
        <f>IF(Q732="","",Q732-S732)</f>
        <v/>
      </c>
    </row>
    <row r="733">
      <c r="A733" s="7">
        <f>CONCATENATE(C733,E733,F733,I733)</f>
        <v/>
      </c>
      <c r="B733" s="7">
        <f>CONCATENATE(C733,E733,I733)</f>
        <v/>
      </c>
      <c r="C733" s="8" t="n">
        <v>900004090</v>
      </c>
      <c r="D733" s="7">
        <f>IFERROR(VLOOKUP(C733,TRAOPE!$G:$H,2,0),"")</f>
        <v/>
      </c>
      <c r="E733" s="8" t="inlineStr">
        <is>
          <t>DW70</t>
        </is>
      </c>
      <c r="F733" s="8" t="inlineStr">
        <is>
          <t>D093</t>
        </is>
      </c>
      <c r="G733" s="8">
        <f>IFERROR(VLOOKUP(A733,Flete!$A:$E,5,0),"")</f>
        <v/>
      </c>
      <c r="H733" s="7">
        <f>IFERROR(VLOOKUP(F733,TRAOPE!$AA:$AB,2,0),"")</f>
        <v/>
      </c>
      <c r="I733" s="7" t="n">
        <v>10000623</v>
      </c>
      <c r="J733" s="7">
        <f>IFERROR(VLOOKUP(I733,Materiales!$A:$H,8,0),"")</f>
        <v/>
      </c>
      <c r="K733" s="9">
        <f>IFERROR(VLOOKUP(I733,Materiales!$A:$G,7,0),"")</f>
        <v/>
      </c>
      <c r="L733" s="8" t="inlineStr">
        <is>
          <t>20230501</t>
        </is>
      </c>
      <c r="M733" s="8" t="inlineStr">
        <is>
          <t>20250131</t>
        </is>
      </c>
      <c r="N733" s="10" t="n">
        <v>95.73999999999999</v>
      </c>
      <c r="O733" s="10">
        <f>IFERROR(VLOOKUP(A733,Flete!$A:$J,10,0),"")</f>
        <v/>
      </c>
      <c r="P733" s="8" t="inlineStr">
        <is>
          <t>TN</t>
        </is>
      </c>
      <c r="Q733" s="10">
        <f>IFERROR(IFERROR(VLOOKUP(A733,TRAOPE!$A:$U,21,0),VLOOKUP(B733,TRAOPE!$A:$U,21,0)),"")</f>
        <v/>
      </c>
      <c r="R733" s="8">
        <f>IFERROR(IFERROR(VLOOKUP(A733,TRAOPE!$A:$W,23,0),VLOOKUP(B733,TRAOPE!$A:$W,23,0)),"")</f>
        <v/>
      </c>
      <c r="S733" s="10">
        <f>IF(AND(P733="TN",R733="TN"),N733+N(O733),IF(G733&amp;""="1",N(K733)*N733,(N733+N(O733))*N(K733)))</f>
        <v/>
      </c>
      <c r="T733" s="10">
        <f>IF(Q733="","",Q733-S733)</f>
        <v/>
      </c>
    </row>
    <row r="734">
      <c r="A734" s="7">
        <f>CONCATENATE(C734,E734,F734,I734)</f>
        <v/>
      </c>
      <c r="B734" s="7">
        <f>CONCATENATE(C734,E734,I734)</f>
        <v/>
      </c>
      <c r="C734" s="8" t="n">
        <v>900004090</v>
      </c>
      <c r="D734" s="7">
        <f>IFERROR(VLOOKUP(C734,TRAOPE!$G:$H,2,0),"")</f>
        <v/>
      </c>
      <c r="E734" s="8" t="inlineStr">
        <is>
          <t>DW70</t>
        </is>
      </c>
      <c r="F734" s="8" t="inlineStr">
        <is>
          <t>D094</t>
        </is>
      </c>
      <c r="G734" s="8">
        <f>IFERROR(VLOOKUP(A734,Flete!$A:$E,5,0),"")</f>
        <v/>
      </c>
      <c r="H734" s="7">
        <f>IFERROR(VLOOKUP(F734,TRAOPE!$AA:$AB,2,0),"")</f>
        <v/>
      </c>
      <c r="I734" s="7" t="n">
        <v>10220798</v>
      </c>
      <c r="J734" s="7">
        <f>IFERROR(VLOOKUP(I734,Materiales!$A:$H,8,0),"")</f>
        <v/>
      </c>
      <c r="K734" s="9">
        <f>IFERROR(VLOOKUP(I734,Materiales!$A:$G,7,0),"")</f>
        <v/>
      </c>
      <c r="L734" s="8" t="inlineStr">
        <is>
          <t>20230501</t>
        </is>
      </c>
      <c r="M734" s="8" t="inlineStr">
        <is>
          <t>20250131</t>
        </is>
      </c>
      <c r="N734" s="10" t="n">
        <v>113.24</v>
      </c>
      <c r="O734" s="10">
        <f>IFERROR(VLOOKUP(A734,Flete!$A:$J,10,0),"")</f>
        <v/>
      </c>
      <c r="P734" s="8" t="inlineStr">
        <is>
          <t>TN</t>
        </is>
      </c>
      <c r="Q734" s="10">
        <f>IFERROR(IFERROR(VLOOKUP(A734,TRAOPE!$A:$U,21,0),VLOOKUP(B734,TRAOPE!$A:$U,21,0)),"")</f>
        <v/>
      </c>
      <c r="R734" s="8">
        <f>IFERROR(IFERROR(VLOOKUP(A734,TRAOPE!$A:$W,23,0),VLOOKUP(B734,TRAOPE!$A:$W,23,0)),"")</f>
        <v/>
      </c>
      <c r="S734" s="10">
        <f>IF(AND(P734="TN",R734="TN"),N734+N(O734),IF(G734&amp;""="1",N(K734)*N734,(N734+N(O734))*N(K734)))</f>
        <v/>
      </c>
      <c r="T734" s="10">
        <f>IF(Q734="","",Q734-S734)</f>
        <v/>
      </c>
    </row>
    <row r="735">
      <c r="A735" s="7">
        <f>CONCATENATE(C735,E735,F735,I735)</f>
        <v/>
      </c>
      <c r="B735" s="7">
        <f>CONCATENATE(C735,E735,I735)</f>
        <v/>
      </c>
      <c r="C735" s="8" t="n">
        <v>900004090</v>
      </c>
      <c r="D735" s="7">
        <f>IFERROR(VLOOKUP(C735,TRAOPE!$G:$H,2,0),"")</f>
        <v/>
      </c>
      <c r="E735" s="8" t="inlineStr">
        <is>
          <t>DW70</t>
        </is>
      </c>
      <c r="F735" s="8" t="inlineStr">
        <is>
          <t>D094</t>
        </is>
      </c>
      <c r="G735" s="8">
        <f>IFERROR(VLOOKUP(A735,Flete!$A:$E,5,0),"")</f>
        <v/>
      </c>
      <c r="H735" s="7">
        <f>IFERROR(VLOOKUP(F735,TRAOPE!$AA:$AB,2,0),"")</f>
        <v/>
      </c>
      <c r="I735" s="7" t="n">
        <v>10220799</v>
      </c>
      <c r="J735" s="7">
        <f>IFERROR(VLOOKUP(I735,Materiales!$A:$H,8,0),"")</f>
        <v/>
      </c>
      <c r="K735" s="9">
        <f>IFERROR(VLOOKUP(I735,Materiales!$A:$G,7,0),"")</f>
        <v/>
      </c>
      <c r="L735" s="8" t="inlineStr">
        <is>
          <t>20230501</t>
        </is>
      </c>
      <c r="M735" s="8" t="inlineStr">
        <is>
          <t>20250131</t>
        </is>
      </c>
      <c r="N735" s="10" t="n">
        <v>65.63</v>
      </c>
      <c r="O735" s="10">
        <f>IFERROR(VLOOKUP(A735,Flete!$A:$J,10,0),"")</f>
        <v/>
      </c>
      <c r="P735" s="8" t="inlineStr">
        <is>
          <t>TN</t>
        </is>
      </c>
      <c r="Q735" s="10">
        <f>IFERROR(IFERROR(VLOOKUP(A735,TRAOPE!$A:$U,21,0),VLOOKUP(B735,TRAOPE!$A:$U,21,0)),"")</f>
        <v/>
      </c>
      <c r="R735" s="8">
        <f>IFERROR(IFERROR(VLOOKUP(A735,TRAOPE!$A:$W,23,0),VLOOKUP(B735,TRAOPE!$A:$W,23,0)),"")</f>
        <v/>
      </c>
      <c r="S735" s="10">
        <f>IF(AND(P735="TN",R735="TN"),N735+N(O735),IF(G735&amp;""="1",N(K735)*N735,(N735+N(O735))*N(K735)))</f>
        <v/>
      </c>
      <c r="T735" s="10">
        <f>IF(Q735="","",Q735-S735)</f>
        <v/>
      </c>
    </row>
    <row r="736">
      <c r="A736" s="7">
        <f>CONCATENATE(C736,E736,F736,I736)</f>
        <v/>
      </c>
      <c r="B736" s="7">
        <f>CONCATENATE(C736,E736,I736)</f>
        <v/>
      </c>
      <c r="C736" s="8" t="n">
        <v>900004090</v>
      </c>
      <c r="D736" s="7">
        <f>IFERROR(VLOOKUP(C736,TRAOPE!$G:$H,2,0),"")</f>
        <v/>
      </c>
      <c r="E736" s="8" t="inlineStr">
        <is>
          <t>DW70</t>
        </is>
      </c>
      <c r="F736" s="8" t="inlineStr">
        <is>
          <t>D098</t>
        </is>
      </c>
      <c r="G736" s="8">
        <f>IFERROR(VLOOKUP(A736,Flete!$A:$E,5,0),"")</f>
        <v/>
      </c>
      <c r="H736" s="7">
        <f>IFERROR(VLOOKUP(F736,TRAOPE!$AA:$AB,2,0),"")</f>
        <v/>
      </c>
      <c r="I736" s="7" t="n">
        <v>10000623</v>
      </c>
      <c r="J736" s="7">
        <f>IFERROR(VLOOKUP(I736,Materiales!$A:$H,8,0),"")</f>
        <v/>
      </c>
      <c r="K736" s="9">
        <f>IFERROR(VLOOKUP(I736,Materiales!$A:$G,7,0),"")</f>
        <v/>
      </c>
      <c r="L736" s="8" t="inlineStr">
        <is>
          <t>20230501</t>
        </is>
      </c>
      <c r="M736" s="8" t="inlineStr">
        <is>
          <t>20250131</t>
        </is>
      </c>
      <c r="N736" s="10" t="n">
        <v>95.73999999999999</v>
      </c>
      <c r="O736" s="10">
        <f>IFERROR(VLOOKUP(A736,Flete!$A:$J,10,0),"")</f>
        <v/>
      </c>
      <c r="P736" s="8" t="inlineStr">
        <is>
          <t>TN</t>
        </is>
      </c>
      <c r="Q736" s="10">
        <f>IFERROR(IFERROR(VLOOKUP(A736,TRAOPE!$A:$U,21,0),VLOOKUP(B736,TRAOPE!$A:$U,21,0)),"")</f>
        <v/>
      </c>
      <c r="R736" s="8">
        <f>IFERROR(IFERROR(VLOOKUP(A736,TRAOPE!$A:$W,23,0),VLOOKUP(B736,TRAOPE!$A:$W,23,0)),"")</f>
        <v/>
      </c>
      <c r="S736" s="10">
        <f>IF(AND(P736="TN",R736="TN"),N736+N(O736),IF(G736&amp;""="1",N(K736)*N736,(N736+N(O736))*N(K736)))</f>
        <v/>
      </c>
      <c r="T736" s="10">
        <f>IF(Q736="","",Q736-S736)</f>
        <v/>
      </c>
    </row>
    <row r="737">
      <c r="A737" s="7">
        <f>CONCATENATE(C737,E737,F737,I737)</f>
        <v/>
      </c>
      <c r="B737" s="7">
        <f>CONCATENATE(C737,E737,I737)</f>
        <v/>
      </c>
      <c r="C737" s="8" t="n">
        <v>900004090</v>
      </c>
      <c r="D737" s="7">
        <f>IFERROR(VLOOKUP(C737,TRAOPE!$G:$H,2,0),"")</f>
        <v/>
      </c>
      <c r="E737" s="8" t="inlineStr">
        <is>
          <t>DW70</t>
        </is>
      </c>
      <c r="F737" s="8" t="inlineStr">
        <is>
          <t>D105</t>
        </is>
      </c>
      <c r="G737" s="8">
        <f>IFERROR(VLOOKUP(A737,Flete!$A:$E,5,0),"")</f>
        <v/>
      </c>
      <c r="H737" s="7">
        <f>IFERROR(VLOOKUP(F737,TRAOPE!$AA:$AB,2,0),"")</f>
        <v/>
      </c>
      <c r="I737" s="7" t="n">
        <v>10000623</v>
      </c>
      <c r="J737" s="7">
        <f>IFERROR(VLOOKUP(I737,Materiales!$A:$H,8,0),"")</f>
        <v/>
      </c>
      <c r="K737" s="9">
        <f>IFERROR(VLOOKUP(I737,Materiales!$A:$G,7,0),"")</f>
        <v/>
      </c>
      <c r="L737" s="8" t="inlineStr">
        <is>
          <t>20230501</t>
        </is>
      </c>
      <c r="M737" s="8" t="inlineStr">
        <is>
          <t>20250131</t>
        </is>
      </c>
      <c r="N737" s="10" t="n">
        <v>95.73999999999999</v>
      </c>
      <c r="O737" s="10">
        <f>IFERROR(VLOOKUP(A737,Flete!$A:$J,10,0),"")</f>
        <v/>
      </c>
      <c r="P737" s="8" t="inlineStr">
        <is>
          <t>TN</t>
        </is>
      </c>
      <c r="Q737" s="10">
        <f>IFERROR(IFERROR(VLOOKUP(A737,TRAOPE!$A:$U,21,0),VLOOKUP(B737,TRAOPE!$A:$U,21,0)),"")</f>
        <v/>
      </c>
      <c r="R737" s="8">
        <f>IFERROR(IFERROR(VLOOKUP(A737,TRAOPE!$A:$W,23,0),VLOOKUP(B737,TRAOPE!$A:$W,23,0)),"")</f>
        <v/>
      </c>
      <c r="S737" s="10">
        <f>IF(AND(P737="TN",R737="TN"),N737+N(O737),IF(G737&amp;""="1",N(K737)*N737,(N737+N(O737))*N(K737)))</f>
        <v/>
      </c>
      <c r="T737" s="10">
        <f>IF(Q737="","",Q737-S737)</f>
        <v/>
      </c>
    </row>
    <row r="738">
      <c r="A738" s="7">
        <f>CONCATENATE(C738,E738,F738,I738)</f>
        <v/>
      </c>
      <c r="B738" s="7">
        <f>CONCATENATE(C738,E738,I738)</f>
        <v/>
      </c>
      <c r="C738" s="8" t="n">
        <v>900004184</v>
      </c>
      <c r="D738" s="7">
        <f>IFERROR(VLOOKUP(C738,TRAOPE!$G:$H,2,0),"")</f>
        <v/>
      </c>
      <c r="E738" s="8" t="inlineStr">
        <is>
          <t>DW70</t>
        </is>
      </c>
      <c r="F738" s="8" t="inlineStr">
        <is>
          <t>D074</t>
        </is>
      </c>
      <c r="G738" s="8">
        <f>IFERROR(VLOOKUP(A738,Flete!$A:$E,5,0),"")</f>
        <v/>
      </c>
      <c r="H738" s="7">
        <f>IFERROR(VLOOKUP(F738,TRAOPE!$AA:$AB,2,0),"")</f>
        <v/>
      </c>
      <c r="I738" s="7" t="n">
        <v>10000623</v>
      </c>
      <c r="J738" s="7">
        <f>IFERROR(VLOOKUP(I738,Materiales!$A:$H,8,0),"")</f>
        <v/>
      </c>
      <c r="K738" s="9">
        <f>IFERROR(VLOOKUP(I738,Materiales!$A:$G,7,0),"")</f>
        <v/>
      </c>
      <c r="L738" s="8" t="inlineStr">
        <is>
          <t>20230501</t>
        </is>
      </c>
      <c r="M738" s="8" t="inlineStr">
        <is>
          <t>20250131</t>
        </is>
      </c>
      <c r="N738" s="10" t="n">
        <v>100.46</v>
      </c>
      <c r="O738" s="10">
        <f>IFERROR(VLOOKUP(A738,Flete!$A:$J,10,0),"")</f>
        <v/>
      </c>
      <c r="P738" s="8" t="inlineStr">
        <is>
          <t>TN</t>
        </is>
      </c>
      <c r="Q738" s="10">
        <f>IFERROR(IFERROR(VLOOKUP(A738,TRAOPE!$A:$U,21,0),VLOOKUP(B738,TRAOPE!$A:$U,21,0)),"")</f>
        <v/>
      </c>
      <c r="R738" s="8">
        <f>IFERROR(IFERROR(VLOOKUP(A738,TRAOPE!$A:$W,23,0),VLOOKUP(B738,TRAOPE!$A:$W,23,0)),"")</f>
        <v/>
      </c>
      <c r="S738" s="10">
        <f>IF(AND(P738="TN",R738="TN"),N738+N(O738),IF(G738&amp;""="1",N(K738)*N738,(N738+N(O738))*N(K738)))</f>
        <v/>
      </c>
      <c r="T738" s="10">
        <f>IF(Q738="","",Q738-S738)</f>
        <v/>
      </c>
    </row>
    <row r="739">
      <c r="A739" s="7">
        <f>CONCATENATE(C739,E739,F739,I739)</f>
        <v/>
      </c>
      <c r="B739" s="7">
        <f>CONCATENATE(C739,E739,I739)</f>
        <v/>
      </c>
      <c r="C739" s="8" t="n">
        <v>900004184</v>
      </c>
      <c r="D739" s="7">
        <f>IFERROR(VLOOKUP(C739,TRAOPE!$G:$H,2,0),"")</f>
        <v/>
      </c>
      <c r="E739" s="8" t="inlineStr">
        <is>
          <t>DW70</t>
        </is>
      </c>
      <c r="F739" s="8" t="inlineStr">
        <is>
          <t>D074</t>
        </is>
      </c>
      <c r="G739" s="8">
        <f>IFERROR(VLOOKUP(A739,Flete!$A:$E,5,0),"")</f>
        <v/>
      </c>
      <c r="H739" s="7">
        <f>IFERROR(VLOOKUP(F739,TRAOPE!$AA:$AB,2,0),"")</f>
        <v/>
      </c>
      <c r="I739" s="7" t="n">
        <v>10000624</v>
      </c>
      <c r="J739" s="7">
        <f>IFERROR(VLOOKUP(I739,Materiales!$A:$H,8,0),"")</f>
        <v/>
      </c>
      <c r="K739" s="9">
        <f>IFERROR(VLOOKUP(I739,Materiales!$A:$G,7,0),"")</f>
        <v/>
      </c>
      <c r="L739" s="8" t="inlineStr">
        <is>
          <t>20230501</t>
        </is>
      </c>
      <c r="M739" s="8" t="inlineStr">
        <is>
          <t>20250131</t>
        </is>
      </c>
      <c r="N739" s="10" t="n">
        <v>96.79000000000001</v>
      </c>
      <c r="O739" s="10">
        <f>IFERROR(VLOOKUP(A739,Flete!$A:$J,10,0),"")</f>
        <v/>
      </c>
      <c r="P739" s="8" t="inlineStr">
        <is>
          <t>TN</t>
        </is>
      </c>
      <c r="Q739" s="10">
        <f>IFERROR(IFERROR(VLOOKUP(A739,TRAOPE!$A:$U,21,0),VLOOKUP(B739,TRAOPE!$A:$U,21,0)),"")</f>
        <v/>
      </c>
      <c r="R739" s="8">
        <f>IFERROR(IFERROR(VLOOKUP(A739,TRAOPE!$A:$W,23,0),VLOOKUP(B739,TRAOPE!$A:$W,23,0)),"")</f>
        <v/>
      </c>
      <c r="S739" s="10">
        <f>IF(AND(P739="TN",R739="TN"),N739+N(O739),IF(G739&amp;""="1",N(K739)*N739,(N739+N(O739))*N(K739)))</f>
        <v/>
      </c>
      <c r="T739" s="10">
        <f>IF(Q739="","",Q739-S739)</f>
        <v/>
      </c>
    </row>
    <row r="740">
      <c r="A740" s="7">
        <f>CONCATENATE(C740,E740,F740,I740)</f>
        <v/>
      </c>
      <c r="B740" s="7">
        <f>CONCATENATE(C740,E740,I740)</f>
        <v/>
      </c>
      <c r="C740" s="8" t="n">
        <v>900004184</v>
      </c>
      <c r="D740" s="7">
        <f>IFERROR(VLOOKUP(C740,TRAOPE!$G:$H,2,0),"")</f>
        <v/>
      </c>
      <c r="E740" s="8" t="inlineStr">
        <is>
          <t>DW70</t>
        </is>
      </c>
      <c r="F740" s="8" t="inlineStr">
        <is>
          <t>D074</t>
        </is>
      </c>
      <c r="G740" s="8">
        <f>IFERROR(VLOOKUP(A740,Flete!$A:$E,5,0),"")</f>
        <v/>
      </c>
      <c r="H740" s="7">
        <f>IFERROR(VLOOKUP(F740,TRAOPE!$AA:$AB,2,0),"")</f>
        <v/>
      </c>
      <c r="I740" s="7" t="n">
        <v>10000811</v>
      </c>
      <c r="J740" s="7">
        <f>IFERROR(VLOOKUP(I740,Materiales!$A:$H,8,0),"")</f>
        <v/>
      </c>
      <c r="K740" s="9">
        <f>IFERROR(VLOOKUP(I740,Materiales!$A:$G,7,0),"")</f>
        <v/>
      </c>
      <c r="L740" s="8" t="inlineStr">
        <is>
          <t>20230501</t>
        </is>
      </c>
      <c r="M740" s="8" t="inlineStr">
        <is>
          <t>20250131</t>
        </is>
      </c>
      <c r="N740" s="10" t="n">
        <v>96.79000000000001</v>
      </c>
      <c r="O740" s="10">
        <f>IFERROR(VLOOKUP(A740,Flete!$A:$J,10,0),"")</f>
        <v/>
      </c>
      <c r="P740" s="8" t="inlineStr">
        <is>
          <t>TN</t>
        </is>
      </c>
      <c r="Q740" s="10">
        <f>IFERROR(IFERROR(VLOOKUP(A740,TRAOPE!$A:$U,21,0),VLOOKUP(B740,TRAOPE!$A:$U,21,0)),"")</f>
        <v/>
      </c>
      <c r="R740" s="8">
        <f>IFERROR(IFERROR(VLOOKUP(A740,TRAOPE!$A:$W,23,0),VLOOKUP(B740,TRAOPE!$A:$W,23,0)),"")</f>
        <v/>
      </c>
      <c r="S740" s="10">
        <f>IF(AND(P740="TN",R740="TN"),N740+N(O740),IF(G740&amp;""="1",N(K740)*N740,(N740+N(O740))*N(K740)))</f>
        <v/>
      </c>
      <c r="T740" s="10">
        <f>IF(Q740="","",Q740-S740)</f>
        <v/>
      </c>
    </row>
    <row r="741">
      <c r="A741" s="7">
        <f>CONCATENATE(C741,E741,F741,I741)</f>
        <v/>
      </c>
      <c r="B741" s="7">
        <f>CONCATENATE(C741,E741,I741)</f>
        <v/>
      </c>
      <c r="C741" s="8" t="n">
        <v>900004184</v>
      </c>
      <c r="D741" s="7">
        <f>IFERROR(VLOOKUP(C741,TRAOPE!$G:$H,2,0),"")</f>
        <v/>
      </c>
      <c r="E741" s="8" t="inlineStr">
        <is>
          <t>DW70</t>
        </is>
      </c>
      <c r="F741" s="8" t="inlineStr">
        <is>
          <t>D074</t>
        </is>
      </c>
      <c r="G741" s="8">
        <f>IFERROR(VLOOKUP(A741,Flete!$A:$E,5,0),"")</f>
        <v/>
      </c>
      <c r="H741" s="7">
        <f>IFERROR(VLOOKUP(F741,TRAOPE!$AA:$AB,2,0),"")</f>
        <v/>
      </c>
      <c r="I741" s="7" t="n">
        <v>10059180</v>
      </c>
      <c r="J741" s="7">
        <f>IFERROR(VLOOKUP(I741,Materiales!$A:$H,8,0),"")</f>
        <v/>
      </c>
      <c r="K741" s="9">
        <f>IFERROR(VLOOKUP(I741,Materiales!$A:$G,7,0),"")</f>
        <v/>
      </c>
      <c r="L741" s="8" t="inlineStr">
        <is>
          <t>20230501</t>
        </is>
      </c>
      <c r="M741" s="8" t="inlineStr">
        <is>
          <t>20250131</t>
        </is>
      </c>
      <c r="N741" s="10" t="n">
        <v>50.49</v>
      </c>
      <c r="O741" s="10">
        <f>IFERROR(VLOOKUP(A741,Flete!$A:$J,10,0),"")</f>
        <v/>
      </c>
      <c r="P741" s="8" t="inlineStr">
        <is>
          <t>TN</t>
        </is>
      </c>
      <c r="Q741" s="10">
        <f>IFERROR(IFERROR(VLOOKUP(A741,TRAOPE!$A:$U,21,0),VLOOKUP(B741,TRAOPE!$A:$U,21,0)),"")</f>
        <v/>
      </c>
      <c r="R741" s="8">
        <f>IFERROR(IFERROR(VLOOKUP(A741,TRAOPE!$A:$W,23,0),VLOOKUP(B741,TRAOPE!$A:$W,23,0)),"")</f>
        <v/>
      </c>
      <c r="S741" s="10">
        <f>IF(AND(P741="TN",R741="TN"),N741+N(O741),IF(G741&amp;""="1",N(K741)*N741,(N741+N(O741))*N(K741)))</f>
        <v/>
      </c>
      <c r="T741" s="10">
        <f>IF(Q741="","",Q741-S741)</f>
        <v/>
      </c>
    </row>
    <row r="742">
      <c r="A742" s="7">
        <f>CONCATENATE(C742,E742,F742,I742)</f>
        <v/>
      </c>
      <c r="B742" s="7">
        <f>CONCATENATE(C742,E742,I742)</f>
        <v/>
      </c>
      <c r="C742" s="8" t="n">
        <v>900004184</v>
      </c>
      <c r="D742" s="7">
        <f>IFERROR(VLOOKUP(C742,TRAOPE!$G:$H,2,0),"")</f>
        <v/>
      </c>
      <c r="E742" s="8" t="inlineStr">
        <is>
          <t>DW70</t>
        </is>
      </c>
      <c r="F742" s="8" t="inlineStr">
        <is>
          <t>D075</t>
        </is>
      </c>
      <c r="G742" s="8">
        <f>IFERROR(VLOOKUP(A742,Flete!$A:$E,5,0),"")</f>
        <v/>
      </c>
      <c r="H742" s="7">
        <f>IFERROR(VLOOKUP(F742,TRAOPE!$AA:$AB,2,0),"")</f>
        <v/>
      </c>
      <c r="I742" s="7" t="n">
        <v>10000623</v>
      </c>
      <c r="J742" s="7">
        <f>IFERROR(VLOOKUP(I742,Materiales!$A:$H,8,0),"")</f>
        <v/>
      </c>
      <c r="K742" s="9">
        <f>IFERROR(VLOOKUP(I742,Materiales!$A:$G,7,0),"")</f>
        <v/>
      </c>
      <c r="L742" s="8" t="inlineStr">
        <is>
          <t>20230501</t>
        </is>
      </c>
      <c r="M742" s="8" t="inlineStr">
        <is>
          <t>20250131</t>
        </is>
      </c>
      <c r="N742" s="10" t="n">
        <v>100.46</v>
      </c>
      <c r="O742" s="10">
        <f>IFERROR(VLOOKUP(A742,Flete!$A:$J,10,0),"")</f>
        <v/>
      </c>
      <c r="P742" s="8" t="inlineStr">
        <is>
          <t>TN</t>
        </is>
      </c>
      <c r="Q742" s="10">
        <f>IFERROR(IFERROR(VLOOKUP(A742,TRAOPE!$A:$U,21,0),VLOOKUP(B742,TRAOPE!$A:$U,21,0)),"")</f>
        <v/>
      </c>
      <c r="R742" s="8">
        <f>IFERROR(IFERROR(VLOOKUP(A742,TRAOPE!$A:$W,23,0),VLOOKUP(B742,TRAOPE!$A:$W,23,0)),"")</f>
        <v/>
      </c>
      <c r="S742" s="10">
        <f>IF(AND(P742="TN",R742="TN"),N742+N(O742),IF(G742&amp;""="1",N(K742)*N742,(N742+N(O742))*N(K742)))</f>
        <v/>
      </c>
      <c r="T742" s="10">
        <f>IF(Q742="","",Q742-S742)</f>
        <v/>
      </c>
    </row>
    <row r="743">
      <c r="A743" s="7">
        <f>CONCATENATE(C743,E743,F743,I743)</f>
        <v/>
      </c>
      <c r="B743" s="7">
        <f>CONCATENATE(C743,E743,I743)</f>
        <v/>
      </c>
      <c r="C743" s="8" t="n">
        <v>900004184</v>
      </c>
      <c r="D743" s="7">
        <f>IFERROR(VLOOKUP(C743,TRAOPE!$G:$H,2,0),"")</f>
        <v/>
      </c>
      <c r="E743" s="8" t="inlineStr">
        <is>
          <t>DW70</t>
        </is>
      </c>
      <c r="F743" s="8" t="inlineStr">
        <is>
          <t>D075</t>
        </is>
      </c>
      <c r="G743" s="8">
        <f>IFERROR(VLOOKUP(A743,Flete!$A:$E,5,0),"")</f>
        <v/>
      </c>
      <c r="H743" s="7">
        <f>IFERROR(VLOOKUP(F743,TRAOPE!$AA:$AB,2,0),"")</f>
        <v/>
      </c>
      <c r="I743" s="7" t="n">
        <v>10000624</v>
      </c>
      <c r="J743" s="7">
        <f>IFERROR(VLOOKUP(I743,Materiales!$A:$H,8,0),"")</f>
        <v/>
      </c>
      <c r="K743" s="9">
        <f>IFERROR(VLOOKUP(I743,Materiales!$A:$G,7,0),"")</f>
        <v/>
      </c>
      <c r="L743" s="8" t="inlineStr">
        <is>
          <t>20230501</t>
        </is>
      </c>
      <c r="M743" s="8" t="inlineStr">
        <is>
          <t>20250131</t>
        </is>
      </c>
      <c r="N743" s="10" t="n">
        <v>96.79000000000001</v>
      </c>
      <c r="O743" s="10">
        <f>IFERROR(VLOOKUP(A743,Flete!$A:$J,10,0),"")</f>
        <v/>
      </c>
      <c r="P743" s="8" t="inlineStr">
        <is>
          <t>TN</t>
        </is>
      </c>
      <c r="Q743" s="10">
        <f>IFERROR(IFERROR(VLOOKUP(A743,TRAOPE!$A:$U,21,0),VLOOKUP(B743,TRAOPE!$A:$U,21,0)),"")</f>
        <v/>
      </c>
      <c r="R743" s="8">
        <f>IFERROR(IFERROR(VLOOKUP(A743,TRAOPE!$A:$W,23,0),VLOOKUP(B743,TRAOPE!$A:$W,23,0)),"")</f>
        <v/>
      </c>
      <c r="S743" s="10">
        <f>IF(AND(P743="TN",R743="TN"),N743+N(O743),IF(G743&amp;""="1",N(K743)*N743,(N743+N(O743))*N(K743)))</f>
        <v/>
      </c>
      <c r="T743" s="10">
        <f>IF(Q743="","",Q743-S743)</f>
        <v/>
      </c>
    </row>
    <row r="744">
      <c r="A744" s="7">
        <f>CONCATENATE(C744,E744,F744,I744)</f>
        <v/>
      </c>
      <c r="B744" s="7">
        <f>CONCATENATE(C744,E744,I744)</f>
        <v/>
      </c>
      <c r="C744" s="8" t="n">
        <v>900004184</v>
      </c>
      <c r="D744" s="7">
        <f>IFERROR(VLOOKUP(C744,TRAOPE!$G:$H,2,0),"")</f>
        <v/>
      </c>
      <c r="E744" s="8" t="inlineStr">
        <is>
          <t>DW70</t>
        </is>
      </c>
      <c r="F744" s="8" t="inlineStr">
        <is>
          <t>D075</t>
        </is>
      </c>
      <c r="G744" s="8">
        <f>IFERROR(VLOOKUP(A744,Flete!$A:$E,5,0),"")</f>
        <v/>
      </c>
      <c r="H744" s="7">
        <f>IFERROR(VLOOKUP(F744,TRAOPE!$AA:$AB,2,0),"")</f>
        <v/>
      </c>
      <c r="I744" s="7" t="n">
        <v>10000811</v>
      </c>
      <c r="J744" s="7">
        <f>IFERROR(VLOOKUP(I744,Materiales!$A:$H,8,0),"")</f>
        <v/>
      </c>
      <c r="K744" s="9">
        <f>IFERROR(VLOOKUP(I744,Materiales!$A:$G,7,0),"")</f>
        <v/>
      </c>
      <c r="L744" s="8" t="inlineStr">
        <is>
          <t>20230501</t>
        </is>
      </c>
      <c r="M744" s="8" t="inlineStr">
        <is>
          <t>20250131</t>
        </is>
      </c>
      <c r="N744" s="10" t="n">
        <v>96.79000000000001</v>
      </c>
      <c r="O744" s="10">
        <f>IFERROR(VLOOKUP(A744,Flete!$A:$J,10,0),"")</f>
        <v/>
      </c>
      <c r="P744" s="8" t="inlineStr">
        <is>
          <t>TN</t>
        </is>
      </c>
      <c r="Q744" s="10">
        <f>IFERROR(IFERROR(VLOOKUP(A744,TRAOPE!$A:$U,21,0),VLOOKUP(B744,TRAOPE!$A:$U,21,0)),"")</f>
        <v/>
      </c>
      <c r="R744" s="8">
        <f>IFERROR(IFERROR(VLOOKUP(A744,TRAOPE!$A:$W,23,0),VLOOKUP(B744,TRAOPE!$A:$W,23,0)),"")</f>
        <v/>
      </c>
      <c r="S744" s="10">
        <f>IF(AND(P744="TN",R744="TN"),N744+N(O744),IF(G744&amp;""="1",N(K744)*N744,(N744+N(O744))*N(K744)))</f>
        <v/>
      </c>
      <c r="T744" s="10">
        <f>IF(Q744="","",Q744-S744)</f>
        <v/>
      </c>
    </row>
    <row r="745">
      <c r="A745" s="7">
        <f>CONCATENATE(C745,E745,F745,I745)</f>
        <v/>
      </c>
      <c r="B745" s="7">
        <f>CONCATENATE(C745,E745,I745)</f>
        <v/>
      </c>
      <c r="C745" s="8" t="n">
        <v>900004184</v>
      </c>
      <c r="D745" s="7">
        <f>IFERROR(VLOOKUP(C745,TRAOPE!$G:$H,2,0),"")</f>
        <v/>
      </c>
      <c r="E745" s="8" t="inlineStr">
        <is>
          <t>DW70</t>
        </is>
      </c>
      <c r="F745" s="8" t="inlineStr">
        <is>
          <t>D075</t>
        </is>
      </c>
      <c r="G745" s="8">
        <f>IFERROR(VLOOKUP(A745,Flete!$A:$E,5,0),"")</f>
        <v/>
      </c>
      <c r="H745" s="7">
        <f>IFERROR(VLOOKUP(F745,TRAOPE!$AA:$AB,2,0),"")</f>
        <v/>
      </c>
      <c r="I745" s="7" t="n">
        <v>10059180</v>
      </c>
      <c r="J745" s="7">
        <f>IFERROR(VLOOKUP(I745,Materiales!$A:$H,8,0),"")</f>
        <v/>
      </c>
      <c r="K745" s="9">
        <f>IFERROR(VLOOKUP(I745,Materiales!$A:$G,7,0),"")</f>
        <v/>
      </c>
      <c r="L745" s="8" t="inlineStr">
        <is>
          <t>20230501</t>
        </is>
      </c>
      <c r="M745" s="8" t="inlineStr">
        <is>
          <t>20250131</t>
        </is>
      </c>
      <c r="N745" s="10" t="n">
        <v>50.49</v>
      </c>
      <c r="O745" s="10">
        <f>IFERROR(VLOOKUP(A745,Flete!$A:$J,10,0),"")</f>
        <v/>
      </c>
      <c r="P745" s="8" t="inlineStr">
        <is>
          <t>TN</t>
        </is>
      </c>
      <c r="Q745" s="10">
        <f>IFERROR(IFERROR(VLOOKUP(A745,TRAOPE!$A:$U,21,0),VLOOKUP(B745,TRAOPE!$A:$U,21,0)),"")</f>
        <v/>
      </c>
      <c r="R745" s="8">
        <f>IFERROR(IFERROR(VLOOKUP(A745,TRAOPE!$A:$W,23,0),VLOOKUP(B745,TRAOPE!$A:$W,23,0)),"")</f>
        <v/>
      </c>
      <c r="S745" s="10">
        <f>IF(AND(P745="TN",R745="TN"),N745+N(O745),IF(G745&amp;""="1",N(K745)*N745,(N745+N(O745))*N(K745)))</f>
        <v/>
      </c>
      <c r="T745" s="10">
        <f>IF(Q745="","",Q745-S745)</f>
        <v/>
      </c>
    </row>
    <row r="746">
      <c r="A746" s="7">
        <f>CONCATENATE(C746,E746,F746,I746)</f>
        <v/>
      </c>
      <c r="B746" s="7">
        <f>CONCATENATE(C746,E746,I746)</f>
        <v/>
      </c>
      <c r="C746" s="8" t="n">
        <v>900004184</v>
      </c>
      <c r="D746" s="7">
        <f>IFERROR(VLOOKUP(C746,TRAOPE!$G:$H,2,0),"")</f>
        <v/>
      </c>
      <c r="E746" s="8" t="inlineStr">
        <is>
          <t>DW70</t>
        </is>
      </c>
      <c r="F746" s="8" t="inlineStr">
        <is>
          <t>D077</t>
        </is>
      </c>
      <c r="G746" s="8">
        <f>IFERROR(VLOOKUP(A746,Flete!$A:$E,5,0),"")</f>
        <v/>
      </c>
      <c r="H746" s="7">
        <f>IFERROR(VLOOKUP(F746,TRAOPE!$AA:$AB,2,0),"")</f>
        <v/>
      </c>
      <c r="I746" s="7" t="n">
        <v>10000623</v>
      </c>
      <c r="J746" s="7">
        <f>IFERROR(VLOOKUP(I746,Materiales!$A:$H,8,0),"")</f>
        <v/>
      </c>
      <c r="K746" s="9">
        <f>IFERROR(VLOOKUP(I746,Materiales!$A:$G,7,0),"")</f>
        <v/>
      </c>
      <c r="L746" s="8" t="inlineStr">
        <is>
          <t>20230501</t>
        </is>
      </c>
      <c r="M746" s="8" t="inlineStr">
        <is>
          <t>20250131</t>
        </is>
      </c>
      <c r="N746" s="10" t="n">
        <v>100.46</v>
      </c>
      <c r="O746" s="10">
        <f>IFERROR(VLOOKUP(A746,Flete!$A:$J,10,0),"")</f>
        <v/>
      </c>
      <c r="P746" s="8" t="inlineStr">
        <is>
          <t>TN</t>
        </is>
      </c>
      <c r="Q746" s="10">
        <f>IFERROR(IFERROR(VLOOKUP(A746,TRAOPE!$A:$U,21,0),VLOOKUP(B746,TRAOPE!$A:$U,21,0)),"")</f>
        <v/>
      </c>
      <c r="R746" s="8">
        <f>IFERROR(IFERROR(VLOOKUP(A746,TRAOPE!$A:$W,23,0),VLOOKUP(B746,TRAOPE!$A:$W,23,0)),"")</f>
        <v/>
      </c>
      <c r="S746" s="10">
        <f>IF(AND(P746="TN",R746="TN"),N746+N(O746),IF(G746&amp;""="1",N(K746)*N746,(N746+N(O746))*N(K746)))</f>
        <v/>
      </c>
      <c r="T746" s="10">
        <f>IF(Q746="","",Q746-S746)</f>
        <v/>
      </c>
    </row>
    <row r="747">
      <c r="A747" s="7">
        <f>CONCATENATE(C747,E747,F747,I747)</f>
        <v/>
      </c>
      <c r="B747" s="7">
        <f>CONCATENATE(C747,E747,I747)</f>
        <v/>
      </c>
      <c r="C747" s="8" t="n">
        <v>900004184</v>
      </c>
      <c r="D747" s="7">
        <f>IFERROR(VLOOKUP(C747,TRAOPE!$G:$H,2,0),"")</f>
        <v/>
      </c>
      <c r="E747" s="8" t="inlineStr">
        <is>
          <t>DW70</t>
        </is>
      </c>
      <c r="F747" s="8" t="inlineStr">
        <is>
          <t>D077</t>
        </is>
      </c>
      <c r="G747" s="8">
        <f>IFERROR(VLOOKUP(A747,Flete!$A:$E,5,0),"")</f>
        <v/>
      </c>
      <c r="H747" s="7">
        <f>IFERROR(VLOOKUP(F747,TRAOPE!$AA:$AB,2,0),"")</f>
        <v/>
      </c>
      <c r="I747" s="7" t="n">
        <v>10000624</v>
      </c>
      <c r="J747" s="7">
        <f>IFERROR(VLOOKUP(I747,Materiales!$A:$H,8,0),"")</f>
        <v/>
      </c>
      <c r="K747" s="9">
        <f>IFERROR(VLOOKUP(I747,Materiales!$A:$G,7,0),"")</f>
        <v/>
      </c>
      <c r="L747" s="8" t="inlineStr">
        <is>
          <t>20230501</t>
        </is>
      </c>
      <c r="M747" s="8" t="inlineStr">
        <is>
          <t>20250131</t>
        </is>
      </c>
      <c r="N747" s="10" t="n">
        <v>96.79000000000001</v>
      </c>
      <c r="O747" s="10">
        <f>IFERROR(VLOOKUP(A747,Flete!$A:$J,10,0),"")</f>
        <v/>
      </c>
      <c r="P747" s="8" t="inlineStr">
        <is>
          <t>TN</t>
        </is>
      </c>
      <c r="Q747" s="10">
        <f>IFERROR(IFERROR(VLOOKUP(A747,TRAOPE!$A:$U,21,0),VLOOKUP(B747,TRAOPE!$A:$U,21,0)),"")</f>
        <v/>
      </c>
      <c r="R747" s="8">
        <f>IFERROR(IFERROR(VLOOKUP(A747,TRAOPE!$A:$W,23,0),VLOOKUP(B747,TRAOPE!$A:$W,23,0)),"")</f>
        <v/>
      </c>
      <c r="S747" s="10">
        <f>IF(AND(P747="TN",R747="TN"),N747+N(O747),IF(G747&amp;""="1",N(K747)*N747,(N747+N(O747))*N(K747)))</f>
        <v/>
      </c>
      <c r="T747" s="10">
        <f>IF(Q747="","",Q747-S747)</f>
        <v/>
      </c>
    </row>
    <row r="748">
      <c r="A748" s="7">
        <f>CONCATENATE(C748,E748,F748,I748)</f>
        <v/>
      </c>
      <c r="B748" s="7">
        <f>CONCATENATE(C748,E748,I748)</f>
        <v/>
      </c>
      <c r="C748" s="8" t="n">
        <v>900004184</v>
      </c>
      <c r="D748" s="7">
        <f>IFERROR(VLOOKUP(C748,TRAOPE!$G:$H,2,0),"")</f>
        <v/>
      </c>
      <c r="E748" s="8" t="inlineStr">
        <is>
          <t>DW70</t>
        </is>
      </c>
      <c r="F748" s="8" t="inlineStr">
        <is>
          <t>D077</t>
        </is>
      </c>
      <c r="G748" s="8">
        <f>IFERROR(VLOOKUP(A748,Flete!$A:$E,5,0),"")</f>
        <v/>
      </c>
      <c r="H748" s="7">
        <f>IFERROR(VLOOKUP(F748,TRAOPE!$AA:$AB,2,0),"")</f>
        <v/>
      </c>
      <c r="I748" s="7" t="n">
        <v>10000811</v>
      </c>
      <c r="J748" s="7">
        <f>IFERROR(VLOOKUP(I748,Materiales!$A:$H,8,0),"")</f>
        <v/>
      </c>
      <c r="K748" s="9">
        <f>IFERROR(VLOOKUP(I748,Materiales!$A:$G,7,0),"")</f>
        <v/>
      </c>
      <c r="L748" s="8" t="inlineStr">
        <is>
          <t>20230501</t>
        </is>
      </c>
      <c r="M748" s="8" t="inlineStr">
        <is>
          <t>20250131</t>
        </is>
      </c>
      <c r="N748" s="10" t="n">
        <v>96.79000000000001</v>
      </c>
      <c r="O748" s="10">
        <f>IFERROR(VLOOKUP(A748,Flete!$A:$J,10,0),"")</f>
        <v/>
      </c>
      <c r="P748" s="8" t="inlineStr">
        <is>
          <t>TN</t>
        </is>
      </c>
      <c r="Q748" s="10">
        <f>IFERROR(IFERROR(VLOOKUP(A748,TRAOPE!$A:$U,21,0),VLOOKUP(B748,TRAOPE!$A:$U,21,0)),"")</f>
        <v/>
      </c>
      <c r="R748" s="8">
        <f>IFERROR(IFERROR(VLOOKUP(A748,TRAOPE!$A:$W,23,0),VLOOKUP(B748,TRAOPE!$A:$W,23,0)),"")</f>
        <v/>
      </c>
      <c r="S748" s="10">
        <f>IF(AND(P748="TN",R748="TN"),N748+N(O748),IF(G748&amp;""="1",N(K748)*N748,(N748+N(O748))*N(K748)))</f>
        <v/>
      </c>
      <c r="T748" s="10">
        <f>IF(Q748="","",Q748-S748)</f>
        <v/>
      </c>
    </row>
    <row r="749">
      <c r="A749" s="7">
        <f>CONCATENATE(C749,E749,F749,I749)</f>
        <v/>
      </c>
      <c r="B749" s="7">
        <f>CONCATENATE(C749,E749,I749)</f>
        <v/>
      </c>
      <c r="C749" s="8" t="n">
        <v>900004184</v>
      </c>
      <c r="D749" s="7">
        <f>IFERROR(VLOOKUP(C749,TRAOPE!$G:$H,2,0),"")</f>
        <v/>
      </c>
      <c r="E749" s="8" t="inlineStr">
        <is>
          <t>DW70</t>
        </is>
      </c>
      <c r="F749" s="8" t="inlineStr">
        <is>
          <t>D077</t>
        </is>
      </c>
      <c r="G749" s="8">
        <f>IFERROR(VLOOKUP(A749,Flete!$A:$E,5,0),"")</f>
        <v/>
      </c>
      <c r="H749" s="7">
        <f>IFERROR(VLOOKUP(F749,TRAOPE!$AA:$AB,2,0),"")</f>
        <v/>
      </c>
      <c r="I749" s="7" t="n">
        <v>10059180</v>
      </c>
      <c r="J749" s="7">
        <f>IFERROR(VLOOKUP(I749,Materiales!$A:$H,8,0),"")</f>
        <v/>
      </c>
      <c r="K749" s="9">
        <f>IFERROR(VLOOKUP(I749,Materiales!$A:$G,7,0),"")</f>
        <v/>
      </c>
      <c r="L749" s="8" t="inlineStr">
        <is>
          <t>20230501</t>
        </is>
      </c>
      <c r="M749" s="8" t="inlineStr">
        <is>
          <t>20250131</t>
        </is>
      </c>
      <c r="N749" s="10" t="n">
        <v>50.49</v>
      </c>
      <c r="O749" s="10">
        <f>IFERROR(VLOOKUP(A749,Flete!$A:$J,10,0),"")</f>
        <v/>
      </c>
      <c r="P749" s="8" t="inlineStr">
        <is>
          <t>TN</t>
        </is>
      </c>
      <c r="Q749" s="10">
        <f>IFERROR(IFERROR(VLOOKUP(A749,TRAOPE!$A:$U,21,0),VLOOKUP(B749,TRAOPE!$A:$U,21,0)),"")</f>
        <v/>
      </c>
      <c r="R749" s="8">
        <f>IFERROR(IFERROR(VLOOKUP(A749,TRAOPE!$A:$W,23,0),VLOOKUP(B749,TRAOPE!$A:$W,23,0)),"")</f>
        <v/>
      </c>
      <c r="S749" s="10">
        <f>IF(AND(P749="TN",R749="TN"),N749+N(O749),IF(G749&amp;""="1",N(K749)*N749,(N749+N(O749))*N(K749)))</f>
        <v/>
      </c>
      <c r="T749" s="10">
        <f>IF(Q749="","",Q749-S749)</f>
        <v/>
      </c>
    </row>
    <row r="750">
      <c r="A750" s="7">
        <f>CONCATENATE(C750,E750,F750,I750)</f>
        <v/>
      </c>
      <c r="B750" s="7">
        <f>CONCATENATE(C750,E750,I750)</f>
        <v/>
      </c>
      <c r="C750" s="8" t="n">
        <v>900004184</v>
      </c>
      <c r="D750" s="7">
        <f>IFERROR(VLOOKUP(C750,TRAOPE!$G:$H,2,0),"")</f>
        <v/>
      </c>
      <c r="E750" s="8" t="inlineStr">
        <is>
          <t>DW70</t>
        </is>
      </c>
      <c r="F750" s="8" t="inlineStr">
        <is>
          <t>D079</t>
        </is>
      </c>
      <c r="G750" s="8">
        <f>IFERROR(VLOOKUP(A750,Flete!$A:$E,5,0),"")</f>
        <v/>
      </c>
      <c r="H750" s="7">
        <f>IFERROR(VLOOKUP(F750,TRAOPE!$AA:$AB,2,0),"")</f>
        <v/>
      </c>
      <c r="I750" s="7" t="n">
        <v>10000623</v>
      </c>
      <c r="J750" s="7">
        <f>IFERROR(VLOOKUP(I750,Materiales!$A:$H,8,0),"")</f>
        <v/>
      </c>
      <c r="K750" s="9">
        <f>IFERROR(VLOOKUP(I750,Materiales!$A:$G,7,0),"")</f>
        <v/>
      </c>
      <c r="L750" s="8" t="inlineStr">
        <is>
          <t>20230501</t>
        </is>
      </c>
      <c r="M750" s="8" t="inlineStr">
        <is>
          <t>20250131</t>
        </is>
      </c>
      <c r="N750" s="10" t="n">
        <v>100.46</v>
      </c>
      <c r="O750" s="10">
        <f>IFERROR(VLOOKUP(A750,Flete!$A:$J,10,0),"")</f>
        <v/>
      </c>
      <c r="P750" s="8" t="inlineStr">
        <is>
          <t>TN</t>
        </is>
      </c>
      <c r="Q750" s="10">
        <f>IFERROR(IFERROR(VLOOKUP(A750,TRAOPE!$A:$U,21,0),VLOOKUP(B750,TRAOPE!$A:$U,21,0)),"")</f>
        <v/>
      </c>
      <c r="R750" s="8">
        <f>IFERROR(IFERROR(VLOOKUP(A750,TRAOPE!$A:$W,23,0),VLOOKUP(B750,TRAOPE!$A:$W,23,0)),"")</f>
        <v/>
      </c>
      <c r="S750" s="10">
        <f>IF(AND(P750="TN",R750="TN"),N750+N(O750),IF(G750&amp;""="1",N(K750)*N750,(N750+N(O750))*N(K750)))</f>
        <v/>
      </c>
      <c r="T750" s="10">
        <f>IF(Q750="","",Q750-S750)</f>
        <v/>
      </c>
    </row>
    <row r="751">
      <c r="A751" s="7">
        <f>CONCATENATE(C751,E751,F751,I751)</f>
        <v/>
      </c>
      <c r="B751" s="7">
        <f>CONCATENATE(C751,E751,I751)</f>
        <v/>
      </c>
      <c r="C751" s="8" t="n">
        <v>900004184</v>
      </c>
      <c r="D751" s="7">
        <f>IFERROR(VLOOKUP(C751,TRAOPE!$G:$H,2,0),"")</f>
        <v/>
      </c>
      <c r="E751" s="8" t="inlineStr">
        <is>
          <t>DW70</t>
        </is>
      </c>
      <c r="F751" s="8" t="inlineStr">
        <is>
          <t>D079</t>
        </is>
      </c>
      <c r="G751" s="8">
        <f>IFERROR(VLOOKUP(A751,Flete!$A:$E,5,0),"")</f>
        <v/>
      </c>
      <c r="H751" s="7">
        <f>IFERROR(VLOOKUP(F751,TRAOPE!$AA:$AB,2,0),"")</f>
        <v/>
      </c>
      <c r="I751" s="7" t="n">
        <v>10000624</v>
      </c>
      <c r="J751" s="7">
        <f>IFERROR(VLOOKUP(I751,Materiales!$A:$H,8,0),"")</f>
        <v/>
      </c>
      <c r="K751" s="9">
        <f>IFERROR(VLOOKUP(I751,Materiales!$A:$G,7,0),"")</f>
        <v/>
      </c>
      <c r="L751" s="8" t="inlineStr">
        <is>
          <t>20230501</t>
        </is>
      </c>
      <c r="M751" s="8" t="inlineStr">
        <is>
          <t>20250131</t>
        </is>
      </c>
      <c r="N751" s="10" t="n">
        <v>96.79000000000001</v>
      </c>
      <c r="O751" s="10">
        <f>IFERROR(VLOOKUP(A751,Flete!$A:$J,10,0),"")</f>
        <v/>
      </c>
      <c r="P751" s="8" t="inlineStr">
        <is>
          <t>TN</t>
        </is>
      </c>
      <c r="Q751" s="10">
        <f>IFERROR(IFERROR(VLOOKUP(A751,TRAOPE!$A:$U,21,0),VLOOKUP(B751,TRAOPE!$A:$U,21,0)),"")</f>
        <v/>
      </c>
      <c r="R751" s="8">
        <f>IFERROR(IFERROR(VLOOKUP(A751,TRAOPE!$A:$W,23,0),VLOOKUP(B751,TRAOPE!$A:$W,23,0)),"")</f>
        <v/>
      </c>
      <c r="S751" s="10">
        <f>IF(AND(P751="TN",R751="TN"),N751+N(O751),IF(G751&amp;""="1",N(K751)*N751,(N751+N(O751))*N(K751)))</f>
        <v/>
      </c>
      <c r="T751" s="10">
        <f>IF(Q751="","",Q751-S751)</f>
        <v/>
      </c>
    </row>
    <row r="752">
      <c r="A752" s="7">
        <f>CONCATENATE(C752,E752,F752,I752)</f>
        <v/>
      </c>
      <c r="B752" s="7">
        <f>CONCATENATE(C752,E752,I752)</f>
        <v/>
      </c>
      <c r="C752" s="8" t="n">
        <v>900004184</v>
      </c>
      <c r="D752" s="7">
        <f>IFERROR(VLOOKUP(C752,TRAOPE!$G:$H,2,0),"")</f>
        <v/>
      </c>
      <c r="E752" s="8" t="inlineStr">
        <is>
          <t>DW70</t>
        </is>
      </c>
      <c r="F752" s="8" t="inlineStr">
        <is>
          <t>D079</t>
        </is>
      </c>
      <c r="G752" s="8">
        <f>IFERROR(VLOOKUP(A752,Flete!$A:$E,5,0),"")</f>
        <v/>
      </c>
      <c r="H752" s="7">
        <f>IFERROR(VLOOKUP(F752,TRAOPE!$AA:$AB,2,0),"")</f>
        <v/>
      </c>
      <c r="I752" s="7" t="n">
        <v>10000811</v>
      </c>
      <c r="J752" s="7">
        <f>IFERROR(VLOOKUP(I752,Materiales!$A:$H,8,0),"")</f>
        <v/>
      </c>
      <c r="K752" s="9">
        <f>IFERROR(VLOOKUP(I752,Materiales!$A:$G,7,0),"")</f>
        <v/>
      </c>
      <c r="L752" s="8" t="inlineStr">
        <is>
          <t>20230501</t>
        </is>
      </c>
      <c r="M752" s="8" t="inlineStr">
        <is>
          <t>20250131</t>
        </is>
      </c>
      <c r="N752" s="10" t="n">
        <v>96.79000000000001</v>
      </c>
      <c r="O752" s="10">
        <f>IFERROR(VLOOKUP(A752,Flete!$A:$J,10,0),"")</f>
        <v/>
      </c>
      <c r="P752" s="8" t="inlineStr">
        <is>
          <t>TN</t>
        </is>
      </c>
      <c r="Q752" s="10">
        <f>IFERROR(IFERROR(VLOOKUP(A752,TRAOPE!$A:$U,21,0),VLOOKUP(B752,TRAOPE!$A:$U,21,0)),"")</f>
        <v/>
      </c>
      <c r="R752" s="8">
        <f>IFERROR(IFERROR(VLOOKUP(A752,TRAOPE!$A:$W,23,0),VLOOKUP(B752,TRAOPE!$A:$W,23,0)),"")</f>
        <v/>
      </c>
      <c r="S752" s="10">
        <f>IF(AND(P752="TN",R752="TN"),N752+N(O752),IF(G752&amp;""="1",N(K752)*N752,(N752+N(O752))*N(K752)))</f>
        <v/>
      </c>
      <c r="T752" s="10">
        <f>IF(Q752="","",Q752-S752)</f>
        <v/>
      </c>
    </row>
    <row r="753">
      <c r="A753" s="7">
        <f>CONCATENATE(C753,E753,F753,I753)</f>
        <v/>
      </c>
      <c r="B753" s="7">
        <f>CONCATENATE(C753,E753,I753)</f>
        <v/>
      </c>
      <c r="C753" s="8" t="n">
        <v>900004184</v>
      </c>
      <c r="D753" s="7">
        <f>IFERROR(VLOOKUP(C753,TRAOPE!$G:$H,2,0),"")</f>
        <v/>
      </c>
      <c r="E753" s="8" t="inlineStr">
        <is>
          <t>DW70</t>
        </is>
      </c>
      <c r="F753" s="8" t="inlineStr">
        <is>
          <t>D079</t>
        </is>
      </c>
      <c r="G753" s="8">
        <f>IFERROR(VLOOKUP(A753,Flete!$A:$E,5,0),"")</f>
        <v/>
      </c>
      <c r="H753" s="7">
        <f>IFERROR(VLOOKUP(F753,TRAOPE!$AA:$AB,2,0),"")</f>
        <v/>
      </c>
      <c r="I753" s="7" t="n">
        <v>10059180</v>
      </c>
      <c r="J753" s="7">
        <f>IFERROR(VLOOKUP(I753,Materiales!$A:$H,8,0),"")</f>
        <v/>
      </c>
      <c r="K753" s="9">
        <f>IFERROR(VLOOKUP(I753,Materiales!$A:$G,7,0),"")</f>
        <v/>
      </c>
      <c r="L753" s="8" t="inlineStr">
        <is>
          <t>20230501</t>
        </is>
      </c>
      <c r="M753" s="8" t="inlineStr">
        <is>
          <t>20250131</t>
        </is>
      </c>
      <c r="N753" s="10" t="n">
        <v>50.49</v>
      </c>
      <c r="O753" s="10">
        <f>IFERROR(VLOOKUP(A753,Flete!$A:$J,10,0),"")</f>
        <v/>
      </c>
      <c r="P753" s="8" t="inlineStr">
        <is>
          <t>TN</t>
        </is>
      </c>
      <c r="Q753" s="10">
        <f>IFERROR(IFERROR(VLOOKUP(A753,TRAOPE!$A:$U,21,0),VLOOKUP(B753,TRAOPE!$A:$U,21,0)),"")</f>
        <v/>
      </c>
      <c r="R753" s="8">
        <f>IFERROR(IFERROR(VLOOKUP(A753,TRAOPE!$A:$W,23,0),VLOOKUP(B753,TRAOPE!$A:$W,23,0)),"")</f>
        <v/>
      </c>
      <c r="S753" s="10">
        <f>IF(AND(P753="TN",R753="TN"),N753+N(O753),IF(G753&amp;""="1",N(K753)*N753,(N753+N(O753))*N(K753)))</f>
        <v/>
      </c>
      <c r="T753" s="10">
        <f>IF(Q753="","",Q753-S753)</f>
        <v/>
      </c>
    </row>
    <row r="754">
      <c r="A754" s="7">
        <f>CONCATENATE(C754,E754,F754,I754)</f>
        <v/>
      </c>
      <c r="B754" s="7">
        <f>CONCATENATE(C754,E754,I754)</f>
        <v/>
      </c>
      <c r="C754" s="8" t="n">
        <v>900004184</v>
      </c>
      <c r="D754" s="7">
        <f>IFERROR(VLOOKUP(C754,TRAOPE!$G:$H,2,0),"")</f>
        <v/>
      </c>
      <c r="E754" s="8" t="inlineStr">
        <is>
          <t>DW70</t>
        </is>
      </c>
      <c r="F754" s="8" t="inlineStr">
        <is>
          <t>D080</t>
        </is>
      </c>
      <c r="G754" s="8">
        <f>IFERROR(VLOOKUP(A754,Flete!$A:$E,5,0),"")</f>
        <v/>
      </c>
      <c r="H754" s="7">
        <f>IFERROR(VLOOKUP(F754,TRAOPE!$AA:$AB,2,0),"")</f>
        <v/>
      </c>
      <c r="I754" s="7" t="n">
        <v>10000623</v>
      </c>
      <c r="J754" s="7">
        <f>IFERROR(VLOOKUP(I754,Materiales!$A:$H,8,0),"")</f>
        <v/>
      </c>
      <c r="K754" s="9">
        <f>IFERROR(VLOOKUP(I754,Materiales!$A:$G,7,0),"")</f>
        <v/>
      </c>
      <c r="L754" s="8" t="inlineStr">
        <is>
          <t>20230501</t>
        </is>
      </c>
      <c r="M754" s="8" t="inlineStr">
        <is>
          <t>20250131</t>
        </is>
      </c>
      <c r="N754" s="10" t="n">
        <v>100.46</v>
      </c>
      <c r="O754" s="10">
        <f>IFERROR(VLOOKUP(A754,Flete!$A:$J,10,0),"")</f>
        <v/>
      </c>
      <c r="P754" s="8" t="inlineStr">
        <is>
          <t>TN</t>
        </is>
      </c>
      <c r="Q754" s="10">
        <f>IFERROR(IFERROR(VLOOKUP(A754,TRAOPE!$A:$U,21,0),VLOOKUP(B754,TRAOPE!$A:$U,21,0)),"")</f>
        <v/>
      </c>
      <c r="R754" s="8">
        <f>IFERROR(IFERROR(VLOOKUP(A754,TRAOPE!$A:$W,23,0),VLOOKUP(B754,TRAOPE!$A:$W,23,0)),"")</f>
        <v/>
      </c>
      <c r="S754" s="10">
        <f>IF(AND(P754="TN",R754="TN"),N754+N(O754),IF(G754&amp;""="1",N(K754)*N754,(N754+N(O754))*N(K754)))</f>
        <v/>
      </c>
      <c r="T754" s="10">
        <f>IF(Q754="","",Q754-S754)</f>
        <v/>
      </c>
    </row>
    <row r="755">
      <c r="A755" s="7">
        <f>CONCATENATE(C755,E755,F755,I755)</f>
        <v/>
      </c>
      <c r="B755" s="7">
        <f>CONCATENATE(C755,E755,I755)</f>
        <v/>
      </c>
      <c r="C755" s="8" t="n">
        <v>900004184</v>
      </c>
      <c r="D755" s="7">
        <f>IFERROR(VLOOKUP(C755,TRAOPE!$G:$H,2,0),"")</f>
        <v/>
      </c>
      <c r="E755" s="8" t="inlineStr">
        <is>
          <t>DW70</t>
        </is>
      </c>
      <c r="F755" s="8" t="inlineStr">
        <is>
          <t>D080</t>
        </is>
      </c>
      <c r="G755" s="8">
        <f>IFERROR(VLOOKUP(A755,Flete!$A:$E,5,0),"")</f>
        <v/>
      </c>
      <c r="H755" s="7">
        <f>IFERROR(VLOOKUP(F755,TRAOPE!$AA:$AB,2,0),"")</f>
        <v/>
      </c>
      <c r="I755" s="7" t="n">
        <v>10000624</v>
      </c>
      <c r="J755" s="7">
        <f>IFERROR(VLOOKUP(I755,Materiales!$A:$H,8,0),"")</f>
        <v/>
      </c>
      <c r="K755" s="9">
        <f>IFERROR(VLOOKUP(I755,Materiales!$A:$G,7,0),"")</f>
        <v/>
      </c>
      <c r="L755" s="8" t="inlineStr">
        <is>
          <t>20230501</t>
        </is>
      </c>
      <c r="M755" s="8" t="inlineStr">
        <is>
          <t>20250131</t>
        </is>
      </c>
      <c r="N755" s="10" t="n">
        <v>96.79000000000001</v>
      </c>
      <c r="O755" s="10">
        <f>IFERROR(VLOOKUP(A755,Flete!$A:$J,10,0),"")</f>
        <v/>
      </c>
      <c r="P755" s="8" t="inlineStr">
        <is>
          <t>TN</t>
        </is>
      </c>
      <c r="Q755" s="10">
        <f>IFERROR(IFERROR(VLOOKUP(A755,TRAOPE!$A:$U,21,0),VLOOKUP(B755,TRAOPE!$A:$U,21,0)),"")</f>
        <v/>
      </c>
      <c r="R755" s="8">
        <f>IFERROR(IFERROR(VLOOKUP(A755,TRAOPE!$A:$W,23,0),VLOOKUP(B755,TRAOPE!$A:$W,23,0)),"")</f>
        <v/>
      </c>
      <c r="S755" s="10">
        <f>IF(AND(P755="TN",R755="TN"),N755+N(O755),IF(G755&amp;""="1",N(K755)*N755,(N755+N(O755))*N(K755)))</f>
        <v/>
      </c>
      <c r="T755" s="10">
        <f>IF(Q755="","",Q755-S755)</f>
        <v/>
      </c>
    </row>
    <row r="756">
      <c r="A756" s="7">
        <f>CONCATENATE(C756,E756,F756,I756)</f>
        <v/>
      </c>
      <c r="B756" s="7">
        <f>CONCATENATE(C756,E756,I756)</f>
        <v/>
      </c>
      <c r="C756" s="8" t="n">
        <v>900004184</v>
      </c>
      <c r="D756" s="7">
        <f>IFERROR(VLOOKUP(C756,TRAOPE!$G:$H,2,0),"")</f>
        <v/>
      </c>
      <c r="E756" s="8" t="inlineStr">
        <is>
          <t>DW70</t>
        </is>
      </c>
      <c r="F756" s="8" t="inlineStr">
        <is>
          <t>D080</t>
        </is>
      </c>
      <c r="G756" s="8">
        <f>IFERROR(VLOOKUP(A756,Flete!$A:$E,5,0),"")</f>
        <v/>
      </c>
      <c r="H756" s="7">
        <f>IFERROR(VLOOKUP(F756,TRAOPE!$AA:$AB,2,0),"")</f>
        <v/>
      </c>
      <c r="I756" s="7" t="n">
        <v>10000811</v>
      </c>
      <c r="J756" s="7">
        <f>IFERROR(VLOOKUP(I756,Materiales!$A:$H,8,0),"")</f>
        <v/>
      </c>
      <c r="K756" s="9">
        <f>IFERROR(VLOOKUP(I756,Materiales!$A:$G,7,0),"")</f>
        <v/>
      </c>
      <c r="L756" s="8" t="inlineStr">
        <is>
          <t>20230501</t>
        </is>
      </c>
      <c r="M756" s="8" t="inlineStr">
        <is>
          <t>20250131</t>
        </is>
      </c>
      <c r="N756" s="10" t="n">
        <v>96.79000000000001</v>
      </c>
      <c r="O756" s="10">
        <f>IFERROR(VLOOKUP(A756,Flete!$A:$J,10,0),"")</f>
        <v/>
      </c>
      <c r="P756" s="8" t="inlineStr">
        <is>
          <t>TN</t>
        </is>
      </c>
      <c r="Q756" s="10">
        <f>IFERROR(IFERROR(VLOOKUP(A756,TRAOPE!$A:$U,21,0),VLOOKUP(B756,TRAOPE!$A:$U,21,0)),"")</f>
        <v/>
      </c>
      <c r="R756" s="8">
        <f>IFERROR(IFERROR(VLOOKUP(A756,TRAOPE!$A:$W,23,0),VLOOKUP(B756,TRAOPE!$A:$W,23,0)),"")</f>
        <v/>
      </c>
      <c r="S756" s="10">
        <f>IF(AND(P756="TN",R756="TN"),N756+N(O756),IF(G756&amp;""="1",N(K756)*N756,(N756+N(O756))*N(K756)))</f>
        <v/>
      </c>
      <c r="T756" s="10">
        <f>IF(Q756="","",Q756-S756)</f>
        <v/>
      </c>
    </row>
    <row r="757">
      <c r="A757" s="7">
        <f>CONCATENATE(C757,E757,F757,I757)</f>
        <v/>
      </c>
      <c r="B757" s="7">
        <f>CONCATENATE(C757,E757,I757)</f>
        <v/>
      </c>
      <c r="C757" s="8" t="n">
        <v>900004184</v>
      </c>
      <c r="D757" s="7">
        <f>IFERROR(VLOOKUP(C757,TRAOPE!$G:$H,2,0),"")</f>
        <v/>
      </c>
      <c r="E757" s="8" t="inlineStr">
        <is>
          <t>DW70</t>
        </is>
      </c>
      <c r="F757" s="8" t="inlineStr">
        <is>
          <t>D080</t>
        </is>
      </c>
      <c r="G757" s="8">
        <f>IFERROR(VLOOKUP(A757,Flete!$A:$E,5,0),"")</f>
        <v/>
      </c>
      <c r="H757" s="7">
        <f>IFERROR(VLOOKUP(F757,TRAOPE!$AA:$AB,2,0),"")</f>
        <v/>
      </c>
      <c r="I757" s="7" t="n">
        <v>10059180</v>
      </c>
      <c r="J757" s="7">
        <f>IFERROR(VLOOKUP(I757,Materiales!$A:$H,8,0),"")</f>
        <v/>
      </c>
      <c r="K757" s="9">
        <f>IFERROR(VLOOKUP(I757,Materiales!$A:$G,7,0),"")</f>
        <v/>
      </c>
      <c r="L757" s="8" t="inlineStr">
        <is>
          <t>20230501</t>
        </is>
      </c>
      <c r="M757" s="8" t="inlineStr">
        <is>
          <t>20250131</t>
        </is>
      </c>
      <c r="N757" s="10" t="n">
        <v>50.49</v>
      </c>
      <c r="O757" s="10">
        <f>IFERROR(VLOOKUP(A757,Flete!$A:$J,10,0),"")</f>
        <v/>
      </c>
      <c r="P757" s="8" t="inlineStr">
        <is>
          <t>TN</t>
        </is>
      </c>
      <c r="Q757" s="10">
        <f>IFERROR(IFERROR(VLOOKUP(A757,TRAOPE!$A:$U,21,0),VLOOKUP(B757,TRAOPE!$A:$U,21,0)),"")</f>
        <v/>
      </c>
      <c r="R757" s="8">
        <f>IFERROR(IFERROR(VLOOKUP(A757,TRAOPE!$A:$W,23,0),VLOOKUP(B757,TRAOPE!$A:$W,23,0)),"")</f>
        <v/>
      </c>
      <c r="S757" s="10">
        <f>IF(AND(P757="TN",R757="TN"),N757+N(O757),IF(G757&amp;""="1",N(K757)*N757,(N757+N(O757))*N(K757)))</f>
        <v/>
      </c>
      <c r="T757" s="10">
        <f>IF(Q757="","",Q757-S757)</f>
        <v/>
      </c>
    </row>
    <row r="758">
      <c r="A758" s="7">
        <f>CONCATENATE(C758,E758,F758,I758)</f>
        <v/>
      </c>
      <c r="B758" s="7">
        <f>CONCATENATE(C758,E758,I758)</f>
        <v/>
      </c>
      <c r="C758" s="8" t="n">
        <v>900004184</v>
      </c>
      <c r="D758" s="7">
        <f>IFERROR(VLOOKUP(C758,TRAOPE!$G:$H,2,0),"")</f>
        <v/>
      </c>
      <c r="E758" s="8" t="inlineStr">
        <is>
          <t>DW70</t>
        </is>
      </c>
      <c r="F758" s="8" t="inlineStr">
        <is>
          <t>D081</t>
        </is>
      </c>
      <c r="G758" s="8">
        <f>IFERROR(VLOOKUP(A758,Flete!$A:$E,5,0),"")</f>
        <v/>
      </c>
      <c r="H758" s="7">
        <f>IFERROR(VLOOKUP(F758,TRAOPE!$AA:$AB,2,0),"")</f>
        <v/>
      </c>
      <c r="I758" s="7" t="n">
        <v>10000623</v>
      </c>
      <c r="J758" s="7">
        <f>IFERROR(VLOOKUP(I758,Materiales!$A:$H,8,0),"")</f>
        <v/>
      </c>
      <c r="K758" s="9">
        <f>IFERROR(VLOOKUP(I758,Materiales!$A:$G,7,0),"")</f>
        <v/>
      </c>
      <c r="L758" s="8" t="inlineStr">
        <is>
          <t>20230501</t>
        </is>
      </c>
      <c r="M758" s="8" t="inlineStr">
        <is>
          <t>20250131</t>
        </is>
      </c>
      <c r="N758" s="10" t="n">
        <v>100.46</v>
      </c>
      <c r="O758" s="10">
        <f>IFERROR(VLOOKUP(A758,Flete!$A:$J,10,0),"")</f>
        <v/>
      </c>
      <c r="P758" s="8" t="inlineStr">
        <is>
          <t>TN</t>
        </is>
      </c>
      <c r="Q758" s="10">
        <f>IFERROR(IFERROR(VLOOKUP(A758,TRAOPE!$A:$U,21,0),VLOOKUP(B758,TRAOPE!$A:$U,21,0)),"")</f>
        <v/>
      </c>
      <c r="R758" s="8">
        <f>IFERROR(IFERROR(VLOOKUP(A758,TRAOPE!$A:$W,23,0),VLOOKUP(B758,TRAOPE!$A:$W,23,0)),"")</f>
        <v/>
      </c>
      <c r="S758" s="10">
        <f>IF(AND(P758="TN",R758="TN"),N758+N(O758),IF(G758&amp;""="1",N(K758)*N758,(N758+N(O758))*N(K758)))</f>
        <v/>
      </c>
      <c r="T758" s="10">
        <f>IF(Q758="","",Q758-S758)</f>
        <v/>
      </c>
    </row>
    <row r="759">
      <c r="A759" s="7">
        <f>CONCATENATE(C759,E759,F759,I759)</f>
        <v/>
      </c>
      <c r="B759" s="7">
        <f>CONCATENATE(C759,E759,I759)</f>
        <v/>
      </c>
      <c r="C759" s="8" t="n">
        <v>900004184</v>
      </c>
      <c r="D759" s="7">
        <f>IFERROR(VLOOKUP(C759,TRAOPE!$G:$H,2,0),"")</f>
        <v/>
      </c>
      <c r="E759" s="8" t="inlineStr">
        <is>
          <t>DW70</t>
        </is>
      </c>
      <c r="F759" s="8" t="inlineStr">
        <is>
          <t>D081</t>
        </is>
      </c>
      <c r="G759" s="8">
        <f>IFERROR(VLOOKUP(A759,Flete!$A:$E,5,0),"")</f>
        <v/>
      </c>
      <c r="H759" s="7">
        <f>IFERROR(VLOOKUP(F759,TRAOPE!$AA:$AB,2,0),"")</f>
        <v/>
      </c>
      <c r="I759" s="7" t="n">
        <v>10000624</v>
      </c>
      <c r="J759" s="7">
        <f>IFERROR(VLOOKUP(I759,Materiales!$A:$H,8,0),"")</f>
        <v/>
      </c>
      <c r="K759" s="9">
        <f>IFERROR(VLOOKUP(I759,Materiales!$A:$G,7,0),"")</f>
        <v/>
      </c>
      <c r="L759" s="8" t="inlineStr">
        <is>
          <t>20230501</t>
        </is>
      </c>
      <c r="M759" s="8" t="inlineStr">
        <is>
          <t>20250131</t>
        </is>
      </c>
      <c r="N759" s="10" t="n">
        <v>96.79000000000001</v>
      </c>
      <c r="O759" s="10">
        <f>IFERROR(VLOOKUP(A759,Flete!$A:$J,10,0),"")</f>
        <v/>
      </c>
      <c r="P759" s="8" t="inlineStr">
        <is>
          <t>TN</t>
        </is>
      </c>
      <c r="Q759" s="10">
        <f>IFERROR(IFERROR(VLOOKUP(A759,TRAOPE!$A:$U,21,0),VLOOKUP(B759,TRAOPE!$A:$U,21,0)),"")</f>
        <v/>
      </c>
      <c r="R759" s="8">
        <f>IFERROR(IFERROR(VLOOKUP(A759,TRAOPE!$A:$W,23,0),VLOOKUP(B759,TRAOPE!$A:$W,23,0)),"")</f>
        <v/>
      </c>
      <c r="S759" s="10">
        <f>IF(AND(P759="TN",R759="TN"),N759+N(O759),IF(G759&amp;""="1",N(K759)*N759,(N759+N(O759))*N(K759)))</f>
        <v/>
      </c>
      <c r="T759" s="10">
        <f>IF(Q759="","",Q759-S759)</f>
        <v/>
      </c>
    </row>
    <row r="760">
      <c r="A760" s="7">
        <f>CONCATENATE(C760,E760,F760,I760)</f>
        <v/>
      </c>
      <c r="B760" s="7">
        <f>CONCATENATE(C760,E760,I760)</f>
        <v/>
      </c>
      <c r="C760" s="8" t="n">
        <v>900004184</v>
      </c>
      <c r="D760" s="7">
        <f>IFERROR(VLOOKUP(C760,TRAOPE!$G:$H,2,0),"")</f>
        <v/>
      </c>
      <c r="E760" s="8" t="inlineStr">
        <is>
          <t>DW70</t>
        </is>
      </c>
      <c r="F760" s="8" t="inlineStr">
        <is>
          <t>D081</t>
        </is>
      </c>
      <c r="G760" s="8">
        <f>IFERROR(VLOOKUP(A760,Flete!$A:$E,5,0),"")</f>
        <v/>
      </c>
      <c r="H760" s="7">
        <f>IFERROR(VLOOKUP(F760,TRAOPE!$AA:$AB,2,0),"")</f>
        <v/>
      </c>
      <c r="I760" s="7" t="n">
        <v>10000811</v>
      </c>
      <c r="J760" s="7">
        <f>IFERROR(VLOOKUP(I760,Materiales!$A:$H,8,0),"")</f>
        <v/>
      </c>
      <c r="K760" s="9">
        <f>IFERROR(VLOOKUP(I760,Materiales!$A:$G,7,0),"")</f>
        <v/>
      </c>
      <c r="L760" s="8" t="inlineStr">
        <is>
          <t>20230501</t>
        </is>
      </c>
      <c r="M760" s="8" t="inlineStr">
        <is>
          <t>20250131</t>
        </is>
      </c>
      <c r="N760" s="10" t="n">
        <v>96.79000000000001</v>
      </c>
      <c r="O760" s="10">
        <f>IFERROR(VLOOKUP(A760,Flete!$A:$J,10,0),"")</f>
        <v/>
      </c>
      <c r="P760" s="8" t="inlineStr">
        <is>
          <t>TN</t>
        </is>
      </c>
      <c r="Q760" s="10">
        <f>IFERROR(IFERROR(VLOOKUP(A760,TRAOPE!$A:$U,21,0),VLOOKUP(B760,TRAOPE!$A:$U,21,0)),"")</f>
        <v/>
      </c>
      <c r="R760" s="8">
        <f>IFERROR(IFERROR(VLOOKUP(A760,TRAOPE!$A:$W,23,0),VLOOKUP(B760,TRAOPE!$A:$W,23,0)),"")</f>
        <v/>
      </c>
      <c r="S760" s="10">
        <f>IF(AND(P760="TN",R760="TN"),N760+N(O760),IF(G760&amp;""="1",N(K760)*N760,(N760+N(O760))*N(K760)))</f>
        <v/>
      </c>
      <c r="T760" s="10">
        <f>IF(Q760="","",Q760-S760)</f>
        <v/>
      </c>
    </row>
    <row r="761">
      <c r="A761" s="7">
        <f>CONCATENATE(C761,E761,F761,I761)</f>
        <v/>
      </c>
      <c r="B761" s="7">
        <f>CONCATENATE(C761,E761,I761)</f>
        <v/>
      </c>
      <c r="C761" s="8" t="n">
        <v>900004184</v>
      </c>
      <c r="D761" s="7">
        <f>IFERROR(VLOOKUP(C761,TRAOPE!$G:$H,2,0),"")</f>
        <v/>
      </c>
      <c r="E761" s="8" t="inlineStr">
        <is>
          <t>DW70</t>
        </is>
      </c>
      <c r="F761" s="8" t="inlineStr">
        <is>
          <t>D081</t>
        </is>
      </c>
      <c r="G761" s="8">
        <f>IFERROR(VLOOKUP(A761,Flete!$A:$E,5,0),"")</f>
        <v/>
      </c>
      <c r="H761" s="7">
        <f>IFERROR(VLOOKUP(F761,TRAOPE!$AA:$AB,2,0),"")</f>
        <v/>
      </c>
      <c r="I761" s="7" t="n">
        <v>10059180</v>
      </c>
      <c r="J761" s="7">
        <f>IFERROR(VLOOKUP(I761,Materiales!$A:$H,8,0),"")</f>
        <v/>
      </c>
      <c r="K761" s="9">
        <f>IFERROR(VLOOKUP(I761,Materiales!$A:$G,7,0),"")</f>
        <v/>
      </c>
      <c r="L761" s="8" t="inlineStr">
        <is>
          <t>20230501</t>
        </is>
      </c>
      <c r="M761" s="8" t="inlineStr">
        <is>
          <t>20250131</t>
        </is>
      </c>
      <c r="N761" s="10" t="n">
        <v>50.49</v>
      </c>
      <c r="O761" s="10">
        <f>IFERROR(VLOOKUP(A761,Flete!$A:$J,10,0),"")</f>
        <v/>
      </c>
      <c r="P761" s="8" t="inlineStr">
        <is>
          <t>TN</t>
        </is>
      </c>
      <c r="Q761" s="10">
        <f>IFERROR(IFERROR(VLOOKUP(A761,TRAOPE!$A:$U,21,0),VLOOKUP(B761,TRAOPE!$A:$U,21,0)),"")</f>
        <v/>
      </c>
      <c r="R761" s="8">
        <f>IFERROR(IFERROR(VLOOKUP(A761,TRAOPE!$A:$W,23,0),VLOOKUP(B761,TRAOPE!$A:$W,23,0)),"")</f>
        <v/>
      </c>
      <c r="S761" s="10">
        <f>IF(AND(P761="TN",R761="TN"),N761+N(O761),IF(G761&amp;""="1",N(K761)*N761,(N761+N(O761))*N(K761)))</f>
        <v/>
      </c>
      <c r="T761" s="10">
        <f>IF(Q761="","",Q761-S761)</f>
        <v/>
      </c>
    </row>
    <row r="762">
      <c r="A762" s="7">
        <f>CONCATENATE(C762,E762,F762,I762)</f>
        <v/>
      </c>
      <c r="B762" s="7">
        <f>CONCATENATE(C762,E762,I762)</f>
        <v/>
      </c>
      <c r="C762" s="8" t="n">
        <v>900004184</v>
      </c>
      <c r="D762" s="7">
        <f>IFERROR(VLOOKUP(C762,TRAOPE!$G:$H,2,0),"")</f>
        <v/>
      </c>
      <c r="E762" s="8" t="inlineStr">
        <is>
          <t>DW70</t>
        </is>
      </c>
      <c r="F762" s="8" t="inlineStr">
        <is>
          <t>D083</t>
        </is>
      </c>
      <c r="G762" s="8">
        <f>IFERROR(VLOOKUP(A762,Flete!$A:$E,5,0),"")</f>
        <v/>
      </c>
      <c r="H762" s="7">
        <f>IFERROR(VLOOKUP(F762,TRAOPE!$AA:$AB,2,0),"")</f>
        <v/>
      </c>
      <c r="I762" s="7" t="n">
        <v>10000623</v>
      </c>
      <c r="J762" s="7">
        <f>IFERROR(VLOOKUP(I762,Materiales!$A:$H,8,0),"")</f>
        <v/>
      </c>
      <c r="K762" s="9">
        <f>IFERROR(VLOOKUP(I762,Materiales!$A:$G,7,0),"")</f>
        <v/>
      </c>
      <c r="L762" s="8" t="inlineStr">
        <is>
          <t>20230501</t>
        </is>
      </c>
      <c r="M762" s="8" t="inlineStr">
        <is>
          <t>20250131</t>
        </is>
      </c>
      <c r="N762" s="10" t="n">
        <v>100.46</v>
      </c>
      <c r="O762" s="10">
        <f>IFERROR(VLOOKUP(A762,Flete!$A:$J,10,0),"")</f>
        <v/>
      </c>
      <c r="P762" s="8" t="inlineStr">
        <is>
          <t>TN</t>
        </is>
      </c>
      <c r="Q762" s="10">
        <f>IFERROR(IFERROR(VLOOKUP(A762,TRAOPE!$A:$U,21,0),VLOOKUP(B762,TRAOPE!$A:$U,21,0)),"")</f>
        <v/>
      </c>
      <c r="R762" s="8">
        <f>IFERROR(IFERROR(VLOOKUP(A762,TRAOPE!$A:$W,23,0),VLOOKUP(B762,TRAOPE!$A:$W,23,0)),"")</f>
        <v/>
      </c>
      <c r="S762" s="10">
        <f>IF(AND(P762="TN",R762="TN"),N762+N(O762),IF(G762&amp;""="1",N(K762)*N762,(N762+N(O762))*N(K762)))</f>
        <v/>
      </c>
      <c r="T762" s="10">
        <f>IF(Q762="","",Q762-S762)</f>
        <v/>
      </c>
    </row>
    <row r="763">
      <c r="A763" s="7">
        <f>CONCATENATE(C763,E763,F763,I763)</f>
        <v/>
      </c>
      <c r="B763" s="7">
        <f>CONCATENATE(C763,E763,I763)</f>
        <v/>
      </c>
      <c r="C763" s="8" t="n">
        <v>900004184</v>
      </c>
      <c r="D763" s="7">
        <f>IFERROR(VLOOKUP(C763,TRAOPE!$G:$H,2,0),"")</f>
        <v/>
      </c>
      <c r="E763" s="8" t="inlineStr">
        <is>
          <t>DW70</t>
        </is>
      </c>
      <c r="F763" s="8" t="inlineStr">
        <is>
          <t>D083</t>
        </is>
      </c>
      <c r="G763" s="8">
        <f>IFERROR(VLOOKUP(A763,Flete!$A:$E,5,0),"")</f>
        <v/>
      </c>
      <c r="H763" s="7">
        <f>IFERROR(VLOOKUP(F763,TRAOPE!$AA:$AB,2,0),"")</f>
        <v/>
      </c>
      <c r="I763" s="7" t="n">
        <v>10000624</v>
      </c>
      <c r="J763" s="7">
        <f>IFERROR(VLOOKUP(I763,Materiales!$A:$H,8,0),"")</f>
        <v/>
      </c>
      <c r="K763" s="9">
        <f>IFERROR(VLOOKUP(I763,Materiales!$A:$G,7,0),"")</f>
        <v/>
      </c>
      <c r="L763" s="8" t="inlineStr">
        <is>
          <t>20230501</t>
        </is>
      </c>
      <c r="M763" s="8" t="inlineStr">
        <is>
          <t>20250131</t>
        </is>
      </c>
      <c r="N763" s="10" t="n">
        <v>96.79000000000001</v>
      </c>
      <c r="O763" s="10">
        <f>IFERROR(VLOOKUP(A763,Flete!$A:$J,10,0),"")</f>
        <v/>
      </c>
      <c r="P763" s="8" t="inlineStr">
        <is>
          <t>TN</t>
        </is>
      </c>
      <c r="Q763" s="10">
        <f>IFERROR(IFERROR(VLOOKUP(A763,TRAOPE!$A:$U,21,0),VLOOKUP(B763,TRAOPE!$A:$U,21,0)),"")</f>
        <v/>
      </c>
      <c r="R763" s="8">
        <f>IFERROR(IFERROR(VLOOKUP(A763,TRAOPE!$A:$W,23,0),VLOOKUP(B763,TRAOPE!$A:$W,23,0)),"")</f>
        <v/>
      </c>
      <c r="S763" s="10">
        <f>IF(AND(P763="TN",R763="TN"),N763+N(O763),IF(G763&amp;""="1",N(K763)*N763,(N763+N(O763))*N(K763)))</f>
        <v/>
      </c>
      <c r="T763" s="10">
        <f>IF(Q763="","",Q763-S763)</f>
        <v/>
      </c>
    </row>
    <row r="764">
      <c r="A764" s="7">
        <f>CONCATENATE(C764,E764,F764,I764)</f>
        <v/>
      </c>
      <c r="B764" s="7">
        <f>CONCATENATE(C764,E764,I764)</f>
        <v/>
      </c>
      <c r="C764" s="8" t="n">
        <v>900004184</v>
      </c>
      <c r="D764" s="7">
        <f>IFERROR(VLOOKUP(C764,TRAOPE!$G:$H,2,0),"")</f>
        <v/>
      </c>
      <c r="E764" s="8" t="inlineStr">
        <is>
          <t>DW70</t>
        </is>
      </c>
      <c r="F764" s="8" t="inlineStr">
        <is>
          <t>D083</t>
        </is>
      </c>
      <c r="G764" s="8">
        <f>IFERROR(VLOOKUP(A764,Flete!$A:$E,5,0),"")</f>
        <v/>
      </c>
      <c r="H764" s="7">
        <f>IFERROR(VLOOKUP(F764,TRAOPE!$AA:$AB,2,0),"")</f>
        <v/>
      </c>
      <c r="I764" s="7" t="n">
        <v>10000811</v>
      </c>
      <c r="J764" s="7">
        <f>IFERROR(VLOOKUP(I764,Materiales!$A:$H,8,0),"")</f>
        <v/>
      </c>
      <c r="K764" s="9">
        <f>IFERROR(VLOOKUP(I764,Materiales!$A:$G,7,0),"")</f>
        <v/>
      </c>
      <c r="L764" s="8" t="inlineStr">
        <is>
          <t>20230501</t>
        </is>
      </c>
      <c r="M764" s="8" t="inlineStr">
        <is>
          <t>20250131</t>
        </is>
      </c>
      <c r="N764" s="10" t="n">
        <v>96.79000000000001</v>
      </c>
      <c r="O764" s="10">
        <f>IFERROR(VLOOKUP(A764,Flete!$A:$J,10,0),"")</f>
        <v/>
      </c>
      <c r="P764" s="8" t="inlineStr">
        <is>
          <t>TN</t>
        </is>
      </c>
      <c r="Q764" s="10">
        <f>IFERROR(IFERROR(VLOOKUP(A764,TRAOPE!$A:$U,21,0),VLOOKUP(B764,TRAOPE!$A:$U,21,0)),"")</f>
        <v/>
      </c>
      <c r="R764" s="8">
        <f>IFERROR(IFERROR(VLOOKUP(A764,TRAOPE!$A:$W,23,0),VLOOKUP(B764,TRAOPE!$A:$W,23,0)),"")</f>
        <v/>
      </c>
      <c r="S764" s="10">
        <f>IF(AND(P764="TN",R764="TN"),N764+N(O764),IF(G764&amp;""="1",N(K764)*N764,(N764+N(O764))*N(K764)))</f>
        <v/>
      </c>
      <c r="T764" s="10">
        <f>IF(Q764="","",Q764-S764)</f>
        <v/>
      </c>
    </row>
    <row r="765">
      <c r="A765" s="7">
        <f>CONCATENATE(C765,E765,F765,I765)</f>
        <v/>
      </c>
      <c r="B765" s="7">
        <f>CONCATENATE(C765,E765,I765)</f>
        <v/>
      </c>
      <c r="C765" s="8" t="n">
        <v>900004184</v>
      </c>
      <c r="D765" s="7">
        <f>IFERROR(VLOOKUP(C765,TRAOPE!$G:$H,2,0),"")</f>
        <v/>
      </c>
      <c r="E765" s="8" t="inlineStr">
        <is>
          <t>DW70</t>
        </is>
      </c>
      <c r="F765" s="8" t="inlineStr">
        <is>
          <t>D083</t>
        </is>
      </c>
      <c r="G765" s="8">
        <f>IFERROR(VLOOKUP(A765,Flete!$A:$E,5,0),"")</f>
        <v/>
      </c>
      <c r="H765" s="7">
        <f>IFERROR(VLOOKUP(F765,TRAOPE!$AA:$AB,2,0),"")</f>
        <v/>
      </c>
      <c r="I765" s="7" t="n">
        <v>10059180</v>
      </c>
      <c r="J765" s="7">
        <f>IFERROR(VLOOKUP(I765,Materiales!$A:$H,8,0),"")</f>
        <v/>
      </c>
      <c r="K765" s="9">
        <f>IFERROR(VLOOKUP(I765,Materiales!$A:$G,7,0),"")</f>
        <v/>
      </c>
      <c r="L765" s="8" t="inlineStr">
        <is>
          <t>20230501</t>
        </is>
      </c>
      <c r="M765" s="8" t="inlineStr">
        <is>
          <t>20250131</t>
        </is>
      </c>
      <c r="N765" s="10" t="n">
        <v>50.49</v>
      </c>
      <c r="O765" s="10">
        <f>IFERROR(VLOOKUP(A765,Flete!$A:$J,10,0),"")</f>
        <v/>
      </c>
      <c r="P765" s="8" t="inlineStr">
        <is>
          <t>TN</t>
        </is>
      </c>
      <c r="Q765" s="10">
        <f>IFERROR(IFERROR(VLOOKUP(A765,TRAOPE!$A:$U,21,0),VLOOKUP(B765,TRAOPE!$A:$U,21,0)),"")</f>
        <v/>
      </c>
      <c r="R765" s="8">
        <f>IFERROR(IFERROR(VLOOKUP(A765,TRAOPE!$A:$W,23,0),VLOOKUP(B765,TRAOPE!$A:$W,23,0)),"")</f>
        <v/>
      </c>
      <c r="S765" s="10">
        <f>IF(AND(P765="TN",R765="TN"),N765+N(O765),IF(G765&amp;""="1",N(K765)*N765,(N765+N(O765))*N(K765)))</f>
        <v/>
      </c>
      <c r="T765" s="10">
        <f>IF(Q765="","",Q765-S765)</f>
        <v/>
      </c>
    </row>
    <row r="766">
      <c r="A766" s="7">
        <f>CONCATENATE(C766,E766,F766,I766)</f>
        <v/>
      </c>
      <c r="B766" s="7">
        <f>CONCATENATE(C766,E766,I766)</f>
        <v/>
      </c>
      <c r="C766" s="8" t="n">
        <v>900004184</v>
      </c>
      <c r="D766" s="7">
        <f>IFERROR(VLOOKUP(C766,TRAOPE!$G:$H,2,0),"")</f>
        <v/>
      </c>
      <c r="E766" s="8" t="inlineStr">
        <is>
          <t>DW70</t>
        </is>
      </c>
      <c r="F766" s="8" t="inlineStr">
        <is>
          <t>D084</t>
        </is>
      </c>
      <c r="G766" s="8">
        <f>IFERROR(VLOOKUP(A766,Flete!$A:$E,5,0),"")</f>
        <v/>
      </c>
      <c r="H766" s="7">
        <f>IFERROR(VLOOKUP(F766,TRAOPE!$AA:$AB,2,0),"")</f>
        <v/>
      </c>
      <c r="I766" s="7" t="n">
        <v>10000623</v>
      </c>
      <c r="J766" s="7">
        <f>IFERROR(VLOOKUP(I766,Materiales!$A:$H,8,0),"")</f>
        <v/>
      </c>
      <c r="K766" s="9">
        <f>IFERROR(VLOOKUP(I766,Materiales!$A:$G,7,0),"")</f>
        <v/>
      </c>
      <c r="L766" s="8" t="inlineStr">
        <is>
          <t>20230501</t>
        </is>
      </c>
      <c r="M766" s="8" t="inlineStr">
        <is>
          <t>20250131</t>
        </is>
      </c>
      <c r="N766" s="10" t="n">
        <v>100.46</v>
      </c>
      <c r="O766" s="10">
        <f>IFERROR(VLOOKUP(A766,Flete!$A:$J,10,0),"")</f>
        <v/>
      </c>
      <c r="P766" s="8" t="inlineStr">
        <is>
          <t>TN</t>
        </is>
      </c>
      <c r="Q766" s="10">
        <f>IFERROR(IFERROR(VLOOKUP(A766,TRAOPE!$A:$U,21,0),VLOOKUP(B766,TRAOPE!$A:$U,21,0)),"")</f>
        <v/>
      </c>
      <c r="R766" s="8">
        <f>IFERROR(IFERROR(VLOOKUP(A766,TRAOPE!$A:$W,23,0),VLOOKUP(B766,TRAOPE!$A:$W,23,0)),"")</f>
        <v/>
      </c>
      <c r="S766" s="10">
        <f>IF(AND(P766="TN",R766="TN"),N766+N(O766),IF(G766&amp;""="1",N(K766)*N766,(N766+N(O766))*N(K766)))</f>
        <v/>
      </c>
      <c r="T766" s="10">
        <f>IF(Q766="","",Q766-S766)</f>
        <v/>
      </c>
    </row>
    <row r="767">
      <c r="A767" s="7">
        <f>CONCATENATE(C767,E767,F767,I767)</f>
        <v/>
      </c>
      <c r="B767" s="7">
        <f>CONCATENATE(C767,E767,I767)</f>
        <v/>
      </c>
      <c r="C767" s="8" t="n">
        <v>900004184</v>
      </c>
      <c r="D767" s="7">
        <f>IFERROR(VLOOKUP(C767,TRAOPE!$G:$H,2,0),"")</f>
        <v/>
      </c>
      <c r="E767" s="8" t="inlineStr">
        <is>
          <t>DW70</t>
        </is>
      </c>
      <c r="F767" s="8" t="inlineStr">
        <is>
          <t>D084</t>
        </is>
      </c>
      <c r="G767" s="8">
        <f>IFERROR(VLOOKUP(A767,Flete!$A:$E,5,0),"")</f>
        <v/>
      </c>
      <c r="H767" s="7">
        <f>IFERROR(VLOOKUP(F767,TRAOPE!$AA:$AB,2,0),"")</f>
        <v/>
      </c>
      <c r="I767" s="7" t="n">
        <v>10000624</v>
      </c>
      <c r="J767" s="7">
        <f>IFERROR(VLOOKUP(I767,Materiales!$A:$H,8,0),"")</f>
        <v/>
      </c>
      <c r="K767" s="9">
        <f>IFERROR(VLOOKUP(I767,Materiales!$A:$G,7,0),"")</f>
        <v/>
      </c>
      <c r="L767" s="8" t="inlineStr">
        <is>
          <t>20230501</t>
        </is>
      </c>
      <c r="M767" s="8" t="inlineStr">
        <is>
          <t>20250131</t>
        </is>
      </c>
      <c r="N767" s="10" t="n">
        <v>96.79000000000001</v>
      </c>
      <c r="O767" s="10">
        <f>IFERROR(VLOOKUP(A767,Flete!$A:$J,10,0),"")</f>
        <v/>
      </c>
      <c r="P767" s="8" t="inlineStr">
        <is>
          <t>TN</t>
        </is>
      </c>
      <c r="Q767" s="10">
        <f>IFERROR(IFERROR(VLOOKUP(A767,TRAOPE!$A:$U,21,0),VLOOKUP(B767,TRAOPE!$A:$U,21,0)),"")</f>
        <v/>
      </c>
      <c r="R767" s="8">
        <f>IFERROR(IFERROR(VLOOKUP(A767,TRAOPE!$A:$W,23,0),VLOOKUP(B767,TRAOPE!$A:$W,23,0)),"")</f>
        <v/>
      </c>
      <c r="S767" s="10">
        <f>IF(AND(P767="TN",R767="TN"),N767+N(O767),IF(G767&amp;""="1",N(K767)*N767,(N767+N(O767))*N(K767)))</f>
        <v/>
      </c>
      <c r="T767" s="10">
        <f>IF(Q767="","",Q767-S767)</f>
        <v/>
      </c>
    </row>
    <row r="768">
      <c r="A768" s="7">
        <f>CONCATENATE(C768,E768,F768,I768)</f>
        <v/>
      </c>
      <c r="B768" s="7">
        <f>CONCATENATE(C768,E768,I768)</f>
        <v/>
      </c>
      <c r="C768" s="8" t="n">
        <v>900004184</v>
      </c>
      <c r="D768" s="7">
        <f>IFERROR(VLOOKUP(C768,TRAOPE!$G:$H,2,0),"")</f>
        <v/>
      </c>
      <c r="E768" s="8" t="inlineStr">
        <is>
          <t>DW70</t>
        </is>
      </c>
      <c r="F768" s="8" t="inlineStr">
        <is>
          <t>D084</t>
        </is>
      </c>
      <c r="G768" s="8">
        <f>IFERROR(VLOOKUP(A768,Flete!$A:$E,5,0),"")</f>
        <v/>
      </c>
      <c r="H768" s="7">
        <f>IFERROR(VLOOKUP(F768,TRAOPE!$AA:$AB,2,0),"")</f>
        <v/>
      </c>
      <c r="I768" s="7" t="n">
        <v>10000811</v>
      </c>
      <c r="J768" s="7">
        <f>IFERROR(VLOOKUP(I768,Materiales!$A:$H,8,0),"")</f>
        <v/>
      </c>
      <c r="K768" s="9">
        <f>IFERROR(VLOOKUP(I768,Materiales!$A:$G,7,0),"")</f>
        <v/>
      </c>
      <c r="L768" s="8" t="inlineStr">
        <is>
          <t>20230501</t>
        </is>
      </c>
      <c r="M768" s="8" t="inlineStr">
        <is>
          <t>20250131</t>
        </is>
      </c>
      <c r="N768" s="10" t="n">
        <v>96.79000000000001</v>
      </c>
      <c r="O768" s="10">
        <f>IFERROR(VLOOKUP(A768,Flete!$A:$J,10,0),"")</f>
        <v/>
      </c>
      <c r="P768" s="8" t="inlineStr">
        <is>
          <t>TN</t>
        </is>
      </c>
      <c r="Q768" s="10">
        <f>IFERROR(IFERROR(VLOOKUP(A768,TRAOPE!$A:$U,21,0),VLOOKUP(B768,TRAOPE!$A:$U,21,0)),"")</f>
        <v/>
      </c>
      <c r="R768" s="8">
        <f>IFERROR(IFERROR(VLOOKUP(A768,TRAOPE!$A:$W,23,0),VLOOKUP(B768,TRAOPE!$A:$W,23,0)),"")</f>
        <v/>
      </c>
      <c r="S768" s="10">
        <f>IF(AND(P768="TN",R768="TN"),N768+N(O768),IF(G768&amp;""="1",N(K768)*N768,(N768+N(O768))*N(K768)))</f>
        <v/>
      </c>
      <c r="T768" s="10">
        <f>IF(Q768="","",Q768-S768)</f>
        <v/>
      </c>
    </row>
    <row r="769">
      <c r="A769" s="7">
        <f>CONCATENATE(C769,E769,F769,I769)</f>
        <v/>
      </c>
      <c r="B769" s="7">
        <f>CONCATENATE(C769,E769,I769)</f>
        <v/>
      </c>
      <c r="C769" s="8" t="n">
        <v>900004184</v>
      </c>
      <c r="D769" s="7">
        <f>IFERROR(VLOOKUP(C769,TRAOPE!$G:$H,2,0),"")</f>
        <v/>
      </c>
      <c r="E769" s="8" t="inlineStr">
        <is>
          <t>DW70</t>
        </is>
      </c>
      <c r="F769" s="8" t="inlineStr">
        <is>
          <t>D084</t>
        </is>
      </c>
      <c r="G769" s="8">
        <f>IFERROR(VLOOKUP(A769,Flete!$A:$E,5,0),"")</f>
        <v/>
      </c>
      <c r="H769" s="7">
        <f>IFERROR(VLOOKUP(F769,TRAOPE!$AA:$AB,2,0),"")</f>
        <v/>
      </c>
      <c r="I769" s="7" t="n">
        <v>10059180</v>
      </c>
      <c r="J769" s="7">
        <f>IFERROR(VLOOKUP(I769,Materiales!$A:$H,8,0),"")</f>
        <v/>
      </c>
      <c r="K769" s="9">
        <f>IFERROR(VLOOKUP(I769,Materiales!$A:$G,7,0),"")</f>
        <v/>
      </c>
      <c r="L769" s="8" t="inlineStr">
        <is>
          <t>20230501</t>
        </is>
      </c>
      <c r="M769" s="8" t="inlineStr">
        <is>
          <t>20250131</t>
        </is>
      </c>
      <c r="N769" s="10" t="n">
        <v>50.49</v>
      </c>
      <c r="O769" s="10">
        <f>IFERROR(VLOOKUP(A769,Flete!$A:$J,10,0),"")</f>
        <v/>
      </c>
      <c r="P769" s="8" t="inlineStr">
        <is>
          <t>TN</t>
        </is>
      </c>
      <c r="Q769" s="10">
        <f>IFERROR(IFERROR(VLOOKUP(A769,TRAOPE!$A:$U,21,0),VLOOKUP(B769,TRAOPE!$A:$U,21,0)),"")</f>
        <v/>
      </c>
      <c r="R769" s="8">
        <f>IFERROR(IFERROR(VLOOKUP(A769,TRAOPE!$A:$W,23,0),VLOOKUP(B769,TRAOPE!$A:$W,23,0)),"")</f>
        <v/>
      </c>
      <c r="S769" s="10">
        <f>IF(AND(P769="TN",R769="TN"),N769+N(O769),IF(G769&amp;""="1",N(K769)*N769,(N769+N(O769))*N(K769)))</f>
        <v/>
      </c>
      <c r="T769" s="10">
        <f>IF(Q769="","",Q769-S769)</f>
        <v/>
      </c>
    </row>
    <row r="770">
      <c r="A770" s="7">
        <f>CONCATENATE(C770,E770,F770,I770)</f>
        <v/>
      </c>
      <c r="B770" s="7">
        <f>CONCATENATE(C770,E770,I770)</f>
        <v/>
      </c>
      <c r="C770" s="8" t="n">
        <v>900004184</v>
      </c>
      <c r="D770" s="7">
        <f>IFERROR(VLOOKUP(C770,TRAOPE!$G:$H,2,0),"")</f>
        <v/>
      </c>
      <c r="E770" s="8" t="inlineStr">
        <is>
          <t>DW70</t>
        </is>
      </c>
      <c r="F770" s="8" t="inlineStr">
        <is>
          <t>D085</t>
        </is>
      </c>
      <c r="G770" s="8">
        <f>IFERROR(VLOOKUP(A770,Flete!$A:$E,5,0),"")</f>
        <v/>
      </c>
      <c r="H770" s="7">
        <f>IFERROR(VLOOKUP(F770,TRAOPE!$AA:$AB,2,0),"")</f>
        <v/>
      </c>
      <c r="I770" s="7" t="n">
        <v>10000623</v>
      </c>
      <c r="J770" s="7">
        <f>IFERROR(VLOOKUP(I770,Materiales!$A:$H,8,0),"")</f>
        <v/>
      </c>
      <c r="K770" s="9">
        <f>IFERROR(VLOOKUP(I770,Materiales!$A:$G,7,0),"")</f>
        <v/>
      </c>
      <c r="L770" s="8" t="inlineStr">
        <is>
          <t>20230501</t>
        </is>
      </c>
      <c r="M770" s="8" t="inlineStr">
        <is>
          <t>20250131</t>
        </is>
      </c>
      <c r="N770" s="10" t="n">
        <v>100.46</v>
      </c>
      <c r="O770" s="10">
        <f>IFERROR(VLOOKUP(A770,Flete!$A:$J,10,0),"")</f>
        <v/>
      </c>
      <c r="P770" s="8" t="inlineStr">
        <is>
          <t>TN</t>
        </is>
      </c>
      <c r="Q770" s="10">
        <f>IFERROR(IFERROR(VLOOKUP(A770,TRAOPE!$A:$U,21,0),VLOOKUP(B770,TRAOPE!$A:$U,21,0)),"")</f>
        <v/>
      </c>
      <c r="R770" s="8">
        <f>IFERROR(IFERROR(VLOOKUP(A770,TRAOPE!$A:$W,23,0),VLOOKUP(B770,TRAOPE!$A:$W,23,0)),"")</f>
        <v/>
      </c>
      <c r="S770" s="10">
        <f>IF(AND(P770="TN",R770="TN"),N770+N(O770),IF(G770&amp;""="1",N(K770)*N770,(N770+N(O770))*N(K770)))</f>
        <v/>
      </c>
      <c r="T770" s="10">
        <f>IF(Q770="","",Q770-S770)</f>
        <v/>
      </c>
    </row>
    <row r="771">
      <c r="A771" s="7">
        <f>CONCATENATE(C771,E771,F771,I771)</f>
        <v/>
      </c>
      <c r="B771" s="7">
        <f>CONCATENATE(C771,E771,I771)</f>
        <v/>
      </c>
      <c r="C771" s="8" t="n">
        <v>900004184</v>
      </c>
      <c r="D771" s="7">
        <f>IFERROR(VLOOKUP(C771,TRAOPE!$G:$H,2,0),"")</f>
        <v/>
      </c>
      <c r="E771" s="8" t="inlineStr">
        <is>
          <t>DW70</t>
        </is>
      </c>
      <c r="F771" s="8" t="inlineStr">
        <is>
          <t>D085</t>
        </is>
      </c>
      <c r="G771" s="8">
        <f>IFERROR(VLOOKUP(A771,Flete!$A:$E,5,0),"")</f>
        <v/>
      </c>
      <c r="H771" s="7">
        <f>IFERROR(VLOOKUP(F771,TRAOPE!$AA:$AB,2,0),"")</f>
        <v/>
      </c>
      <c r="I771" s="7" t="n">
        <v>10000624</v>
      </c>
      <c r="J771" s="7">
        <f>IFERROR(VLOOKUP(I771,Materiales!$A:$H,8,0),"")</f>
        <v/>
      </c>
      <c r="K771" s="9">
        <f>IFERROR(VLOOKUP(I771,Materiales!$A:$G,7,0),"")</f>
        <v/>
      </c>
      <c r="L771" s="8" t="inlineStr">
        <is>
          <t>20230501</t>
        </is>
      </c>
      <c r="M771" s="8" t="inlineStr">
        <is>
          <t>20250131</t>
        </is>
      </c>
      <c r="N771" s="10" t="n">
        <v>96.79000000000001</v>
      </c>
      <c r="O771" s="10">
        <f>IFERROR(VLOOKUP(A771,Flete!$A:$J,10,0),"")</f>
        <v/>
      </c>
      <c r="P771" s="8" t="inlineStr">
        <is>
          <t>TN</t>
        </is>
      </c>
      <c r="Q771" s="10">
        <f>IFERROR(IFERROR(VLOOKUP(A771,TRAOPE!$A:$U,21,0),VLOOKUP(B771,TRAOPE!$A:$U,21,0)),"")</f>
        <v/>
      </c>
      <c r="R771" s="8">
        <f>IFERROR(IFERROR(VLOOKUP(A771,TRAOPE!$A:$W,23,0),VLOOKUP(B771,TRAOPE!$A:$W,23,0)),"")</f>
        <v/>
      </c>
      <c r="S771" s="10">
        <f>IF(AND(P771="TN",R771="TN"),N771+N(O771),IF(G771&amp;""="1",N(K771)*N771,(N771+N(O771))*N(K771)))</f>
        <v/>
      </c>
      <c r="T771" s="10">
        <f>IF(Q771="","",Q771-S771)</f>
        <v/>
      </c>
    </row>
    <row r="772">
      <c r="A772" s="7">
        <f>CONCATENATE(C772,E772,F772,I772)</f>
        <v/>
      </c>
      <c r="B772" s="7">
        <f>CONCATENATE(C772,E772,I772)</f>
        <v/>
      </c>
      <c r="C772" s="8" t="n">
        <v>900004184</v>
      </c>
      <c r="D772" s="7">
        <f>IFERROR(VLOOKUP(C772,TRAOPE!$G:$H,2,0),"")</f>
        <v/>
      </c>
      <c r="E772" s="8" t="inlineStr">
        <is>
          <t>DW70</t>
        </is>
      </c>
      <c r="F772" s="8" t="inlineStr">
        <is>
          <t>D085</t>
        </is>
      </c>
      <c r="G772" s="8">
        <f>IFERROR(VLOOKUP(A772,Flete!$A:$E,5,0),"")</f>
        <v/>
      </c>
      <c r="H772" s="7">
        <f>IFERROR(VLOOKUP(F772,TRAOPE!$AA:$AB,2,0),"")</f>
        <v/>
      </c>
      <c r="I772" s="7" t="n">
        <v>10000811</v>
      </c>
      <c r="J772" s="7">
        <f>IFERROR(VLOOKUP(I772,Materiales!$A:$H,8,0),"")</f>
        <v/>
      </c>
      <c r="K772" s="9">
        <f>IFERROR(VLOOKUP(I772,Materiales!$A:$G,7,0),"")</f>
        <v/>
      </c>
      <c r="L772" s="8" t="inlineStr">
        <is>
          <t>20230501</t>
        </is>
      </c>
      <c r="M772" s="8" t="inlineStr">
        <is>
          <t>20250131</t>
        </is>
      </c>
      <c r="N772" s="10" t="n">
        <v>96.79000000000001</v>
      </c>
      <c r="O772" s="10">
        <f>IFERROR(VLOOKUP(A772,Flete!$A:$J,10,0),"")</f>
        <v/>
      </c>
      <c r="P772" s="8" t="inlineStr">
        <is>
          <t>TN</t>
        </is>
      </c>
      <c r="Q772" s="10">
        <f>IFERROR(IFERROR(VLOOKUP(A772,TRAOPE!$A:$U,21,0),VLOOKUP(B772,TRAOPE!$A:$U,21,0)),"")</f>
        <v/>
      </c>
      <c r="R772" s="8">
        <f>IFERROR(IFERROR(VLOOKUP(A772,TRAOPE!$A:$W,23,0),VLOOKUP(B772,TRAOPE!$A:$W,23,0)),"")</f>
        <v/>
      </c>
      <c r="S772" s="10">
        <f>IF(AND(P772="TN",R772="TN"),N772+N(O772),IF(G772&amp;""="1",N(K772)*N772,(N772+N(O772))*N(K772)))</f>
        <v/>
      </c>
      <c r="T772" s="10">
        <f>IF(Q772="","",Q772-S772)</f>
        <v/>
      </c>
    </row>
    <row r="773">
      <c r="A773" s="7">
        <f>CONCATENATE(C773,E773,F773,I773)</f>
        <v/>
      </c>
      <c r="B773" s="7">
        <f>CONCATENATE(C773,E773,I773)</f>
        <v/>
      </c>
      <c r="C773" s="8" t="n">
        <v>900004184</v>
      </c>
      <c r="D773" s="7">
        <f>IFERROR(VLOOKUP(C773,TRAOPE!$G:$H,2,0),"")</f>
        <v/>
      </c>
      <c r="E773" s="8" t="inlineStr">
        <is>
          <t>DW70</t>
        </is>
      </c>
      <c r="F773" s="8" t="inlineStr">
        <is>
          <t>D085</t>
        </is>
      </c>
      <c r="G773" s="8">
        <f>IFERROR(VLOOKUP(A773,Flete!$A:$E,5,0),"")</f>
        <v/>
      </c>
      <c r="H773" s="7">
        <f>IFERROR(VLOOKUP(F773,TRAOPE!$AA:$AB,2,0),"")</f>
        <v/>
      </c>
      <c r="I773" s="7" t="n">
        <v>10059180</v>
      </c>
      <c r="J773" s="7">
        <f>IFERROR(VLOOKUP(I773,Materiales!$A:$H,8,0),"")</f>
        <v/>
      </c>
      <c r="K773" s="9">
        <f>IFERROR(VLOOKUP(I773,Materiales!$A:$G,7,0),"")</f>
        <v/>
      </c>
      <c r="L773" s="8" t="inlineStr">
        <is>
          <t>20230501</t>
        </is>
      </c>
      <c r="M773" s="8" t="inlineStr">
        <is>
          <t>20250131</t>
        </is>
      </c>
      <c r="N773" s="10" t="n">
        <v>50.49</v>
      </c>
      <c r="O773" s="10">
        <f>IFERROR(VLOOKUP(A773,Flete!$A:$J,10,0),"")</f>
        <v/>
      </c>
      <c r="P773" s="8" t="inlineStr">
        <is>
          <t>TN</t>
        </is>
      </c>
      <c r="Q773" s="10">
        <f>IFERROR(IFERROR(VLOOKUP(A773,TRAOPE!$A:$U,21,0),VLOOKUP(B773,TRAOPE!$A:$U,21,0)),"")</f>
        <v/>
      </c>
      <c r="R773" s="8">
        <f>IFERROR(IFERROR(VLOOKUP(A773,TRAOPE!$A:$W,23,0),VLOOKUP(B773,TRAOPE!$A:$W,23,0)),"")</f>
        <v/>
      </c>
      <c r="S773" s="10">
        <f>IF(AND(P773="TN",R773="TN"),N773+N(O773),IF(G773&amp;""="1",N(K773)*N773,(N773+N(O773))*N(K773)))</f>
        <v/>
      </c>
      <c r="T773" s="10">
        <f>IF(Q773="","",Q773-S773)</f>
        <v/>
      </c>
    </row>
    <row r="774">
      <c r="A774" s="7">
        <f>CONCATENATE(C774,E774,F774,I774)</f>
        <v/>
      </c>
      <c r="B774" s="7">
        <f>CONCATENATE(C774,E774,I774)</f>
        <v/>
      </c>
      <c r="C774" s="8" t="n">
        <v>900004184</v>
      </c>
      <c r="D774" s="7">
        <f>IFERROR(VLOOKUP(C774,TRAOPE!$G:$H,2,0),"")</f>
        <v/>
      </c>
      <c r="E774" s="8" t="inlineStr">
        <is>
          <t>DW70</t>
        </is>
      </c>
      <c r="F774" s="8" t="inlineStr">
        <is>
          <t>D086</t>
        </is>
      </c>
      <c r="G774" s="8">
        <f>IFERROR(VLOOKUP(A774,Flete!$A:$E,5,0),"")</f>
        <v/>
      </c>
      <c r="H774" s="7">
        <f>IFERROR(VLOOKUP(F774,TRAOPE!$AA:$AB,2,0),"")</f>
        <v/>
      </c>
      <c r="I774" s="7" t="n">
        <v>10000623</v>
      </c>
      <c r="J774" s="7">
        <f>IFERROR(VLOOKUP(I774,Materiales!$A:$H,8,0),"")</f>
        <v/>
      </c>
      <c r="K774" s="9">
        <f>IFERROR(VLOOKUP(I774,Materiales!$A:$G,7,0),"")</f>
        <v/>
      </c>
      <c r="L774" s="8" t="inlineStr">
        <is>
          <t>20230501</t>
        </is>
      </c>
      <c r="M774" s="8" t="inlineStr">
        <is>
          <t>20250131</t>
        </is>
      </c>
      <c r="N774" s="10" t="n">
        <v>100.46</v>
      </c>
      <c r="O774" s="10">
        <f>IFERROR(VLOOKUP(A774,Flete!$A:$J,10,0),"")</f>
        <v/>
      </c>
      <c r="P774" s="8" t="inlineStr">
        <is>
          <t>TN</t>
        </is>
      </c>
      <c r="Q774" s="10">
        <f>IFERROR(IFERROR(VLOOKUP(A774,TRAOPE!$A:$U,21,0),VLOOKUP(B774,TRAOPE!$A:$U,21,0)),"")</f>
        <v/>
      </c>
      <c r="R774" s="8">
        <f>IFERROR(IFERROR(VLOOKUP(A774,TRAOPE!$A:$W,23,0),VLOOKUP(B774,TRAOPE!$A:$W,23,0)),"")</f>
        <v/>
      </c>
      <c r="S774" s="10">
        <f>IF(AND(P774="TN",R774="TN"),N774+N(O774),IF(G774&amp;""="1",N(K774)*N774,(N774+N(O774))*N(K774)))</f>
        <v/>
      </c>
      <c r="T774" s="10">
        <f>IF(Q774="","",Q774-S774)</f>
        <v/>
      </c>
    </row>
    <row r="775">
      <c r="A775" s="7">
        <f>CONCATENATE(C775,E775,F775,I775)</f>
        <v/>
      </c>
      <c r="B775" s="7">
        <f>CONCATENATE(C775,E775,I775)</f>
        <v/>
      </c>
      <c r="C775" s="8" t="n">
        <v>900004184</v>
      </c>
      <c r="D775" s="7">
        <f>IFERROR(VLOOKUP(C775,TRAOPE!$G:$H,2,0),"")</f>
        <v/>
      </c>
      <c r="E775" s="8" t="inlineStr">
        <is>
          <t>DW70</t>
        </is>
      </c>
      <c r="F775" s="8" t="inlineStr">
        <is>
          <t>D086</t>
        </is>
      </c>
      <c r="G775" s="8">
        <f>IFERROR(VLOOKUP(A775,Flete!$A:$E,5,0),"")</f>
        <v/>
      </c>
      <c r="H775" s="7">
        <f>IFERROR(VLOOKUP(F775,TRAOPE!$AA:$AB,2,0),"")</f>
        <v/>
      </c>
      <c r="I775" s="7" t="n">
        <v>10000624</v>
      </c>
      <c r="J775" s="7">
        <f>IFERROR(VLOOKUP(I775,Materiales!$A:$H,8,0),"")</f>
        <v/>
      </c>
      <c r="K775" s="9">
        <f>IFERROR(VLOOKUP(I775,Materiales!$A:$G,7,0),"")</f>
        <v/>
      </c>
      <c r="L775" s="8" t="inlineStr">
        <is>
          <t>20230501</t>
        </is>
      </c>
      <c r="M775" s="8" t="inlineStr">
        <is>
          <t>20250131</t>
        </is>
      </c>
      <c r="N775" s="10" t="n">
        <v>96.79000000000001</v>
      </c>
      <c r="O775" s="10">
        <f>IFERROR(VLOOKUP(A775,Flete!$A:$J,10,0),"")</f>
        <v/>
      </c>
      <c r="P775" s="8" t="inlineStr">
        <is>
          <t>TN</t>
        </is>
      </c>
      <c r="Q775" s="10">
        <f>IFERROR(IFERROR(VLOOKUP(A775,TRAOPE!$A:$U,21,0),VLOOKUP(B775,TRAOPE!$A:$U,21,0)),"")</f>
        <v/>
      </c>
      <c r="R775" s="8">
        <f>IFERROR(IFERROR(VLOOKUP(A775,TRAOPE!$A:$W,23,0),VLOOKUP(B775,TRAOPE!$A:$W,23,0)),"")</f>
        <v/>
      </c>
      <c r="S775" s="10">
        <f>IF(AND(P775="TN",R775="TN"),N775+N(O775),IF(G775&amp;""="1",N(K775)*N775,(N775+N(O775))*N(K775)))</f>
        <v/>
      </c>
      <c r="T775" s="10">
        <f>IF(Q775="","",Q775-S775)</f>
        <v/>
      </c>
    </row>
    <row r="776">
      <c r="A776" s="7">
        <f>CONCATENATE(C776,E776,F776,I776)</f>
        <v/>
      </c>
      <c r="B776" s="7">
        <f>CONCATENATE(C776,E776,I776)</f>
        <v/>
      </c>
      <c r="C776" s="8" t="n">
        <v>900004184</v>
      </c>
      <c r="D776" s="7">
        <f>IFERROR(VLOOKUP(C776,TRAOPE!$G:$H,2,0),"")</f>
        <v/>
      </c>
      <c r="E776" s="8" t="inlineStr">
        <is>
          <t>DW70</t>
        </is>
      </c>
      <c r="F776" s="8" t="inlineStr">
        <is>
          <t>D086</t>
        </is>
      </c>
      <c r="G776" s="8">
        <f>IFERROR(VLOOKUP(A776,Flete!$A:$E,5,0),"")</f>
        <v/>
      </c>
      <c r="H776" s="7">
        <f>IFERROR(VLOOKUP(F776,TRAOPE!$AA:$AB,2,0),"")</f>
        <v/>
      </c>
      <c r="I776" s="7" t="n">
        <v>10000811</v>
      </c>
      <c r="J776" s="7">
        <f>IFERROR(VLOOKUP(I776,Materiales!$A:$H,8,0),"")</f>
        <v/>
      </c>
      <c r="K776" s="9">
        <f>IFERROR(VLOOKUP(I776,Materiales!$A:$G,7,0),"")</f>
        <v/>
      </c>
      <c r="L776" s="8" t="inlineStr">
        <is>
          <t>20230501</t>
        </is>
      </c>
      <c r="M776" s="8" t="inlineStr">
        <is>
          <t>20250131</t>
        </is>
      </c>
      <c r="N776" s="10" t="n">
        <v>96.79000000000001</v>
      </c>
      <c r="O776" s="10">
        <f>IFERROR(VLOOKUP(A776,Flete!$A:$J,10,0),"")</f>
        <v/>
      </c>
      <c r="P776" s="8" t="inlineStr">
        <is>
          <t>TN</t>
        </is>
      </c>
      <c r="Q776" s="10">
        <f>IFERROR(IFERROR(VLOOKUP(A776,TRAOPE!$A:$U,21,0),VLOOKUP(B776,TRAOPE!$A:$U,21,0)),"")</f>
        <v/>
      </c>
      <c r="R776" s="8">
        <f>IFERROR(IFERROR(VLOOKUP(A776,TRAOPE!$A:$W,23,0),VLOOKUP(B776,TRAOPE!$A:$W,23,0)),"")</f>
        <v/>
      </c>
      <c r="S776" s="10">
        <f>IF(AND(P776="TN",R776="TN"),N776+N(O776),IF(G776&amp;""="1",N(K776)*N776,(N776+N(O776))*N(K776)))</f>
        <v/>
      </c>
      <c r="T776" s="10">
        <f>IF(Q776="","",Q776-S776)</f>
        <v/>
      </c>
    </row>
    <row r="777">
      <c r="A777" s="7">
        <f>CONCATENATE(C777,E777,F777,I777)</f>
        <v/>
      </c>
      <c r="B777" s="7">
        <f>CONCATENATE(C777,E777,I777)</f>
        <v/>
      </c>
      <c r="C777" s="8" t="n">
        <v>900004184</v>
      </c>
      <c r="D777" s="7">
        <f>IFERROR(VLOOKUP(C777,TRAOPE!$G:$H,2,0),"")</f>
        <v/>
      </c>
      <c r="E777" s="8" t="inlineStr">
        <is>
          <t>DW70</t>
        </is>
      </c>
      <c r="F777" s="8" t="inlineStr">
        <is>
          <t>D086</t>
        </is>
      </c>
      <c r="G777" s="8">
        <f>IFERROR(VLOOKUP(A777,Flete!$A:$E,5,0),"")</f>
        <v/>
      </c>
      <c r="H777" s="7">
        <f>IFERROR(VLOOKUP(F777,TRAOPE!$AA:$AB,2,0),"")</f>
        <v/>
      </c>
      <c r="I777" s="7" t="n">
        <v>10059180</v>
      </c>
      <c r="J777" s="7">
        <f>IFERROR(VLOOKUP(I777,Materiales!$A:$H,8,0),"")</f>
        <v/>
      </c>
      <c r="K777" s="9">
        <f>IFERROR(VLOOKUP(I777,Materiales!$A:$G,7,0),"")</f>
        <v/>
      </c>
      <c r="L777" s="8" t="inlineStr">
        <is>
          <t>20230501</t>
        </is>
      </c>
      <c r="M777" s="8" t="inlineStr">
        <is>
          <t>20250131</t>
        </is>
      </c>
      <c r="N777" s="10" t="n">
        <v>50.49</v>
      </c>
      <c r="O777" s="10">
        <f>IFERROR(VLOOKUP(A777,Flete!$A:$J,10,0),"")</f>
        <v/>
      </c>
      <c r="P777" s="8" t="inlineStr">
        <is>
          <t>TN</t>
        </is>
      </c>
      <c r="Q777" s="10">
        <f>IFERROR(IFERROR(VLOOKUP(A777,TRAOPE!$A:$U,21,0),VLOOKUP(B777,TRAOPE!$A:$U,21,0)),"")</f>
        <v/>
      </c>
      <c r="R777" s="8">
        <f>IFERROR(IFERROR(VLOOKUP(A777,TRAOPE!$A:$W,23,0),VLOOKUP(B777,TRAOPE!$A:$W,23,0)),"")</f>
        <v/>
      </c>
      <c r="S777" s="10">
        <f>IF(AND(P777="TN",R777="TN"),N777+N(O777),IF(G777&amp;""="1",N(K777)*N777,(N777+N(O777))*N(K777)))</f>
        <v/>
      </c>
      <c r="T777" s="10">
        <f>IF(Q777="","",Q777-S777)</f>
        <v/>
      </c>
    </row>
    <row r="778">
      <c r="A778" s="7">
        <f>CONCATENATE(C778,E778,F778,I778)</f>
        <v/>
      </c>
      <c r="B778" s="7">
        <f>CONCATENATE(C778,E778,I778)</f>
        <v/>
      </c>
      <c r="C778" s="8" t="n">
        <v>900004184</v>
      </c>
      <c r="D778" s="7">
        <f>IFERROR(VLOOKUP(C778,TRAOPE!$G:$H,2,0),"")</f>
        <v/>
      </c>
      <c r="E778" s="8" t="inlineStr">
        <is>
          <t>DW70</t>
        </is>
      </c>
      <c r="F778" s="8" t="inlineStr">
        <is>
          <t>D088</t>
        </is>
      </c>
      <c r="G778" s="8">
        <f>IFERROR(VLOOKUP(A778,Flete!$A:$E,5,0),"")</f>
        <v/>
      </c>
      <c r="H778" s="7">
        <f>IFERROR(VLOOKUP(F778,TRAOPE!$AA:$AB,2,0),"")</f>
        <v/>
      </c>
      <c r="I778" s="7" t="n">
        <v>10000623</v>
      </c>
      <c r="J778" s="7">
        <f>IFERROR(VLOOKUP(I778,Materiales!$A:$H,8,0),"")</f>
        <v/>
      </c>
      <c r="K778" s="9">
        <f>IFERROR(VLOOKUP(I778,Materiales!$A:$G,7,0),"")</f>
        <v/>
      </c>
      <c r="L778" s="8" t="inlineStr">
        <is>
          <t>20230501</t>
        </is>
      </c>
      <c r="M778" s="8" t="inlineStr">
        <is>
          <t>20250131</t>
        </is>
      </c>
      <c r="N778" s="10" t="n">
        <v>100.46</v>
      </c>
      <c r="O778" s="10">
        <f>IFERROR(VLOOKUP(A778,Flete!$A:$J,10,0),"")</f>
        <v/>
      </c>
      <c r="P778" s="8" t="inlineStr">
        <is>
          <t>TN</t>
        </is>
      </c>
      <c r="Q778" s="10">
        <f>IFERROR(IFERROR(VLOOKUP(A778,TRAOPE!$A:$U,21,0),VLOOKUP(B778,TRAOPE!$A:$U,21,0)),"")</f>
        <v/>
      </c>
      <c r="R778" s="8">
        <f>IFERROR(IFERROR(VLOOKUP(A778,TRAOPE!$A:$W,23,0),VLOOKUP(B778,TRAOPE!$A:$W,23,0)),"")</f>
        <v/>
      </c>
      <c r="S778" s="10">
        <f>IF(AND(P778="TN",R778="TN"),N778+N(O778),IF(G778&amp;""="1",N(K778)*N778,(N778+N(O778))*N(K778)))</f>
        <v/>
      </c>
      <c r="T778" s="10">
        <f>IF(Q778="","",Q778-S778)</f>
        <v/>
      </c>
    </row>
    <row r="779">
      <c r="A779" s="7">
        <f>CONCATENATE(C779,E779,F779,I779)</f>
        <v/>
      </c>
      <c r="B779" s="7">
        <f>CONCATENATE(C779,E779,I779)</f>
        <v/>
      </c>
      <c r="C779" s="8" t="n">
        <v>900004184</v>
      </c>
      <c r="D779" s="7">
        <f>IFERROR(VLOOKUP(C779,TRAOPE!$G:$H,2,0),"")</f>
        <v/>
      </c>
      <c r="E779" s="8" t="inlineStr">
        <is>
          <t>DW70</t>
        </is>
      </c>
      <c r="F779" s="8" t="inlineStr">
        <is>
          <t>D088</t>
        </is>
      </c>
      <c r="G779" s="8">
        <f>IFERROR(VLOOKUP(A779,Flete!$A:$E,5,0),"")</f>
        <v/>
      </c>
      <c r="H779" s="7">
        <f>IFERROR(VLOOKUP(F779,TRAOPE!$AA:$AB,2,0),"")</f>
        <v/>
      </c>
      <c r="I779" s="7" t="n">
        <v>10000624</v>
      </c>
      <c r="J779" s="7">
        <f>IFERROR(VLOOKUP(I779,Materiales!$A:$H,8,0),"")</f>
        <v/>
      </c>
      <c r="K779" s="9">
        <f>IFERROR(VLOOKUP(I779,Materiales!$A:$G,7,0),"")</f>
        <v/>
      </c>
      <c r="L779" s="8" t="inlineStr">
        <is>
          <t>20230501</t>
        </is>
      </c>
      <c r="M779" s="8" t="inlineStr">
        <is>
          <t>20250131</t>
        </is>
      </c>
      <c r="N779" s="10" t="n">
        <v>96.79000000000001</v>
      </c>
      <c r="O779" s="10">
        <f>IFERROR(VLOOKUP(A779,Flete!$A:$J,10,0),"")</f>
        <v/>
      </c>
      <c r="P779" s="8" t="inlineStr">
        <is>
          <t>TN</t>
        </is>
      </c>
      <c r="Q779" s="10">
        <f>IFERROR(IFERROR(VLOOKUP(A779,TRAOPE!$A:$U,21,0),VLOOKUP(B779,TRAOPE!$A:$U,21,0)),"")</f>
        <v/>
      </c>
      <c r="R779" s="8">
        <f>IFERROR(IFERROR(VLOOKUP(A779,TRAOPE!$A:$W,23,0),VLOOKUP(B779,TRAOPE!$A:$W,23,0)),"")</f>
        <v/>
      </c>
      <c r="S779" s="10">
        <f>IF(AND(P779="TN",R779="TN"),N779+N(O779),IF(G779&amp;""="1",N(K779)*N779,(N779+N(O779))*N(K779)))</f>
        <v/>
      </c>
      <c r="T779" s="10">
        <f>IF(Q779="","",Q779-S779)</f>
        <v/>
      </c>
    </row>
    <row r="780">
      <c r="A780" s="7">
        <f>CONCATENATE(C780,E780,F780,I780)</f>
        <v/>
      </c>
      <c r="B780" s="7">
        <f>CONCATENATE(C780,E780,I780)</f>
        <v/>
      </c>
      <c r="C780" s="8" t="n">
        <v>900004184</v>
      </c>
      <c r="D780" s="7">
        <f>IFERROR(VLOOKUP(C780,TRAOPE!$G:$H,2,0),"")</f>
        <v/>
      </c>
      <c r="E780" s="8" t="inlineStr">
        <is>
          <t>DW70</t>
        </is>
      </c>
      <c r="F780" s="8" t="inlineStr">
        <is>
          <t>D088</t>
        </is>
      </c>
      <c r="G780" s="8">
        <f>IFERROR(VLOOKUP(A780,Flete!$A:$E,5,0),"")</f>
        <v/>
      </c>
      <c r="H780" s="7">
        <f>IFERROR(VLOOKUP(F780,TRAOPE!$AA:$AB,2,0),"")</f>
        <v/>
      </c>
      <c r="I780" s="7" t="n">
        <v>10000811</v>
      </c>
      <c r="J780" s="7">
        <f>IFERROR(VLOOKUP(I780,Materiales!$A:$H,8,0),"")</f>
        <v/>
      </c>
      <c r="K780" s="9">
        <f>IFERROR(VLOOKUP(I780,Materiales!$A:$G,7,0),"")</f>
        <v/>
      </c>
      <c r="L780" s="8" t="inlineStr">
        <is>
          <t>20230501</t>
        </is>
      </c>
      <c r="M780" s="8" t="inlineStr">
        <is>
          <t>20250131</t>
        </is>
      </c>
      <c r="N780" s="10" t="n">
        <v>96.79000000000001</v>
      </c>
      <c r="O780" s="10">
        <f>IFERROR(VLOOKUP(A780,Flete!$A:$J,10,0),"")</f>
        <v/>
      </c>
      <c r="P780" s="8" t="inlineStr">
        <is>
          <t>TN</t>
        </is>
      </c>
      <c r="Q780" s="10">
        <f>IFERROR(IFERROR(VLOOKUP(A780,TRAOPE!$A:$U,21,0),VLOOKUP(B780,TRAOPE!$A:$U,21,0)),"")</f>
        <v/>
      </c>
      <c r="R780" s="8">
        <f>IFERROR(IFERROR(VLOOKUP(A780,TRAOPE!$A:$W,23,0),VLOOKUP(B780,TRAOPE!$A:$W,23,0)),"")</f>
        <v/>
      </c>
      <c r="S780" s="10">
        <f>IF(AND(P780="TN",R780="TN"),N780+N(O780),IF(G780&amp;""="1",N(K780)*N780,(N780+N(O780))*N(K780)))</f>
        <v/>
      </c>
      <c r="T780" s="10">
        <f>IF(Q780="","",Q780-S780)</f>
        <v/>
      </c>
    </row>
    <row r="781">
      <c r="A781" s="7">
        <f>CONCATENATE(C781,E781,F781,I781)</f>
        <v/>
      </c>
      <c r="B781" s="7">
        <f>CONCATENATE(C781,E781,I781)</f>
        <v/>
      </c>
      <c r="C781" s="8" t="n">
        <v>900004184</v>
      </c>
      <c r="D781" s="7">
        <f>IFERROR(VLOOKUP(C781,TRAOPE!$G:$H,2,0),"")</f>
        <v/>
      </c>
      <c r="E781" s="8" t="inlineStr">
        <is>
          <t>DW70</t>
        </is>
      </c>
      <c r="F781" s="8" t="inlineStr">
        <is>
          <t>D088</t>
        </is>
      </c>
      <c r="G781" s="8">
        <f>IFERROR(VLOOKUP(A781,Flete!$A:$E,5,0),"")</f>
        <v/>
      </c>
      <c r="H781" s="7">
        <f>IFERROR(VLOOKUP(F781,TRAOPE!$AA:$AB,2,0),"")</f>
        <v/>
      </c>
      <c r="I781" s="7" t="n">
        <v>10059180</v>
      </c>
      <c r="J781" s="7">
        <f>IFERROR(VLOOKUP(I781,Materiales!$A:$H,8,0),"")</f>
        <v/>
      </c>
      <c r="K781" s="9">
        <f>IFERROR(VLOOKUP(I781,Materiales!$A:$G,7,0),"")</f>
        <v/>
      </c>
      <c r="L781" s="8" t="inlineStr">
        <is>
          <t>20230501</t>
        </is>
      </c>
      <c r="M781" s="8" t="inlineStr">
        <is>
          <t>20250131</t>
        </is>
      </c>
      <c r="N781" s="10" t="n">
        <v>50.49</v>
      </c>
      <c r="O781" s="10">
        <f>IFERROR(VLOOKUP(A781,Flete!$A:$J,10,0),"")</f>
        <v/>
      </c>
      <c r="P781" s="8" t="inlineStr">
        <is>
          <t>TN</t>
        </is>
      </c>
      <c r="Q781" s="10">
        <f>IFERROR(IFERROR(VLOOKUP(A781,TRAOPE!$A:$U,21,0),VLOOKUP(B781,TRAOPE!$A:$U,21,0)),"")</f>
        <v/>
      </c>
      <c r="R781" s="8">
        <f>IFERROR(IFERROR(VLOOKUP(A781,TRAOPE!$A:$W,23,0),VLOOKUP(B781,TRAOPE!$A:$W,23,0)),"")</f>
        <v/>
      </c>
      <c r="S781" s="10">
        <f>IF(AND(P781="TN",R781="TN"),N781+N(O781),IF(G781&amp;""="1",N(K781)*N781,(N781+N(O781))*N(K781)))</f>
        <v/>
      </c>
      <c r="T781" s="10">
        <f>IF(Q781="","",Q781-S781)</f>
        <v/>
      </c>
    </row>
    <row r="782">
      <c r="A782" s="7">
        <f>CONCATENATE(C782,E782,F782,I782)</f>
        <v/>
      </c>
      <c r="B782" s="7">
        <f>CONCATENATE(C782,E782,I782)</f>
        <v/>
      </c>
      <c r="C782" s="8" t="n">
        <v>900004184</v>
      </c>
      <c r="D782" s="7">
        <f>IFERROR(VLOOKUP(C782,TRAOPE!$G:$H,2,0),"")</f>
        <v/>
      </c>
      <c r="E782" s="8" t="inlineStr">
        <is>
          <t>DW70</t>
        </is>
      </c>
      <c r="F782" s="8" t="inlineStr">
        <is>
          <t>D089</t>
        </is>
      </c>
      <c r="G782" s="8">
        <f>IFERROR(VLOOKUP(A782,Flete!$A:$E,5,0),"")</f>
        <v/>
      </c>
      <c r="H782" s="7">
        <f>IFERROR(VLOOKUP(F782,TRAOPE!$AA:$AB,2,0),"")</f>
        <v/>
      </c>
      <c r="I782" s="7" t="n">
        <v>10000623</v>
      </c>
      <c r="J782" s="7">
        <f>IFERROR(VLOOKUP(I782,Materiales!$A:$H,8,0),"")</f>
        <v/>
      </c>
      <c r="K782" s="9">
        <f>IFERROR(VLOOKUP(I782,Materiales!$A:$G,7,0),"")</f>
        <v/>
      </c>
      <c r="L782" s="8" t="inlineStr">
        <is>
          <t>20230501</t>
        </is>
      </c>
      <c r="M782" s="8" t="inlineStr">
        <is>
          <t>20250131</t>
        </is>
      </c>
      <c r="N782" s="10" t="n">
        <v>100.46</v>
      </c>
      <c r="O782" s="10">
        <f>IFERROR(VLOOKUP(A782,Flete!$A:$J,10,0),"")</f>
        <v/>
      </c>
      <c r="P782" s="8" t="inlineStr">
        <is>
          <t>TN</t>
        </is>
      </c>
      <c r="Q782" s="10">
        <f>IFERROR(IFERROR(VLOOKUP(A782,TRAOPE!$A:$U,21,0),VLOOKUP(B782,TRAOPE!$A:$U,21,0)),"")</f>
        <v/>
      </c>
      <c r="R782" s="8">
        <f>IFERROR(IFERROR(VLOOKUP(A782,TRAOPE!$A:$W,23,0),VLOOKUP(B782,TRAOPE!$A:$W,23,0)),"")</f>
        <v/>
      </c>
      <c r="S782" s="10">
        <f>IF(AND(P782="TN",R782="TN"),N782+N(O782),IF(G782&amp;""="1",N(K782)*N782,(N782+N(O782))*N(K782)))</f>
        <v/>
      </c>
      <c r="T782" s="10">
        <f>IF(Q782="","",Q782-S782)</f>
        <v/>
      </c>
    </row>
    <row r="783">
      <c r="A783" s="7">
        <f>CONCATENATE(C783,E783,F783,I783)</f>
        <v/>
      </c>
      <c r="B783" s="7">
        <f>CONCATENATE(C783,E783,I783)</f>
        <v/>
      </c>
      <c r="C783" s="8" t="n">
        <v>900004184</v>
      </c>
      <c r="D783" s="7">
        <f>IFERROR(VLOOKUP(C783,TRAOPE!$G:$H,2,0),"")</f>
        <v/>
      </c>
      <c r="E783" s="8" t="inlineStr">
        <is>
          <t>DW70</t>
        </is>
      </c>
      <c r="F783" s="8" t="inlineStr">
        <is>
          <t>D089</t>
        </is>
      </c>
      <c r="G783" s="8">
        <f>IFERROR(VLOOKUP(A783,Flete!$A:$E,5,0),"")</f>
        <v/>
      </c>
      <c r="H783" s="7">
        <f>IFERROR(VLOOKUP(F783,TRAOPE!$AA:$AB,2,0),"")</f>
        <v/>
      </c>
      <c r="I783" s="7" t="n">
        <v>10000624</v>
      </c>
      <c r="J783" s="7">
        <f>IFERROR(VLOOKUP(I783,Materiales!$A:$H,8,0),"")</f>
        <v/>
      </c>
      <c r="K783" s="9">
        <f>IFERROR(VLOOKUP(I783,Materiales!$A:$G,7,0),"")</f>
        <v/>
      </c>
      <c r="L783" s="8" t="inlineStr">
        <is>
          <t>20230501</t>
        </is>
      </c>
      <c r="M783" s="8" t="inlineStr">
        <is>
          <t>20250131</t>
        </is>
      </c>
      <c r="N783" s="10" t="n">
        <v>96.79000000000001</v>
      </c>
      <c r="O783" s="10">
        <f>IFERROR(VLOOKUP(A783,Flete!$A:$J,10,0),"")</f>
        <v/>
      </c>
      <c r="P783" s="8" t="inlineStr">
        <is>
          <t>TN</t>
        </is>
      </c>
      <c r="Q783" s="10">
        <f>IFERROR(IFERROR(VLOOKUP(A783,TRAOPE!$A:$U,21,0),VLOOKUP(B783,TRAOPE!$A:$U,21,0)),"")</f>
        <v/>
      </c>
      <c r="R783" s="8">
        <f>IFERROR(IFERROR(VLOOKUP(A783,TRAOPE!$A:$W,23,0),VLOOKUP(B783,TRAOPE!$A:$W,23,0)),"")</f>
        <v/>
      </c>
      <c r="S783" s="10">
        <f>IF(AND(P783="TN",R783="TN"),N783+N(O783),IF(G783&amp;""="1",N(K783)*N783,(N783+N(O783))*N(K783)))</f>
        <v/>
      </c>
      <c r="T783" s="10">
        <f>IF(Q783="","",Q783-S783)</f>
        <v/>
      </c>
    </row>
    <row r="784">
      <c r="A784" s="7">
        <f>CONCATENATE(C784,E784,F784,I784)</f>
        <v/>
      </c>
      <c r="B784" s="7">
        <f>CONCATENATE(C784,E784,I784)</f>
        <v/>
      </c>
      <c r="C784" s="8" t="n">
        <v>900004184</v>
      </c>
      <c r="D784" s="7">
        <f>IFERROR(VLOOKUP(C784,TRAOPE!$G:$H,2,0),"")</f>
        <v/>
      </c>
      <c r="E784" s="8" t="inlineStr">
        <is>
          <t>DW70</t>
        </is>
      </c>
      <c r="F784" s="8" t="inlineStr">
        <is>
          <t>D089</t>
        </is>
      </c>
      <c r="G784" s="8">
        <f>IFERROR(VLOOKUP(A784,Flete!$A:$E,5,0),"")</f>
        <v/>
      </c>
      <c r="H784" s="7">
        <f>IFERROR(VLOOKUP(F784,TRAOPE!$AA:$AB,2,0),"")</f>
        <v/>
      </c>
      <c r="I784" s="7" t="n">
        <v>10000811</v>
      </c>
      <c r="J784" s="7">
        <f>IFERROR(VLOOKUP(I784,Materiales!$A:$H,8,0),"")</f>
        <v/>
      </c>
      <c r="K784" s="9">
        <f>IFERROR(VLOOKUP(I784,Materiales!$A:$G,7,0),"")</f>
        <v/>
      </c>
      <c r="L784" s="8" t="inlineStr">
        <is>
          <t>20230501</t>
        </is>
      </c>
      <c r="M784" s="8" t="inlineStr">
        <is>
          <t>20250131</t>
        </is>
      </c>
      <c r="N784" s="10" t="n">
        <v>96.79000000000001</v>
      </c>
      <c r="O784" s="10">
        <f>IFERROR(VLOOKUP(A784,Flete!$A:$J,10,0),"")</f>
        <v/>
      </c>
      <c r="P784" s="8" t="inlineStr">
        <is>
          <t>TN</t>
        </is>
      </c>
      <c r="Q784" s="10">
        <f>IFERROR(IFERROR(VLOOKUP(A784,TRAOPE!$A:$U,21,0),VLOOKUP(B784,TRAOPE!$A:$U,21,0)),"")</f>
        <v/>
      </c>
      <c r="R784" s="8">
        <f>IFERROR(IFERROR(VLOOKUP(A784,TRAOPE!$A:$W,23,0),VLOOKUP(B784,TRAOPE!$A:$W,23,0)),"")</f>
        <v/>
      </c>
      <c r="S784" s="10">
        <f>IF(AND(P784="TN",R784="TN"),N784+N(O784),IF(G784&amp;""="1",N(K784)*N784,(N784+N(O784))*N(K784)))</f>
        <v/>
      </c>
      <c r="T784" s="10">
        <f>IF(Q784="","",Q784-S784)</f>
        <v/>
      </c>
    </row>
    <row r="785">
      <c r="A785" s="7">
        <f>CONCATENATE(C785,E785,F785,I785)</f>
        <v/>
      </c>
      <c r="B785" s="7">
        <f>CONCATENATE(C785,E785,I785)</f>
        <v/>
      </c>
      <c r="C785" s="8" t="n">
        <v>900004184</v>
      </c>
      <c r="D785" s="7">
        <f>IFERROR(VLOOKUP(C785,TRAOPE!$G:$H,2,0),"")</f>
        <v/>
      </c>
      <c r="E785" s="8" t="inlineStr">
        <is>
          <t>DW70</t>
        </is>
      </c>
      <c r="F785" s="8" t="inlineStr">
        <is>
          <t>D089</t>
        </is>
      </c>
      <c r="G785" s="8">
        <f>IFERROR(VLOOKUP(A785,Flete!$A:$E,5,0),"")</f>
        <v/>
      </c>
      <c r="H785" s="7">
        <f>IFERROR(VLOOKUP(F785,TRAOPE!$AA:$AB,2,0),"")</f>
        <v/>
      </c>
      <c r="I785" s="7" t="n">
        <v>10059180</v>
      </c>
      <c r="J785" s="7">
        <f>IFERROR(VLOOKUP(I785,Materiales!$A:$H,8,0),"")</f>
        <v/>
      </c>
      <c r="K785" s="9">
        <f>IFERROR(VLOOKUP(I785,Materiales!$A:$G,7,0),"")</f>
        <v/>
      </c>
      <c r="L785" s="8" t="inlineStr">
        <is>
          <t>20230501</t>
        </is>
      </c>
      <c r="M785" s="8" t="inlineStr">
        <is>
          <t>20250131</t>
        </is>
      </c>
      <c r="N785" s="10" t="n">
        <v>50.49</v>
      </c>
      <c r="O785" s="10">
        <f>IFERROR(VLOOKUP(A785,Flete!$A:$J,10,0),"")</f>
        <v/>
      </c>
      <c r="P785" s="8" t="inlineStr">
        <is>
          <t>TN</t>
        </is>
      </c>
      <c r="Q785" s="10">
        <f>IFERROR(IFERROR(VLOOKUP(A785,TRAOPE!$A:$U,21,0),VLOOKUP(B785,TRAOPE!$A:$U,21,0)),"")</f>
        <v/>
      </c>
      <c r="R785" s="8">
        <f>IFERROR(IFERROR(VLOOKUP(A785,TRAOPE!$A:$W,23,0),VLOOKUP(B785,TRAOPE!$A:$W,23,0)),"")</f>
        <v/>
      </c>
      <c r="S785" s="10">
        <f>IF(AND(P785="TN",R785="TN"),N785+N(O785),IF(G785&amp;""="1",N(K785)*N785,(N785+N(O785))*N(K785)))</f>
        <v/>
      </c>
      <c r="T785" s="10">
        <f>IF(Q785="","",Q785-S785)</f>
        <v/>
      </c>
    </row>
    <row r="786">
      <c r="A786" s="7">
        <f>CONCATENATE(C786,E786,F786,I786)</f>
        <v/>
      </c>
      <c r="B786" s="7">
        <f>CONCATENATE(C786,E786,I786)</f>
        <v/>
      </c>
      <c r="C786" s="8" t="n">
        <v>900004184</v>
      </c>
      <c r="D786" s="7">
        <f>IFERROR(VLOOKUP(C786,TRAOPE!$G:$H,2,0),"")</f>
        <v/>
      </c>
      <c r="E786" s="8" t="inlineStr">
        <is>
          <t>DW70</t>
        </is>
      </c>
      <c r="F786" s="8" t="inlineStr">
        <is>
          <t>D098</t>
        </is>
      </c>
      <c r="G786" s="8">
        <f>IFERROR(VLOOKUP(A786,Flete!$A:$E,5,0),"")</f>
        <v/>
      </c>
      <c r="H786" s="7">
        <f>IFERROR(VLOOKUP(F786,TRAOPE!$AA:$AB,2,0),"")</f>
        <v/>
      </c>
      <c r="I786" s="7" t="n">
        <v>10000623</v>
      </c>
      <c r="J786" s="7">
        <f>IFERROR(VLOOKUP(I786,Materiales!$A:$H,8,0),"")</f>
        <v/>
      </c>
      <c r="K786" s="9">
        <f>IFERROR(VLOOKUP(I786,Materiales!$A:$G,7,0),"")</f>
        <v/>
      </c>
      <c r="L786" s="8" t="inlineStr">
        <is>
          <t>20230501</t>
        </is>
      </c>
      <c r="M786" s="8" t="inlineStr">
        <is>
          <t>20250131</t>
        </is>
      </c>
      <c r="N786" s="10" t="n">
        <v>100.46</v>
      </c>
      <c r="O786" s="10">
        <f>IFERROR(VLOOKUP(A786,Flete!$A:$J,10,0),"")</f>
        <v/>
      </c>
      <c r="P786" s="8" t="inlineStr">
        <is>
          <t>TN</t>
        </is>
      </c>
      <c r="Q786" s="10">
        <f>IFERROR(IFERROR(VLOOKUP(A786,TRAOPE!$A:$U,21,0),VLOOKUP(B786,TRAOPE!$A:$U,21,0)),"")</f>
        <v/>
      </c>
      <c r="R786" s="8">
        <f>IFERROR(IFERROR(VLOOKUP(A786,TRAOPE!$A:$W,23,0),VLOOKUP(B786,TRAOPE!$A:$W,23,0)),"")</f>
        <v/>
      </c>
      <c r="S786" s="10">
        <f>IF(AND(P786="TN",R786="TN"),N786+N(O786),IF(G786&amp;""="1",N(K786)*N786,(N786+N(O786))*N(K786)))</f>
        <v/>
      </c>
      <c r="T786" s="10">
        <f>IF(Q786="","",Q786-S786)</f>
        <v/>
      </c>
    </row>
    <row r="787">
      <c r="A787" s="7">
        <f>CONCATENATE(C787,E787,F787,I787)</f>
        <v/>
      </c>
      <c r="B787" s="7">
        <f>CONCATENATE(C787,E787,I787)</f>
        <v/>
      </c>
      <c r="C787" s="8" t="n">
        <v>900004184</v>
      </c>
      <c r="D787" s="7">
        <f>IFERROR(VLOOKUP(C787,TRAOPE!$G:$H,2,0),"")</f>
        <v/>
      </c>
      <c r="E787" s="8" t="inlineStr">
        <is>
          <t>DW70</t>
        </is>
      </c>
      <c r="F787" s="8" t="inlineStr">
        <is>
          <t>D098</t>
        </is>
      </c>
      <c r="G787" s="8">
        <f>IFERROR(VLOOKUP(A787,Flete!$A:$E,5,0),"")</f>
        <v/>
      </c>
      <c r="H787" s="7">
        <f>IFERROR(VLOOKUP(F787,TRAOPE!$AA:$AB,2,0),"")</f>
        <v/>
      </c>
      <c r="I787" s="7" t="n">
        <v>10000624</v>
      </c>
      <c r="J787" s="7">
        <f>IFERROR(VLOOKUP(I787,Materiales!$A:$H,8,0),"")</f>
        <v/>
      </c>
      <c r="K787" s="9">
        <f>IFERROR(VLOOKUP(I787,Materiales!$A:$G,7,0),"")</f>
        <v/>
      </c>
      <c r="L787" s="8" t="inlineStr">
        <is>
          <t>20230501</t>
        </is>
      </c>
      <c r="M787" s="8" t="inlineStr">
        <is>
          <t>20250131</t>
        </is>
      </c>
      <c r="N787" s="10" t="n">
        <v>96.79000000000001</v>
      </c>
      <c r="O787" s="10">
        <f>IFERROR(VLOOKUP(A787,Flete!$A:$J,10,0),"")</f>
        <v/>
      </c>
      <c r="P787" s="8" t="inlineStr">
        <is>
          <t>TN</t>
        </is>
      </c>
      <c r="Q787" s="10">
        <f>IFERROR(IFERROR(VLOOKUP(A787,TRAOPE!$A:$U,21,0),VLOOKUP(B787,TRAOPE!$A:$U,21,0)),"")</f>
        <v/>
      </c>
      <c r="R787" s="8">
        <f>IFERROR(IFERROR(VLOOKUP(A787,TRAOPE!$A:$W,23,0),VLOOKUP(B787,TRAOPE!$A:$W,23,0)),"")</f>
        <v/>
      </c>
      <c r="S787" s="10">
        <f>IF(AND(P787="TN",R787="TN"),N787+N(O787),IF(G787&amp;""="1",N(K787)*N787,(N787+N(O787))*N(K787)))</f>
        <v/>
      </c>
      <c r="T787" s="10">
        <f>IF(Q787="","",Q787-S787)</f>
        <v/>
      </c>
    </row>
    <row r="788">
      <c r="A788" s="7">
        <f>CONCATENATE(C788,E788,F788,I788)</f>
        <v/>
      </c>
      <c r="B788" s="7">
        <f>CONCATENATE(C788,E788,I788)</f>
        <v/>
      </c>
      <c r="C788" s="8" t="n">
        <v>900004184</v>
      </c>
      <c r="D788" s="7">
        <f>IFERROR(VLOOKUP(C788,TRAOPE!$G:$H,2,0),"")</f>
        <v/>
      </c>
      <c r="E788" s="8" t="inlineStr">
        <is>
          <t>DW70</t>
        </is>
      </c>
      <c r="F788" s="8" t="inlineStr">
        <is>
          <t>D098</t>
        </is>
      </c>
      <c r="G788" s="8">
        <f>IFERROR(VLOOKUP(A788,Flete!$A:$E,5,0),"")</f>
        <v/>
      </c>
      <c r="H788" s="7">
        <f>IFERROR(VLOOKUP(F788,TRAOPE!$AA:$AB,2,0),"")</f>
        <v/>
      </c>
      <c r="I788" s="7" t="n">
        <v>10000811</v>
      </c>
      <c r="J788" s="7">
        <f>IFERROR(VLOOKUP(I788,Materiales!$A:$H,8,0),"")</f>
        <v/>
      </c>
      <c r="K788" s="9">
        <f>IFERROR(VLOOKUP(I788,Materiales!$A:$G,7,0),"")</f>
        <v/>
      </c>
      <c r="L788" s="8" t="inlineStr">
        <is>
          <t>20230501</t>
        </is>
      </c>
      <c r="M788" s="8" t="inlineStr">
        <is>
          <t>20250131</t>
        </is>
      </c>
      <c r="N788" s="10" t="n">
        <v>96.79000000000001</v>
      </c>
      <c r="O788" s="10">
        <f>IFERROR(VLOOKUP(A788,Flete!$A:$J,10,0),"")</f>
        <v/>
      </c>
      <c r="P788" s="8" t="inlineStr">
        <is>
          <t>TN</t>
        </is>
      </c>
      <c r="Q788" s="10">
        <f>IFERROR(IFERROR(VLOOKUP(A788,TRAOPE!$A:$U,21,0),VLOOKUP(B788,TRAOPE!$A:$U,21,0)),"")</f>
        <v/>
      </c>
      <c r="R788" s="8">
        <f>IFERROR(IFERROR(VLOOKUP(A788,TRAOPE!$A:$W,23,0),VLOOKUP(B788,TRAOPE!$A:$W,23,0)),"")</f>
        <v/>
      </c>
      <c r="S788" s="10">
        <f>IF(AND(P788="TN",R788="TN"),N788+N(O788),IF(G788&amp;""="1",N(K788)*N788,(N788+N(O788))*N(K788)))</f>
        <v/>
      </c>
      <c r="T788" s="10">
        <f>IF(Q788="","",Q788-S788)</f>
        <v/>
      </c>
    </row>
    <row r="789">
      <c r="A789" s="7">
        <f>CONCATENATE(C789,E789,F789,I789)</f>
        <v/>
      </c>
      <c r="B789" s="7">
        <f>CONCATENATE(C789,E789,I789)</f>
        <v/>
      </c>
      <c r="C789" s="8" t="n">
        <v>900004184</v>
      </c>
      <c r="D789" s="7">
        <f>IFERROR(VLOOKUP(C789,TRAOPE!$G:$H,2,0),"")</f>
        <v/>
      </c>
      <c r="E789" s="8" t="inlineStr">
        <is>
          <t>DW70</t>
        </is>
      </c>
      <c r="F789" s="8" t="inlineStr">
        <is>
          <t>D098</t>
        </is>
      </c>
      <c r="G789" s="8">
        <f>IFERROR(VLOOKUP(A789,Flete!$A:$E,5,0),"")</f>
        <v/>
      </c>
      <c r="H789" s="7">
        <f>IFERROR(VLOOKUP(F789,TRAOPE!$AA:$AB,2,0),"")</f>
        <v/>
      </c>
      <c r="I789" s="7" t="n">
        <v>10059180</v>
      </c>
      <c r="J789" s="7">
        <f>IFERROR(VLOOKUP(I789,Materiales!$A:$H,8,0),"")</f>
        <v/>
      </c>
      <c r="K789" s="9">
        <f>IFERROR(VLOOKUP(I789,Materiales!$A:$G,7,0),"")</f>
        <v/>
      </c>
      <c r="L789" s="8" t="inlineStr">
        <is>
          <t>20230501</t>
        </is>
      </c>
      <c r="M789" s="8" t="inlineStr">
        <is>
          <t>20250131</t>
        </is>
      </c>
      <c r="N789" s="10" t="n">
        <v>50.49</v>
      </c>
      <c r="O789" s="10">
        <f>IFERROR(VLOOKUP(A789,Flete!$A:$J,10,0),"")</f>
        <v/>
      </c>
      <c r="P789" s="8" t="inlineStr">
        <is>
          <t>TN</t>
        </is>
      </c>
      <c r="Q789" s="10">
        <f>IFERROR(IFERROR(VLOOKUP(A789,TRAOPE!$A:$U,21,0),VLOOKUP(B789,TRAOPE!$A:$U,21,0)),"")</f>
        <v/>
      </c>
      <c r="R789" s="8">
        <f>IFERROR(IFERROR(VLOOKUP(A789,TRAOPE!$A:$W,23,0),VLOOKUP(B789,TRAOPE!$A:$W,23,0)),"")</f>
        <v/>
      </c>
      <c r="S789" s="10">
        <f>IF(AND(P789="TN",R789="TN"),N789+N(O789),IF(G789&amp;""="1",N(K789)*N789,(N789+N(O789))*N(K789)))</f>
        <v/>
      </c>
      <c r="T789" s="10">
        <f>IF(Q789="","",Q789-S789)</f>
        <v/>
      </c>
    </row>
    <row r="790">
      <c r="A790" s="7">
        <f>CONCATENATE(C790,E790,F790,I790)</f>
        <v/>
      </c>
      <c r="B790" s="7">
        <f>CONCATENATE(C790,E790,I790)</f>
        <v/>
      </c>
      <c r="C790" s="8" t="n">
        <v>900004184</v>
      </c>
      <c r="D790" s="7">
        <f>IFERROR(VLOOKUP(C790,TRAOPE!$G:$H,2,0),"")</f>
        <v/>
      </c>
      <c r="E790" s="8" t="inlineStr">
        <is>
          <t>DW70</t>
        </is>
      </c>
      <c r="F790" s="8" t="inlineStr">
        <is>
          <t>D105</t>
        </is>
      </c>
      <c r="G790" s="8">
        <f>IFERROR(VLOOKUP(A790,Flete!$A:$E,5,0),"")</f>
        <v/>
      </c>
      <c r="H790" s="7">
        <f>IFERROR(VLOOKUP(F790,TRAOPE!$AA:$AB,2,0),"")</f>
        <v/>
      </c>
      <c r="I790" s="7" t="n">
        <v>10000623</v>
      </c>
      <c r="J790" s="7">
        <f>IFERROR(VLOOKUP(I790,Materiales!$A:$H,8,0),"")</f>
        <v/>
      </c>
      <c r="K790" s="9">
        <f>IFERROR(VLOOKUP(I790,Materiales!$A:$G,7,0),"")</f>
        <v/>
      </c>
      <c r="L790" s="8" t="inlineStr">
        <is>
          <t>20230501</t>
        </is>
      </c>
      <c r="M790" s="8" t="inlineStr">
        <is>
          <t>20250131</t>
        </is>
      </c>
      <c r="N790" s="10" t="n">
        <v>100.46</v>
      </c>
      <c r="O790" s="10">
        <f>IFERROR(VLOOKUP(A790,Flete!$A:$J,10,0),"")</f>
        <v/>
      </c>
      <c r="P790" s="8" t="inlineStr">
        <is>
          <t>TN</t>
        </is>
      </c>
      <c r="Q790" s="10">
        <f>IFERROR(IFERROR(VLOOKUP(A790,TRAOPE!$A:$U,21,0),VLOOKUP(B790,TRAOPE!$A:$U,21,0)),"")</f>
        <v/>
      </c>
      <c r="R790" s="8">
        <f>IFERROR(IFERROR(VLOOKUP(A790,TRAOPE!$A:$W,23,0),VLOOKUP(B790,TRAOPE!$A:$W,23,0)),"")</f>
        <v/>
      </c>
      <c r="S790" s="10">
        <f>IF(AND(P790="TN",R790="TN"),N790+N(O790),IF(G790&amp;""="1",N(K790)*N790,(N790+N(O790))*N(K790)))</f>
        <v/>
      </c>
      <c r="T790" s="10">
        <f>IF(Q790="","",Q790-S790)</f>
        <v/>
      </c>
    </row>
    <row r="791">
      <c r="A791" s="7">
        <f>CONCATENATE(C791,E791,F791,I791)</f>
        <v/>
      </c>
      <c r="B791" s="7">
        <f>CONCATENATE(C791,E791,I791)</f>
        <v/>
      </c>
      <c r="C791" s="8" t="n">
        <v>900004184</v>
      </c>
      <c r="D791" s="7">
        <f>IFERROR(VLOOKUP(C791,TRAOPE!$G:$H,2,0),"")</f>
        <v/>
      </c>
      <c r="E791" s="8" t="inlineStr">
        <is>
          <t>DW70</t>
        </is>
      </c>
      <c r="F791" s="8" t="inlineStr">
        <is>
          <t>D105</t>
        </is>
      </c>
      <c r="G791" s="8">
        <f>IFERROR(VLOOKUP(A791,Flete!$A:$E,5,0),"")</f>
        <v/>
      </c>
      <c r="H791" s="7">
        <f>IFERROR(VLOOKUP(F791,TRAOPE!$AA:$AB,2,0),"")</f>
        <v/>
      </c>
      <c r="I791" s="7" t="n">
        <v>10000624</v>
      </c>
      <c r="J791" s="7">
        <f>IFERROR(VLOOKUP(I791,Materiales!$A:$H,8,0),"")</f>
        <v/>
      </c>
      <c r="K791" s="9">
        <f>IFERROR(VLOOKUP(I791,Materiales!$A:$G,7,0),"")</f>
        <v/>
      </c>
      <c r="L791" s="8" t="inlineStr">
        <is>
          <t>20230501</t>
        </is>
      </c>
      <c r="M791" s="8" t="inlineStr">
        <is>
          <t>20250131</t>
        </is>
      </c>
      <c r="N791" s="10" t="n">
        <v>96.79000000000001</v>
      </c>
      <c r="O791" s="10">
        <f>IFERROR(VLOOKUP(A791,Flete!$A:$J,10,0),"")</f>
        <v/>
      </c>
      <c r="P791" s="8" t="inlineStr">
        <is>
          <t>TN</t>
        </is>
      </c>
      <c r="Q791" s="10">
        <f>IFERROR(IFERROR(VLOOKUP(A791,TRAOPE!$A:$U,21,0),VLOOKUP(B791,TRAOPE!$A:$U,21,0)),"")</f>
        <v/>
      </c>
      <c r="R791" s="8">
        <f>IFERROR(IFERROR(VLOOKUP(A791,TRAOPE!$A:$W,23,0),VLOOKUP(B791,TRAOPE!$A:$W,23,0)),"")</f>
        <v/>
      </c>
      <c r="S791" s="10">
        <f>IF(AND(P791="TN",R791="TN"),N791+N(O791),IF(G791&amp;""="1",N(K791)*N791,(N791+N(O791))*N(K791)))</f>
        <v/>
      </c>
      <c r="T791" s="10">
        <f>IF(Q791="","",Q791-S791)</f>
        <v/>
      </c>
    </row>
    <row r="792">
      <c r="A792" s="7">
        <f>CONCATENATE(C792,E792,F792,I792)</f>
        <v/>
      </c>
      <c r="B792" s="7">
        <f>CONCATENATE(C792,E792,I792)</f>
        <v/>
      </c>
      <c r="C792" s="8" t="n">
        <v>900004184</v>
      </c>
      <c r="D792" s="7">
        <f>IFERROR(VLOOKUP(C792,TRAOPE!$G:$H,2,0),"")</f>
        <v/>
      </c>
      <c r="E792" s="8" t="inlineStr">
        <is>
          <t>DW70</t>
        </is>
      </c>
      <c r="F792" s="8" t="inlineStr">
        <is>
          <t>D105</t>
        </is>
      </c>
      <c r="G792" s="8">
        <f>IFERROR(VLOOKUP(A792,Flete!$A:$E,5,0),"")</f>
        <v/>
      </c>
      <c r="H792" s="7">
        <f>IFERROR(VLOOKUP(F792,TRAOPE!$AA:$AB,2,0),"")</f>
        <v/>
      </c>
      <c r="I792" s="7" t="n">
        <v>10000811</v>
      </c>
      <c r="J792" s="7">
        <f>IFERROR(VLOOKUP(I792,Materiales!$A:$H,8,0),"")</f>
        <v/>
      </c>
      <c r="K792" s="9">
        <f>IFERROR(VLOOKUP(I792,Materiales!$A:$G,7,0),"")</f>
        <v/>
      </c>
      <c r="L792" s="8" t="inlineStr">
        <is>
          <t>20230501</t>
        </is>
      </c>
      <c r="M792" s="8" t="inlineStr">
        <is>
          <t>20250131</t>
        </is>
      </c>
      <c r="N792" s="10" t="n">
        <v>96.79000000000001</v>
      </c>
      <c r="O792" s="10">
        <f>IFERROR(VLOOKUP(A792,Flete!$A:$J,10,0),"")</f>
        <v/>
      </c>
      <c r="P792" s="8" t="inlineStr">
        <is>
          <t>TN</t>
        </is>
      </c>
      <c r="Q792" s="10">
        <f>IFERROR(IFERROR(VLOOKUP(A792,TRAOPE!$A:$U,21,0),VLOOKUP(B792,TRAOPE!$A:$U,21,0)),"")</f>
        <v/>
      </c>
      <c r="R792" s="8">
        <f>IFERROR(IFERROR(VLOOKUP(A792,TRAOPE!$A:$W,23,0),VLOOKUP(B792,TRAOPE!$A:$W,23,0)),"")</f>
        <v/>
      </c>
      <c r="S792" s="10">
        <f>IF(AND(P792="TN",R792="TN"),N792+N(O792),IF(G792&amp;""="1",N(K792)*N792,(N792+N(O792))*N(K792)))</f>
        <v/>
      </c>
      <c r="T792" s="10">
        <f>IF(Q792="","",Q792-S792)</f>
        <v/>
      </c>
    </row>
    <row r="793">
      <c r="A793" s="7">
        <f>CONCATENATE(C793,E793,F793,I793)</f>
        <v/>
      </c>
      <c r="B793" s="7">
        <f>CONCATENATE(C793,E793,I793)</f>
        <v/>
      </c>
      <c r="C793" s="8" t="n">
        <v>900004184</v>
      </c>
      <c r="D793" s="7">
        <f>IFERROR(VLOOKUP(C793,TRAOPE!$G:$H,2,0),"")</f>
        <v/>
      </c>
      <c r="E793" s="8" t="inlineStr">
        <is>
          <t>DW70</t>
        </is>
      </c>
      <c r="F793" s="8" t="inlineStr">
        <is>
          <t>D105</t>
        </is>
      </c>
      <c r="G793" s="8">
        <f>IFERROR(VLOOKUP(A793,Flete!$A:$E,5,0),"")</f>
        <v/>
      </c>
      <c r="H793" s="7">
        <f>IFERROR(VLOOKUP(F793,TRAOPE!$AA:$AB,2,0),"")</f>
        <v/>
      </c>
      <c r="I793" s="7" t="n">
        <v>10059180</v>
      </c>
      <c r="J793" s="7">
        <f>IFERROR(VLOOKUP(I793,Materiales!$A:$H,8,0),"")</f>
        <v/>
      </c>
      <c r="K793" s="9">
        <f>IFERROR(VLOOKUP(I793,Materiales!$A:$G,7,0),"")</f>
        <v/>
      </c>
      <c r="L793" s="8" t="inlineStr">
        <is>
          <t>20230501</t>
        </is>
      </c>
      <c r="M793" s="8" t="inlineStr">
        <is>
          <t>20250131</t>
        </is>
      </c>
      <c r="N793" s="10" t="n">
        <v>50.49</v>
      </c>
      <c r="O793" s="10">
        <f>IFERROR(VLOOKUP(A793,Flete!$A:$J,10,0),"")</f>
        <v/>
      </c>
      <c r="P793" s="8" t="inlineStr">
        <is>
          <t>TN</t>
        </is>
      </c>
      <c r="Q793" s="10">
        <f>IFERROR(IFERROR(VLOOKUP(A793,TRAOPE!$A:$U,21,0),VLOOKUP(B793,TRAOPE!$A:$U,21,0)),"")</f>
        <v/>
      </c>
      <c r="R793" s="8">
        <f>IFERROR(IFERROR(VLOOKUP(A793,TRAOPE!$A:$W,23,0),VLOOKUP(B793,TRAOPE!$A:$W,23,0)),"")</f>
        <v/>
      </c>
      <c r="S793" s="10">
        <f>IF(AND(P793="TN",R793="TN"),N793+N(O793),IF(G793&amp;""="1",N(K793)*N793,(N793+N(O793))*N(K793)))</f>
        <v/>
      </c>
      <c r="T793" s="10">
        <f>IF(Q793="","",Q793-S793)</f>
        <v/>
      </c>
    </row>
    <row r="794">
      <c r="A794" s="7">
        <f>CONCATENATE(C794,E794,F794,I794)</f>
        <v/>
      </c>
      <c r="B794" s="7">
        <f>CONCATENATE(C794,E794,I794)</f>
        <v/>
      </c>
      <c r="C794" s="8" t="n">
        <v>900004184</v>
      </c>
      <c r="D794" s="7">
        <f>IFERROR(VLOOKUP(C794,TRAOPE!$G:$H,2,0),"")</f>
        <v/>
      </c>
      <c r="E794" s="8" t="inlineStr">
        <is>
          <t>DW70</t>
        </is>
      </c>
      <c r="F794" s="8" t="inlineStr">
        <is>
          <t>D136</t>
        </is>
      </c>
      <c r="G794" s="8">
        <f>IFERROR(VLOOKUP(A794,Flete!$A:$E,5,0),"")</f>
        <v/>
      </c>
      <c r="H794" s="7">
        <f>IFERROR(VLOOKUP(F794,TRAOPE!$AA:$AB,2,0),"")</f>
        <v/>
      </c>
      <c r="I794" s="7" t="n">
        <v>10000623</v>
      </c>
      <c r="J794" s="7">
        <f>IFERROR(VLOOKUP(I794,Materiales!$A:$H,8,0),"")</f>
        <v/>
      </c>
      <c r="K794" s="9">
        <f>IFERROR(VLOOKUP(I794,Materiales!$A:$G,7,0),"")</f>
        <v/>
      </c>
      <c r="L794" s="8" t="inlineStr">
        <is>
          <t>20230501</t>
        </is>
      </c>
      <c r="M794" s="8" t="inlineStr">
        <is>
          <t>20250131</t>
        </is>
      </c>
      <c r="N794" s="10" t="n">
        <v>100.46</v>
      </c>
      <c r="O794" s="10">
        <f>IFERROR(VLOOKUP(A794,Flete!$A:$J,10,0),"")</f>
        <v/>
      </c>
      <c r="P794" s="8" t="inlineStr">
        <is>
          <t>TN</t>
        </is>
      </c>
      <c r="Q794" s="10">
        <f>IFERROR(IFERROR(VLOOKUP(A794,TRAOPE!$A:$U,21,0),VLOOKUP(B794,TRAOPE!$A:$U,21,0)),"")</f>
        <v/>
      </c>
      <c r="R794" s="8">
        <f>IFERROR(IFERROR(VLOOKUP(A794,TRAOPE!$A:$W,23,0),VLOOKUP(B794,TRAOPE!$A:$W,23,0)),"")</f>
        <v/>
      </c>
      <c r="S794" s="10">
        <f>IF(AND(P794="TN",R794="TN"),N794+N(O794),IF(G794&amp;""="1",N(K794)*N794,(N794+N(O794))*N(K794)))</f>
        <v/>
      </c>
      <c r="T794" s="10">
        <f>IF(Q794="","",Q794-S794)</f>
        <v/>
      </c>
    </row>
    <row r="795">
      <c r="A795" s="7">
        <f>CONCATENATE(C795,E795,F795,I795)</f>
        <v/>
      </c>
      <c r="B795" s="7">
        <f>CONCATENATE(C795,E795,I795)</f>
        <v/>
      </c>
      <c r="C795" s="8" t="n">
        <v>900004184</v>
      </c>
      <c r="D795" s="7">
        <f>IFERROR(VLOOKUP(C795,TRAOPE!$G:$H,2,0),"")</f>
        <v/>
      </c>
      <c r="E795" s="8" t="inlineStr">
        <is>
          <t>DW70</t>
        </is>
      </c>
      <c r="F795" s="8" t="inlineStr">
        <is>
          <t>D136</t>
        </is>
      </c>
      <c r="G795" s="8">
        <f>IFERROR(VLOOKUP(A795,Flete!$A:$E,5,0),"")</f>
        <v/>
      </c>
      <c r="H795" s="7">
        <f>IFERROR(VLOOKUP(F795,TRAOPE!$AA:$AB,2,0),"")</f>
        <v/>
      </c>
      <c r="I795" s="7" t="n">
        <v>10000624</v>
      </c>
      <c r="J795" s="7">
        <f>IFERROR(VLOOKUP(I795,Materiales!$A:$H,8,0),"")</f>
        <v/>
      </c>
      <c r="K795" s="9">
        <f>IFERROR(VLOOKUP(I795,Materiales!$A:$G,7,0),"")</f>
        <v/>
      </c>
      <c r="L795" s="8" t="inlineStr">
        <is>
          <t>20230501</t>
        </is>
      </c>
      <c r="M795" s="8" t="inlineStr">
        <is>
          <t>20250131</t>
        </is>
      </c>
      <c r="N795" s="10" t="n">
        <v>96.79000000000001</v>
      </c>
      <c r="O795" s="10">
        <f>IFERROR(VLOOKUP(A795,Flete!$A:$J,10,0),"")</f>
        <v/>
      </c>
      <c r="P795" s="8" t="inlineStr">
        <is>
          <t>TN</t>
        </is>
      </c>
      <c r="Q795" s="10">
        <f>IFERROR(IFERROR(VLOOKUP(A795,TRAOPE!$A:$U,21,0),VLOOKUP(B795,TRAOPE!$A:$U,21,0)),"")</f>
        <v/>
      </c>
      <c r="R795" s="8">
        <f>IFERROR(IFERROR(VLOOKUP(A795,TRAOPE!$A:$W,23,0),VLOOKUP(B795,TRAOPE!$A:$W,23,0)),"")</f>
        <v/>
      </c>
      <c r="S795" s="10">
        <f>IF(AND(P795="TN",R795="TN"),N795+N(O795),IF(G795&amp;""="1",N(K795)*N795,(N795+N(O795))*N(K795)))</f>
        <v/>
      </c>
      <c r="T795" s="10">
        <f>IF(Q795="","",Q795-S795)</f>
        <v/>
      </c>
    </row>
    <row r="796">
      <c r="A796" s="7">
        <f>CONCATENATE(C796,E796,F796,I796)</f>
        <v/>
      </c>
      <c r="B796" s="7">
        <f>CONCATENATE(C796,E796,I796)</f>
        <v/>
      </c>
      <c r="C796" s="8" t="n">
        <v>900004184</v>
      </c>
      <c r="D796" s="7">
        <f>IFERROR(VLOOKUP(C796,TRAOPE!$G:$H,2,0),"")</f>
        <v/>
      </c>
      <c r="E796" s="8" t="inlineStr">
        <is>
          <t>DW70</t>
        </is>
      </c>
      <c r="F796" s="8" t="inlineStr">
        <is>
          <t>D136</t>
        </is>
      </c>
      <c r="G796" s="8">
        <f>IFERROR(VLOOKUP(A796,Flete!$A:$E,5,0),"")</f>
        <v/>
      </c>
      <c r="H796" s="7">
        <f>IFERROR(VLOOKUP(F796,TRAOPE!$AA:$AB,2,0),"")</f>
        <v/>
      </c>
      <c r="I796" s="7" t="n">
        <v>10000811</v>
      </c>
      <c r="J796" s="7">
        <f>IFERROR(VLOOKUP(I796,Materiales!$A:$H,8,0),"")</f>
        <v/>
      </c>
      <c r="K796" s="9">
        <f>IFERROR(VLOOKUP(I796,Materiales!$A:$G,7,0),"")</f>
        <v/>
      </c>
      <c r="L796" s="8" t="inlineStr">
        <is>
          <t>20230501</t>
        </is>
      </c>
      <c r="M796" s="8" t="inlineStr">
        <is>
          <t>20250131</t>
        </is>
      </c>
      <c r="N796" s="10" t="n">
        <v>96.79000000000001</v>
      </c>
      <c r="O796" s="10">
        <f>IFERROR(VLOOKUP(A796,Flete!$A:$J,10,0),"")</f>
        <v/>
      </c>
      <c r="P796" s="8" t="inlineStr">
        <is>
          <t>TN</t>
        </is>
      </c>
      <c r="Q796" s="10">
        <f>IFERROR(IFERROR(VLOOKUP(A796,TRAOPE!$A:$U,21,0),VLOOKUP(B796,TRAOPE!$A:$U,21,0)),"")</f>
        <v/>
      </c>
      <c r="R796" s="8">
        <f>IFERROR(IFERROR(VLOOKUP(A796,TRAOPE!$A:$W,23,0),VLOOKUP(B796,TRAOPE!$A:$W,23,0)),"")</f>
        <v/>
      </c>
      <c r="S796" s="10">
        <f>IF(AND(P796="TN",R796="TN"),N796+N(O796),IF(G796&amp;""="1",N(K796)*N796,(N796+N(O796))*N(K796)))</f>
        <v/>
      </c>
      <c r="T796" s="10">
        <f>IF(Q796="","",Q796-S796)</f>
        <v/>
      </c>
    </row>
    <row r="797">
      <c r="A797" s="7">
        <f>CONCATENATE(C797,E797,F797,I797)</f>
        <v/>
      </c>
      <c r="B797" s="7">
        <f>CONCATENATE(C797,E797,I797)</f>
        <v/>
      </c>
      <c r="C797" s="8" t="n">
        <v>900004184</v>
      </c>
      <c r="D797" s="7">
        <f>IFERROR(VLOOKUP(C797,TRAOPE!$G:$H,2,0),"")</f>
        <v/>
      </c>
      <c r="E797" s="8" t="inlineStr">
        <is>
          <t>DW70</t>
        </is>
      </c>
      <c r="F797" s="8" t="inlineStr">
        <is>
          <t>D136</t>
        </is>
      </c>
      <c r="G797" s="8">
        <f>IFERROR(VLOOKUP(A797,Flete!$A:$E,5,0),"")</f>
        <v/>
      </c>
      <c r="H797" s="7">
        <f>IFERROR(VLOOKUP(F797,TRAOPE!$AA:$AB,2,0),"")</f>
        <v/>
      </c>
      <c r="I797" s="7" t="n">
        <v>10059180</v>
      </c>
      <c r="J797" s="7">
        <f>IFERROR(VLOOKUP(I797,Materiales!$A:$H,8,0),"")</f>
        <v/>
      </c>
      <c r="K797" s="9">
        <f>IFERROR(VLOOKUP(I797,Materiales!$A:$G,7,0),"")</f>
        <v/>
      </c>
      <c r="L797" s="8" t="inlineStr">
        <is>
          <t>20230501</t>
        </is>
      </c>
      <c r="M797" s="8" t="inlineStr">
        <is>
          <t>20250131</t>
        </is>
      </c>
      <c r="N797" s="10" t="n">
        <v>50.49</v>
      </c>
      <c r="O797" s="10">
        <f>IFERROR(VLOOKUP(A797,Flete!$A:$J,10,0),"")</f>
        <v/>
      </c>
      <c r="P797" s="8" t="inlineStr">
        <is>
          <t>TN</t>
        </is>
      </c>
      <c r="Q797" s="10">
        <f>IFERROR(IFERROR(VLOOKUP(A797,TRAOPE!$A:$U,21,0),VLOOKUP(B797,TRAOPE!$A:$U,21,0)),"")</f>
        <v/>
      </c>
      <c r="R797" s="8">
        <f>IFERROR(IFERROR(VLOOKUP(A797,TRAOPE!$A:$W,23,0),VLOOKUP(B797,TRAOPE!$A:$W,23,0)),"")</f>
        <v/>
      </c>
      <c r="S797" s="10">
        <f>IF(AND(P797="TN",R797="TN"),N797+N(O797),IF(G797&amp;""="1",N(K797)*N797,(N797+N(O797))*N(K797)))</f>
        <v/>
      </c>
      <c r="T797" s="10">
        <f>IF(Q797="","",Q797-S797)</f>
        <v/>
      </c>
    </row>
    <row r="798">
      <c r="A798" s="7">
        <f>CONCATENATE(C798,E798,F798,I798)</f>
        <v/>
      </c>
      <c r="B798" s="7">
        <f>CONCATENATE(C798,E798,I798)</f>
        <v/>
      </c>
      <c r="C798" s="8" t="n">
        <v>900004184</v>
      </c>
      <c r="D798" s="7">
        <f>IFERROR(VLOOKUP(C798,TRAOPE!$G:$H,2,0),"")</f>
        <v/>
      </c>
      <c r="E798" s="8" t="inlineStr">
        <is>
          <t>DW70</t>
        </is>
      </c>
      <c r="F798" s="8" t="inlineStr">
        <is>
          <t>D145</t>
        </is>
      </c>
      <c r="G798" s="8">
        <f>IFERROR(VLOOKUP(A798,Flete!$A:$E,5,0),"")</f>
        <v/>
      </c>
      <c r="H798" s="7">
        <f>IFERROR(VLOOKUP(F798,TRAOPE!$AA:$AB,2,0),"")</f>
        <v/>
      </c>
      <c r="I798" s="7" t="n">
        <v>10000623</v>
      </c>
      <c r="J798" s="7">
        <f>IFERROR(VLOOKUP(I798,Materiales!$A:$H,8,0),"")</f>
        <v/>
      </c>
      <c r="K798" s="9">
        <f>IFERROR(VLOOKUP(I798,Materiales!$A:$G,7,0),"")</f>
        <v/>
      </c>
      <c r="L798" s="8" t="inlineStr">
        <is>
          <t>20230501</t>
        </is>
      </c>
      <c r="M798" s="8" t="inlineStr">
        <is>
          <t>20250131</t>
        </is>
      </c>
      <c r="N798" s="10" t="n">
        <v>100.46</v>
      </c>
      <c r="O798" s="10">
        <f>IFERROR(VLOOKUP(A798,Flete!$A:$J,10,0),"")</f>
        <v/>
      </c>
      <c r="P798" s="8" t="inlineStr">
        <is>
          <t>TN</t>
        </is>
      </c>
      <c r="Q798" s="10">
        <f>IFERROR(IFERROR(VLOOKUP(A798,TRAOPE!$A:$U,21,0),VLOOKUP(B798,TRAOPE!$A:$U,21,0)),"")</f>
        <v/>
      </c>
      <c r="R798" s="8">
        <f>IFERROR(IFERROR(VLOOKUP(A798,TRAOPE!$A:$W,23,0),VLOOKUP(B798,TRAOPE!$A:$W,23,0)),"")</f>
        <v/>
      </c>
      <c r="S798" s="10">
        <f>IF(AND(P798="TN",R798="TN"),N798+N(O798),IF(G798&amp;""="1",N(K798)*N798,(N798+N(O798))*N(K798)))</f>
        <v/>
      </c>
      <c r="T798" s="10">
        <f>IF(Q798="","",Q798-S798)</f>
        <v/>
      </c>
    </row>
    <row r="799">
      <c r="A799" s="7">
        <f>CONCATENATE(C799,E799,F799,I799)</f>
        <v/>
      </c>
      <c r="B799" s="7">
        <f>CONCATENATE(C799,E799,I799)</f>
        <v/>
      </c>
      <c r="C799" s="8" t="n">
        <v>900004184</v>
      </c>
      <c r="D799" s="7">
        <f>IFERROR(VLOOKUP(C799,TRAOPE!$G:$H,2,0),"")</f>
        <v/>
      </c>
      <c r="E799" s="8" t="inlineStr">
        <is>
          <t>DW70</t>
        </is>
      </c>
      <c r="F799" s="8" t="inlineStr">
        <is>
          <t>D145</t>
        </is>
      </c>
      <c r="G799" s="8">
        <f>IFERROR(VLOOKUP(A799,Flete!$A:$E,5,0),"")</f>
        <v/>
      </c>
      <c r="H799" s="7">
        <f>IFERROR(VLOOKUP(F799,TRAOPE!$AA:$AB,2,0),"")</f>
        <v/>
      </c>
      <c r="I799" s="7" t="n">
        <v>10000624</v>
      </c>
      <c r="J799" s="7">
        <f>IFERROR(VLOOKUP(I799,Materiales!$A:$H,8,0),"")</f>
        <v/>
      </c>
      <c r="K799" s="9">
        <f>IFERROR(VLOOKUP(I799,Materiales!$A:$G,7,0),"")</f>
        <v/>
      </c>
      <c r="L799" s="8" t="inlineStr">
        <is>
          <t>20230501</t>
        </is>
      </c>
      <c r="M799" s="8" t="inlineStr">
        <is>
          <t>20250131</t>
        </is>
      </c>
      <c r="N799" s="10" t="n">
        <v>96.79000000000001</v>
      </c>
      <c r="O799" s="10">
        <f>IFERROR(VLOOKUP(A799,Flete!$A:$J,10,0),"")</f>
        <v/>
      </c>
      <c r="P799" s="8" t="inlineStr">
        <is>
          <t>TN</t>
        </is>
      </c>
      <c r="Q799" s="10">
        <f>IFERROR(IFERROR(VLOOKUP(A799,TRAOPE!$A:$U,21,0),VLOOKUP(B799,TRAOPE!$A:$U,21,0)),"")</f>
        <v/>
      </c>
      <c r="R799" s="8">
        <f>IFERROR(IFERROR(VLOOKUP(A799,TRAOPE!$A:$W,23,0),VLOOKUP(B799,TRAOPE!$A:$W,23,0)),"")</f>
        <v/>
      </c>
      <c r="S799" s="10">
        <f>IF(AND(P799="TN",R799="TN"),N799+N(O799),IF(G799&amp;""="1",N(K799)*N799,(N799+N(O799))*N(K799)))</f>
        <v/>
      </c>
      <c r="T799" s="10">
        <f>IF(Q799="","",Q799-S799)</f>
        <v/>
      </c>
    </row>
    <row r="800">
      <c r="A800" s="7">
        <f>CONCATENATE(C800,E800,F800,I800)</f>
        <v/>
      </c>
      <c r="B800" s="7">
        <f>CONCATENATE(C800,E800,I800)</f>
        <v/>
      </c>
      <c r="C800" s="8" t="n">
        <v>900004184</v>
      </c>
      <c r="D800" s="7">
        <f>IFERROR(VLOOKUP(C800,TRAOPE!$G:$H,2,0),"")</f>
        <v/>
      </c>
      <c r="E800" s="8" t="inlineStr">
        <is>
          <t>DW70</t>
        </is>
      </c>
      <c r="F800" s="8" t="inlineStr">
        <is>
          <t>D145</t>
        </is>
      </c>
      <c r="G800" s="8">
        <f>IFERROR(VLOOKUP(A800,Flete!$A:$E,5,0),"")</f>
        <v/>
      </c>
      <c r="H800" s="7">
        <f>IFERROR(VLOOKUP(F800,TRAOPE!$AA:$AB,2,0),"")</f>
        <v/>
      </c>
      <c r="I800" s="7" t="n">
        <v>10000811</v>
      </c>
      <c r="J800" s="7">
        <f>IFERROR(VLOOKUP(I800,Materiales!$A:$H,8,0),"")</f>
        <v/>
      </c>
      <c r="K800" s="9">
        <f>IFERROR(VLOOKUP(I800,Materiales!$A:$G,7,0),"")</f>
        <v/>
      </c>
      <c r="L800" s="8" t="inlineStr">
        <is>
          <t>20230501</t>
        </is>
      </c>
      <c r="M800" s="8" t="inlineStr">
        <is>
          <t>20250131</t>
        </is>
      </c>
      <c r="N800" s="10" t="n">
        <v>96.79000000000001</v>
      </c>
      <c r="O800" s="10">
        <f>IFERROR(VLOOKUP(A800,Flete!$A:$J,10,0),"")</f>
        <v/>
      </c>
      <c r="P800" s="8" t="inlineStr">
        <is>
          <t>TN</t>
        </is>
      </c>
      <c r="Q800" s="10">
        <f>IFERROR(IFERROR(VLOOKUP(A800,TRAOPE!$A:$U,21,0),VLOOKUP(B800,TRAOPE!$A:$U,21,0)),"")</f>
        <v/>
      </c>
      <c r="R800" s="8">
        <f>IFERROR(IFERROR(VLOOKUP(A800,TRAOPE!$A:$W,23,0),VLOOKUP(B800,TRAOPE!$A:$W,23,0)),"")</f>
        <v/>
      </c>
      <c r="S800" s="10">
        <f>IF(AND(P800="TN",R800="TN"),N800+N(O800),IF(G800&amp;""="1",N(K800)*N800,(N800+N(O800))*N(K800)))</f>
        <v/>
      </c>
      <c r="T800" s="10">
        <f>IF(Q800="","",Q800-S800)</f>
        <v/>
      </c>
    </row>
    <row r="801">
      <c r="A801" s="7">
        <f>CONCATENATE(C801,E801,F801,I801)</f>
        <v/>
      </c>
      <c r="B801" s="7">
        <f>CONCATENATE(C801,E801,I801)</f>
        <v/>
      </c>
      <c r="C801" s="8" t="n">
        <v>900004184</v>
      </c>
      <c r="D801" s="7">
        <f>IFERROR(VLOOKUP(C801,TRAOPE!$G:$H,2,0),"")</f>
        <v/>
      </c>
      <c r="E801" s="8" t="inlineStr">
        <is>
          <t>DW70</t>
        </is>
      </c>
      <c r="F801" s="8" t="inlineStr">
        <is>
          <t>D145</t>
        </is>
      </c>
      <c r="G801" s="8">
        <f>IFERROR(VLOOKUP(A801,Flete!$A:$E,5,0),"")</f>
        <v/>
      </c>
      <c r="H801" s="7">
        <f>IFERROR(VLOOKUP(F801,TRAOPE!$AA:$AB,2,0),"")</f>
        <v/>
      </c>
      <c r="I801" s="7" t="n">
        <v>10059180</v>
      </c>
      <c r="J801" s="7">
        <f>IFERROR(VLOOKUP(I801,Materiales!$A:$H,8,0),"")</f>
        <v/>
      </c>
      <c r="K801" s="9">
        <f>IFERROR(VLOOKUP(I801,Materiales!$A:$G,7,0),"")</f>
        <v/>
      </c>
      <c r="L801" s="8" t="inlineStr">
        <is>
          <t>20230501</t>
        </is>
      </c>
      <c r="M801" s="8" t="inlineStr">
        <is>
          <t>20250131</t>
        </is>
      </c>
      <c r="N801" s="10" t="n">
        <v>50.49</v>
      </c>
      <c r="O801" s="10">
        <f>IFERROR(VLOOKUP(A801,Flete!$A:$J,10,0),"")</f>
        <v/>
      </c>
      <c r="P801" s="8" t="inlineStr">
        <is>
          <t>TN</t>
        </is>
      </c>
      <c r="Q801" s="10">
        <f>IFERROR(IFERROR(VLOOKUP(A801,TRAOPE!$A:$U,21,0),VLOOKUP(B801,TRAOPE!$A:$U,21,0)),"")</f>
        <v/>
      </c>
      <c r="R801" s="8">
        <f>IFERROR(IFERROR(VLOOKUP(A801,TRAOPE!$A:$W,23,0),VLOOKUP(B801,TRAOPE!$A:$W,23,0)),"")</f>
        <v/>
      </c>
      <c r="S801" s="10">
        <f>IF(AND(P801="TN",R801="TN"),N801+N(O801),IF(G801&amp;""="1",N(K801)*N801,(N801+N(O801))*N(K801)))</f>
        <v/>
      </c>
      <c r="T801" s="10">
        <f>IF(Q801="","",Q801-S801)</f>
        <v/>
      </c>
    </row>
    <row r="802">
      <c r="A802" s="7">
        <f>CONCATENATE(C802,E802,F802,I802)</f>
        <v/>
      </c>
      <c r="B802" s="7">
        <f>CONCATENATE(C802,E802,I802)</f>
        <v/>
      </c>
      <c r="C802" s="8" t="n">
        <v>900004322</v>
      </c>
      <c r="D802" s="7">
        <f>IFERROR(VLOOKUP(C802,TRAOPE!$G:$H,2,0),"")</f>
        <v/>
      </c>
      <c r="E802" s="8" t="inlineStr">
        <is>
          <t>DW70</t>
        </is>
      </c>
      <c r="F802" s="8" t="inlineStr">
        <is>
          <t>D074</t>
        </is>
      </c>
      <c r="G802" s="8">
        <f>IFERROR(VLOOKUP(A802,Flete!$A:$E,5,0),"")</f>
        <v/>
      </c>
      <c r="H802" s="7">
        <f>IFERROR(VLOOKUP(F802,TRAOPE!$AA:$AB,2,0),"")</f>
        <v/>
      </c>
      <c r="I802" s="7" t="n">
        <v>10000160</v>
      </c>
      <c r="J802" s="7">
        <f>IFERROR(VLOOKUP(I802,Materiales!$A:$H,8,0),"")</f>
        <v/>
      </c>
      <c r="K802" s="9">
        <f>IFERROR(VLOOKUP(I802,Materiales!$A:$G,7,0),"")</f>
        <v/>
      </c>
      <c r="L802" s="8" t="inlineStr">
        <is>
          <t>20230501</t>
        </is>
      </c>
      <c r="M802" s="8" t="inlineStr">
        <is>
          <t>20250131</t>
        </is>
      </c>
      <c r="N802" s="10" t="n">
        <v>60.89</v>
      </c>
      <c r="O802" s="10">
        <f>IFERROR(VLOOKUP(A802,Flete!$A:$J,10,0),"")</f>
        <v/>
      </c>
      <c r="P802" s="8" t="inlineStr">
        <is>
          <t>TN</t>
        </is>
      </c>
      <c r="Q802" s="10">
        <f>IFERROR(IFERROR(VLOOKUP(A802,TRAOPE!$A:$U,21,0),VLOOKUP(B802,TRAOPE!$A:$U,21,0)),"")</f>
        <v/>
      </c>
      <c r="R802" s="8">
        <f>IFERROR(IFERROR(VLOOKUP(A802,TRAOPE!$A:$W,23,0),VLOOKUP(B802,TRAOPE!$A:$W,23,0)),"")</f>
        <v/>
      </c>
      <c r="S802" s="10">
        <f>IF(AND(P802="TN",R802="TN"),N802+N(O802),IF(G802&amp;""="1",N(K802)*N802,(N802+N(O802))*N(K802)))</f>
        <v/>
      </c>
      <c r="T802" s="10">
        <f>IF(Q802="","",Q802-S802)</f>
        <v/>
      </c>
    </row>
    <row r="803">
      <c r="A803" s="7">
        <f>CONCATENATE(C803,E803,F803,I803)</f>
        <v/>
      </c>
      <c r="B803" s="7">
        <f>CONCATENATE(C803,E803,I803)</f>
        <v/>
      </c>
      <c r="C803" s="8" t="n">
        <v>900004322</v>
      </c>
      <c r="D803" s="7">
        <f>IFERROR(VLOOKUP(C803,TRAOPE!$G:$H,2,0),"")</f>
        <v/>
      </c>
      <c r="E803" s="8" t="inlineStr">
        <is>
          <t>DW70</t>
        </is>
      </c>
      <c r="F803" s="8" t="inlineStr">
        <is>
          <t>D074</t>
        </is>
      </c>
      <c r="G803" s="8">
        <f>IFERROR(VLOOKUP(A803,Flete!$A:$E,5,0),"")</f>
        <v/>
      </c>
      <c r="H803" s="7">
        <f>IFERROR(VLOOKUP(F803,TRAOPE!$AA:$AB,2,0),"")</f>
        <v/>
      </c>
      <c r="I803" s="7" t="n">
        <v>10000627</v>
      </c>
      <c r="J803" s="7">
        <f>IFERROR(VLOOKUP(I803,Materiales!$A:$H,8,0),"")</f>
        <v/>
      </c>
      <c r="K803" s="9">
        <f>IFERROR(VLOOKUP(I803,Materiales!$A:$G,7,0),"")</f>
        <v/>
      </c>
      <c r="L803" s="8" t="inlineStr">
        <is>
          <t>20230501</t>
        </is>
      </c>
      <c r="M803" s="8" t="inlineStr">
        <is>
          <t>20250131</t>
        </is>
      </c>
      <c r="N803" s="10" t="n">
        <v>69.44</v>
      </c>
      <c r="O803" s="10">
        <f>IFERROR(VLOOKUP(A803,Flete!$A:$J,10,0),"")</f>
        <v/>
      </c>
      <c r="P803" s="8" t="inlineStr">
        <is>
          <t>TN</t>
        </is>
      </c>
      <c r="Q803" s="10">
        <f>IFERROR(IFERROR(VLOOKUP(A803,TRAOPE!$A:$U,21,0),VLOOKUP(B803,TRAOPE!$A:$U,21,0)),"")</f>
        <v/>
      </c>
      <c r="R803" s="8">
        <f>IFERROR(IFERROR(VLOOKUP(A803,TRAOPE!$A:$W,23,0),VLOOKUP(B803,TRAOPE!$A:$W,23,0)),"")</f>
        <v/>
      </c>
      <c r="S803" s="10">
        <f>IF(AND(P803="TN",R803="TN"),N803+N(O803),IF(G803&amp;""="1",N(K803)*N803,(N803+N(O803))*N(K803)))</f>
        <v/>
      </c>
      <c r="T803" s="10">
        <f>IF(Q803="","",Q803-S803)</f>
        <v/>
      </c>
    </row>
    <row r="804">
      <c r="A804" s="7">
        <f>CONCATENATE(C804,E804,F804,I804)</f>
        <v/>
      </c>
      <c r="B804" s="7">
        <f>CONCATENATE(C804,E804,I804)</f>
        <v/>
      </c>
      <c r="C804" s="8" t="n">
        <v>900004322</v>
      </c>
      <c r="D804" s="7">
        <f>IFERROR(VLOOKUP(C804,TRAOPE!$G:$H,2,0),"")</f>
        <v/>
      </c>
      <c r="E804" s="8" t="inlineStr">
        <is>
          <t>DW70</t>
        </is>
      </c>
      <c r="F804" s="8" t="inlineStr">
        <is>
          <t>D075</t>
        </is>
      </c>
      <c r="G804" s="8">
        <f>IFERROR(VLOOKUP(A804,Flete!$A:$E,5,0),"")</f>
        <v/>
      </c>
      <c r="H804" s="7">
        <f>IFERROR(VLOOKUP(F804,TRAOPE!$AA:$AB,2,0),"")</f>
        <v/>
      </c>
      <c r="I804" s="7" t="n">
        <v>10000160</v>
      </c>
      <c r="J804" s="7">
        <f>IFERROR(VLOOKUP(I804,Materiales!$A:$H,8,0),"")</f>
        <v/>
      </c>
      <c r="K804" s="9">
        <f>IFERROR(VLOOKUP(I804,Materiales!$A:$G,7,0),"")</f>
        <v/>
      </c>
      <c r="L804" s="8" t="inlineStr">
        <is>
          <t>20230501</t>
        </is>
      </c>
      <c r="M804" s="8" t="inlineStr">
        <is>
          <t>20250131</t>
        </is>
      </c>
      <c r="N804" s="10" t="n">
        <v>60.89</v>
      </c>
      <c r="O804" s="10">
        <f>IFERROR(VLOOKUP(A804,Flete!$A:$J,10,0),"")</f>
        <v/>
      </c>
      <c r="P804" s="8" t="inlineStr">
        <is>
          <t>TN</t>
        </is>
      </c>
      <c r="Q804" s="10">
        <f>IFERROR(IFERROR(VLOOKUP(A804,TRAOPE!$A:$U,21,0),VLOOKUP(B804,TRAOPE!$A:$U,21,0)),"")</f>
        <v/>
      </c>
      <c r="R804" s="8">
        <f>IFERROR(IFERROR(VLOOKUP(A804,TRAOPE!$A:$W,23,0),VLOOKUP(B804,TRAOPE!$A:$W,23,0)),"")</f>
        <v/>
      </c>
      <c r="S804" s="10">
        <f>IF(AND(P804="TN",R804="TN"),N804+N(O804),IF(G804&amp;""="1",N(K804)*N804,(N804+N(O804))*N(K804)))</f>
        <v/>
      </c>
      <c r="T804" s="10">
        <f>IF(Q804="","",Q804-S804)</f>
        <v/>
      </c>
    </row>
    <row r="805">
      <c r="A805" s="7">
        <f>CONCATENATE(C805,E805,F805,I805)</f>
        <v/>
      </c>
      <c r="B805" s="7">
        <f>CONCATENATE(C805,E805,I805)</f>
        <v/>
      </c>
      <c r="C805" s="8" t="n">
        <v>900004322</v>
      </c>
      <c r="D805" s="7">
        <f>IFERROR(VLOOKUP(C805,TRAOPE!$G:$H,2,0),"")</f>
        <v/>
      </c>
      <c r="E805" s="8" t="inlineStr">
        <is>
          <t>DW70</t>
        </is>
      </c>
      <c r="F805" s="8" t="inlineStr">
        <is>
          <t>D075</t>
        </is>
      </c>
      <c r="G805" s="8">
        <f>IFERROR(VLOOKUP(A805,Flete!$A:$E,5,0),"")</f>
        <v/>
      </c>
      <c r="H805" s="7">
        <f>IFERROR(VLOOKUP(F805,TRAOPE!$AA:$AB,2,0),"")</f>
        <v/>
      </c>
      <c r="I805" s="7" t="n">
        <v>10000627</v>
      </c>
      <c r="J805" s="7">
        <f>IFERROR(VLOOKUP(I805,Materiales!$A:$H,8,0),"")</f>
        <v/>
      </c>
      <c r="K805" s="9">
        <f>IFERROR(VLOOKUP(I805,Materiales!$A:$G,7,0),"")</f>
        <v/>
      </c>
      <c r="L805" s="8" t="inlineStr">
        <is>
          <t>20230501</t>
        </is>
      </c>
      <c r="M805" s="8" t="inlineStr">
        <is>
          <t>20250131</t>
        </is>
      </c>
      <c r="N805" s="10" t="n">
        <v>63.32</v>
      </c>
      <c r="O805" s="10">
        <f>IFERROR(VLOOKUP(A805,Flete!$A:$J,10,0),"")</f>
        <v/>
      </c>
      <c r="P805" s="8" t="inlineStr">
        <is>
          <t>TN</t>
        </is>
      </c>
      <c r="Q805" s="10">
        <f>IFERROR(IFERROR(VLOOKUP(A805,TRAOPE!$A:$U,21,0),VLOOKUP(B805,TRAOPE!$A:$U,21,0)),"")</f>
        <v/>
      </c>
      <c r="R805" s="8">
        <f>IFERROR(IFERROR(VLOOKUP(A805,TRAOPE!$A:$W,23,0),VLOOKUP(B805,TRAOPE!$A:$W,23,0)),"")</f>
        <v/>
      </c>
      <c r="S805" s="10">
        <f>IF(AND(P805="TN",R805="TN"),N805+N(O805),IF(G805&amp;""="1",N(K805)*N805,(N805+N(O805))*N(K805)))</f>
        <v/>
      </c>
      <c r="T805" s="10">
        <f>IF(Q805="","",Q805-S805)</f>
        <v/>
      </c>
    </row>
    <row r="806">
      <c r="A806" s="7">
        <f>CONCATENATE(C806,E806,F806,I806)</f>
        <v/>
      </c>
      <c r="B806" s="7">
        <f>CONCATENATE(C806,E806,I806)</f>
        <v/>
      </c>
      <c r="C806" s="8" t="n">
        <v>900004322</v>
      </c>
      <c r="D806" s="7">
        <f>IFERROR(VLOOKUP(C806,TRAOPE!$G:$H,2,0),"")</f>
        <v/>
      </c>
      <c r="E806" s="8" t="inlineStr">
        <is>
          <t>DW70</t>
        </is>
      </c>
      <c r="F806" s="8" t="inlineStr">
        <is>
          <t>D077</t>
        </is>
      </c>
      <c r="G806" s="8">
        <f>IFERROR(VLOOKUP(A806,Flete!$A:$E,5,0),"")</f>
        <v/>
      </c>
      <c r="H806" s="7">
        <f>IFERROR(VLOOKUP(F806,TRAOPE!$AA:$AB,2,0),"")</f>
        <v/>
      </c>
      <c r="I806" s="7" t="n">
        <v>10000160</v>
      </c>
      <c r="J806" s="7">
        <f>IFERROR(VLOOKUP(I806,Materiales!$A:$H,8,0),"")</f>
        <v/>
      </c>
      <c r="K806" s="9">
        <f>IFERROR(VLOOKUP(I806,Materiales!$A:$G,7,0),"")</f>
        <v/>
      </c>
      <c r="L806" s="8" t="inlineStr">
        <is>
          <t>20230501</t>
        </is>
      </c>
      <c r="M806" s="8" t="inlineStr">
        <is>
          <t>20250131</t>
        </is>
      </c>
      <c r="N806" s="10" t="n">
        <v>60.89</v>
      </c>
      <c r="O806" s="10">
        <f>IFERROR(VLOOKUP(A806,Flete!$A:$J,10,0),"")</f>
        <v/>
      </c>
      <c r="P806" s="8" t="inlineStr">
        <is>
          <t>TN</t>
        </is>
      </c>
      <c r="Q806" s="10">
        <f>IFERROR(IFERROR(VLOOKUP(A806,TRAOPE!$A:$U,21,0),VLOOKUP(B806,TRAOPE!$A:$U,21,0)),"")</f>
        <v/>
      </c>
      <c r="R806" s="8">
        <f>IFERROR(IFERROR(VLOOKUP(A806,TRAOPE!$A:$W,23,0),VLOOKUP(B806,TRAOPE!$A:$W,23,0)),"")</f>
        <v/>
      </c>
      <c r="S806" s="10">
        <f>IF(AND(P806="TN",R806="TN"),N806+N(O806),IF(G806&amp;""="1",N(K806)*N806,(N806+N(O806))*N(K806)))</f>
        <v/>
      </c>
      <c r="T806" s="10">
        <f>IF(Q806="","",Q806-S806)</f>
        <v/>
      </c>
    </row>
    <row r="807">
      <c r="A807" s="7">
        <f>CONCATENATE(C807,E807,F807,I807)</f>
        <v/>
      </c>
      <c r="B807" s="7">
        <f>CONCATENATE(C807,E807,I807)</f>
        <v/>
      </c>
      <c r="C807" s="8" t="n">
        <v>900004322</v>
      </c>
      <c r="D807" s="7">
        <f>IFERROR(VLOOKUP(C807,TRAOPE!$G:$H,2,0),"")</f>
        <v/>
      </c>
      <c r="E807" s="8" t="inlineStr">
        <is>
          <t>DW70</t>
        </is>
      </c>
      <c r="F807" s="8" t="inlineStr">
        <is>
          <t>D077</t>
        </is>
      </c>
      <c r="G807" s="8">
        <f>IFERROR(VLOOKUP(A807,Flete!$A:$E,5,0),"")</f>
        <v/>
      </c>
      <c r="H807" s="7">
        <f>IFERROR(VLOOKUP(F807,TRAOPE!$AA:$AB,2,0),"")</f>
        <v/>
      </c>
      <c r="I807" s="7" t="n">
        <v>10000627</v>
      </c>
      <c r="J807" s="7">
        <f>IFERROR(VLOOKUP(I807,Materiales!$A:$H,8,0),"")</f>
        <v/>
      </c>
      <c r="K807" s="9">
        <f>IFERROR(VLOOKUP(I807,Materiales!$A:$G,7,0),"")</f>
        <v/>
      </c>
      <c r="L807" s="8" t="inlineStr">
        <is>
          <t>20230501</t>
        </is>
      </c>
      <c r="M807" s="8" t="inlineStr">
        <is>
          <t>20250131</t>
        </is>
      </c>
      <c r="N807" s="10" t="n">
        <v>63.32</v>
      </c>
      <c r="O807" s="10">
        <f>IFERROR(VLOOKUP(A807,Flete!$A:$J,10,0),"")</f>
        <v/>
      </c>
      <c r="P807" s="8" t="inlineStr">
        <is>
          <t>TN</t>
        </is>
      </c>
      <c r="Q807" s="10">
        <f>IFERROR(IFERROR(VLOOKUP(A807,TRAOPE!$A:$U,21,0),VLOOKUP(B807,TRAOPE!$A:$U,21,0)),"")</f>
        <v/>
      </c>
      <c r="R807" s="8">
        <f>IFERROR(IFERROR(VLOOKUP(A807,TRAOPE!$A:$W,23,0),VLOOKUP(B807,TRAOPE!$A:$W,23,0)),"")</f>
        <v/>
      </c>
      <c r="S807" s="10">
        <f>IF(AND(P807="TN",R807="TN"),N807+N(O807),IF(G807&amp;""="1",N(K807)*N807,(N807+N(O807))*N(K807)))</f>
        <v/>
      </c>
      <c r="T807" s="10">
        <f>IF(Q807="","",Q807-S807)</f>
        <v/>
      </c>
    </row>
    <row r="808">
      <c r="A808" s="7">
        <f>CONCATENATE(C808,E808,F808,I808)</f>
        <v/>
      </c>
      <c r="B808" s="7">
        <f>CONCATENATE(C808,E808,I808)</f>
        <v/>
      </c>
      <c r="C808" s="8" t="n">
        <v>900004322</v>
      </c>
      <c r="D808" s="7">
        <f>IFERROR(VLOOKUP(C808,TRAOPE!$G:$H,2,0),"")</f>
        <v/>
      </c>
      <c r="E808" s="8" t="inlineStr">
        <is>
          <t>DW70</t>
        </is>
      </c>
      <c r="F808" s="8" t="inlineStr">
        <is>
          <t>D079</t>
        </is>
      </c>
      <c r="G808" s="8">
        <f>IFERROR(VLOOKUP(A808,Flete!$A:$E,5,0),"")</f>
        <v/>
      </c>
      <c r="H808" s="7">
        <f>IFERROR(VLOOKUP(F808,TRAOPE!$AA:$AB,2,0),"")</f>
        <v/>
      </c>
      <c r="I808" s="7" t="n">
        <v>10000160</v>
      </c>
      <c r="J808" s="7">
        <f>IFERROR(VLOOKUP(I808,Materiales!$A:$H,8,0),"")</f>
        <v/>
      </c>
      <c r="K808" s="9">
        <f>IFERROR(VLOOKUP(I808,Materiales!$A:$G,7,0),"")</f>
        <v/>
      </c>
      <c r="L808" s="8" t="inlineStr">
        <is>
          <t>20230501</t>
        </is>
      </c>
      <c r="M808" s="8" t="inlineStr">
        <is>
          <t>20250131</t>
        </is>
      </c>
      <c r="N808" s="10" t="n">
        <v>60.89</v>
      </c>
      <c r="O808" s="10">
        <f>IFERROR(VLOOKUP(A808,Flete!$A:$J,10,0),"")</f>
        <v/>
      </c>
      <c r="P808" s="8" t="inlineStr">
        <is>
          <t>TN</t>
        </is>
      </c>
      <c r="Q808" s="10">
        <f>IFERROR(IFERROR(VLOOKUP(A808,TRAOPE!$A:$U,21,0),VLOOKUP(B808,TRAOPE!$A:$U,21,0)),"")</f>
        <v/>
      </c>
      <c r="R808" s="8">
        <f>IFERROR(IFERROR(VLOOKUP(A808,TRAOPE!$A:$W,23,0),VLOOKUP(B808,TRAOPE!$A:$W,23,0)),"")</f>
        <v/>
      </c>
      <c r="S808" s="10">
        <f>IF(AND(P808="TN",R808="TN"),N808+N(O808),IF(G808&amp;""="1",N(K808)*N808,(N808+N(O808))*N(K808)))</f>
        <v/>
      </c>
      <c r="T808" s="10">
        <f>IF(Q808="","",Q808-S808)</f>
        <v/>
      </c>
    </row>
    <row r="809">
      <c r="A809" s="7">
        <f>CONCATENATE(C809,E809,F809,I809)</f>
        <v/>
      </c>
      <c r="B809" s="7">
        <f>CONCATENATE(C809,E809,I809)</f>
        <v/>
      </c>
      <c r="C809" s="8" t="n">
        <v>900004322</v>
      </c>
      <c r="D809" s="7">
        <f>IFERROR(VLOOKUP(C809,TRAOPE!$G:$H,2,0),"")</f>
        <v/>
      </c>
      <c r="E809" s="8" t="inlineStr">
        <is>
          <t>DW70</t>
        </is>
      </c>
      <c r="F809" s="8" t="inlineStr">
        <is>
          <t>D079</t>
        </is>
      </c>
      <c r="G809" s="8">
        <f>IFERROR(VLOOKUP(A809,Flete!$A:$E,5,0),"")</f>
        <v/>
      </c>
      <c r="H809" s="7">
        <f>IFERROR(VLOOKUP(F809,TRAOPE!$AA:$AB,2,0),"")</f>
        <v/>
      </c>
      <c r="I809" s="7" t="n">
        <v>10000627</v>
      </c>
      <c r="J809" s="7">
        <f>IFERROR(VLOOKUP(I809,Materiales!$A:$H,8,0),"")</f>
        <v/>
      </c>
      <c r="K809" s="9">
        <f>IFERROR(VLOOKUP(I809,Materiales!$A:$G,7,0),"")</f>
        <v/>
      </c>
      <c r="L809" s="8" t="inlineStr">
        <is>
          <t>20230501</t>
        </is>
      </c>
      <c r="M809" s="8" t="inlineStr">
        <is>
          <t>20250131</t>
        </is>
      </c>
      <c r="N809" s="10" t="n">
        <v>63.32</v>
      </c>
      <c r="O809" s="10">
        <f>IFERROR(VLOOKUP(A809,Flete!$A:$J,10,0),"")</f>
        <v/>
      </c>
      <c r="P809" s="8" t="inlineStr">
        <is>
          <t>TN</t>
        </is>
      </c>
      <c r="Q809" s="10">
        <f>IFERROR(IFERROR(VLOOKUP(A809,TRAOPE!$A:$U,21,0),VLOOKUP(B809,TRAOPE!$A:$U,21,0)),"")</f>
        <v/>
      </c>
      <c r="R809" s="8">
        <f>IFERROR(IFERROR(VLOOKUP(A809,TRAOPE!$A:$W,23,0),VLOOKUP(B809,TRAOPE!$A:$W,23,0)),"")</f>
        <v/>
      </c>
      <c r="S809" s="10">
        <f>IF(AND(P809="TN",R809="TN"),N809+N(O809),IF(G809&amp;""="1",N(K809)*N809,(N809+N(O809))*N(K809)))</f>
        <v/>
      </c>
      <c r="T809" s="10">
        <f>IF(Q809="","",Q809-S809)</f>
        <v/>
      </c>
    </row>
    <row r="810">
      <c r="A810" s="7">
        <f>CONCATENATE(C810,E810,F810,I810)</f>
        <v/>
      </c>
      <c r="B810" s="7">
        <f>CONCATENATE(C810,E810,I810)</f>
        <v/>
      </c>
      <c r="C810" s="8" t="n">
        <v>900004322</v>
      </c>
      <c r="D810" s="7">
        <f>IFERROR(VLOOKUP(C810,TRAOPE!$G:$H,2,0),"")</f>
        <v/>
      </c>
      <c r="E810" s="8" t="inlineStr">
        <is>
          <t>DW70</t>
        </is>
      </c>
      <c r="F810" s="8" t="inlineStr">
        <is>
          <t>D080</t>
        </is>
      </c>
      <c r="G810" s="8">
        <f>IFERROR(VLOOKUP(A810,Flete!$A:$E,5,0),"")</f>
        <v/>
      </c>
      <c r="H810" s="7">
        <f>IFERROR(VLOOKUP(F810,TRAOPE!$AA:$AB,2,0),"")</f>
        <v/>
      </c>
      <c r="I810" s="7" t="n">
        <v>10000160</v>
      </c>
      <c r="J810" s="7">
        <f>IFERROR(VLOOKUP(I810,Materiales!$A:$H,8,0),"")</f>
        <v/>
      </c>
      <c r="K810" s="9">
        <f>IFERROR(VLOOKUP(I810,Materiales!$A:$G,7,0),"")</f>
        <v/>
      </c>
      <c r="L810" s="8" t="inlineStr">
        <is>
          <t>20230501</t>
        </is>
      </c>
      <c r="M810" s="8" t="inlineStr">
        <is>
          <t>20250131</t>
        </is>
      </c>
      <c r="N810" s="10" t="n">
        <v>60.89</v>
      </c>
      <c r="O810" s="10">
        <f>IFERROR(VLOOKUP(A810,Flete!$A:$J,10,0),"")</f>
        <v/>
      </c>
      <c r="P810" s="8" t="inlineStr">
        <is>
          <t>TN</t>
        </is>
      </c>
      <c r="Q810" s="10">
        <f>IFERROR(IFERROR(VLOOKUP(A810,TRAOPE!$A:$U,21,0),VLOOKUP(B810,TRAOPE!$A:$U,21,0)),"")</f>
        <v/>
      </c>
      <c r="R810" s="8">
        <f>IFERROR(IFERROR(VLOOKUP(A810,TRAOPE!$A:$W,23,0),VLOOKUP(B810,TRAOPE!$A:$W,23,0)),"")</f>
        <v/>
      </c>
      <c r="S810" s="10">
        <f>IF(AND(P810="TN",R810="TN"),N810+N(O810),IF(G810&amp;""="1",N(K810)*N810,(N810+N(O810))*N(K810)))</f>
        <v/>
      </c>
      <c r="T810" s="10">
        <f>IF(Q810="","",Q810-S810)</f>
        <v/>
      </c>
    </row>
    <row r="811">
      <c r="A811" s="7">
        <f>CONCATENATE(C811,E811,F811,I811)</f>
        <v/>
      </c>
      <c r="B811" s="7">
        <f>CONCATENATE(C811,E811,I811)</f>
        <v/>
      </c>
      <c r="C811" s="8" t="n">
        <v>900004322</v>
      </c>
      <c r="D811" s="7">
        <f>IFERROR(VLOOKUP(C811,TRAOPE!$G:$H,2,0),"")</f>
        <v/>
      </c>
      <c r="E811" s="8" t="inlineStr">
        <is>
          <t>DW70</t>
        </is>
      </c>
      <c r="F811" s="8" t="inlineStr">
        <is>
          <t>D080</t>
        </is>
      </c>
      <c r="G811" s="8">
        <f>IFERROR(VLOOKUP(A811,Flete!$A:$E,5,0),"")</f>
        <v/>
      </c>
      <c r="H811" s="7">
        <f>IFERROR(VLOOKUP(F811,TRAOPE!$AA:$AB,2,0),"")</f>
        <v/>
      </c>
      <c r="I811" s="7" t="n">
        <v>10000627</v>
      </c>
      <c r="J811" s="7">
        <f>IFERROR(VLOOKUP(I811,Materiales!$A:$H,8,0),"")</f>
        <v/>
      </c>
      <c r="K811" s="9">
        <f>IFERROR(VLOOKUP(I811,Materiales!$A:$G,7,0),"")</f>
        <v/>
      </c>
      <c r="L811" s="8" t="inlineStr">
        <is>
          <t>20230501</t>
        </is>
      </c>
      <c r="M811" s="8" t="inlineStr">
        <is>
          <t>20250131</t>
        </is>
      </c>
      <c r="N811" s="10" t="n">
        <v>69.44</v>
      </c>
      <c r="O811" s="10">
        <f>IFERROR(VLOOKUP(A811,Flete!$A:$J,10,0),"")</f>
        <v/>
      </c>
      <c r="P811" s="8" t="inlineStr">
        <is>
          <t>TN</t>
        </is>
      </c>
      <c r="Q811" s="10">
        <f>IFERROR(IFERROR(VLOOKUP(A811,TRAOPE!$A:$U,21,0),VLOOKUP(B811,TRAOPE!$A:$U,21,0)),"")</f>
        <v/>
      </c>
      <c r="R811" s="8">
        <f>IFERROR(IFERROR(VLOOKUP(A811,TRAOPE!$A:$W,23,0),VLOOKUP(B811,TRAOPE!$A:$W,23,0)),"")</f>
        <v/>
      </c>
      <c r="S811" s="10">
        <f>IF(AND(P811="TN",R811="TN"),N811+N(O811),IF(G811&amp;""="1",N(K811)*N811,(N811+N(O811))*N(K811)))</f>
        <v/>
      </c>
      <c r="T811" s="10">
        <f>IF(Q811="","",Q811-S811)</f>
        <v/>
      </c>
    </row>
    <row r="812">
      <c r="A812" s="7">
        <f>CONCATENATE(C812,E812,F812,I812)</f>
        <v/>
      </c>
      <c r="B812" s="7">
        <f>CONCATENATE(C812,E812,I812)</f>
        <v/>
      </c>
      <c r="C812" s="8" t="n">
        <v>900004322</v>
      </c>
      <c r="D812" s="7">
        <f>IFERROR(VLOOKUP(C812,TRAOPE!$G:$H,2,0),"")</f>
        <v/>
      </c>
      <c r="E812" s="8" t="inlineStr">
        <is>
          <t>DW70</t>
        </is>
      </c>
      <c r="F812" s="8" t="inlineStr">
        <is>
          <t>D081</t>
        </is>
      </c>
      <c r="G812" s="8">
        <f>IFERROR(VLOOKUP(A812,Flete!$A:$E,5,0),"")</f>
        <v/>
      </c>
      <c r="H812" s="7">
        <f>IFERROR(VLOOKUP(F812,TRAOPE!$AA:$AB,2,0),"")</f>
        <v/>
      </c>
      <c r="I812" s="7" t="n">
        <v>10000160</v>
      </c>
      <c r="J812" s="7">
        <f>IFERROR(VLOOKUP(I812,Materiales!$A:$H,8,0),"")</f>
        <v/>
      </c>
      <c r="K812" s="9">
        <f>IFERROR(VLOOKUP(I812,Materiales!$A:$G,7,0),"")</f>
        <v/>
      </c>
      <c r="L812" s="8" t="inlineStr">
        <is>
          <t>20230501</t>
        </is>
      </c>
      <c r="M812" s="8" t="inlineStr">
        <is>
          <t>20250131</t>
        </is>
      </c>
      <c r="N812" s="10" t="n">
        <v>60.89</v>
      </c>
      <c r="O812" s="10">
        <f>IFERROR(VLOOKUP(A812,Flete!$A:$J,10,0),"")</f>
        <v/>
      </c>
      <c r="P812" s="8" t="inlineStr">
        <is>
          <t>TN</t>
        </is>
      </c>
      <c r="Q812" s="10">
        <f>IFERROR(IFERROR(VLOOKUP(A812,TRAOPE!$A:$U,21,0),VLOOKUP(B812,TRAOPE!$A:$U,21,0)),"")</f>
        <v/>
      </c>
      <c r="R812" s="8">
        <f>IFERROR(IFERROR(VLOOKUP(A812,TRAOPE!$A:$W,23,0),VLOOKUP(B812,TRAOPE!$A:$W,23,0)),"")</f>
        <v/>
      </c>
      <c r="S812" s="10">
        <f>IF(AND(P812="TN",R812="TN"),N812+N(O812),IF(G812&amp;""="1",N(K812)*N812,(N812+N(O812))*N(K812)))</f>
        <v/>
      </c>
      <c r="T812" s="10">
        <f>IF(Q812="","",Q812-S812)</f>
        <v/>
      </c>
    </row>
    <row r="813">
      <c r="A813" s="7">
        <f>CONCATENATE(C813,E813,F813,I813)</f>
        <v/>
      </c>
      <c r="B813" s="7">
        <f>CONCATENATE(C813,E813,I813)</f>
        <v/>
      </c>
      <c r="C813" s="8" t="n">
        <v>900004322</v>
      </c>
      <c r="D813" s="7">
        <f>IFERROR(VLOOKUP(C813,TRAOPE!$G:$H,2,0),"")</f>
        <v/>
      </c>
      <c r="E813" s="8" t="inlineStr">
        <is>
          <t>DW70</t>
        </is>
      </c>
      <c r="F813" s="8" t="inlineStr">
        <is>
          <t>D081</t>
        </is>
      </c>
      <c r="G813" s="8">
        <f>IFERROR(VLOOKUP(A813,Flete!$A:$E,5,0),"")</f>
        <v/>
      </c>
      <c r="H813" s="7">
        <f>IFERROR(VLOOKUP(F813,TRAOPE!$AA:$AB,2,0),"")</f>
        <v/>
      </c>
      <c r="I813" s="7" t="n">
        <v>10000627</v>
      </c>
      <c r="J813" s="7">
        <f>IFERROR(VLOOKUP(I813,Materiales!$A:$H,8,0),"")</f>
        <v/>
      </c>
      <c r="K813" s="9">
        <f>IFERROR(VLOOKUP(I813,Materiales!$A:$G,7,0),"")</f>
        <v/>
      </c>
      <c r="L813" s="8" t="inlineStr">
        <is>
          <t>20230501</t>
        </is>
      </c>
      <c r="M813" s="8" t="inlineStr">
        <is>
          <t>20250131</t>
        </is>
      </c>
      <c r="N813" s="10" t="n">
        <v>69.44</v>
      </c>
      <c r="O813" s="10">
        <f>IFERROR(VLOOKUP(A813,Flete!$A:$J,10,0),"")</f>
        <v/>
      </c>
      <c r="P813" s="8" t="inlineStr">
        <is>
          <t>TN</t>
        </is>
      </c>
      <c r="Q813" s="10">
        <f>IFERROR(IFERROR(VLOOKUP(A813,TRAOPE!$A:$U,21,0),VLOOKUP(B813,TRAOPE!$A:$U,21,0)),"")</f>
        <v/>
      </c>
      <c r="R813" s="8">
        <f>IFERROR(IFERROR(VLOOKUP(A813,TRAOPE!$A:$W,23,0),VLOOKUP(B813,TRAOPE!$A:$W,23,0)),"")</f>
        <v/>
      </c>
      <c r="S813" s="10">
        <f>IF(AND(P813="TN",R813="TN"),N813+N(O813),IF(G813&amp;""="1",N(K813)*N813,(N813+N(O813))*N(K813)))</f>
        <v/>
      </c>
      <c r="T813" s="10">
        <f>IF(Q813="","",Q813-S813)</f>
        <v/>
      </c>
    </row>
    <row r="814">
      <c r="A814" s="7">
        <f>CONCATENATE(C814,E814,F814,I814)</f>
        <v/>
      </c>
      <c r="B814" s="7">
        <f>CONCATENATE(C814,E814,I814)</f>
        <v/>
      </c>
      <c r="C814" s="8" t="n">
        <v>900004322</v>
      </c>
      <c r="D814" s="7">
        <f>IFERROR(VLOOKUP(C814,TRAOPE!$G:$H,2,0),"")</f>
        <v/>
      </c>
      <c r="E814" s="8" t="inlineStr">
        <is>
          <t>DW70</t>
        </is>
      </c>
      <c r="F814" s="8" t="inlineStr">
        <is>
          <t>D083</t>
        </is>
      </c>
      <c r="G814" s="8">
        <f>IFERROR(VLOOKUP(A814,Flete!$A:$E,5,0),"")</f>
        <v/>
      </c>
      <c r="H814" s="7">
        <f>IFERROR(VLOOKUP(F814,TRAOPE!$AA:$AB,2,0),"")</f>
        <v/>
      </c>
      <c r="I814" s="7" t="n">
        <v>10000160</v>
      </c>
      <c r="J814" s="7">
        <f>IFERROR(VLOOKUP(I814,Materiales!$A:$H,8,0),"")</f>
        <v/>
      </c>
      <c r="K814" s="9">
        <f>IFERROR(VLOOKUP(I814,Materiales!$A:$G,7,0),"")</f>
        <v/>
      </c>
      <c r="L814" s="8" t="inlineStr">
        <is>
          <t>20230501</t>
        </is>
      </c>
      <c r="M814" s="8" t="inlineStr">
        <is>
          <t>20250131</t>
        </is>
      </c>
      <c r="N814" s="10" t="n">
        <v>60.89</v>
      </c>
      <c r="O814" s="10">
        <f>IFERROR(VLOOKUP(A814,Flete!$A:$J,10,0),"")</f>
        <v/>
      </c>
      <c r="P814" s="8" t="inlineStr">
        <is>
          <t>TN</t>
        </is>
      </c>
      <c r="Q814" s="10">
        <f>IFERROR(IFERROR(VLOOKUP(A814,TRAOPE!$A:$U,21,0),VLOOKUP(B814,TRAOPE!$A:$U,21,0)),"")</f>
        <v/>
      </c>
      <c r="R814" s="8">
        <f>IFERROR(IFERROR(VLOOKUP(A814,TRAOPE!$A:$W,23,0),VLOOKUP(B814,TRAOPE!$A:$W,23,0)),"")</f>
        <v/>
      </c>
      <c r="S814" s="10">
        <f>IF(AND(P814="TN",R814="TN"),N814+N(O814),IF(G814&amp;""="1",N(K814)*N814,(N814+N(O814))*N(K814)))</f>
        <v/>
      </c>
      <c r="T814" s="10">
        <f>IF(Q814="","",Q814-S814)</f>
        <v/>
      </c>
    </row>
    <row r="815">
      <c r="A815" s="7">
        <f>CONCATENATE(C815,E815,F815,I815)</f>
        <v/>
      </c>
      <c r="B815" s="7">
        <f>CONCATENATE(C815,E815,I815)</f>
        <v/>
      </c>
      <c r="C815" s="8" t="n">
        <v>900004322</v>
      </c>
      <c r="D815" s="7">
        <f>IFERROR(VLOOKUP(C815,TRAOPE!$G:$H,2,0),"")</f>
        <v/>
      </c>
      <c r="E815" s="8" t="inlineStr">
        <is>
          <t>DW70</t>
        </is>
      </c>
      <c r="F815" s="8" t="inlineStr">
        <is>
          <t>D083</t>
        </is>
      </c>
      <c r="G815" s="8">
        <f>IFERROR(VLOOKUP(A815,Flete!$A:$E,5,0),"")</f>
        <v/>
      </c>
      <c r="H815" s="7">
        <f>IFERROR(VLOOKUP(F815,TRAOPE!$AA:$AB,2,0),"")</f>
        <v/>
      </c>
      <c r="I815" s="7" t="n">
        <v>10000627</v>
      </c>
      <c r="J815" s="7">
        <f>IFERROR(VLOOKUP(I815,Materiales!$A:$H,8,0),"")</f>
        <v/>
      </c>
      <c r="K815" s="9">
        <f>IFERROR(VLOOKUP(I815,Materiales!$A:$G,7,0),"")</f>
        <v/>
      </c>
      <c r="L815" s="8" t="inlineStr">
        <is>
          <t>20230501</t>
        </is>
      </c>
      <c r="M815" s="8" t="inlineStr">
        <is>
          <t>20250131</t>
        </is>
      </c>
      <c r="N815" s="10" t="n">
        <v>63.32</v>
      </c>
      <c r="O815" s="10">
        <f>IFERROR(VLOOKUP(A815,Flete!$A:$J,10,0),"")</f>
        <v/>
      </c>
      <c r="P815" s="8" t="inlineStr">
        <is>
          <t>TN</t>
        </is>
      </c>
      <c r="Q815" s="10">
        <f>IFERROR(IFERROR(VLOOKUP(A815,TRAOPE!$A:$U,21,0),VLOOKUP(B815,TRAOPE!$A:$U,21,0)),"")</f>
        <v/>
      </c>
      <c r="R815" s="8">
        <f>IFERROR(IFERROR(VLOOKUP(A815,TRAOPE!$A:$W,23,0),VLOOKUP(B815,TRAOPE!$A:$W,23,0)),"")</f>
        <v/>
      </c>
      <c r="S815" s="10">
        <f>IF(AND(P815="TN",R815="TN"),N815+N(O815),IF(G815&amp;""="1",N(K815)*N815,(N815+N(O815))*N(K815)))</f>
        <v/>
      </c>
      <c r="T815" s="10">
        <f>IF(Q815="","",Q815-S815)</f>
        <v/>
      </c>
    </row>
    <row r="816">
      <c r="A816" s="7">
        <f>CONCATENATE(C816,E816,F816,I816)</f>
        <v/>
      </c>
      <c r="B816" s="7">
        <f>CONCATENATE(C816,E816,I816)</f>
        <v/>
      </c>
      <c r="C816" s="8" t="n">
        <v>900004322</v>
      </c>
      <c r="D816" s="7">
        <f>IFERROR(VLOOKUP(C816,TRAOPE!$G:$H,2,0),"")</f>
        <v/>
      </c>
      <c r="E816" s="8" t="inlineStr">
        <is>
          <t>DW70</t>
        </is>
      </c>
      <c r="F816" s="8" t="inlineStr">
        <is>
          <t>D084</t>
        </is>
      </c>
      <c r="G816" s="8">
        <f>IFERROR(VLOOKUP(A816,Flete!$A:$E,5,0),"")</f>
        <v/>
      </c>
      <c r="H816" s="7">
        <f>IFERROR(VLOOKUP(F816,TRAOPE!$AA:$AB,2,0),"")</f>
        <v/>
      </c>
      <c r="I816" s="7" t="n">
        <v>10000160</v>
      </c>
      <c r="J816" s="7">
        <f>IFERROR(VLOOKUP(I816,Materiales!$A:$H,8,0),"")</f>
        <v/>
      </c>
      <c r="K816" s="9">
        <f>IFERROR(VLOOKUP(I816,Materiales!$A:$G,7,0),"")</f>
        <v/>
      </c>
      <c r="L816" s="8" t="inlineStr">
        <is>
          <t>20230501</t>
        </is>
      </c>
      <c r="M816" s="8" t="inlineStr">
        <is>
          <t>20250131</t>
        </is>
      </c>
      <c r="N816" s="10" t="n">
        <v>60.89</v>
      </c>
      <c r="O816" s="10">
        <f>IFERROR(VLOOKUP(A816,Flete!$A:$J,10,0),"")</f>
        <v/>
      </c>
      <c r="P816" s="8" t="inlineStr">
        <is>
          <t>TN</t>
        </is>
      </c>
      <c r="Q816" s="10">
        <f>IFERROR(IFERROR(VLOOKUP(A816,TRAOPE!$A:$U,21,0),VLOOKUP(B816,TRAOPE!$A:$U,21,0)),"")</f>
        <v/>
      </c>
      <c r="R816" s="8">
        <f>IFERROR(IFERROR(VLOOKUP(A816,TRAOPE!$A:$W,23,0),VLOOKUP(B816,TRAOPE!$A:$W,23,0)),"")</f>
        <v/>
      </c>
      <c r="S816" s="10">
        <f>IF(AND(P816="TN",R816="TN"),N816+N(O816),IF(G816&amp;""="1",N(K816)*N816,(N816+N(O816))*N(K816)))</f>
        <v/>
      </c>
      <c r="T816" s="10">
        <f>IF(Q816="","",Q816-S816)</f>
        <v/>
      </c>
    </row>
    <row r="817">
      <c r="A817" s="7">
        <f>CONCATENATE(C817,E817,F817,I817)</f>
        <v/>
      </c>
      <c r="B817" s="7">
        <f>CONCATENATE(C817,E817,I817)</f>
        <v/>
      </c>
      <c r="C817" s="8" t="n">
        <v>900004322</v>
      </c>
      <c r="D817" s="7">
        <f>IFERROR(VLOOKUP(C817,TRAOPE!$G:$H,2,0),"")</f>
        <v/>
      </c>
      <c r="E817" s="8" t="inlineStr">
        <is>
          <t>DW70</t>
        </is>
      </c>
      <c r="F817" s="8" t="inlineStr">
        <is>
          <t>D084</t>
        </is>
      </c>
      <c r="G817" s="8">
        <f>IFERROR(VLOOKUP(A817,Flete!$A:$E,5,0),"")</f>
        <v/>
      </c>
      <c r="H817" s="7">
        <f>IFERROR(VLOOKUP(F817,TRAOPE!$AA:$AB,2,0),"")</f>
        <v/>
      </c>
      <c r="I817" s="7" t="n">
        <v>10000627</v>
      </c>
      <c r="J817" s="7">
        <f>IFERROR(VLOOKUP(I817,Materiales!$A:$H,8,0),"")</f>
        <v/>
      </c>
      <c r="K817" s="9">
        <f>IFERROR(VLOOKUP(I817,Materiales!$A:$G,7,0),"")</f>
        <v/>
      </c>
      <c r="L817" s="8" t="inlineStr">
        <is>
          <t>20230501</t>
        </is>
      </c>
      <c r="M817" s="8" t="inlineStr">
        <is>
          <t>20250131</t>
        </is>
      </c>
      <c r="N817" s="10" t="n">
        <v>63.32</v>
      </c>
      <c r="O817" s="10">
        <f>IFERROR(VLOOKUP(A817,Flete!$A:$J,10,0),"")</f>
        <v/>
      </c>
      <c r="P817" s="8" t="inlineStr">
        <is>
          <t>TN</t>
        </is>
      </c>
      <c r="Q817" s="10">
        <f>IFERROR(IFERROR(VLOOKUP(A817,TRAOPE!$A:$U,21,0),VLOOKUP(B817,TRAOPE!$A:$U,21,0)),"")</f>
        <v/>
      </c>
      <c r="R817" s="8">
        <f>IFERROR(IFERROR(VLOOKUP(A817,TRAOPE!$A:$W,23,0),VLOOKUP(B817,TRAOPE!$A:$W,23,0)),"")</f>
        <v/>
      </c>
      <c r="S817" s="10">
        <f>IF(AND(P817="TN",R817="TN"),N817+N(O817),IF(G817&amp;""="1",N(K817)*N817,(N817+N(O817))*N(K817)))</f>
        <v/>
      </c>
      <c r="T817" s="10">
        <f>IF(Q817="","",Q817-S817)</f>
        <v/>
      </c>
    </row>
    <row r="818">
      <c r="A818" s="7">
        <f>CONCATENATE(C818,E818,F818,I818)</f>
        <v/>
      </c>
      <c r="B818" s="7">
        <f>CONCATENATE(C818,E818,I818)</f>
        <v/>
      </c>
      <c r="C818" s="8" t="n">
        <v>900004322</v>
      </c>
      <c r="D818" s="7">
        <f>IFERROR(VLOOKUP(C818,TRAOPE!$G:$H,2,0),"")</f>
        <v/>
      </c>
      <c r="E818" s="8" t="inlineStr">
        <is>
          <t>DW70</t>
        </is>
      </c>
      <c r="F818" s="8" t="inlineStr">
        <is>
          <t>D085</t>
        </is>
      </c>
      <c r="G818" s="8">
        <f>IFERROR(VLOOKUP(A818,Flete!$A:$E,5,0),"")</f>
        <v/>
      </c>
      <c r="H818" s="7">
        <f>IFERROR(VLOOKUP(F818,TRAOPE!$AA:$AB,2,0),"")</f>
        <v/>
      </c>
      <c r="I818" s="7" t="n">
        <v>10000160</v>
      </c>
      <c r="J818" s="7">
        <f>IFERROR(VLOOKUP(I818,Materiales!$A:$H,8,0),"")</f>
        <v/>
      </c>
      <c r="K818" s="9">
        <f>IFERROR(VLOOKUP(I818,Materiales!$A:$G,7,0),"")</f>
        <v/>
      </c>
      <c r="L818" s="8" t="inlineStr">
        <is>
          <t>20230501</t>
        </is>
      </c>
      <c r="M818" s="8" t="inlineStr">
        <is>
          <t>20250131</t>
        </is>
      </c>
      <c r="N818" s="10" t="n">
        <v>60.89</v>
      </c>
      <c r="O818" s="10">
        <f>IFERROR(VLOOKUP(A818,Flete!$A:$J,10,0),"")</f>
        <v/>
      </c>
      <c r="P818" s="8" t="inlineStr">
        <is>
          <t>TN</t>
        </is>
      </c>
      <c r="Q818" s="10">
        <f>IFERROR(IFERROR(VLOOKUP(A818,TRAOPE!$A:$U,21,0),VLOOKUP(B818,TRAOPE!$A:$U,21,0)),"")</f>
        <v/>
      </c>
      <c r="R818" s="8">
        <f>IFERROR(IFERROR(VLOOKUP(A818,TRAOPE!$A:$W,23,0),VLOOKUP(B818,TRAOPE!$A:$W,23,0)),"")</f>
        <v/>
      </c>
      <c r="S818" s="10">
        <f>IF(AND(P818="TN",R818="TN"),N818+N(O818),IF(G818&amp;""="1",N(K818)*N818,(N818+N(O818))*N(K818)))</f>
        <v/>
      </c>
      <c r="T818" s="10">
        <f>IF(Q818="","",Q818-S818)</f>
        <v/>
      </c>
    </row>
    <row r="819">
      <c r="A819" s="7">
        <f>CONCATENATE(C819,E819,F819,I819)</f>
        <v/>
      </c>
      <c r="B819" s="7">
        <f>CONCATENATE(C819,E819,I819)</f>
        <v/>
      </c>
      <c r="C819" s="8" t="n">
        <v>900004322</v>
      </c>
      <c r="D819" s="7">
        <f>IFERROR(VLOOKUP(C819,TRAOPE!$G:$H,2,0),"")</f>
        <v/>
      </c>
      <c r="E819" s="8" t="inlineStr">
        <is>
          <t>DW70</t>
        </is>
      </c>
      <c r="F819" s="8" t="inlineStr">
        <is>
          <t>D085</t>
        </is>
      </c>
      <c r="G819" s="8">
        <f>IFERROR(VLOOKUP(A819,Flete!$A:$E,5,0),"")</f>
        <v/>
      </c>
      <c r="H819" s="7">
        <f>IFERROR(VLOOKUP(F819,TRAOPE!$AA:$AB,2,0),"")</f>
        <v/>
      </c>
      <c r="I819" s="7" t="n">
        <v>10000627</v>
      </c>
      <c r="J819" s="7">
        <f>IFERROR(VLOOKUP(I819,Materiales!$A:$H,8,0),"")</f>
        <v/>
      </c>
      <c r="K819" s="9">
        <f>IFERROR(VLOOKUP(I819,Materiales!$A:$G,7,0),"")</f>
        <v/>
      </c>
      <c r="L819" s="8" t="inlineStr">
        <is>
          <t>20230501</t>
        </is>
      </c>
      <c r="M819" s="8" t="inlineStr">
        <is>
          <t>20250131</t>
        </is>
      </c>
      <c r="N819" s="10" t="n">
        <v>63.32</v>
      </c>
      <c r="O819" s="10">
        <f>IFERROR(VLOOKUP(A819,Flete!$A:$J,10,0),"")</f>
        <v/>
      </c>
      <c r="P819" s="8" t="inlineStr">
        <is>
          <t>TN</t>
        </is>
      </c>
      <c r="Q819" s="10">
        <f>IFERROR(IFERROR(VLOOKUP(A819,TRAOPE!$A:$U,21,0),VLOOKUP(B819,TRAOPE!$A:$U,21,0)),"")</f>
        <v/>
      </c>
      <c r="R819" s="8">
        <f>IFERROR(IFERROR(VLOOKUP(A819,TRAOPE!$A:$W,23,0),VLOOKUP(B819,TRAOPE!$A:$W,23,0)),"")</f>
        <v/>
      </c>
      <c r="S819" s="10">
        <f>IF(AND(P819="TN",R819="TN"),N819+N(O819),IF(G819&amp;""="1",N(K819)*N819,(N819+N(O819))*N(K819)))</f>
        <v/>
      </c>
      <c r="T819" s="10">
        <f>IF(Q819="","",Q819-S819)</f>
        <v/>
      </c>
    </row>
    <row r="820">
      <c r="A820" s="7">
        <f>CONCATENATE(C820,E820,F820,I820)</f>
        <v/>
      </c>
      <c r="B820" s="7">
        <f>CONCATENATE(C820,E820,I820)</f>
        <v/>
      </c>
      <c r="C820" s="8" t="n">
        <v>900004322</v>
      </c>
      <c r="D820" s="7">
        <f>IFERROR(VLOOKUP(C820,TRAOPE!$G:$H,2,0),"")</f>
        <v/>
      </c>
      <c r="E820" s="8" t="inlineStr">
        <is>
          <t>DW70</t>
        </is>
      </c>
      <c r="F820" s="8" t="inlineStr">
        <is>
          <t>D086</t>
        </is>
      </c>
      <c r="G820" s="8">
        <f>IFERROR(VLOOKUP(A820,Flete!$A:$E,5,0),"")</f>
        <v/>
      </c>
      <c r="H820" s="7">
        <f>IFERROR(VLOOKUP(F820,TRAOPE!$AA:$AB,2,0),"")</f>
        <v/>
      </c>
      <c r="I820" s="7" t="n">
        <v>10000160</v>
      </c>
      <c r="J820" s="7">
        <f>IFERROR(VLOOKUP(I820,Materiales!$A:$H,8,0),"")</f>
        <v/>
      </c>
      <c r="K820" s="9">
        <f>IFERROR(VLOOKUP(I820,Materiales!$A:$G,7,0),"")</f>
        <v/>
      </c>
      <c r="L820" s="8" t="inlineStr">
        <is>
          <t>20230501</t>
        </is>
      </c>
      <c r="M820" s="8" t="inlineStr">
        <is>
          <t>20250131</t>
        </is>
      </c>
      <c r="N820" s="10" t="n">
        <v>60.89</v>
      </c>
      <c r="O820" s="10">
        <f>IFERROR(VLOOKUP(A820,Flete!$A:$J,10,0),"")</f>
        <v/>
      </c>
      <c r="P820" s="8" t="inlineStr">
        <is>
          <t>TN</t>
        </is>
      </c>
      <c r="Q820" s="10">
        <f>IFERROR(IFERROR(VLOOKUP(A820,TRAOPE!$A:$U,21,0),VLOOKUP(B820,TRAOPE!$A:$U,21,0)),"")</f>
        <v/>
      </c>
      <c r="R820" s="8">
        <f>IFERROR(IFERROR(VLOOKUP(A820,TRAOPE!$A:$W,23,0),VLOOKUP(B820,TRAOPE!$A:$W,23,0)),"")</f>
        <v/>
      </c>
      <c r="S820" s="10">
        <f>IF(AND(P820="TN",R820="TN"),N820+N(O820),IF(G820&amp;""="1",N(K820)*N820,(N820+N(O820))*N(K820)))</f>
        <v/>
      </c>
      <c r="T820" s="10">
        <f>IF(Q820="","",Q820-S820)</f>
        <v/>
      </c>
    </row>
    <row r="821">
      <c r="A821" s="7">
        <f>CONCATENATE(C821,E821,F821,I821)</f>
        <v/>
      </c>
      <c r="B821" s="7">
        <f>CONCATENATE(C821,E821,I821)</f>
        <v/>
      </c>
      <c r="C821" s="8" t="n">
        <v>900004322</v>
      </c>
      <c r="D821" s="7">
        <f>IFERROR(VLOOKUP(C821,TRAOPE!$G:$H,2,0),"")</f>
        <v/>
      </c>
      <c r="E821" s="8" t="inlineStr">
        <is>
          <t>DW70</t>
        </is>
      </c>
      <c r="F821" s="8" t="inlineStr">
        <is>
          <t>D086</t>
        </is>
      </c>
      <c r="G821" s="8">
        <f>IFERROR(VLOOKUP(A821,Flete!$A:$E,5,0),"")</f>
        <v/>
      </c>
      <c r="H821" s="7">
        <f>IFERROR(VLOOKUP(F821,TRAOPE!$AA:$AB,2,0),"")</f>
        <v/>
      </c>
      <c r="I821" s="7" t="n">
        <v>10000627</v>
      </c>
      <c r="J821" s="7">
        <f>IFERROR(VLOOKUP(I821,Materiales!$A:$H,8,0),"")</f>
        <v/>
      </c>
      <c r="K821" s="9">
        <f>IFERROR(VLOOKUP(I821,Materiales!$A:$G,7,0),"")</f>
        <v/>
      </c>
      <c r="L821" s="8" t="inlineStr">
        <is>
          <t>20230501</t>
        </is>
      </c>
      <c r="M821" s="8" t="inlineStr">
        <is>
          <t>20250131</t>
        </is>
      </c>
      <c r="N821" s="10" t="n">
        <v>69.44</v>
      </c>
      <c r="O821" s="10">
        <f>IFERROR(VLOOKUP(A821,Flete!$A:$J,10,0),"")</f>
        <v/>
      </c>
      <c r="P821" s="8" t="inlineStr">
        <is>
          <t>TN</t>
        </is>
      </c>
      <c r="Q821" s="10">
        <f>IFERROR(IFERROR(VLOOKUP(A821,TRAOPE!$A:$U,21,0),VLOOKUP(B821,TRAOPE!$A:$U,21,0)),"")</f>
        <v/>
      </c>
      <c r="R821" s="8">
        <f>IFERROR(IFERROR(VLOOKUP(A821,TRAOPE!$A:$W,23,0),VLOOKUP(B821,TRAOPE!$A:$W,23,0)),"")</f>
        <v/>
      </c>
      <c r="S821" s="10">
        <f>IF(AND(P821="TN",R821="TN"),N821+N(O821),IF(G821&amp;""="1",N(K821)*N821,(N821+N(O821))*N(K821)))</f>
        <v/>
      </c>
      <c r="T821" s="10">
        <f>IF(Q821="","",Q821-S821)</f>
        <v/>
      </c>
    </row>
    <row r="822">
      <c r="A822" s="7">
        <f>CONCATENATE(C822,E822,F822,I822)</f>
        <v/>
      </c>
      <c r="B822" s="7">
        <f>CONCATENATE(C822,E822,I822)</f>
        <v/>
      </c>
      <c r="C822" s="8" t="n">
        <v>900004322</v>
      </c>
      <c r="D822" s="7">
        <f>IFERROR(VLOOKUP(C822,TRAOPE!$G:$H,2,0),"")</f>
        <v/>
      </c>
      <c r="E822" s="8" t="inlineStr">
        <is>
          <t>DW70</t>
        </is>
      </c>
      <c r="F822" s="8" t="inlineStr">
        <is>
          <t>D088</t>
        </is>
      </c>
      <c r="G822" s="8">
        <f>IFERROR(VLOOKUP(A822,Flete!$A:$E,5,0),"")</f>
        <v/>
      </c>
      <c r="H822" s="7">
        <f>IFERROR(VLOOKUP(F822,TRAOPE!$AA:$AB,2,0),"")</f>
        <v/>
      </c>
      <c r="I822" s="7" t="n">
        <v>10000160</v>
      </c>
      <c r="J822" s="7">
        <f>IFERROR(VLOOKUP(I822,Materiales!$A:$H,8,0),"")</f>
        <v/>
      </c>
      <c r="K822" s="9">
        <f>IFERROR(VLOOKUP(I822,Materiales!$A:$G,7,0),"")</f>
        <v/>
      </c>
      <c r="L822" s="8" t="inlineStr">
        <is>
          <t>20230501</t>
        </is>
      </c>
      <c r="M822" s="8" t="inlineStr">
        <is>
          <t>20250131</t>
        </is>
      </c>
      <c r="N822" s="10" t="n">
        <v>60.89</v>
      </c>
      <c r="O822" s="10">
        <f>IFERROR(VLOOKUP(A822,Flete!$A:$J,10,0),"")</f>
        <v/>
      </c>
      <c r="P822" s="8" t="inlineStr">
        <is>
          <t>TN</t>
        </is>
      </c>
      <c r="Q822" s="10">
        <f>IFERROR(IFERROR(VLOOKUP(A822,TRAOPE!$A:$U,21,0),VLOOKUP(B822,TRAOPE!$A:$U,21,0)),"")</f>
        <v/>
      </c>
      <c r="R822" s="8">
        <f>IFERROR(IFERROR(VLOOKUP(A822,TRAOPE!$A:$W,23,0),VLOOKUP(B822,TRAOPE!$A:$W,23,0)),"")</f>
        <v/>
      </c>
      <c r="S822" s="10">
        <f>IF(AND(P822="TN",R822="TN"),N822+N(O822),IF(G822&amp;""="1",N(K822)*N822,(N822+N(O822))*N(K822)))</f>
        <v/>
      </c>
      <c r="T822" s="10">
        <f>IF(Q822="","",Q822-S822)</f>
        <v/>
      </c>
    </row>
    <row r="823">
      <c r="A823" s="7">
        <f>CONCATENATE(C823,E823,F823,I823)</f>
        <v/>
      </c>
      <c r="B823" s="7">
        <f>CONCATENATE(C823,E823,I823)</f>
        <v/>
      </c>
      <c r="C823" s="8" t="n">
        <v>900004322</v>
      </c>
      <c r="D823" s="7">
        <f>IFERROR(VLOOKUP(C823,TRAOPE!$G:$H,2,0),"")</f>
        <v/>
      </c>
      <c r="E823" s="8" t="inlineStr">
        <is>
          <t>DW70</t>
        </is>
      </c>
      <c r="F823" s="8" t="inlineStr">
        <is>
          <t>D088</t>
        </is>
      </c>
      <c r="G823" s="8">
        <f>IFERROR(VLOOKUP(A823,Flete!$A:$E,5,0),"")</f>
        <v/>
      </c>
      <c r="H823" s="7">
        <f>IFERROR(VLOOKUP(F823,TRAOPE!$AA:$AB,2,0),"")</f>
        <v/>
      </c>
      <c r="I823" s="7" t="n">
        <v>10000627</v>
      </c>
      <c r="J823" s="7">
        <f>IFERROR(VLOOKUP(I823,Materiales!$A:$H,8,0),"")</f>
        <v/>
      </c>
      <c r="K823" s="9">
        <f>IFERROR(VLOOKUP(I823,Materiales!$A:$G,7,0),"")</f>
        <v/>
      </c>
      <c r="L823" s="8" t="inlineStr">
        <is>
          <t>20230501</t>
        </is>
      </c>
      <c r="M823" s="8" t="inlineStr">
        <is>
          <t>20250131</t>
        </is>
      </c>
      <c r="N823" s="10" t="n">
        <v>69.44</v>
      </c>
      <c r="O823" s="10">
        <f>IFERROR(VLOOKUP(A823,Flete!$A:$J,10,0),"")</f>
        <v/>
      </c>
      <c r="P823" s="8" t="inlineStr">
        <is>
          <t>TN</t>
        </is>
      </c>
      <c r="Q823" s="10">
        <f>IFERROR(IFERROR(VLOOKUP(A823,TRAOPE!$A:$U,21,0),VLOOKUP(B823,TRAOPE!$A:$U,21,0)),"")</f>
        <v/>
      </c>
      <c r="R823" s="8">
        <f>IFERROR(IFERROR(VLOOKUP(A823,TRAOPE!$A:$W,23,0),VLOOKUP(B823,TRAOPE!$A:$W,23,0)),"")</f>
        <v/>
      </c>
      <c r="S823" s="10">
        <f>IF(AND(P823="TN",R823="TN"),N823+N(O823),IF(G823&amp;""="1",N(K823)*N823,(N823+N(O823))*N(K823)))</f>
        <v/>
      </c>
      <c r="T823" s="10">
        <f>IF(Q823="","",Q823-S823)</f>
        <v/>
      </c>
    </row>
    <row r="824">
      <c r="A824" s="7">
        <f>CONCATENATE(C824,E824,F824,I824)</f>
        <v/>
      </c>
      <c r="B824" s="7">
        <f>CONCATENATE(C824,E824,I824)</f>
        <v/>
      </c>
      <c r="C824" s="8" t="n">
        <v>900004322</v>
      </c>
      <c r="D824" s="7">
        <f>IFERROR(VLOOKUP(C824,TRAOPE!$G:$H,2,0),"")</f>
        <v/>
      </c>
      <c r="E824" s="8" t="inlineStr">
        <is>
          <t>DW70</t>
        </is>
      </c>
      <c r="F824" s="8" t="inlineStr">
        <is>
          <t>D093</t>
        </is>
      </c>
      <c r="G824" s="8">
        <f>IFERROR(VLOOKUP(A824,Flete!$A:$E,5,0),"")</f>
        <v/>
      </c>
      <c r="H824" s="7">
        <f>IFERROR(VLOOKUP(F824,TRAOPE!$AA:$AB,2,0),"")</f>
        <v/>
      </c>
      <c r="I824" s="7" t="n">
        <v>10000160</v>
      </c>
      <c r="J824" s="7">
        <f>IFERROR(VLOOKUP(I824,Materiales!$A:$H,8,0),"")</f>
        <v/>
      </c>
      <c r="K824" s="9">
        <f>IFERROR(VLOOKUP(I824,Materiales!$A:$G,7,0),"")</f>
        <v/>
      </c>
      <c r="L824" s="8" t="inlineStr">
        <is>
          <t>20230501</t>
        </is>
      </c>
      <c r="M824" s="8" t="inlineStr">
        <is>
          <t>20250131</t>
        </is>
      </c>
      <c r="N824" s="10" t="n">
        <v>60.89</v>
      </c>
      <c r="O824" s="10">
        <f>IFERROR(VLOOKUP(A824,Flete!$A:$J,10,0),"")</f>
        <v/>
      </c>
      <c r="P824" s="8" t="inlineStr">
        <is>
          <t>TN</t>
        </is>
      </c>
      <c r="Q824" s="10">
        <f>IFERROR(IFERROR(VLOOKUP(A824,TRAOPE!$A:$U,21,0),VLOOKUP(B824,TRAOPE!$A:$U,21,0)),"")</f>
        <v/>
      </c>
      <c r="R824" s="8">
        <f>IFERROR(IFERROR(VLOOKUP(A824,TRAOPE!$A:$W,23,0),VLOOKUP(B824,TRAOPE!$A:$W,23,0)),"")</f>
        <v/>
      </c>
      <c r="S824" s="10">
        <f>IF(AND(P824="TN",R824="TN"),N824+N(O824),IF(G824&amp;""="1",N(K824)*N824,(N824+N(O824))*N(K824)))</f>
        <v/>
      </c>
      <c r="T824" s="10">
        <f>IF(Q824="","",Q824-S824)</f>
        <v/>
      </c>
    </row>
    <row r="825">
      <c r="A825" s="7">
        <f>CONCATENATE(C825,E825,F825,I825)</f>
        <v/>
      </c>
      <c r="B825" s="7">
        <f>CONCATENATE(C825,E825,I825)</f>
        <v/>
      </c>
      <c r="C825" s="8" t="n">
        <v>900004322</v>
      </c>
      <c r="D825" s="7">
        <f>IFERROR(VLOOKUP(C825,TRAOPE!$G:$H,2,0),"")</f>
        <v/>
      </c>
      <c r="E825" s="8" t="inlineStr">
        <is>
          <t>DW70</t>
        </is>
      </c>
      <c r="F825" s="8" t="inlineStr">
        <is>
          <t>D093</t>
        </is>
      </c>
      <c r="G825" s="8">
        <f>IFERROR(VLOOKUP(A825,Flete!$A:$E,5,0),"")</f>
        <v/>
      </c>
      <c r="H825" s="7">
        <f>IFERROR(VLOOKUP(F825,TRAOPE!$AA:$AB,2,0),"")</f>
        <v/>
      </c>
      <c r="I825" s="7" t="n">
        <v>10000627</v>
      </c>
      <c r="J825" s="7">
        <f>IFERROR(VLOOKUP(I825,Materiales!$A:$H,8,0),"")</f>
        <v/>
      </c>
      <c r="K825" s="9">
        <f>IFERROR(VLOOKUP(I825,Materiales!$A:$G,7,0),"")</f>
        <v/>
      </c>
      <c r="L825" s="8" t="inlineStr">
        <is>
          <t>20230501</t>
        </is>
      </c>
      <c r="M825" s="8" t="inlineStr">
        <is>
          <t>20250131</t>
        </is>
      </c>
      <c r="N825" s="10" t="n">
        <v>69.44</v>
      </c>
      <c r="O825" s="10">
        <f>IFERROR(VLOOKUP(A825,Flete!$A:$J,10,0),"")</f>
        <v/>
      </c>
      <c r="P825" s="8" t="inlineStr">
        <is>
          <t>TN</t>
        </is>
      </c>
      <c r="Q825" s="10">
        <f>IFERROR(IFERROR(VLOOKUP(A825,TRAOPE!$A:$U,21,0),VLOOKUP(B825,TRAOPE!$A:$U,21,0)),"")</f>
        <v/>
      </c>
      <c r="R825" s="8">
        <f>IFERROR(IFERROR(VLOOKUP(A825,TRAOPE!$A:$W,23,0),VLOOKUP(B825,TRAOPE!$A:$W,23,0)),"")</f>
        <v/>
      </c>
      <c r="S825" s="10">
        <f>IF(AND(P825="TN",R825="TN"),N825+N(O825),IF(G825&amp;""="1",N(K825)*N825,(N825+N(O825))*N(K825)))</f>
        <v/>
      </c>
      <c r="T825" s="10">
        <f>IF(Q825="","",Q825-S825)</f>
        <v/>
      </c>
    </row>
    <row r="826">
      <c r="A826" s="7">
        <f>CONCATENATE(C826,E826,F826,I826)</f>
        <v/>
      </c>
      <c r="B826" s="7">
        <f>CONCATENATE(C826,E826,I826)</f>
        <v/>
      </c>
      <c r="C826" s="8" t="n">
        <v>900004322</v>
      </c>
      <c r="D826" s="7">
        <f>IFERROR(VLOOKUP(C826,TRAOPE!$G:$H,2,0),"")</f>
        <v/>
      </c>
      <c r="E826" s="8" t="inlineStr">
        <is>
          <t>DW70</t>
        </is>
      </c>
      <c r="F826" s="8" t="inlineStr">
        <is>
          <t>D098</t>
        </is>
      </c>
      <c r="G826" s="8">
        <f>IFERROR(VLOOKUP(A826,Flete!$A:$E,5,0),"")</f>
        <v/>
      </c>
      <c r="H826" s="7">
        <f>IFERROR(VLOOKUP(F826,TRAOPE!$AA:$AB,2,0),"")</f>
        <v/>
      </c>
      <c r="I826" s="7" t="n">
        <v>10000160</v>
      </c>
      <c r="J826" s="7">
        <f>IFERROR(VLOOKUP(I826,Materiales!$A:$H,8,0),"")</f>
        <v/>
      </c>
      <c r="K826" s="9">
        <f>IFERROR(VLOOKUP(I826,Materiales!$A:$G,7,0),"")</f>
        <v/>
      </c>
      <c r="L826" s="8" t="inlineStr">
        <is>
          <t>20230501</t>
        </is>
      </c>
      <c r="M826" s="8" t="inlineStr">
        <is>
          <t>20250131</t>
        </is>
      </c>
      <c r="N826" s="10" t="n">
        <v>60.89</v>
      </c>
      <c r="O826" s="10">
        <f>IFERROR(VLOOKUP(A826,Flete!$A:$J,10,0),"")</f>
        <v/>
      </c>
      <c r="P826" s="8" t="inlineStr">
        <is>
          <t>TN</t>
        </is>
      </c>
      <c r="Q826" s="10">
        <f>IFERROR(IFERROR(VLOOKUP(A826,TRAOPE!$A:$U,21,0),VLOOKUP(B826,TRAOPE!$A:$U,21,0)),"")</f>
        <v/>
      </c>
      <c r="R826" s="8">
        <f>IFERROR(IFERROR(VLOOKUP(A826,TRAOPE!$A:$W,23,0),VLOOKUP(B826,TRAOPE!$A:$W,23,0)),"")</f>
        <v/>
      </c>
      <c r="S826" s="10">
        <f>IF(AND(P826="TN",R826="TN"),N826+N(O826),IF(G826&amp;""="1",N(K826)*N826,(N826+N(O826))*N(K826)))</f>
        <v/>
      </c>
      <c r="T826" s="10">
        <f>IF(Q826="","",Q826-S826)</f>
        <v/>
      </c>
    </row>
    <row r="827">
      <c r="A827" s="7">
        <f>CONCATENATE(C827,E827,F827,I827)</f>
        <v/>
      </c>
      <c r="B827" s="7">
        <f>CONCATENATE(C827,E827,I827)</f>
        <v/>
      </c>
      <c r="C827" s="8" t="n">
        <v>900004322</v>
      </c>
      <c r="D827" s="7">
        <f>IFERROR(VLOOKUP(C827,TRAOPE!$G:$H,2,0),"")</f>
        <v/>
      </c>
      <c r="E827" s="8" t="inlineStr">
        <is>
          <t>DW70</t>
        </is>
      </c>
      <c r="F827" s="8" t="inlineStr">
        <is>
          <t>D098</t>
        </is>
      </c>
      <c r="G827" s="8">
        <f>IFERROR(VLOOKUP(A827,Flete!$A:$E,5,0),"")</f>
        <v/>
      </c>
      <c r="H827" s="7">
        <f>IFERROR(VLOOKUP(F827,TRAOPE!$AA:$AB,2,0),"")</f>
        <v/>
      </c>
      <c r="I827" s="7" t="n">
        <v>10000627</v>
      </c>
      <c r="J827" s="7">
        <f>IFERROR(VLOOKUP(I827,Materiales!$A:$H,8,0),"")</f>
        <v/>
      </c>
      <c r="K827" s="9">
        <f>IFERROR(VLOOKUP(I827,Materiales!$A:$G,7,0),"")</f>
        <v/>
      </c>
      <c r="L827" s="8" t="inlineStr">
        <is>
          <t>20230501</t>
        </is>
      </c>
      <c r="M827" s="8" t="inlineStr">
        <is>
          <t>20250131</t>
        </is>
      </c>
      <c r="N827" s="10" t="n">
        <v>63.32</v>
      </c>
      <c r="O827" s="10">
        <f>IFERROR(VLOOKUP(A827,Flete!$A:$J,10,0),"")</f>
        <v/>
      </c>
      <c r="P827" s="8" t="inlineStr">
        <is>
          <t>TN</t>
        </is>
      </c>
      <c r="Q827" s="10">
        <f>IFERROR(IFERROR(VLOOKUP(A827,TRAOPE!$A:$U,21,0),VLOOKUP(B827,TRAOPE!$A:$U,21,0)),"")</f>
        <v/>
      </c>
      <c r="R827" s="8">
        <f>IFERROR(IFERROR(VLOOKUP(A827,TRAOPE!$A:$W,23,0),VLOOKUP(B827,TRAOPE!$A:$W,23,0)),"")</f>
        <v/>
      </c>
      <c r="S827" s="10">
        <f>IF(AND(P827="TN",R827="TN"),N827+N(O827),IF(G827&amp;""="1",N(K827)*N827,(N827+N(O827))*N(K827)))</f>
        <v/>
      </c>
      <c r="T827" s="10">
        <f>IF(Q827="","",Q827-S827)</f>
        <v/>
      </c>
    </row>
    <row r="828">
      <c r="A828" s="7">
        <f>CONCATENATE(C828,E828,F828,I828)</f>
        <v/>
      </c>
      <c r="B828" s="7">
        <f>CONCATENATE(C828,E828,I828)</f>
        <v/>
      </c>
      <c r="C828" s="8" t="n">
        <v>900004322</v>
      </c>
      <c r="D828" s="7">
        <f>IFERROR(VLOOKUP(C828,TRAOPE!$G:$H,2,0),"")</f>
        <v/>
      </c>
      <c r="E828" s="8" t="inlineStr">
        <is>
          <t>DW70</t>
        </is>
      </c>
      <c r="F828" s="8" t="inlineStr">
        <is>
          <t>D105</t>
        </is>
      </c>
      <c r="G828" s="8">
        <f>IFERROR(VLOOKUP(A828,Flete!$A:$E,5,0),"")</f>
        <v/>
      </c>
      <c r="H828" s="7">
        <f>IFERROR(VLOOKUP(F828,TRAOPE!$AA:$AB,2,0),"")</f>
        <v/>
      </c>
      <c r="I828" s="7" t="n">
        <v>10000160</v>
      </c>
      <c r="J828" s="7">
        <f>IFERROR(VLOOKUP(I828,Materiales!$A:$H,8,0),"")</f>
        <v/>
      </c>
      <c r="K828" s="9">
        <f>IFERROR(VLOOKUP(I828,Materiales!$A:$G,7,0),"")</f>
        <v/>
      </c>
      <c r="L828" s="8" t="inlineStr">
        <is>
          <t>20230501</t>
        </is>
      </c>
      <c r="M828" s="8" t="inlineStr">
        <is>
          <t>20250131</t>
        </is>
      </c>
      <c r="N828" s="10" t="n">
        <v>60.89</v>
      </c>
      <c r="O828" s="10">
        <f>IFERROR(VLOOKUP(A828,Flete!$A:$J,10,0),"")</f>
        <v/>
      </c>
      <c r="P828" s="8" t="inlineStr">
        <is>
          <t>TN</t>
        </is>
      </c>
      <c r="Q828" s="10">
        <f>IFERROR(IFERROR(VLOOKUP(A828,TRAOPE!$A:$U,21,0),VLOOKUP(B828,TRAOPE!$A:$U,21,0)),"")</f>
        <v/>
      </c>
      <c r="R828" s="8">
        <f>IFERROR(IFERROR(VLOOKUP(A828,TRAOPE!$A:$W,23,0),VLOOKUP(B828,TRAOPE!$A:$W,23,0)),"")</f>
        <v/>
      </c>
      <c r="S828" s="10">
        <f>IF(AND(P828="TN",R828="TN"),N828+N(O828),IF(G828&amp;""="1",N(K828)*N828,(N828+N(O828))*N(K828)))</f>
        <v/>
      </c>
      <c r="T828" s="10">
        <f>IF(Q828="","",Q828-S828)</f>
        <v/>
      </c>
    </row>
    <row r="829">
      <c r="A829" s="7">
        <f>CONCATENATE(C829,E829,F829,I829)</f>
        <v/>
      </c>
      <c r="B829" s="7">
        <f>CONCATENATE(C829,E829,I829)</f>
        <v/>
      </c>
      <c r="C829" s="8" t="n">
        <v>900004322</v>
      </c>
      <c r="D829" s="7">
        <f>IFERROR(VLOOKUP(C829,TRAOPE!$G:$H,2,0),"")</f>
        <v/>
      </c>
      <c r="E829" s="8" t="inlineStr">
        <is>
          <t>DW70</t>
        </is>
      </c>
      <c r="F829" s="8" t="inlineStr">
        <is>
          <t>D105</t>
        </is>
      </c>
      <c r="G829" s="8">
        <f>IFERROR(VLOOKUP(A829,Flete!$A:$E,5,0),"")</f>
        <v/>
      </c>
      <c r="H829" s="7">
        <f>IFERROR(VLOOKUP(F829,TRAOPE!$AA:$AB,2,0),"")</f>
        <v/>
      </c>
      <c r="I829" s="7" t="n">
        <v>10000627</v>
      </c>
      <c r="J829" s="7">
        <f>IFERROR(VLOOKUP(I829,Materiales!$A:$H,8,0),"")</f>
        <v/>
      </c>
      <c r="K829" s="9">
        <f>IFERROR(VLOOKUP(I829,Materiales!$A:$G,7,0),"")</f>
        <v/>
      </c>
      <c r="L829" s="8" t="inlineStr">
        <is>
          <t>20230501</t>
        </is>
      </c>
      <c r="M829" s="8" t="inlineStr">
        <is>
          <t>20250131</t>
        </is>
      </c>
      <c r="N829" s="10" t="n">
        <v>63.32</v>
      </c>
      <c r="O829" s="10">
        <f>IFERROR(VLOOKUP(A829,Flete!$A:$J,10,0),"")</f>
        <v/>
      </c>
      <c r="P829" s="8" t="inlineStr">
        <is>
          <t>TN</t>
        </is>
      </c>
      <c r="Q829" s="10">
        <f>IFERROR(IFERROR(VLOOKUP(A829,TRAOPE!$A:$U,21,0),VLOOKUP(B829,TRAOPE!$A:$U,21,0)),"")</f>
        <v/>
      </c>
      <c r="R829" s="8">
        <f>IFERROR(IFERROR(VLOOKUP(A829,TRAOPE!$A:$W,23,0),VLOOKUP(B829,TRAOPE!$A:$W,23,0)),"")</f>
        <v/>
      </c>
      <c r="S829" s="10">
        <f>IF(AND(P829="TN",R829="TN"),N829+N(O829),IF(G829&amp;""="1",N(K829)*N829,(N829+N(O829))*N(K829)))</f>
        <v/>
      </c>
      <c r="T829" s="10">
        <f>IF(Q829="","",Q829-S829)</f>
        <v/>
      </c>
    </row>
    <row r="830">
      <c r="A830" s="7">
        <f>CONCATENATE(C830,E830,F830,I830)</f>
        <v/>
      </c>
      <c r="B830" s="7">
        <f>CONCATENATE(C830,E830,I830)</f>
        <v/>
      </c>
      <c r="C830" s="8" t="n">
        <v>900004322</v>
      </c>
      <c r="D830" s="7">
        <f>IFERROR(VLOOKUP(C830,TRAOPE!$G:$H,2,0),"")</f>
        <v/>
      </c>
      <c r="E830" s="8" t="inlineStr">
        <is>
          <t>DW70</t>
        </is>
      </c>
      <c r="F830" s="8" t="inlineStr">
        <is>
          <t>D136</t>
        </is>
      </c>
      <c r="G830" s="8">
        <f>IFERROR(VLOOKUP(A830,Flete!$A:$E,5,0),"")</f>
        <v/>
      </c>
      <c r="H830" s="7">
        <f>IFERROR(VLOOKUP(F830,TRAOPE!$AA:$AB,2,0),"")</f>
        <v/>
      </c>
      <c r="I830" s="7" t="n">
        <v>10000160</v>
      </c>
      <c r="J830" s="7">
        <f>IFERROR(VLOOKUP(I830,Materiales!$A:$H,8,0),"")</f>
        <v/>
      </c>
      <c r="K830" s="9">
        <f>IFERROR(VLOOKUP(I830,Materiales!$A:$G,7,0),"")</f>
        <v/>
      </c>
      <c r="L830" s="8" t="inlineStr">
        <is>
          <t>20230501</t>
        </is>
      </c>
      <c r="M830" s="8" t="inlineStr">
        <is>
          <t>20250131</t>
        </is>
      </c>
      <c r="N830" s="10" t="n">
        <v>60.89</v>
      </c>
      <c r="O830" s="10">
        <f>IFERROR(VLOOKUP(A830,Flete!$A:$J,10,0),"")</f>
        <v/>
      </c>
      <c r="P830" s="8" t="inlineStr">
        <is>
          <t>TN</t>
        </is>
      </c>
      <c r="Q830" s="10">
        <f>IFERROR(IFERROR(VLOOKUP(A830,TRAOPE!$A:$U,21,0),VLOOKUP(B830,TRAOPE!$A:$U,21,0)),"")</f>
        <v/>
      </c>
      <c r="R830" s="8">
        <f>IFERROR(IFERROR(VLOOKUP(A830,TRAOPE!$A:$W,23,0),VLOOKUP(B830,TRAOPE!$A:$W,23,0)),"")</f>
        <v/>
      </c>
      <c r="S830" s="10">
        <f>IF(AND(P830="TN",R830="TN"),N830+N(O830),IF(G830&amp;""="1",N(K830)*N830,(N830+N(O830))*N(K830)))</f>
        <v/>
      </c>
      <c r="T830" s="10">
        <f>IF(Q830="","",Q830-S830)</f>
        <v/>
      </c>
    </row>
    <row r="831">
      <c r="A831" s="7">
        <f>CONCATENATE(C831,E831,F831,I831)</f>
        <v/>
      </c>
      <c r="B831" s="7">
        <f>CONCATENATE(C831,E831,I831)</f>
        <v/>
      </c>
      <c r="C831" s="8" t="n">
        <v>900004322</v>
      </c>
      <c r="D831" s="7">
        <f>IFERROR(VLOOKUP(C831,TRAOPE!$G:$H,2,0),"")</f>
        <v/>
      </c>
      <c r="E831" s="8" t="inlineStr">
        <is>
          <t>DW70</t>
        </is>
      </c>
      <c r="F831" s="8" t="inlineStr">
        <is>
          <t>D136</t>
        </is>
      </c>
      <c r="G831" s="8">
        <f>IFERROR(VLOOKUP(A831,Flete!$A:$E,5,0),"")</f>
        <v/>
      </c>
      <c r="H831" s="7">
        <f>IFERROR(VLOOKUP(F831,TRAOPE!$AA:$AB,2,0),"")</f>
        <v/>
      </c>
      <c r="I831" s="7" t="n">
        <v>10000627</v>
      </c>
      <c r="J831" s="7">
        <f>IFERROR(VLOOKUP(I831,Materiales!$A:$H,8,0),"")</f>
        <v/>
      </c>
      <c r="K831" s="9">
        <f>IFERROR(VLOOKUP(I831,Materiales!$A:$G,7,0),"")</f>
        <v/>
      </c>
      <c r="L831" s="8" t="inlineStr">
        <is>
          <t>20230501</t>
        </is>
      </c>
      <c r="M831" s="8" t="inlineStr">
        <is>
          <t>20250131</t>
        </is>
      </c>
      <c r="N831" s="10" t="n">
        <v>63.32</v>
      </c>
      <c r="O831" s="10">
        <f>IFERROR(VLOOKUP(A831,Flete!$A:$J,10,0),"")</f>
        <v/>
      </c>
      <c r="P831" s="8" t="inlineStr">
        <is>
          <t>TN</t>
        </is>
      </c>
      <c r="Q831" s="10">
        <f>IFERROR(IFERROR(VLOOKUP(A831,TRAOPE!$A:$U,21,0),VLOOKUP(B831,TRAOPE!$A:$U,21,0)),"")</f>
        <v/>
      </c>
      <c r="R831" s="8">
        <f>IFERROR(IFERROR(VLOOKUP(A831,TRAOPE!$A:$W,23,0),VLOOKUP(B831,TRAOPE!$A:$W,23,0)),"")</f>
        <v/>
      </c>
      <c r="S831" s="10">
        <f>IF(AND(P831="TN",R831="TN"),N831+N(O831),IF(G831&amp;""="1",N(K831)*N831,(N831+N(O831))*N(K831)))</f>
        <v/>
      </c>
      <c r="T831" s="10">
        <f>IF(Q831="","",Q831-S831)</f>
        <v/>
      </c>
    </row>
    <row r="832">
      <c r="A832" s="7">
        <f>CONCATENATE(C832,E832,F832,I832)</f>
        <v/>
      </c>
      <c r="B832" s="7">
        <f>CONCATENATE(C832,E832,I832)</f>
        <v/>
      </c>
      <c r="C832" s="8" t="n">
        <v>900004322</v>
      </c>
      <c r="D832" s="7">
        <f>IFERROR(VLOOKUP(C832,TRAOPE!$G:$H,2,0),"")</f>
        <v/>
      </c>
      <c r="E832" s="8" t="inlineStr">
        <is>
          <t>DW70</t>
        </is>
      </c>
      <c r="F832" s="8" t="inlineStr">
        <is>
          <t>D145</t>
        </is>
      </c>
      <c r="G832" s="8">
        <f>IFERROR(VLOOKUP(A832,Flete!$A:$E,5,0),"")</f>
        <v/>
      </c>
      <c r="H832" s="7">
        <f>IFERROR(VLOOKUP(F832,TRAOPE!$AA:$AB,2,0),"")</f>
        <v/>
      </c>
      <c r="I832" s="7" t="n">
        <v>10000160</v>
      </c>
      <c r="J832" s="7">
        <f>IFERROR(VLOOKUP(I832,Materiales!$A:$H,8,0),"")</f>
        <v/>
      </c>
      <c r="K832" s="9">
        <f>IFERROR(VLOOKUP(I832,Materiales!$A:$G,7,0),"")</f>
        <v/>
      </c>
      <c r="L832" s="8" t="inlineStr">
        <is>
          <t>20230501</t>
        </is>
      </c>
      <c r="M832" s="8" t="inlineStr">
        <is>
          <t>20250131</t>
        </is>
      </c>
      <c r="N832" s="10" t="n">
        <v>60.89</v>
      </c>
      <c r="O832" s="10">
        <f>IFERROR(VLOOKUP(A832,Flete!$A:$J,10,0),"")</f>
        <v/>
      </c>
      <c r="P832" s="8" t="inlineStr">
        <is>
          <t>TN</t>
        </is>
      </c>
      <c r="Q832" s="10">
        <f>IFERROR(IFERROR(VLOOKUP(A832,TRAOPE!$A:$U,21,0),VLOOKUP(B832,TRAOPE!$A:$U,21,0)),"")</f>
        <v/>
      </c>
      <c r="R832" s="8">
        <f>IFERROR(IFERROR(VLOOKUP(A832,TRAOPE!$A:$W,23,0),VLOOKUP(B832,TRAOPE!$A:$W,23,0)),"")</f>
        <v/>
      </c>
      <c r="S832" s="10">
        <f>IF(AND(P832="TN",R832="TN"),N832+N(O832),IF(G832&amp;""="1",N(K832)*N832,(N832+N(O832))*N(K832)))</f>
        <v/>
      </c>
      <c r="T832" s="10">
        <f>IF(Q832="","",Q832-S832)</f>
        <v/>
      </c>
    </row>
    <row r="833">
      <c r="A833" s="7">
        <f>CONCATENATE(C833,E833,F833,I833)</f>
        <v/>
      </c>
      <c r="B833" s="7">
        <f>CONCATENATE(C833,E833,I833)</f>
        <v/>
      </c>
      <c r="C833" s="8" t="n">
        <v>900004322</v>
      </c>
      <c r="D833" s="7">
        <f>IFERROR(VLOOKUP(C833,TRAOPE!$G:$H,2,0),"")</f>
        <v/>
      </c>
      <c r="E833" s="8" t="inlineStr">
        <is>
          <t>DW70</t>
        </is>
      </c>
      <c r="F833" s="8" t="inlineStr">
        <is>
          <t>D145</t>
        </is>
      </c>
      <c r="G833" s="8">
        <f>IFERROR(VLOOKUP(A833,Flete!$A:$E,5,0),"")</f>
        <v/>
      </c>
      <c r="H833" s="7">
        <f>IFERROR(VLOOKUP(F833,TRAOPE!$AA:$AB,2,0),"")</f>
        <v/>
      </c>
      <c r="I833" s="7" t="n">
        <v>10000627</v>
      </c>
      <c r="J833" s="7">
        <f>IFERROR(VLOOKUP(I833,Materiales!$A:$H,8,0),"")</f>
        <v/>
      </c>
      <c r="K833" s="9">
        <f>IFERROR(VLOOKUP(I833,Materiales!$A:$G,7,0),"")</f>
        <v/>
      </c>
      <c r="L833" s="8" t="inlineStr">
        <is>
          <t>20230501</t>
        </is>
      </c>
      <c r="M833" s="8" t="inlineStr">
        <is>
          <t>20250131</t>
        </is>
      </c>
      <c r="N833" s="10" t="n">
        <v>63.32</v>
      </c>
      <c r="O833" s="10">
        <f>IFERROR(VLOOKUP(A833,Flete!$A:$J,10,0),"")</f>
        <v/>
      </c>
      <c r="P833" s="8" t="inlineStr">
        <is>
          <t>TN</t>
        </is>
      </c>
      <c r="Q833" s="10">
        <f>IFERROR(IFERROR(VLOOKUP(A833,TRAOPE!$A:$U,21,0),VLOOKUP(B833,TRAOPE!$A:$U,21,0)),"")</f>
        <v/>
      </c>
      <c r="R833" s="8">
        <f>IFERROR(IFERROR(VLOOKUP(A833,TRAOPE!$A:$W,23,0),VLOOKUP(B833,TRAOPE!$A:$W,23,0)),"")</f>
        <v/>
      </c>
      <c r="S833" s="10">
        <f>IF(AND(P833="TN",R833="TN"),N833+N(O833),IF(G833&amp;""="1",N(K833)*N833,(N833+N(O833))*N(K833)))</f>
        <v/>
      </c>
      <c r="T833" s="10">
        <f>IF(Q833="","",Q833-S833)</f>
        <v/>
      </c>
    </row>
    <row r="834">
      <c r="A834" s="7">
        <f>CONCATENATE(C834,E834,F834,I834)</f>
        <v/>
      </c>
      <c r="B834" s="7">
        <f>CONCATENATE(C834,E834,I834)</f>
        <v/>
      </c>
      <c r="C834" s="8" t="n">
        <v>900004324</v>
      </c>
      <c r="D834" s="7">
        <f>IFERROR(VLOOKUP(C834,TRAOPE!$G:$H,2,0),"")</f>
        <v/>
      </c>
      <c r="E834" s="8" t="inlineStr">
        <is>
          <t>DW70</t>
        </is>
      </c>
      <c r="F834" s="8" t="inlineStr">
        <is>
          <t>ENAP</t>
        </is>
      </c>
      <c r="G834" s="8">
        <f>IFERROR(VLOOKUP(A834,Flete!$A:$E,5,0),"")</f>
        <v/>
      </c>
      <c r="H834" s="7">
        <f>IFERROR(VLOOKUP(F834,TRAOPE!$AA:$AB,2,0),"")</f>
        <v/>
      </c>
      <c r="I834" s="7" t="n">
        <v>10000432</v>
      </c>
      <c r="J834" s="7">
        <f>IFERROR(VLOOKUP(I834,Materiales!$A:$H,8,0),"")</f>
        <v/>
      </c>
      <c r="K834" s="9">
        <f>IFERROR(VLOOKUP(I834,Materiales!$A:$G,7,0),"")</f>
        <v/>
      </c>
      <c r="L834" s="8" t="inlineStr">
        <is>
          <t>20250701</t>
        </is>
      </c>
      <c r="M834" s="8" t="inlineStr">
        <is>
          <t>20251031</t>
        </is>
      </c>
      <c r="N834" s="10" t="n">
        <v>137.5</v>
      </c>
      <c r="O834" s="10">
        <f>IFERROR(VLOOKUP(A834,Flete!$A:$J,10,0),"")</f>
        <v/>
      </c>
      <c r="P834" s="8" t="inlineStr">
        <is>
          <t>TN</t>
        </is>
      </c>
      <c r="Q834" s="10">
        <f>IFERROR(IFERROR(VLOOKUP(A834,TRAOPE!$A:$U,21,0),VLOOKUP(B834,TRAOPE!$A:$U,21,0)),"")</f>
        <v/>
      </c>
      <c r="R834" s="8">
        <f>IFERROR(IFERROR(VLOOKUP(A834,TRAOPE!$A:$W,23,0),VLOOKUP(B834,TRAOPE!$A:$W,23,0)),"")</f>
        <v/>
      </c>
      <c r="S834" s="10">
        <f>IF(AND(P834="TN",R834="TN"),N834+N(O834),IF(G834&amp;""="1",N(K834)*N834,(N834+N(O834))*N(K834)))</f>
        <v/>
      </c>
      <c r="T834" s="10">
        <f>IF(Q834="","",Q834-S834)</f>
        <v/>
      </c>
    </row>
    <row r="835">
      <c r="A835" s="7">
        <f>CONCATENATE(C835,E835,F835,I835)</f>
        <v/>
      </c>
      <c r="B835" s="7">
        <f>CONCATENATE(C835,E835,I835)</f>
        <v/>
      </c>
      <c r="C835" s="8" t="n">
        <v>900004324</v>
      </c>
      <c r="D835" s="7">
        <f>IFERROR(VLOOKUP(C835,TRAOPE!$G:$H,2,0),"")</f>
        <v/>
      </c>
      <c r="E835" s="8" t="inlineStr">
        <is>
          <t>DW70</t>
        </is>
      </c>
      <c r="F835" s="8" t="inlineStr">
        <is>
          <t>ENAP</t>
        </is>
      </c>
      <c r="G835" s="8">
        <f>IFERROR(VLOOKUP(A835,Flete!$A:$E,5,0),"")</f>
        <v/>
      </c>
      <c r="H835" s="7">
        <f>IFERROR(VLOOKUP(F835,TRAOPE!$AA:$AB,2,0),"")</f>
        <v/>
      </c>
      <c r="I835" s="7" t="n">
        <v>10145835</v>
      </c>
      <c r="J835" s="7">
        <f>IFERROR(VLOOKUP(I835,Materiales!$A:$H,8,0),"")</f>
        <v/>
      </c>
      <c r="K835" s="9">
        <f>IFERROR(VLOOKUP(I835,Materiales!$A:$G,7,0),"")</f>
        <v/>
      </c>
      <c r="L835" s="8" t="inlineStr">
        <is>
          <t>20250701</t>
        </is>
      </c>
      <c r="M835" s="8" t="inlineStr">
        <is>
          <t>20251031</t>
        </is>
      </c>
      <c r="N835" s="10" t="n">
        <v>105.07</v>
      </c>
      <c r="O835" s="10">
        <f>IFERROR(VLOOKUP(A835,Flete!$A:$J,10,0),"")</f>
        <v/>
      </c>
      <c r="P835" s="8" t="inlineStr">
        <is>
          <t>TN</t>
        </is>
      </c>
      <c r="Q835" s="10">
        <f>IFERROR(IFERROR(VLOOKUP(A835,TRAOPE!$A:$U,21,0),VLOOKUP(B835,TRAOPE!$A:$U,21,0)),"")</f>
        <v/>
      </c>
      <c r="R835" s="8">
        <f>IFERROR(IFERROR(VLOOKUP(A835,TRAOPE!$A:$W,23,0),VLOOKUP(B835,TRAOPE!$A:$W,23,0)),"")</f>
        <v/>
      </c>
      <c r="S835" s="10">
        <f>IF(AND(P835="TN",R835="TN"),N835+N(O835),IF(G835&amp;""="1",N(K835)*N835,(N835+N(O835))*N(K835)))</f>
        <v/>
      </c>
      <c r="T835" s="10">
        <f>IF(Q835="","",Q835-S835)</f>
        <v/>
      </c>
    </row>
    <row r="836">
      <c r="A836" s="7">
        <f>CONCATENATE(C836,E836,F836,I836)</f>
        <v/>
      </c>
      <c r="B836" s="7">
        <f>CONCATENATE(C836,E836,I836)</f>
        <v/>
      </c>
      <c r="C836" s="8" t="n">
        <v>900004324</v>
      </c>
      <c r="D836" s="7">
        <f>IFERROR(VLOOKUP(C836,TRAOPE!$G:$H,2,0),"")</f>
        <v/>
      </c>
      <c r="E836" s="8" t="inlineStr">
        <is>
          <t>DW70</t>
        </is>
      </c>
      <c r="F836" s="8" t="inlineStr">
        <is>
          <t>ENAP</t>
        </is>
      </c>
      <c r="G836" s="8">
        <f>IFERROR(VLOOKUP(A836,Flete!$A:$E,5,0),"")</f>
        <v/>
      </c>
      <c r="H836" s="7">
        <f>IFERROR(VLOOKUP(F836,TRAOPE!$AA:$AB,2,0),"")</f>
        <v/>
      </c>
      <c r="I836" s="7" t="n">
        <v>10155487</v>
      </c>
      <c r="J836" s="7">
        <f>IFERROR(VLOOKUP(I836,Materiales!$A:$H,8,0),"")</f>
        <v/>
      </c>
      <c r="K836" s="9">
        <f>IFERROR(VLOOKUP(I836,Materiales!$A:$G,7,0),"")</f>
        <v/>
      </c>
      <c r="L836" s="8" t="inlineStr">
        <is>
          <t>20250701</t>
        </is>
      </c>
      <c r="M836" s="8" t="inlineStr">
        <is>
          <t>20251031</t>
        </is>
      </c>
      <c r="N836" s="10" t="n">
        <v>184.31</v>
      </c>
      <c r="O836" s="10">
        <f>IFERROR(VLOOKUP(A836,Flete!$A:$J,10,0),"")</f>
        <v/>
      </c>
      <c r="P836" s="8" t="inlineStr">
        <is>
          <t>TN</t>
        </is>
      </c>
      <c r="Q836" s="10">
        <f>IFERROR(IFERROR(VLOOKUP(A836,TRAOPE!$A:$U,21,0),VLOOKUP(B836,TRAOPE!$A:$U,21,0)),"")</f>
        <v/>
      </c>
      <c r="R836" s="8">
        <f>IFERROR(IFERROR(VLOOKUP(A836,TRAOPE!$A:$W,23,0),VLOOKUP(B836,TRAOPE!$A:$W,23,0)),"")</f>
        <v/>
      </c>
      <c r="S836" s="10">
        <f>IF(AND(P836="TN",R836="TN"),N836+N(O836),IF(G836&amp;""="1",N(K836)*N836,(N836+N(O836))*N(K836)))</f>
        <v/>
      </c>
      <c r="T836" s="10">
        <f>IF(Q836="","",Q836-S836)</f>
        <v/>
      </c>
    </row>
    <row r="837">
      <c r="A837" s="7">
        <f>CONCATENATE(C837,E837,F837,I837)</f>
        <v/>
      </c>
      <c r="B837" s="7">
        <f>CONCATENATE(C837,E837,I837)</f>
        <v/>
      </c>
      <c r="C837" s="8" t="n">
        <v>900004324</v>
      </c>
      <c r="D837" s="7">
        <f>IFERROR(VLOOKUP(C837,TRAOPE!$G:$H,2,0),"")</f>
        <v/>
      </c>
      <c r="E837" s="8" t="inlineStr">
        <is>
          <t>DW70</t>
        </is>
      </c>
      <c r="F837" s="8" t="inlineStr">
        <is>
          <t>ENAP</t>
        </is>
      </c>
      <c r="G837" s="8">
        <f>IFERROR(VLOOKUP(A837,Flete!$A:$E,5,0),"")</f>
        <v/>
      </c>
      <c r="H837" s="7">
        <f>IFERROR(VLOOKUP(F837,TRAOPE!$AA:$AB,2,0),"")</f>
        <v/>
      </c>
      <c r="I837" s="7" t="n">
        <v>10159061</v>
      </c>
      <c r="J837" s="7">
        <f>IFERROR(VLOOKUP(I837,Materiales!$A:$H,8,0),"")</f>
        <v/>
      </c>
      <c r="K837" s="9">
        <f>IFERROR(VLOOKUP(I837,Materiales!$A:$G,7,0),"")</f>
        <v/>
      </c>
      <c r="L837" s="8" t="inlineStr">
        <is>
          <t>20230501</t>
        </is>
      </c>
      <c r="M837" s="8" t="inlineStr">
        <is>
          <t>20250131</t>
        </is>
      </c>
      <c r="N837" s="10" t="n">
        <v>90.63</v>
      </c>
      <c r="O837" s="10">
        <f>IFERROR(VLOOKUP(A837,Flete!$A:$J,10,0),"")</f>
        <v/>
      </c>
      <c r="P837" s="8" t="inlineStr">
        <is>
          <t>TN</t>
        </is>
      </c>
      <c r="Q837" s="10">
        <f>IFERROR(IFERROR(VLOOKUP(A837,TRAOPE!$A:$U,21,0),VLOOKUP(B837,TRAOPE!$A:$U,21,0)),"")</f>
        <v/>
      </c>
      <c r="R837" s="8">
        <f>IFERROR(IFERROR(VLOOKUP(A837,TRAOPE!$A:$W,23,0),VLOOKUP(B837,TRAOPE!$A:$W,23,0)),"")</f>
        <v/>
      </c>
      <c r="S837" s="10">
        <f>IF(AND(P837="TN",R837="TN"),N837+N(O837),IF(G837&amp;""="1",N(K837)*N837,(N837+N(O837))*N(K837)))</f>
        <v/>
      </c>
      <c r="T837" s="10">
        <f>IF(Q837="","",Q837-S837)</f>
        <v/>
      </c>
    </row>
    <row r="838">
      <c r="A838" s="7">
        <f>CONCATENATE(C838,E838,F838,I838)</f>
        <v/>
      </c>
      <c r="B838" s="7">
        <f>CONCATENATE(C838,E838,I838)</f>
        <v/>
      </c>
      <c r="C838" s="8" t="n">
        <v>900004324</v>
      </c>
      <c r="D838" s="7">
        <f>IFERROR(VLOOKUP(C838,TRAOPE!$G:$H,2,0),"")</f>
        <v/>
      </c>
      <c r="E838" s="8" t="inlineStr">
        <is>
          <t>DW70</t>
        </is>
      </c>
      <c r="F838" s="8" t="inlineStr">
        <is>
          <t>ENAS</t>
        </is>
      </c>
      <c r="G838" s="8">
        <f>IFERROR(VLOOKUP(A838,Flete!$A:$E,5,0),"")</f>
        <v/>
      </c>
      <c r="H838" s="7">
        <f>IFERROR(VLOOKUP(F838,TRAOPE!$AA:$AB,2,0),"")</f>
        <v/>
      </c>
      <c r="I838" s="7" t="n">
        <v>10000432</v>
      </c>
      <c r="J838" s="7">
        <f>IFERROR(VLOOKUP(I838,Materiales!$A:$H,8,0),"")</f>
        <v/>
      </c>
      <c r="K838" s="9">
        <f>IFERROR(VLOOKUP(I838,Materiales!$A:$G,7,0),"")</f>
        <v/>
      </c>
      <c r="L838" s="8" t="inlineStr">
        <is>
          <t>20250701</t>
        </is>
      </c>
      <c r="M838" s="8" t="inlineStr">
        <is>
          <t>99991231</t>
        </is>
      </c>
      <c r="N838" s="10" t="n">
        <v>137.5</v>
      </c>
      <c r="O838" s="10">
        <f>IFERROR(VLOOKUP(A838,Flete!$A:$J,10,0),"")</f>
        <v/>
      </c>
      <c r="P838" s="8" t="inlineStr">
        <is>
          <t>TN</t>
        </is>
      </c>
      <c r="Q838" s="10">
        <f>IFERROR(IFERROR(VLOOKUP(A838,TRAOPE!$A:$U,21,0),VLOOKUP(B838,TRAOPE!$A:$U,21,0)),"")</f>
        <v/>
      </c>
      <c r="R838" s="8">
        <f>IFERROR(IFERROR(VLOOKUP(A838,TRAOPE!$A:$W,23,0),VLOOKUP(B838,TRAOPE!$A:$W,23,0)),"")</f>
        <v/>
      </c>
      <c r="S838" s="10">
        <f>IF(AND(P838="TN",R838="TN"),N838+N(O838),IF(G838&amp;""="1",N(K838)*N838,(N838+N(O838))*N(K838)))</f>
        <v/>
      </c>
      <c r="T838" s="10">
        <f>IF(Q838="","",Q838-S838)</f>
        <v/>
      </c>
    </row>
    <row r="839">
      <c r="A839" s="7">
        <f>CONCATENATE(C839,E839,F839,I839)</f>
        <v/>
      </c>
      <c r="B839" s="7">
        <f>CONCATENATE(C839,E839,I839)</f>
        <v/>
      </c>
      <c r="C839" s="8" t="n">
        <v>900004324</v>
      </c>
      <c r="D839" s="7">
        <f>IFERROR(VLOOKUP(C839,TRAOPE!$G:$H,2,0),"")</f>
        <v/>
      </c>
      <c r="E839" s="8" t="inlineStr">
        <is>
          <t>DW70</t>
        </is>
      </c>
      <c r="F839" s="8" t="inlineStr">
        <is>
          <t>ENAS</t>
        </is>
      </c>
      <c r="G839" s="8">
        <f>IFERROR(VLOOKUP(A839,Flete!$A:$E,5,0),"")</f>
        <v/>
      </c>
      <c r="H839" s="7">
        <f>IFERROR(VLOOKUP(F839,TRAOPE!$AA:$AB,2,0),"")</f>
        <v/>
      </c>
      <c r="I839" s="7" t="n">
        <v>10145835</v>
      </c>
      <c r="J839" s="7">
        <f>IFERROR(VLOOKUP(I839,Materiales!$A:$H,8,0),"")</f>
        <v/>
      </c>
      <c r="K839" s="9">
        <f>IFERROR(VLOOKUP(I839,Materiales!$A:$G,7,0),"")</f>
        <v/>
      </c>
      <c r="L839" s="8" t="inlineStr">
        <is>
          <t>20250701</t>
        </is>
      </c>
      <c r="M839" s="8" t="inlineStr">
        <is>
          <t>99991231</t>
        </is>
      </c>
      <c r="N839" s="10" t="n">
        <v>105.07</v>
      </c>
      <c r="O839" s="10">
        <f>IFERROR(VLOOKUP(A839,Flete!$A:$J,10,0),"")</f>
        <v/>
      </c>
      <c r="P839" s="8" t="inlineStr">
        <is>
          <t>TN</t>
        </is>
      </c>
      <c r="Q839" s="10">
        <f>IFERROR(IFERROR(VLOOKUP(A839,TRAOPE!$A:$U,21,0),VLOOKUP(B839,TRAOPE!$A:$U,21,0)),"")</f>
        <v/>
      </c>
      <c r="R839" s="8">
        <f>IFERROR(IFERROR(VLOOKUP(A839,TRAOPE!$A:$W,23,0),VLOOKUP(B839,TRAOPE!$A:$W,23,0)),"")</f>
        <v/>
      </c>
      <c r="S839" s="10">
        <f>IF(AND(P839="TN",R839="TN"),N839+N(O839),IF(G839&amp;""="1",N(K839)*N839,(N839+N(O839))*N(K839)))</f>
        <v/>
      </c>
      <c r="T839" s="10">
        <f>IF(Q839="","",Q839-S839)</f>
        <v/>
      </c>
    </row>
    <row r="840">
      <c r="A840" s="7">
        <f>CONCATENATE(C840,E840,F840,I840)</f>
        <v/>
      </c>
      <c r="B840" s="7">
        <f>CONCATENATE(C840,E840,I840)</f>
        <v/>
      </c>
      <c r="C840" s="8" t="n">
        <v>900004324</v>
      </c>
      <c r="D840" s="7">
        <f>IFERROR(VLOOKUP(C840,TRAOPE!$G:$H,2,0),"")</f>
        <v/>
      </c>
      <c r="E840" s="8" t="inlineStr">
        <is>
          <t>DW70</t>
        </is>
      </c>
      <c r="F840" s="8" t="inlineStr">
        <is>
          <t>ENAS</t>
        </is>
      </c>
      <c r="G840" s="8">
        <f>IFERROR(VLOOKUP(A840,Flete!$A:$E,5,0),"")</f>
        <v/>
      </c>
      <c r="H840" s="7">
        <f>IFERROR(VLOOKUP(F840,TRAOPE!$AA:$AB,2,0),"")</f>
        <v/>
      </c>
      <c r="I840" s="7" t="n">
        <v>10155487</v>
      </c>
      <c r="J840" s="7">
        <f>IFERROR(VLOOKUP(I840,Materiales!$A:$H,8,0),"")</f>
        <v/>
      </c>
      <c r="K840" s="9">
        <f>IFERROR(VLOOKUP(I840,Materiales!$A:$G,7,0),"")</f>
        <v/>
      </c>
      <c r="L840" s="8" t="inlineStr">
        <is>
          <t>20250701</t>
        </is>
      </c>
      <c r="M840" s="8" t="inlineStr">
        <is>
          <t>99991231</t>
        </is>
      </c>
      <c r="N840" s="10" t="n">
        <v>184.31</v>
      </c>
      <c r="O840" s="10">
        <f>IFERROR(VLOOKUP(A840,Flete!$A:$J,10,0),"")</f>
        <v/>
      </c>
      <c r="P840" s="8" t="inlineStr">
        <is>
          <t>TN</t>
        </is>
      </c>
      <c r="Q840" s="10">
        <f>IFERROR(IFERROR(VLOOKUP(A840,TRAOPE!$A:$U,21,0),VLOOKUP(B840,TRAOPE!$A:$U,21,0)),"")</f>
        <v/>
      </c>
      <c r="R840" s="8">
        <f>IFERROR(IFERROR(VLOOKUP(A840,TRAOPE!$A:$W,23,0),VLOOKUP(B840,TRAOPE!$A:$W,23,0)),"")</f>
        <v/>
      </c>
      <c r="S840" s="10">
        <f>IF(AND(P840="TN",R840="TN"),N840+N(O840),IF(G840&amp;""="1",N(K840)*N840,(N840+N(O840))*N(K840)))</f>
        <v/>
      </c>
      <c r="T840" s="10">
        <f>IF(Q840="","",Q840-S840)</f>
        <v/>
      </c>
    </row>
    <row r="841">
      <c r="A841" s="7">
        <f>CONCATENATE(C841,E841,F841,I841)</f>
        <v/>
      </c>
      <c r="B841" s="7">
        <f>CONCATENATE(C841,E841,I841)</f>
        <v/>
      </c>
      <c r="C841" s="8" t="n">
        <v>900004324</v>
      </c>
      <c r="D841" s="7">
        <f>IFERROR(VLOOKUP(C841,TRAOPE!$G:$H,2,0),"")</f>
        <v/>
      </c>
      <c r="E841" s="8" t="inlineStr">
        <is>
          <t>DW70</t>
        </is>
      </c>
      <c r="F841" s="8" t="inlineStr">
        <is>
          <t>ENAS</t>
        </is>
      </c>
      <c r="G841" s="8">
        <f>IFERROR(VLOOKUP(A841,Flete!$A:$E,5,0),"")</f>
        <v/>
      </c>
      <c r="H841" s="7">
        <f>IFERROR(VLOOKUP(F841,TRAOPE!$AA:$AB,2,0),"")</f>
        <v/>
      </c>
      <c r="I841" s="7" t="n">
        <v>10159061</v>
      </c>
      <c r="J841" s="7">
        <f>IFERROR(VLOOKUP(I841,Materiales!$A:$H,8,0),"")</f>
        <v/>
      </c>
      <c r="K841" s="9">
        <f>IFERROR(VLOOKUP(I841,Materiales!$A:$G,7,0),"")</f>
        <v/>
      </c>
      <c r="L841" s="8" t="inlineStr">
        <is>
          <t>20250701</t>
        </is>
      </c>
      <c r="M841" s="8" t="inlineStr">
        <is>
          <t>20251031</t>
        </is>
      </c>
      <c r="N841" s="10" t="n">
        <v>90.63</v>
      </c>
      <c r="O841" s="10">
        <f>IFERROR(VLOOKUP(A841,Flete!$A:$J,10,0),"")</f>
        <v/>
      </c>
      <c r="P841" s="8" t="inlineStr">
        <is>
          <t>TN</t>
        </is>
      </c>
      <c r="Q841" s="10">
        <f>IFERROR(IFERROR(VLOOKUP(A841,TRAOPE!$A:$U,21,0),VLOOKUP(B841,TRAOPE!$A:$U,21,0)),"")</f>
        <v/>
      </c>
      <c r="R841" s="8">
        <f>IFERROR(IFERROR(VLOOKUP(A841,TRAOPE!$A:$W,23,0),VLOOKUP(B841,TRAOPE!$A:$W,23,0)),"")</f>
        <v/>
      </c>
      <c r="S841" s="10">
        <f>IF(AND(P841="TN",R841="TN"),N841+N(O841),IF(G841&amp;""="1",N(K841)*N841,(N841+N(O841))*N(K841)))</f>
        <v/>
      </c>
      <c r="T841" s="10">
        <f>IF(Q841="","",Q841-S841)</f>
        <v/>
      </c>
    </row>
    <row r="842">
      <c r="A842" s="7">
        <f>CONCATENATE(C842,E842,F842,I842)</f>
        <v/>
      </c>
      <c r="B842" s="7">
        <f>CONCATENATE(C842,E842,I842)</f>
        <v/>
      </c>
      <c r="C842" s="8" t="n">
        <v>900004324</v>
      </c>
      <c r="D842" s="7">
        <f>IFERROR(VLOOKUP(C842,TRAOPE!$G:$H,2,0),"")</f>
        <v/>
      </c>
      <c r="E842" s="8" t="inlineStr">
        <is>
          <t>DW70</t>
        </is>
      </c>
      <c r="F842" s="8" t="inlineStr">
        <is>
          <t>ENAW</t>
        </is>
      </c>
      <c r="G842" s="8">
        <f>IFERROR(VLOOKUP(A842,Flete!$A:$E,5,0),"")</f>
        <v/>
      </c>
      <c r="H842" s="7">
        <f>IFERROR(VLOOKUP(F842,TRAOPE!$AA:$AB,2,0),"")</f>
        <v/>
      </c>
      <c r="I842" s="7" t="n">
        <v>10000432</v>
      </c>
      <c r="J842" s="7">
        <f>IFERROR(VLOOKUP(I842,Materiales!$A:$H,8,0),"")</f>
        <v/>
      </c>
      <c r="K842" s="9">
        <f>IFERROR(VLOOKUP(I842,Materiales!$A:$G,7,0),"")</f>
        <v/>
      </c>
      <c r="L842" s="8" t="inlineStr">
        <is>
          <t>20250701</t>
        </is>
      </c>
      <c r="M842" s="8" t="inlineStr">
        <is>
          <t>99991231</t>
        </is>
      </c>
      <c r="N842" s="10" t="n">
        <v>137.5</v>
      </c>
      <c r="O842" s="10">
        <f>IFERROR(VLOOKUP(A842,Flete!$A:$J,10,0),"")</f>
        <v/>
      </c>
      <c r="P842" s="8" t="inlineStr">
        <is>
          <t>TN</t>
        </is>
      </c>
      <c r="Q842" s="10">
        <f>IFERROR(IFERROR(VLOOKUP(A842,TRAOPE!$A:$U,21,0),VLOOKUP(B842,TRAOPE!$A:$U,21,0)),"")</f>
        <v/>
      </c>
      <c r="R842" s="8">
        <f>IFERROR(IFERROR(VLOOKUP(A842,TRAOPE!$A:$W,23,0),VLOOKUP(B842,TRAOPE!$A:$W,23,0)),"")</f>
        <v/>
      </c>
      <c r="S842" s="10">
        <f>IF(AND(P842="TN",R842="TN"),N842+N(O842),IF(G842&amp;""="1",N(K842)*N842,(N842+N(O842))*N(K842)))</f>
        <v/>
      </c>
      <c r="T842" s="10">
        <f>IF(Q842="","",Q842-S842)</f>
        <v/>
      </c>
    </row>
    <row r="843">
      <c r="A843" s="7">
        <f>CONCATENATE(C843,E843,F843,I843)</f>
        <v/>
      </c>
      <c r="B843" s="7">
        <f>CONCATENATE(C843,E843,I843)</f>
        <v/>
      </c>
      <c r="C843" s="8" t="n">
        <v>900004324</v>
      </c>
      <c r="D843" s="7">
        <f>IFERROR(VLOOKUP(C843,TRAOPE!$G:$H,2,0),"")</f>
        <v/>
      </c>
      <c r="E843" s="8" t="inlineStr">
        <is>
          <t>DW70</t>
        </is>
      </c>
      <c r="F843" s="8" t="inlineStr">
        <is>
          <t>ENAW</t>
        </is>
      </c>
      <c r="G843" s="8">
        <f>IFERROR(VLOOKUP(A843,Flete!$A:$E,5,0),"")</f>
        <v/>
      </c>
      <c r="H843" s="7">
        <f>IFERROR(VLOOKUP(F843,TRAOPE!$AA:$AB,2,0),"")</f>
        <v/>
      </c>
      <c r="I843" s="7" t="n">
        <v>10145835</v>
      </c>
      <c r="J843" s="7">
        <f>IFERROR(VLOOKUP(I843,Materiales!$A:$H,8,0),"")</f>
        <v/>
      </c>
      <c r="K843" s="9">
        <f>IFERROR(VLOOKUP(I843,Materiales!$A:$G,7,0),"")</f>
        <v/>
      </c>
      <c r="L843" s="8" t="inlineStr">
        <is>
          <t>20250701</t>
        </is>
      </c>
      <c r="M843" s="8" t="inlineStr">
        <is>
          <t>99991231</t>
        </is>
      </c>
      <c r="N843" s="10" t="n">
        <v>105.07</v>
      </c>
      <c r="O843" s="10">
        <f>IFERROR(VLOOKUP(A843,Flete!$A:$J,10,0),"")</f>
        <v/>
      </c>
      <c r="P843" s="8" t="inlineStr">
        <is>
          <t>TN</t>
        </is>
      </c>
      <c r="Q843" s="10">
        <f>IFERROR(IFERROR(VLOOKUP(A843,TRAOPE!$A:$U,21,0),VLOOKUP(B843,TRAOPE!$A:$U,21,0)),"")</f>
        <v/>
      </c>
      <c r="R843" s="8">
        <f>IFERROR(IFERROR(VLOOKUP(A843,TRAOPE!$A:$W,23,0),VLOOKUP(B843,TRAOPE!$A:$W,23,0)),"")</f>
        <v/>
      </c>
      <c r="S843" s="10">
        <f>IF(AND(P843="TN",R843="TN"),N843+N(O843),IF(G843&amp;""="1",N(K843)*N843,(N843+N(O843))*N(K843)))</f>
        <v/>
      </c>
      <c r="T843" s="10">
        <f>IF(Q843="","",Q843-S843)</f>
        <v/>
      </c>
    </row>
    <row r="844">
      <c r="A844" s="7">
        <f>CONCATENATE(C844,E844,F844,I844)</f>
        <v/>
      </c>
      <c r="B844" s="7">
        <f>CONCATENATE(C844,E844,I844)</f>
        <v/>
      </c>
      <c r="C844" s="8" t="n">
        <v>900004324</v>
      </c>
      <c r="D844" s="7">
        <f>IFERROR(VLOOKUP(C844,TRAOPE!$G:$H,2,0),"")</f>
        <v/>
      </c>
      <c r="E844" s="8" t="inlineStr">
        <is>
          <t>DW70</t>
        </is>
      </c>
      <c r="F844" s="8" t="inlineStr">
        <is>
          <t>ENAW</t>
        </is>
      </c>
      <c r="G844" s="8">
        <f>IFERROR(VLOOKUP(A844,Flete!$A:$E,5,0),"")</f>
        <v/>
      </c>
      <c r="H844" s="7">
        <f>IFERROR(VLOOKUP(F844,TRAOPE!$AA:$AB,2,0),"")</f>
        <v/>
      </c>
      <c r="I844" s="7" t="n">
        <v>10155487</v>
      </c>
      <c r="J844" s="7">
        <f>IFERROR(VLOOKUP(I844,Materiales!$A:$H,8,0),"")</f>
        <v/>
      </c>
      <c r="K844" s="9">
        <f>IFERROR(VLOOKUP(I844,Materiales!$A:$G,7,0),"")</f>
        <v/>
      </c>
      <c r="L844" s="8" t="inlineStr">
        <is>
          <t>20250701</t>
        </is>
      </c>
      <c r="M844" s="8" t="inlineStr">
        <is>
          <t>99991231</t>
        </is>
      </c>
      <c r="N844" s="10" t="n">
        <v>184.31</v>
      </c>
      <c r="O844" s="10">
        <f>IFERROR(VLOOKUP(A844,Flete!$A:$J,10,0),"")</f>
        <v/>
      </c>
      <c r="P844" s="8" t="inlineStr">
        <is>
          <t>TN</t>
        </is>
      </c>
      <c r="Q844" s="10">
        <f>IFERROR(IFERROR(VLOOKUP(A844,TRAOPE!$A:$U,21,0),VLOOKUP(B844,TRAOPE!$A:$U,21,0)),"")</f>
        <v/>
      </c>
      <c r="R844" s="8">
        <f>IFERROR(IFERROR(VLOOKUP(A844,TRAOPE!$A:$W,23,0),VLOOKUP(B844,TRAOPE!$A:$W,23,0)),"")</f>
        <v/>
      </c>
      <c r="S844" s="10">
        <f>IF(AND(P844="TN",R844="TN"),N844+N(O844),IF(G844&amp;""="1",N(K844)*N844,(N844+N(O844))*N(K844)))</f>
        <v/>
      </c>
      <c r="T844" s="10">
        <f>IF(Q844="","",Q844-S844)</f>
        <v/>
      </c>
    </row>
    <row r="845">
      <c r="A845" s="7">
        <f>CONCATENATE(C845,E845,F845,I845)</f>
        <v/>
      </c>
      <c r="B845" s="7">
        <f>CONCATENATE(C845,E845,I845)</f>
        <v/>
      </c>
      <c r="C845" s="8" t="n">
        <v>900004324</v>
      </c>
      <c r="D845" s="7">
        <f>IFERROR(VLOOKUP(C845,TRAOPE!$G:$H,2,0),"")</f>
        <v/>
      </c>
      <c r="E845" s="8" t="inlineStr">
        <is>
          <t>DW70</t>
        </is>
      </c>
      <c r="F845" s="8" t="inlineStr">
        <is>
          <t>ENAW</t>
        </is>
      </c>
      <c r="G845" s="8">
        <f>IFERROR(VLOOKUP(A845,Flete!$A:$E,5,0),"")</f>
        <v/>
      </c>
      <c r="H845" s="7">
        <f>IFERROR(VLOOKUP(F845,TRAOPE!$AA:$AB,2,0),"")</f>
        <v/>
      </c>
      <c r="I845" s="7" t="n">
        <v>10159061</v>
      </c>
      <c r="J845" s="7">
        <f>IFERROR(VLOOKUP(I845,Materiales!$A:$H,8,0),"")</f>
        <v/>
      </c>
      <c r="K845" s="9">
        <f>IFERROR(VLOOKUP(I845,Materiales!$A:$G,7,0),"")</f>
        <v/>
      </c>
      <c r="L845" s="8" t="inlineStr">
        <is>
          <t>20250701</t>
        </is>
      </c>
      <c r="M845" s="8" t="inlineStr">
        <is>
          <t>20251031</t>
        </is>
      </c>
      <c r="N845" s="10" t="n">
        <v>90.63</v>
      </c>
      <c r="O845" s="10">
        <f>IFERROR(VLOOKUP(A845,Flete!$A:$J,10,0),"")</f>
        <v/>
      </c>
      <c r="P845" s="8" t="inlineStr">
        <is>
          <t>TN</t>
        </is>
      </c>
      <c r="Q845" s="10">
        <f>IFERROR(IFERROR(VLOOKUP(A845,TRAOPE!$A:$U,21,0),VLOOKUP(B845,TRAOPE!$A:$U,21,0)),"")</f>
        <v/>
      </c>
      <c r="R845" s="8">
        <f>IFERROR(IFERROR(VLOOKUP(A845,TRAOPE!$A:$W,23,0),VLOOKUP(B845,TRAOPE!$A:$W,23,0)),"")</f>
        <v/>
      </c>
      <c r="S845" s="10">
        <f>IF(AND(P845="TN",R845="TN"),N845+N(O845),IF(G845&amp;""="1",N(K845)*N845,(N845+N(O845))*N(K845)))</f>
        <v/>
      </c>
      <c r="T845" s="10">
        <f>IF(Q845="","",Q845-S845)</f>
        <v/>
      </c>
    </row>
    <row r="846">
      <c r="A846" s="7">
        <f>CONCATENATE(C846,E846,F846,I846)</f>
        <v/>
      </c>
      <c r="B846" s="7">
        <f>CONCATENATE(C846,E846,I846)</f>
        <v/>
      </c>
      <c r="C846" s="8" t="n">
        <v>900004324</v>
      </c>
      <c r="D846" s="7">
        <f>IFERROR(VLOOKUP(C846,TRAOPE!$G:$H,2,0),"")</f>
        <v/>
      </c>
      <c r="E846" s="8" t="inlineStr">
        <is>
          <t>DW70</t>
        </is>
      </c>
      <c r="F846" s="8" t="inlineStr">
        <is>
          <t>ENDB</t>
        </is>
      </c>
      <c r="G846" s="8">
        <f>IFERROR(VLOOKUP(A846,Flete!$A:$E,5,0),"")</f>
        <v/>
      </c>
      <c r="H846" s="7">
        <f>IFERROR(VLOOKUP(F846,TRAOPE!$AA:$AB,2,0),"")</f>
        <v/>
      </c>
      <c r="I846" s="7" t="n">
        <v>10000432</v>
      </c>
      <c r="J846" s="7">
        <f>IFERROR(VLOOKUP(I846,Materiales!$A:$H,8,0),"")</f>
        <v/>
      </c>
      <c r="K846" s="9">
        <f>IFERROR(VLOOKUP(I846,Materiales!$A:$G,7,0),"")</f>
        <v/>
      </c>
      <c r="L846" s="8" t="inlineStr">
        <is>
          <t>20250701</t>
        </is>
      </c>
      <c r="M846" s="8" t="inlineStr">
        <is>
          <t>99991231</t>
        </is>
      </c>
      <c r="N846" s="10" t="n">
        <v>137.5</v>
      </c>
      <c r="O846" s="10">
        <f>IFERROR(VLOOKUP(A846,Flete!$A:$J,10,0),"")</f>
        <v/>
      </c>
      <c r="P846" s="8" t="inlineStr">
        <is>
          <t>TN</t>
        </is>
      </c>
      <c r="Q846" s="10">
        <f>IFERROR(IFERROR(VLOOKUP(A846,TRAOPE!$A:$U,21,0),VLOOKUP(B846,TRAOPE!$A:$U,21,0)),"")</f>
        <v/>
      </c>
      <c r="R846" s="8">
        <f>IFERROR(IFERROR(VLOOKUP(A846,TRAOPE!$A:$W,23,0),VLOOKUP(B846,TRAOPE!$A:$W,23,0)),"")</f>
        <v/>
      </c>
      <c r="S846" s="10">
        <f>IF(AND(P846="TN",R846="TN"),N846+N(O846),IF(G846&amp;""="1",N(K846)*N846,(N846+N(O846))*N(K846)))</f>
        <v/>
      </c>
      <c r="T846" s="10">
        <f>IF(Q846="","",Q846-S846)</f>
        <v/>
      </c>
    </row>
    <row r="847">
      <c r="A847" s="7">
        <f>CONCATENATE(C847,E847,F847,I847)</f>
        <v/>
      </c>
      <c r="B847" s="7">
        <f>CONCATENATE(C847,E847,I847)</f>
        <v/>
      </c>
      <c r="C847" s="8" t="n">
        <v>900004324</v>
      </c>
      <c r="D847" s="7">
        <f>IFERROR(VLOOKUP(C847,TRAOPE!$G:$H,2,0),"")</f>
        <v/>
      </c>
      <c r="E847" s="8" t="inlineStr">
        <is>
          <t>DW70</t>
        </is>
      </c>
      <c r="F847" s="8" t="inlineStr">
        <is>
          <t>ENDB</t>
        </is>
      </c>
      <c r="G847" s="8">
        <f>IFERROR(VLOOKUP(A847,Flete!$A:$E,5,0),"")</f>
        <v/>
      </c>
      <c r="H847" s="7">
        <f>IFERROR(VLOOKUP(F847,TRAOPE!$AA:$AB,2,0),"")</f>
        <v/>
      </c>
      <c r="I847" s="7" t="n">
        <v>10145835</v>
      </c>
      <c r="J847" s="7">
        <f>IFERROR(VLOOKUP(I847,Materiales!$A:$H,8,0),"")</f>
        <v/>
      </c>
      <c r="K847" s="9">
        <f>IFERROR(VLOOKUP(I847,Materiales!$A:$G,7,0),"")</f>
        <v/>
      </c>
      <c r="L847" s="8" t="inlineStr">
        <is>
          <t>20250701</t>
        </is>
      </c>
      <c r="M847" s="8" t="inlineStr">
        <is>
          <t>99991231</t>
        </is>
      </c>
      <c r="N847" s="10" t="n">
        <v>105.07</v>
      </c>
      <c r="O847" s="10">
        <f>IFERROR(VLOOKUP(A847,Flete!$A:$J,10,0),"")</f>
        <v/>
      </c>
      <c r="P847" s="8" t="inlineStr">
        <is>
          <t>TN</t>
        </is>
      </c>
      <c r="Q847" s="10">
        <f>IFERROR(IFERROR(VLOOKUP(A847,TRAOPE!$A:$U,21,0),VLOOKUP(B847,TRAOPE!$A:$U,21,0)),"")</f>
        <v/>
      </c>
      <c r="R847" s="8">
        <f>IFERROR(IFERROR(VLOOKUP(A847,TRAOPE!$A:$W,23,0),VLOOKUP(B847,TRAOPE!$A:$W,23,0)),"")</f>
        <v/>
      </c>
      <c r="S847" s="10">
        <f>IF(AND(P847="TN",R847="TN"),N847+N(O847),IF(G847&amp;""="1",N(K847)*N847,(N847+N(O847))*N(K847)))</f>
        <v/>
      </c>
      <c r="T847" s="10">
        <f>IF(Q847="","",Q847-S847)</f>
        <v/>
      </c>
    </row>
    <row r="848">
      <c r="A848" s="7">
        <f>CONCATENATE(C848,E848,F848,I848)</f>
        <v/>
      </c>
      <c r="B848" s="7">
        <f>CONCATENATE(C848,E848,I848)</f>
        <v/>
      </c>
      <c r="C848" s="8" t="n">
        <v>900004324</v>
      </c>
      <c r="D848" s="7">
        <f>IFERROR(VLOOKUP(C848,TRAOPE!$G:$H,2,0),"")</f>
        <v/>
      </c>
      <c r="E848" s="8" t="inlineStr">
        <is>
          <t>DW70</t>
        </is>
      </c>
      <c r="F848" s="8" t="inlineStr">
        <is>
          <t>ENDB</t>
        </is>
      </c>
      <c r="G848" s="8">
        <f>IFERROR(VLOOKUP(A848,Flete!$A:$E,5,0),"")</f>
        <v/>
      </c>
      <c r="H848" s="7">
        <f>IFERROR(VLOOKUP(F848,TRAOPE!$AA:$AB,2,0),"")</f>
        <v/>
      </c>
      <c r="I848" s="7" t="n">
        <v>10155487</v>
      </c>
      <c r="J848" s="7">
        <f>IFERROR(VLOOKUP(I848,Materiales!$A:$H,8,0),"")</f>
        <v/>
      </c>
      <c r="K848" s="9">
        <f>IFERROR(VLOOKUP(I848,Materiales!$A:$G,7,0),"")</f>
        <v/>
      </c>
      <c r="L848" s="8" t="inlineStr">
        <is>
          <t>20250701</t>
        </is>
      </c>
      <c r="M848" s="8" t="inlineStr">
        <is>
          <t>99991231</t>
        </is>
      </c>
      <c r="N848" s="10" t="n">
        <v>184.31</v>
      </c>
      <c r="O848" s="10">
        <f>IFERROR(VLOOKUP(A848,Flete!$A:$J,10,0),"")</f>
        <v/>
      </c>
      <c r="P848" s="8" t="inlineStr">
        <is>
          <t>TN</t>
        </is>
      </c>
      <c r="Q848" s="10">
        <f>IFERROR(IFERROR(VLOOKUP(A848,TRAOPE!$A:$U,21,0),VLOOKUP(B848,TRAOPE!$A:$U,21,0)),"")</f>
        <v/>
      </c>
      <c r="R848" s="8">
        <f>IFERROR(IFERROR(VLOOKUP(A848,TRAOPE!$A:$W,23,0),VLOOKUP(B848,TRAOPE!$A:$W,23,0)),"")</f>
        <v/>
      </c>
      <c r="S848" s="10">
        <f>IF(AND(P848="TN",R848="TN"),N848+N(O848),IF(G848&amp;""="1",N(K848)*N848,(N848+N(O848))*N(K848)))</f>
        <v/>
      </c>
      <c r="T848" s="10">
        <f>IF(Q848="","",Q848-S848)</f>
        <v/>
      </c>
    </row>
    <row r="849">
      <c r="A849" s="7">
        <f>CONCATENATE(C849,E849,F849,I849)</f>
        <v/>
      </c>
      <c r="B849" s="7">
        <f>CONCATENATE(C849,E849,I849)</f>
        <v/>
      </c>
      <c r="C849" s="8" t="n">
        <v>900004324</v>
      </c>
      <c r="D849" s="7">
        <f>IFERROR(VLOOKUP(C849,TRAOPE!$G:$H,2,0),"")</f>
        <v/>
      </c>
      <c r="E849" s="8" t="inlineStr">
        <is>
          <t>DW70</t>
        </is>
      </c>
      <c r="F849" s="8" t="inlineStr">
        <is>
          <t>ENDB</t>
        </is>
      </c>
      <c r="G849" s="8">
        <f>IFERROR(VLOOKUP(A849,Flete!$A:$E,5,0),"")</f>
        <v/>
      </c>
      <c r="H849" s="7">
        <f>IFERROR(VLOOKUP(F849,TRAOPE!$AA:$AB,2,0),"")</f>
        <v/>
      </c>
      <c r="I849" s="7" t="n">
        <v>10159061</v>
      </c>
      <c r="J849" s="7">
        <f>IFERROR(VLOOKUP(I849,Materiales!$A:$H,8,0),"")</f>
        <v/>
      </c>
      <c r="K849" s="9">
        <f>IFERROR(VLOOKUP(I849,Materiales!$A:$G,7,0),"")</f>
        <v/>
      </c>
      <c r="L849" s="8" t="inlineStr">
        <is>
          <t>20250701</t>
        </is>
      </c>
      <c r="M849" s="8" t="inlineStr">
        <is>
          <t>20251031</t>
        </is>
      </c>
      <c r="N849" s="10" t="n">
        <v>90.63</v>
      </c>
      <c r="O849" s="10">
        <f>IFERROR(VLOOKUP(A849,Flete!$A:$J,10,0),"")</f>
        <v/>
      </c>
      <c r="P849" s="8" t="inlineStr">
        <is>
          <t>TN</t>
        </is>
      </c>
      <c r="Q849" s="10">
        <f>IFERROR(IFERROR(VLOOKUP(A849,TRAOPE!$A:$U,21,0),VLOOKUP(B849,TRAOPE!$A:$U,21,0)),"")</f>
        <v/>
      </c>
      <c r="R849" s="8">
        <f>IFERROR(IFERROR(VLOOKUP(A849,TRAOPE!$A:$W,23,0),VLOOKUP(B849,TRAOPE!$A:$W,23,0)),"")</f>
        <v/>
      </c>
      <c r="S849" s="10">
        <f>IF(AND(P849="TN",R849="TN"),N849+N(O849),IF(G849&amp;""="1",N(K849)*N849,(N849+N(O849))*N(K849)))</f>
        <v/>
      </c>
      <c r="T849" s="10">
        <f>IF(Q849="","",Q849-S849)</f>
        <v/>
      </c>
    </row>
    <row r="850">
      <c r="A850" s="7">
        <f>CONCATENATE(C850,E850,F850,I850)</f>
        <v/>
      </c>
      <c r="B850" s="7">
        <f>CONCATENATE(C850,E850,I850)</f>
        <v/>
      </c>
      <c r="C850" s="8" t="n">
        <v>900004324</v>
      </c>
      <c r="D850" s="7">
        <f>IFERROR(VLOOKUP(C850,TRAOPE!$G:$H,2,0),"")</f>
        <v/>
      </c>
      <c r="E850" s="8" t="inlineStr">
        <is>
          <t>DW70</t>
        </is>
      </c>
      <c r="F850" s="8" t="inlineStr">
        <is>
          <t>ENDC</t>
        </is>
      </c>
      <c r="G850" s="8">
        <f>IFERROR(VLOOKUP(A850,Flete!$A:$E,5,0),"")</f>
        <v/>
      </c>
      <c r="H850" s="7">
        <f>IFERROR(VLOOKUP(F850,TRAOPE!$AA:$AB,2,0),"")</f>
        <v/>
      </c>
      <c r="I850" s="7" t="n">
        <v>10000432</v>
      </c>
      <c r="J850" s="7">
        <f>IFERROR(VLOOKUP(I850,Materiales!$A:$H,8,0),"")</f>
        <v/>
      </c>
      <c r="K850" s="9">
        <f>IFERROR(VLOOKUP(I850,Materiales!$A:$G,7,0),"")</f>
        <v/>
      </c>
      <c r="L850" s="8" t="inlineStr">
        <is>
          <t>20250701</t>
        </is>
      </c>
      <c r="M850" s="8" t="inlineStr">
        <is>
          <t>99991231</t>
        </is>
      </c>
      <c r="N850" s="10" t="n">
        <v>137.5</v>
      </c>
      <c r="O850" s="10">
        <f>IFERROR(VLOOKUP(A850,Flete!$A:$J,10,0),"")</f>
        <v/>
      </c>
      <c r="P850" s="8" t="inlineStr">
        <is>
          <t>TN</t>
        </is>
      </c>
      <c r="Q850" s="10">
        <f>IFERROR(IFERROR(VLOOKUP(A850,TRAOPE!$A:$U,21,0),VLOOKUP(B850,TRAOPE!$A:$U,21,0)),"")</f>
        <v/>
      </c>
      <c r="R850" s="8">
        <f>IFERROR(IFERROR(VLOOKUP(A850,TRAOPE!$A:$W,23,0),VLOOKUP(B850,TRAOPE!$A:$W,23,0)),"")</f>
        <v/>
      </c>
      <c r="S850" s="10">
        <f>IF(AND(P850="TN",R850="TN"),N850+N(O850),IF(G850&amp;""="1",N(K850)*N850,(N850+N(O850))*N(K850)))</f>
        <v/>
      </c>
      <c r="T850" s="10">
        <f>IF(Q850="","",Q850-S850)</f>
        <v/>
      </c>
    </row>
    <row r="851">
      <c r="A851" s="7">
        <f>CONCATENATE(C851,E851,F851,I851)</f>
        <v/>
      </c>
      <c r="B851" s="7">
        <f>CONCATENATE(C851,E851,I851)</f>
        <v/>
      </c>
      <c r="C851" s="8" t="n">
        <v>900004324</v>
      </c>
      <c r="D851" s="7">
        <f>IFERROR(VLOOKUP(C851,TRAOPE!$G:$H,2,0),"")</f>
        <v/>
      </c>
      <c r="E851" s="8" t="inlineStr">
        <is>
          <t>DW70</t>
        </is>
      </c>
      <c r="F851" s="8" t="inlineStr">
        <is>
          <t>ENDC</t>
        </is>
      </c>
      <c r="G851" s="8">
        <f>IFERROR(VLOOKUP(A851,Flete!$A:$E,5,0),"")</f>
        <v/>
      </c>
      <c r="H851" s="7">
        <f>IFERROR(VLOOKUP(F851,TRAOPE!$AA:$AB,2,0),"")</f>
        <v/>
      </c>
      <c r="I851" s="7" t="n">
        <v>10145835</v>
      </c>
      <c r="J851" s="7">
        <f>IFERROR(VLOOKUP(I851,Materiales!$A:$H,8,0),"")</f>
        <v/>
      </c>
      <c r="K851" s="9">
        <f>IFERROR(VLOOKUP(I851,Materiales!$A:$G,7,0),"")</f>
        <v/>
      </c>
      <c r="L851" s="8" t="inlineStr">
        <is>
          <t>20250701</t>
        </is>
      </c>
      <c r="M851" s="8" t="inlineStr">
        <is>
          <t>99991231</t>
        </is>
      </c>
      <c r="N851" s="10" t="n">
        <v>105.07</v>
      </c>
      <c r="O851" s="10">
        <f>IFERROR(VLOOKUP(A851,Flete!$A:$J,10,0),"")</f>
        <v/>
      </c>
      <c r="P851" s="8" t="inlineStr">
        <is>
          <t>TN</t>
        </is>
      </c>
      <c r="Q851" s="10">
        <f>IFERROR(IFERROR(VLOOKUP(A851,TRAOPE!$A:$U,21,0),VLOOKUP(B851,TRAOPE!$A:$U,21,0)),"")</f>
        <v/>
      </c>
      <c r="R851" s="8">
        <f>IFERROR(IFERROR(VLOOKUP(A851,TRAOPE!$A:$W,23,0),VLOOKUP(B851,TRAOPE!$A:$W,23,0)),"")</f>
        <v/>
      </c>
      <c r="S851" s="10">
        <f>IF(AND(P851="TN",R851="TN"),N851+N(O851),IF(G851&amp;""="1",N(K851)*N851,(N851+N(O851))*N(K851)))</f>
        <v/>
      </c>
      <c r="T851" s="10">
        <f>IF(Q851="","",Q851-S851)</f>
        <v/>
      </c>
    </row>
    <row r="852">
      <c r="A852" s="7">
        <f>CONCATENATE(C852,E852,F852,I852)</f>
        <v/>
      </c>
      <c r="B852" s="7">
        <f>CONCATENATE(C852,E852,I852)</f>
        <v/>
      </c>
      <c r="C852" s="8" t="n">
        <v>900004324</v>
      </c>
      <c r="D852" s="7">
        <f>IFERROR(VLOOKUP(C852,TRAOPE!$G:$H,2,0),"")</f>
        <v/>
      </c>
      <c r="E852" s="8" t="inlineStr">
        <is>
          <t>DW70</t>
        </is>
      </c>
      <c r="F852" s="8" t="inlineStr">
        <is>
          <t>ENDC</t>
        </is>
      </c>
      <c r="G852" s="8">
        <f>IFERROR(VLOOKUP(A852,Flete!$A:$E,5,0),"")</f>
        <v/>
      </c>
      <c r="H852" s="7">
        <f>IFERROR(VLOOKUP(F852,TRAOPE!$AA:$AB,2,0),"")</f>
        <v/>
      </c>
      <c r="I852" s="7" t="n">
        <v>10155487</v>
      </c>
      <c r="J852" s="7">
        <f>IFERROR(VLOOKUP(I852,Materiales!$A:$H,8,0),"")</f>
        <v/>
      </c>
      <c r="K852" s="9">
        <f>IFERROR(VLOOKUP(I852,Materiales!$A:$G,7,0),"")</f>
        <v/>
      </c>
      <c r="L852" s="8" t="inlineStr">
        <is>
          <t>20250701</t>
        </is>
      </c>
      <c r="M852" s="8" t="inlineStr">
        <is>
          <t>99991231</t>
        </is>
      </c>
      <c r="N852" s="10" t="n">
        <v>184.31</v>
      </c>
      <c r="O852" s="10">
        <f>IFERROR(VLOOKUP(A852,Flete!$A:$J,10,0),"")</f>
        <v/>
      </c>
      <c r="P852" s="8" t="inlineStr">
        <is>
          <t>TN</t>
        </is>
      </c>
      <c r="Q852" s="10">
        <f>IFERROR(IFERROR(VLOOKUP(A852,TRAOPE!$A:$U,21,0),VLOOKUP(B852,TRAOPE!$A:$U,21,0)),"")</f>
        <v/>
      </c>
      <c r="R852" s="8">
        <f>IFERROR(IFERROR(VLOOKUP(A852,TRAOPE!$A:$W,23,0),VLOOKUP(B852,TRAOPE!$A:$W,23,0)),"")</f>
        <v/>
      </c>
      <c r="S852" s="10">
        <f>IF(AND(P852="TN",R852="TN"),N852+N(O852),IF(G852&amp;""="1",N(K852)*N852,(N852+N(O852))*N(K852)))</f>
        <v/>
      </c>
      <c r="T852" s="10">
        <f>IF(Q852="","",Q852-S852)</f>
        <v/>
      </c>
    </row>
    <row r="853">
      <c r="A853" s="7">
        <f>CONCATENATE(C853,E853,F853,I853)</f>
        <v/>
      </c>
      <c r="B853" s="7">
        <f>CONCATENATE(C853,E853,I853)</f>
        <v/>
      </c>
      <c r="C853" s="8" t="n">
        <v>900004324</v>
      </c>
      <c r="D853" s="7">
        <f>IFERROR(VLOOKUP(C853,TRAOPE!$G:$H,2,0),"")</f>
        <v/>
      </c>
      <c r="E853" s="8" t="inlineStr">
        <is>
          <t>DW70</t>
        </is>
      </c>
      <c r="F853" s="8" t="inlineStr">
        <is>
          <t>ENDC</t>
        </is>
      </c>
      <c r="G853" s="8">
        <f>IFERROR(VLOOKUP(A853,Flete!$A:$E,5,0),"")</f>
        <v/>
      </c>
      <c r="H853" s="7">
        <f>IFERROR(VLOOKUP(F853,TRAOPE!$AA:$AB,2,0),"")</f>
        <v/>
      </c>
      <c r="I853" s="7" t="n">
        <v>10159061</v>
      </c>
      <c r="J853" s="7">
        <f>IFERROR(VLOOKUP(I853,Materiales!$A:$H,8,0),"")</f>
        <v/>
      </c>
      <c r="K853" s="9">
        <f>IFERROR(VLOOKUP(I853,Materiales!$A:$G,7,0),"")</f>
        <v/>
      </c>
      <c r="L853" s="8" t="inlineStr">
        <is>
          <t>20250701</t>
        </is>
      </c>
      <c r="M853" s="8" t="inlineStr">
        <is>
          <t>20251031</t>
        </is>
      </c>
      <c r="N853" s="10" t="n">
        <v>90.63</v>
      </c>
      <c r="O853" s="10">
        <f>IFERROR(VLOOKUP(A853,Flete!$A:$J,10,0),"")</f>
        <v/>
      </c>
      <c r="P853" s="8" t="inlineStr">
        <is>
          <t>TN</t>
        </is>
      </c>
      <c r="Q853" s="10">
        <f>IFERROR(IFERROR(VLOOKUP(A853,TRAOPE!$A:$U,21,0),VLOOKUP(B853,TRAOPE!$A:$U,21,0)),"")</f>
        <v/>
      </c>
      <c r="R853" s="8">
        <f>IFERROR(IFERROR(VLOOKUP(A853,TRAOPE!$A:$W,23,0),VLOOKUP(B853,TRAOPE!$A:$W,23,0)),"")</f>
        <v/>
      </c>
      <c r="S853" s="10">
        <f>IF(AND(P853="TN",R853="TN"),N853+N(O853),IF(G853&amp;""="1",N(K853)*N853,(N853+N(O853))*N(K853)))</f>
        <v/>
      </c>
      <c r="T853" s="10">
        <f>IF(Q853="","",Q853-S853)</f>
        <v/>
      </c>
    </row>
    <row r="854">
      <c r="A854" s="7">
        <f>CONCATENATE(C854,E854,F854,I854)</f>
        <v/>
      </c>
      <c r="B854" s="7">
        <f>CONCATENATE(C854,E854,I854)</f>
        <v/>
      </c>
      <c r="C854" s="8" t="n">
        <v>900004324</v>
      </c>
      <c r="D854" s="7">
        <f>IFERROR(VLOOKUP(C854,TRAOPE!$G:$H,2,0),"")</f>
        <v/>
      </c>
      <c r="E854" s="8" t="inlineStr">
        <is>
          <t>DW70</t>
        </is>
      </c>
      <c r="F854" s="8" t="inlineStr">
        <is>
          <t>ENXF</t>
        </is>
      </c>
      <c r="G854" s="8">
        <f>IFERROR(VLOOKUP(A854,Flete!$A:$E,5,0),"")</f>
        <v/>
      </c>
      <c r="H854" s="7">
        <f>IFERROR(VLOOKUP(F854,TRAOPE!$AA:$AB,2,0),"")</f>
        <v/>
      </c>
      <c r="I854" s="7" t="n">
        <v>10000432</v>
      </c>
      <c r="J854" s="7">
        <f>IFERROR(VLOOKUP(I854,Materiales!$A:$H,8,0),"")</f>
        <v/>
      </c>
      <c r="K854" s="9">
        <f>IFERROR(VLOOKUP(I854,Materiales!$A:$G,7,0),"")</f>
        <v/>
      </c>
      <c r="L854" s="8" t="inlineStr">
        <is>
          <t>20251124</t>
        </is>
      </c>
      <c r="M854" s="8" t="inlineStr">
        <is>
          <t>99991231</t>
        </is>
      </c>
      <c r="N854" s="10" t="n">
        <v>137.5</v>
      </c>
      <c r="O854" s="10">
        <f>IFERROR(VLOOKUP(A854,Flete!$A:$J,10,0),"")</f>
        <v/>
      </c>
      <c r="P854" s="8" t="inlineStr">
        <is>
          <t>TN</t>
        </is>
      </c>
      <c r="Q854" s="10">
        <f>IFERROR(IFERROR(VLOOKUP(A854,TRAOPE!$A:$U,21,0),VLOOKUP(B854,TRAOPE!$A:$U,21,0)),"")</f>
        <v/>
      </c>
      <c r="R854" s="8">
        <f>IFERROR(IFERROR(VLOOKUP(A854,TRAOPE!$A:$W,23,0),VLOOKUP(B854,TRAOPE!$A:$W,23,0)),"")</f>
        <v/>
      </c>
      <c r="S854" s="10">
        <f>IF(AND(P854="TN",R854="TN"),N854+N(O854),IF(G854&amp;""="1",N(K854)*N854,(N854+N(O854))*N(K854)))</f>
        <v/>
      </c>
      <c r="T854" s="10">
        <f>IF(Q854="","",Q854-S854)</f>
        <v/>
      </c>
    </row>
    <row r="855">
      <c r="A855" s="7">
        <f>CONCATENATE(C855,E855,F855,I855)</f>
        <v/>
      </c>
      <c r="B855" s="7">
        <f>CONCATENATE(C855,E855,I855)</f>
        <v/>
      </c>
      <c r="C855" s="8" t="n">
        <v>900004324</v>
      </c>
      <c r="D855" s="7">
        <f>IFERROR(VLOOKUP(C855,TRAOPE!$G:$H,2,0),"")</f>
        <v/>
      </c>
      <c r="E855" s="8" t="inlineStr">
        <is>
          <t>DW70</t>
        </is>
      </c>
      <c r="F855" s="8" t="inlineStr">
        <is>
          <t>ENXF</t>
        </is>
      </c>
      <c r="G855" s="8">
        <f>IFERROR(VLOOKUP(A855,Flete!$A:$E,5,0),"")</f>
        <v/>
      </c>
      <c r="H855" s="7">
        <f>IFERROR(VLOOKUP(F855,TRAOPE!$AA:$AB,2,0),"")</f>
        <v/>
      </c>
      <c r="I855" s="7" t="n">
        <v>10145835</v>
      </c>
      <c r="J855" s="7">
        <f>IFERROR(VLOOKUP(I855,Materiales!$A:$H,8,0),"")</f>
        <v/>
      </c>
      <c r="K855" s="9">
        <f>IFERROR(VLOOKUP(I855,Materiales!$A:$G,7,0),"")</f>
        <v/>
      </c>
      <c r="L855" s="8" t="inlineStr">
        <is>
          <t>20251124</t>
        </is>
      </c>
      <c r="M855" s="8" t="inlineStr">
        <is>
          <t>99991231</t>
        </is>
      </c>
      <c r="N855" s="10" t="n">
        <v>105.07</v>
      </c>
      <c r="O855" s="10">
        <f>IFERROR(VLOOKUP(A855,Flete!$A:$J,10,0),"")</f>
        <v/>
      </c>
      <c r="P855" s="8" t="inlineStr">
        <is>
          <t>TN</t>
        </is>
      </c>
      <c r="Q855" s="10">
        <f>IFERROR(IFERROR(VLOOKUP(A855,TRAOPE!$A:$U,21,0),VLOOKUP(B855,TRAOPE!$A:$U,21,0)),"")</f>
        <v/>
      </c>
      <c r="R855" s="8">
        <f>IFERROR(IFERROR(VLOOKUP(A855,TRAOPE!$A:$W,23,0),VLOOKUP(B855,TRAOPE!$A:$W,23,0)),"")</f>
        <v/>
      </c>
      <c r="S855" s="10">
        <f>IF(AND(P855="TN",R855="TN"),N855+N(O855),IF(G855&amp;""="1",N(K855)*N855,(N855+N(O855))*N(K855)))</f>
        <v/>
      </c>
      <c r="T855" s="10">
        <f>IF(Q855="","",Q855-S855)</f>
        <v/>
      </c>
    </row>
    <row r="856">
      <c r="A856" s="7">
        <f>CONCATENATE(C856,E856,F856,I856)</f>
        <v/>
      </c>
      <c r="B856" s="7">
        <f>CONCATENATE(C856,E856,I856)</f>
        <v/>
      </c>
      <c r="C856" s="8" t="n">
        <v>900004324</v>
      </c>
      <c r="D856" s="7">
        <f>IFERROR(VLOOKUP(C856,TRAOPE!$G:$H,2,0),"")</f>
        <v/>
      </c>
      <c r="E856" s="8" t="inlineStr">
        <is>
          <t>DW70</t>
        </is>
      </c>
      <c r="F856" s="8" t="inlineStr">
        <is>
          <t>ENXF</t>
        </is>
      </c>
      <c r="G856" s="8">
        <f>IFERROR(VLOOKUP(A856,Flete!$A:$E,5,0),"")</f>
        <v/>
      </c>
      <c r="H856" s="7">
        <f>IFERROR(VLOOKUP(F856,TRAOPE!$AA:$AB,2,0),"")</f>
        <v/>
      </c>
      <c r="I856" s="7" t="n">
        <v>10155487</v>
      </c>
      <c r="J856" s="7">
        <f>IFERROR(VLOOKUP(I856,Materiales!$A:$H,8,0),"")</f>
        <v/>
      </c>
      <c r="K856" s="9">
        <f>IFERROR(VLOOKUP(I856,Materiales!$A:$G,7,0),"")</f>
        <v/>
      </c>
      <c r="L856" s="8" t="inlineStr">
        <is>
          <t>20251124</t>
        </is>
      </c>
      <c r="M856" s="8" t="inlineStr">
        <is>
          <t>99991231</t>
        </is>
      </c>
      <c r="N856" s="10" t="n">
        <v>184.31</v>
      </c>
      <c r="O856" s="10">
        <f>IFERROR(VLOOKUP(A856,Flete!$A:$J,10,0),"")</f>
        <v/>
      </c>
      <c r="P856" s="8" t="inlineStr">
        <is>
          <t>TN</t>
        </is>
      </c>
      <c r="Q856" s="10">
        <f>IFERROR(IFERROR(VLOOKUP(A856,TRAOPE!$A:$U,21,0),VLOOKUP(B856,TRAOPE!$A:$U,21,0)),"")</f>
        <v/>
      </c>
      <c r="R856" s="8">
        <f>IFERROR(IFERROR(VLOOKUP(A856,TRAOPE!$A:$W,23,0),VLOOKUP(B856,TRAOPE!$A:$W,23,0)),"")</f>
        <v/>
      </c>
      <c r="S856" s="10">
        <f>IF(AND(P856="TN",R856="TN"),N856+N(O856),IF(G856&amp;""="1",N(K856)*N856,(N856+N(O856))*N(K856)))</f>
        <v/>
      </c>
      <c r="T856" s="10">
        <f>IF(Q856="","",Q856-S856)</f>
        <v/>
      </c>
    </row>
    <row r="857">
      <c r="A857" s="7">
        <f>CONCATENATE(C857,E857,F857,I857)</f>
        <v/>
      </c>
      <c r="B857" s="7">
        <f>CONCATENATE(C857,E857,I857)</f>
        <v/>
      </c>
      <c r="C857" s="8" t="n">
        <v>900004446</v>
      </c>
      <c r="D857" s="7">
        <f>IFERROR(VLOOKUP(C857,TRAOPE!$G:$H,2,0),"")</f>
        <v/>
      </c>
      <c r="E857" s="8" t="inlineStr">
        <is>
          <t>DW70</t>
        </is>
      </c>
      <c r="F857" s="8" t="inlineStr">
        <is>
          <t>D081</t>
        </is>
      </c>
      <c r="G857" s="8">
        <f>IFERROR(VLOOKUP(A857,Flete!$A:$E,5,0),"")</f>
        <v/>
      </c>
      <c r="H857" s="7">
        <f>IFERROR(VLOOKUP(F857,TRAOPE!$AA:$AB,2,0),"")</f>
        <v/>
      </c>
      <c r="I857" s="7" t="n">
        <v>10000829</v>
      </c>
      <c r="J857" s="7">
        <f>IFERROR(VLOOKUP(I857,Materiales!$A:$H,8,0),"")</f>
        <v/>
      </c>
      <c r="K857" s="9">
        <f>IFERROR(VLOOKUP(I857,Materiales!$A:$G,7,0),"")</f>
        <v/>
      </c>
      <c r="L857" s="8" t="inlineStr">
        <is>
          <t>20230501</t>
        </is>
      </c>
      <c r="M857" s="8" t="inlineStr">
        <is>
          <t>20250131</t>
        </is>
      </c>
      <c r="N857" s="10" t="n">
        <v>37.3</v>
      </c>
      <c r="O857" s="10">
        <f>IFERROR(VLOOKUP(A857,Flete!$A:$J,10,0),"")</f>
        <v/>
      </c>
      <c r="P857" s="8" t="inlineStr">
        <is>
          <t>TN</t>
        </is>
      </c>
      <c r="Q857" s="10">
        <f>IFERROR(IFERROR(VLOOKUP(A857,TRAOPE!$A:$U,21,0),VLOOKUP(B857,TRAOPE!$A:$U,21,0)),"")</f>
        <v/>
      </c>
      <c r="R857" s="8">
        <f>IFERROR(IFERROR(VLOOKUP(A857,TRAOPE!$A:$W,23,0),VLOOKUP(B857,TRAOPE!$A:$W,23,0)),"")</f>
        <v/>
      </c>
      <c r="S857" s="10">
        <f>IF(AND(P857="TN",R857="TN"),N857+N(O857),IF(G857&amp;""="1",N(K857)*N857,(N857+N(O857))*N(K857)))</f>
        <v/>
      </c>
      <c r="T857" s="10">
        <f>IF(Q857="","",Q857-S857)</f>
        <v/>
      </c>
    </row>
    <row r="858">
      <c r="A858" s="7">
        <f>CONCATENATE(C858,E858,F858,I858)</f>
        <v/>
      </c>
      <c r="B858" s="7">
        <f>CONCATENATE(C858,E858,I858)</f>
        <v/>
      </c>
      <c r="C858" s="8" t="n">
        <v>900004446</v>
      </c>
      <c r="D858" s="7">
        <f>IFERROR(VLOOKUP(C858,TRAOPE!$G:$H,2,0),"")</f>
        <v/>
      </c>
      <c r="E858" s="8" t="inlineStr">
        <is>
          <t>DW70</t>
        </is>
      </c>
      <c r="F858" s="8" t="inlineStr">
        <is>
          <t>D083</t>
        </is>
      </c>
      <c r="G858" s="8">
        <f>IFERROR(VLOOKUP(A858,Flete!$A:$E,5,0),"")</f>
        <v/>
      </c>
      <c r="H858" s="7">
        <f>IFERROR(VLOOKUP(F858,TRAOPE!$AA:$AB,2,0),"")</f>
        <v/>
      </c>
      <c r="I858" s="7" t="n">
        <v>10000829</v>
      </c>
      <c r="J858" s="7">
        <f>IFERROR(VLOOKUP(I858,Materiales!$A:$H,8,0),"")</f>
        <v/>
      </c>
      <c r="K858" s="9">
        <f>IFERROR(VLOOKUP(I858,Materiales!$A:$G,7,0),"")</f>
        <v/>
      </c>
      <c r="L858" s="8" t="inlineStr">
        <is>
          <t>20230501</t>
        </is>
      </c>
      <c r="M858" s="8" t="inlineStr">
        <is>
          <t>20250131</t>
        </is>
      </c>
      <c r="N858" s="10" t="n">
        <v>37.3</v>
      </c>
      <c r="O858" s="10">
        <f>IFERROR(VLOOKUP(A858,Flete!$A:$J,10,0),"")</f>
        <v/>
      </c>
      <c r="P858" s="8" t="inlineStr">
        <is>
          <t>TN</t>
        </is>
      </c>
      <c r="Q858" s="10">
        <f>IFERROR(IFERROR(VLOOKUP(A858,TRAOPE!$A:$U,21,0),VLOOKUP(B858,TRAOPE!$A:$U,21,0)),"")</f>
        <v/>
      </c>
      <c r="R858" s="8">
        <f>IFERROR(IFERROR(VLOOKUP(A858,TRAOPE!$A:$W,23,0),VLOOKUP(B858,TRAOPE!$A:$W,23,0)),"")</f>
        <v/>
      </c>
      <c r="S858" s="10">
        <f>IF(AND(P858="TN",R858="TN"),N858+N(O858),IF(G858&amp;""="1",N(K858)*N858,(N858+N(O858))*N(K858)))</f>
        <v/>
      </c>
      <c r="T858" s="10">
        <f>IF(Q858="","",Q858-S858)</f>
        <v/>
      </c>
    </row>
    <row r="859">
      <c r="A859" s="7">
        <f>CONCATENATE(C859,E859,F859,I859)</f>
        <v/>
      </c>
      <c r="B859" s="7">
        <f>CONCATENATE(C859,E859,I859)</f>
        <v/>
      </c>
      <c r="C859" s="8" t="n">
        <v>900004446</v>
      </c>
      <c r="D859" s="7">
        <f>IFERROR(VLOOKUP(C859,TRAOPE!$G:$H,2,0),"")</f>
        <v/>
      </c>
      <c r="E859" s="8" t="inlineStr">
        <is>
          <t>DW70</t>
        </is>
      </c>
      <c r="F859" s="8" t="inlineStr">
        <is>
          <t>D084</t>
        </is>
      </c>
      <c r="G859" s="8">
        <f>IFERROR(VLOOKUP(A859,Flete!$A:$E,5,0),"")</f>
        <v/>
      </c>
      <c r="H859" s="7">
        <f>IFERROR(VLOOKUP(F859,TRAOPE!$AA:$AB,2,0),"")</f>
        <v/>
      </c>
      <c r="I859" s="7" t="n">
        <v>10000829</v>
      </c>
      <c r="J859" s="7">
        <f>IFERROR(VLOOKUP(I859,Materiales!$A:$H,8,0),"")</f>
        <v/>
      </c>
      <c r="K859" s="9">
        <f>IFERROR(VLOOKUP(I859,Materiales!$A:$G,7,0),"")</f>
        <v/>
      </c>
      <c r="L859" s="8" t="inlineStr">
        <is>
          <t>20230501</t>
        </is>
      </c>
      <c r="M859" s="8" t="inlineStr">
        <is>
          <t>20250131</t>
        </is>
      </c>
      <c r="N859" s="10" t="n">
        <v>37.3</v>
      </c>
      <c r="O859" s="10">
        <f>IFERROR(VLOOKUP(A859,Flete!$A:$J,10,0),"")</f>
        <v/>
      </c>
      <c r="P859" s="8" t="inlineStr">
        <is>
          <t>TN</t>
        </is>
      </c>
      <c r="Q859" s="10">
        <f>IFERROR(IFERROR(VLOOKUP(A859,TRAOPE!$A:$U,21,0),VLOOKUP(B859,TRAOPE!$A:$U,21,0)),"")</f>
        <v/>
      </c>
      <c r="R859" s="8">
        <f>IFERROR(IFERROR(VLOOKUP(A859,TRAOPE!$A:$W,23,0),VLOOKUP(B859,TRAOPE!$A:$W,23,0)),"")</f>
        <v/>
      </c>
      <c r="S859" s="10">
        <f>IF(AND(P859="TN",R859="TN"),N859+N(O859),IF(G859&amp;""="1",N(K859)*N859,(N859+N(O859))*N(K859)))</f>
        <v/>
      </c>
      <c r="T859" s="10">
        <f>IF(Q859="","",Q859-S859)</f>
        <v/>
      </c>
    </row>
    <row r="860">
      <c r="A860" s="7">
        <f>CONCATENATE(C860,E860,F860,I860)</f>
        <v/>
      </c>
      <c r="B860" s="7">
        <f>CONCATENATE(C860,E860,I860)</f>
        <v/>
      </c>
      <c r="C860" s="8" t="n">
        <v>900004446</v>
      </c>
      <c r="D860" s="7">
        <f>IFERROR(VLOOKUP(C860,TRAOPE!$G:$H,2,0),"")</f>
        <v/>
      </c>
      <c r="E860" s="8" t="inlineStr">
        <is>
          <t>DW70</t>
        </is>
      </c>
      <c r="F860" s="8" t="inlineStr">
        <is>
          <t>D086</t>
        </is>
      </c>
      <c r="G860" s="8">
        <f>IFERROR(VLOOKUP(A860,Flete!$A:$E,5,0),"")</f>
        <v/>
      </c>
      <c r="H860" s="7">
        <f>IFERROR(VLOOKUP(F860,TRAOPE!$AA:$AB,2,0),"")</f>
        <v/>
      </c>
      <c r="I860" s="7" t="n">
        <v>10000829</v>
      </c>
      <c r="J860" s="7">
        <f>IFERROR(VLOOKUP(I860,Materiales!$A:$H,8,0),"")</f>
        <v/>
      </c>
      <c r="K860" s="9">
        <f>IFERROR(VLOOKUP(I860,Materiales!$A:$G,7,0),"")</f>
        <v/>
      </c>
      <c r="L860" s="8" t="inlineStr">
        <is>
          <t>20230501</t>
        </is>
      </c>
      <c r="M860" s="8" t="inlineStr">
        <is>
          <t>20250131</t>
        </is>
      </c>
      <c r="N860" s="10" t="n">
        <v>37.3</v>
      </c>
      <c r="O860" s="10">
        <f>IFERROR(VLOOKUP(A860,Flete!$A:$J,10,0),"")</f>
        <v/>
      </c>
      <c r="P860" s="8" t="inlineStr">
        <is>
          <t>TN</t>
        </is>
      </c>
      <c r="Q860" s="10">
        <f>IFERROR(IFERROR(VLOOKUP(A860,TRAOPE!$A:$U,21,0),VLOOKUP(B860,TRAOPE!$A:$U,21,0)),"")</f>
        <v/>
      </c>
      <c r="R860" s="8">
        <f>IFERROR(IFERROR(VLOOKUP(A860,TRAOPE!$A:$W,23,0),VLOOKUP(B860,TRAOPE!$A:$W,23,0)),"")</f>
        <v/>
      </c>
      <c r="S860" s="10">
        <f>IF(AND(P860="TN",R860="TN"),N860+N(O860),IF(G860&amp;""="1",N(K860)*N860,(N860+N(O860))*N(K860)))</f>
        <v/>
      </c>
      <c r="T860" s="10">
        <f>IF(Q860="","",Q860-S860)</f>
        <v/>
      </c>
    </row>
    <row r="861">
      <c r="A861" s="7">
        <f>CONCATENATE(C861,E861,F861,I861)</f>
        <v/>
      </c>
      <c r="B861" s="7">
        <f>CONCATENATE(C861,E861,I861)</f>
        <v/>
      </c>
      <c r="C861" s="8" t="n">
        <v>900004446</v>
      </c>
      <c r="D861" s="7">
        <f>IFERROR(VLOOKUP(C861,TRAOPE!$G:$H,2,0),"")</f>
        <v/>
      </c>
      <c r="E861" s="8" t="inlineStr">
        <is>
          <t>DW70</t>
        </is>
      </c>
      <c r="F861" s="8" t="inlineStr">
        <is>
          <t>D136</t>
        </is>
      </c>
      <c r="G861" s="8">
        <f>IFERROR(VLOOKUP(A861,Flete!$A:$E,5,0),"")</f>
        <v/>
      </c>
      <c r="H861" s="7">
        <f>IFERROR(VLOOKUP(F861,TRAOPE!$AA:$AB,2,0),"")</f>
        <v/>
      </c>
      <c r="I861" s="7" t="n">
        <v>10000829</v>
      </c>
      <c r="J861" s="7">
        <f>IFERROR(VLOOKUP(I861,Materiales!$A:$H,8,0),"")</f>
        <v/>
      </c>
      <c r="K861" s="9">
        <f>IFERROR(VLOOKUP(I861,Materiales!$A:$G,7,0),"")</f>
        <v/>
      </c>
      <c r="L861" s="8" t="inlineStr">
        <is>
          <t>20230501</t>
        </is>
      </c>
      <c r="M861" s="8" t="inlineStr">
        <is>
          <t>20250131</t>
        </is>
      </c>
      <c r="N861" s="10" t="n">
        <v>37.3</v>
      </c>
      <c r="O861" s="10">
        <f>IFERROR(VLOOKUP(A861,Flete!$A:$J,10,0),"")</f>
        <v/>
      </c>
      <c r="P861" s="8" t="inlineStr">
        <is>
          <t>TN</t>
        </is>
      </c>
      <c r="Q861" s="10">
        <f>IFERROR(IFERROR(VLOOKUP(A861,TRAOPE!$A:$U,21,0),VLOOKUP(B861,TRAOPE!$A:$U,21,0)),"")</f>
        <v/>
      </c>
      <c r="R861" s="8">
        <f>IFERROR(IFERROR(VLOOKUP(A861,TRAOPE!$A:$W,23,0),VLOOKUP(B861,TRAOPE!$A:$W,23,0)),"")</f>
        <v/>
      </c>
      <c r="S861" s="10">
        <f>IF(AND(P861="TN",R861="TN"),N861+N(O861),IF(G861&amp;""="1",N(K861)*N861,(N861+N(O861))*N(K861)))</f>
        <v/>
      </c>
      <c r="T861" s="10">
        <f>IF(Q861="","",Q861-S861)</f>
        <v/>
      </c>
    </row>
    <row r="862">
      <c r="A862" s="7">
        <f>CONCATENATE(C862,E862,F862,I862)</f>
        <v/>
      </c>
      <c r="B862" s="7">
        <f>CONCATENATE(C862,E862,I862)</f>
        <v/>
      </c>
      <c r="C862" s="8" t="n">
        <v>900004465</v>
      </c>
      <c r="D862" s="7">
        <f>IFERROR(VLOOKUP(C862,TRAOPE!$G:$H,2,0),"")</f>
        <v/>
      </c>
      <c r="E862" s="8" t="inlineStr">
        <is>
          <t>DW70</t>
        </is>
      </c>
      <c r="F862" s="8" t="inlineStr">
        <is>
          <t>D074</t>
        </is>
      </c>
      <c r="G862" s="8">
        <f>IFERROR(VLOOKUP(A862,Flete!$A:$E,5,0),"")</f>
        <v/>
      </c>
      <c r="H862" s="7">
        <f>IFERROR(VLOOKUP(F862,TRAOPE!$AA:$AB,2,0),"")</f>
        <v/>
      </c>
      <c r="I862" s="7" t="n">
        <v>10053281</v>
      </c>
      <c r="J862" s="7">
        <f>IFERROR(VLOOKUP(I862,Materiales!$A:$H,8,0),"")</f>
        <v/>
      </c>
      <c r="K862" s="9">
        <f>IFERROR(VLOOKUP(I862,Materiales!$A:$G,7,0),"")</f>
        <v/>
      </c>
      <c r="L862" s="8" t="inlineStr">
        <is>
          <t>20230501</t>
        </is>
      </c>
      <c r="M862" s="8" t="inlineStr">
        <is>
          <t>20250131</t>
        </is>
      </c>
      <c r="N862" s="10" t="n">
        <v>79.84999999999999</v>
      </c>
      <c r="O862" s="10">
        <f>IFERROR(VLOOKUP(A862,Flete!$A:$J,10,0),"")</f>
        <v/>
      </c>
      <c r="P862" s="8" t="inlineStr">
        <is>
          <t>TN</t>
        </is>
      </c>
      <c r="Q862" s="10">
        <f>IFERROR(IFERROR(VLOOKUP(A862,TRAOPE!$A:$U,21,0),VLOOKUP(B862,TRAOPE!$A:$U,21,0)),"")</f>
        <v/>
      </c>
      <c r="R862" s="8">
        <f>IFERROR(IFERROR(VLOOKUP(A862,TRAOPE!$A:$W,23,0),VLOOKUP(B862,TRAOPE!$A:$W,23,0)),"")</f>
        <v/>
      </c>
      <c r="S862" s="10">
        <f>IF(AND(P862="TN",R862="TN"),N862+N(O862),IF(G862&amp;""="1",N(K862)*N862,(N862+N(O862))*N(K862)))</f>
        <v/>
      </c>
      <c r="T862" s="10">
        <f>IF(Q862="","",Q862-S862)</f>
        <v/>
      </c>
    </row>
    <row r="863">
      <c r="A863" s="7">
        <f>CONCATENATE(C863,E863,F863,I863)</f>
        <v/>
      </c>
      <c r="B863" s="7">
        <f>CONCATENATE(C863,E863,I863)</f>
        <v/>
      </c>
      <c r="C863" s="8" t="n">
        <v>900004465</v>
      </c>
      <c r="D863" s="7">
        <f>IFERROR(VLOOKUP(C863,TRAOPE!$G:$H,2,0),"")</f>
        <v/>
      </c>
      <c r="E863" s="8" t="inlineStr">
        <is>
          <t>DW70</t>
        </is>
      </c>
      <c r="F863" s="8" t="inlineStr">
        <is>
          <t>D075</t>
        </is>
      </c>
      <c r="G863" s="8">
        <f>IFERROR(VLOOKUP(A863,Flete!$A:$E,5,0),"")</f>
        <v/>
      </c>
      <c r="H863" s="7">
        <f>IFERROR(VLOOKUP(F863,TRAOPE!$AA:$AB,2,0),"")</f>
        <v/>
      </c>
      <c r="I863" s="7" t="n">
        <v>10053281</v>
      </c>
      <c r="J863" s="7">
        <f>IFERROR(VLOOKUP(I863,Materiales!$A:$H,8,0),"")</f>
        <v/>
      </c>
      <c r="K863" s="9">
        <f>IFERROR(VLOOKUP(I863,Materiales!$A:$G,7,0),"")</f>
        <v/>
      </c>
      <c r="L863" s="8" t="inlineStr">
        <is>
          <t>20230501</t>
        </is>
      </c>
      <c r="M863" s="8" t="inlineStr">
        <is>
          <t>20250131</t>
        </is>
      </c>
      <c r="N863" s="10" t="n">
        <v>79.84999999999999</v>
      </c>
      <c r="O863" s="10">
        <f>IFERROR(VLOOKUP(A863,Flete!$A:$J,10,0),"")</f>
        <v/>
      </c>
      <c r="P863" s="8" t="inlineStr">
        <is>
          <t>TN</t>
        </is>
      </c>
      <c r="Q863" s="10">
        <f>IFERROR(IFERROR(VLOOKUP(A863,TRAOPE!$A:$U,21,0),VLOOKUP(B863,TRAOPE!$A:$U,21,0)),"")</f>
        <v/>
      </c>
      <c r="R863" s="8">
        <f>IFERROR(IFERROR(VLOOKUP(A863,TRAOPE!$A:$W,23,0),VLOOKUP(B863,TRAOPE!$A:$W,23,0)),"")</f>
        <v/>
      </c>
      <c r="S863" s="10">
        <f>IF(AND(P863="TN",R863="TN"),N863+N(O863),IF(G863&amp;""="1",N(K863)*N863,(N863+N(O863))*N(K863)))</f>
        <v/>
      </c>
      <c r="T863" s="10">
        <f>IF(Q863="","",Q863-S863)</f>
        <v/>
      </c>
    </row>
    <row r="864">
      <c r="A864" s="7">
        <f>CONCATENATE(C864,E864,F864,I864)</f>
        <v/>
      </c>
      <c r="B864" s="7">
        <f>CONCATENATE(C864,E864,I864)</f>
        <v/>
      </c>
      <c r="C864" s="8" t="n">
        <v>900004465</v>
      </c>
      <c r="D864" s="7">
        <f>IFERROR(VLOOKUP(C864,TRAOPE!$G:$H,2,0),"")</f>
        <v/>
      </c>
      <c r="E864" s="8" t="inlineStr">
        <is>
          <t>DW70</t>
        </is>
      </c>
      <c r="F864" s="8" t="inlineStr">
        <is>
          <t>D077</t>
        </is>
      </c>
      <c r="G864" s="8">
        <f>IFERROR(VLOOKUP(A864,Flete!$A:$E,5,0),"")</f>
        <v/>
      </c>
      <c r="H864" s="7">
        <f>IFERROR(VLOOKUP(F864,TRAOPE!$AA:$AB,2,0),"")</f>
        <v/>
      </c>
      <c r="I864" s="7" t="n">
        <v>10053281</v>
      </c>
      <c r="J864" s="7">
        <f>IFERROR(VLOOKUP(I864,Materiales!$A:$H,8,0),"")</f>
        <v/>
      </c>
      <c r="K864" s="9">
        <f>IFERROR(VLOOKUP(I864,Materiales!$A:$G,7,0),"")</f>
        <v/>
      </c>
      <c r="L864" s="8" t="inlineStr">
        <is>
          <t>20230501</t>
        </is>
      </c>
      <c r="M864" s="8" t="inlineStr">
        <is>
          <t>20250131</t>
        </is>
      </c>
      <c r="N864" s="10" t="n">
        <v>79.84999999999999</v>
      </c>
      <c r="O864" s="10">
        <f>IFERROR(VLOOKUP(A864,Flete!$A:$J,10,0),"")</f>
        <v/>
      </c>
      <c r="P864" s="8" t="inlineStr">
        <is>
          <t>TN</t>
        </is>
      </c>
      <c r="Q864" s="10">
        <f>IFERROR(IFERROR(VLOOKUP(A864,TRAOPE!$A:$U,21,0),VLOOKUP(B864,TRAOPE!$A:$U,21,0)),"")</f>
        <v/>
      </c>
      <c r="R864" s="8">
        <f>IFERROR(IFERROR(VLOOKUP(A864,TRAOPE!$A:$W,23,0),VLOOKUP(B864,TRAOPE!$A:$W,23,0)),"")</f>
        <v/>
      </c>
      <c r="S864" s="10">
        <f>IF(AND(P864="TN",R864="TN"),N864+N(O864),IF(G864&amp;""="1",N(K864)*N864,(N864+N(O864))*N(K864)))</f>
        <v/>
      </c>
      <c r="T864" s="10">
        <f>IF(Q864="","",Q864-S864)</f>
        <v/>
      </c>
    </row>
    <row r="865">
      <c r="A865" s="7">
        <f>CONCATENATE(C865,E865,F865,I865)</f>
        <v/>
      </c>
      <c r="B865" s="7">
        <f>CONCATENATE(C865,E865,I865)</f>
        <v/>
      </c>
      <c r="C865" s="8" t="n">
        <v>900004465</v>
      </c>
      <c r="D865" s="7">
        <f>IFERROR(VLOOKUP(C865,TRAOPE!$G:$H,2,0),"")</f>
        <v/>
      </c>
      <c r="E865" s="8" t="inlineStr">
        <is>
          <t>DW70</t>
        </is>
      </c>
      <c r="F865" s="8" t="inlineStr">
        <is>
          <t>D079</t>
        </is>
      </c>
      <c r="G865" s="8">
        <f>IFERROR(VLOOKUP(A865,Flete!$A:$E,5,0),"")</f>
        <v/>
      </c>
      <c r="H865" s="7">
        <f>IFERROR(VLOOKUP(F865,TRAOPE!$AA:$AB,2,0),"")</f>
        <v/>
      </c>
      <c r="I865" s="7" t="n">
        <v>10053281</v>
      </c>
      <c r="J865" s="7">
        <f>IFERROR(VLOOKUP(I865,Materiales!$A:$H,8,0),"")</f>
        <v/>
      </c>
      <c r="K865" s="9">
        <f>IFERROR(VLOOKUP(I865,Materiales!$A:$G,7,0),"")</f>
        <v/>
      </c>
      <c r="L865" s="8" t="inlineStr">
        <is>
          <t>20230501</t>
        </is>
      </c>
      <c r="M865" s="8" t="inlineStr">
        <is>
          <t>20250131</t>
        </is>
      </c>
      <c r="N865" s="10" t="n">
        <v>79.84999999999999</v>
      </c>
      <c r="O865" s="10">
        <f>IFERROR(VLOOKUP(A865,Flete!$A:$J,10,0),"")</f>
        <v/>
      </c>
      <c r="P865" s="8" t="inlineStr">
        <is>
          <t>TN</t>
        </is>
      </c>
      <c r="Q865" s="10">
        <f>IFERROR(IFERROR(VLOOKUP(A865,TRAOPE!$A:$U,21,0),VLOOKUP(B865,TRAOPE!$A:$U,21,0)),"")</f>
        <v/>
      </c>
      <c r="R865" s="8">
        <f>IFERROR(IFERROR(VLOOKUP(A865,TRAOPE!$A:$W,23,0),VLOOKUP(B865,TRAOPE!$A:$W,23,0)),"")</f>
        <v/>
      </c>
      <c r="S865" s="10">
        <f>IF(AND(P865="TN",R865="TN"),N865+N(O865),IF(G865&amp;""="1",N(K865)*N865,(N865+N(O865))*N(K865)))</f>
        <v/>
      </c>
      <c r="T865" s="10">
        <f>IF(Q865="","",Q865-S865)</f>
        <v/>
      </c>
    </row>
    <row r="866">
      <c r="A866" s="7">
        <f>CONCATENATE(C866,E866,F866,I866)</f>
        <v/>
      </c>
      <c r="B866" s="7">
        <f>CONCATENATE(C866,E866,I866)</f>
        <v/>
      </c>
      <c r="C866" s="8" t="n">
        <v>900004465</v>
      </c>
      <c r="D866" s="7">
        <f>IFERROR(VLOOKUP(C866,TRAOPE!$G:$H,2,0),"")</f>
        <v/>
      </c>
      <c r="E866" s="8" t="inlineStr">
        <is>
          <t>DW70</t>
        </is>
      </c>
      <c r="F866" s="8" t="inlineStr">
        <is>
          <t>D080</t>
        </is>
      </c>
      <c r="G866" s="8">
        <f>IFERROR(VLOOKUP(A866,Flete!$A:$E,5,0),"")</f>
        <v/>
      </c>
      <c r="H866" s="7">
        <f>IFERROR(VLOOKUP(F866,TRAOPE!$AA:$AB,2,0),"")</f>
        <v/>
      </c>
      <c r="I866" s="7" t="n">
        <v>10053281</v>
      </c>
      <c r="J866" s="7">
        <f>IFERROR(VLOOKUP(I866,Materiales!$A:$H,8,0),"")</f>
        <v/>
      </c>
      <c r="K866" s="9">
        <f>IFERROR(VLOOKUP(I866,Materiales!$A:$G,7,0),"")</f>
        <v/>
      </c>
      <c r="L866" s="8" t="inlineStr">
        <is>
          <t>20230501</t>
        </is>
      </c>
      <c r="M866" s="8" t="inlineStr">
        <is>
          <t>20250131</t>
        </is>
      </c>
      <c r="N866" s="10" t="n">
        <v>79.84999999999999</v>
      </c>
      <c r="O866" s="10">
        <f>IFERROR(VLOOKUP(A866,Flete!$A:$J,10,0),"")</f>
        <v/>
      </c>
      <c r="P866" s="8" t="inlineStr">
        <is>
          <t>TN</t>
        </is>
      </c>
      <c r="Q866" s="10">
        <f>IFERROR(IFERROR(VLOOKUP(A866,TRAOPE!$A:$U,21,0),VLOOKUP(B866,TRAOPE!$A:$U,21,0)),"")</f>
        <v/>
      </c>
      <c r="R866" s="8">
        <f>IFERROR(IFERROR(VLOOKUP(A866,TRAOPE!$A:$W,23,0),VLOOKUP(B866,TRAOPE!$A:$W,23,0)),"")</f>
        <v/>
      </c>
      <c r="S866" s="10">
        <f>IF(AND(P866="TN",R866="TN"),N866+N(O866),IF(G866&amp;""="1",N(K866)*N866,(N866+N(O866))*N(K866)))</f>
        <v/>
      </c>
      <c r="T866" s="10">
        <f>IF(Q866="","",Q866-S866)</f>
        <v/>
      </c>
    </row>
    <row r="867">
      <c r="A867" s="7">
        <f>CONCATENATE(C867,E867,F867,I867)</f>
        <v/>
      </c>
      <c r="B867" s="7">
        <f>CONCATENATE(C867,E867,I867)</f>
        <v/>
      </c>
      <c r="C867" s="8" t="n">
        <v>900004465</v>
      </c>
      <c r="D867" s="7">
        <f>IFERROR(VLOOKUP(C867,TRAOPE!$G:$H,2,0),"")</f>
        <v/>
      </c>
      <c r="E867" s="8" t="inlineStr">
        <is>
          <t>DW70</t>
        </is>
      </c>
      <c r="F867" s="8" t="inlineStr">
        <is>
          <t>D081</t>
        </is>
      </c>
      <c r="G867" s="8">
        <f>IFERROR(VLOOKUP(A867,Flete!$A:$E,5,0),"")</f>
        <v/>
      </c>
      <c r="H867" s="7">
        <f>IFERROR(VLOOKUP(F867,TRAOPE!$AA:$AB,2,0),"")</f>
        <v/>
      </c>
      <c r="I867" s="7" t="n">
        <v>10053281</v>
      </c>
      <c r="J867" s="7">
        <f>IFERROR(VLOOKUP(I867,Materiales!$A:$H,8,0),"")</f>
        <v/>
      </c>
      <c r="K867" s="9">
        <f>IFERROR(VLOOKUP(I867,Materiales!$A:$G,7,0),"")</f>
        <v/>
      </c>
      <c r="L867" s="8" t="inlineStr">
        <is>
          <t>20230501</t>
        </is>
      </c>
      <c r="M867" s="8" t="inlineStr">
        <is>
          <t>20250131</t>
        </is>
      </c>
      <c r="N867" s="10" t="n">
        <v>79.84999999999999</v>
      </c>
      <c r="O867" s="10">
        <f>IFERROR(VLOOKUP(A867,Flete!$A:$J,10,0),"")</f>
        <v/>
      </c>
      <c r="P867" s="8" t="inlineStr">
        <is>
          <t>TN</t>
        </is>
      </c>
      <c r="Q867" s="10">
        <f>IFERROR(IFERROR(VLOOKUP(A867,TRAOPE!$A:$U,21,0),VLOOKUP(B867,TRAOPE!$A:$U,21,0)),"")</f>
        <v/>
      </c>
      <c r="R867" s="8">
        <f>IFERROR(IFERROR(VLOOKUP(A867,TRAOPE!$A:$W,23,0),VLOOKUP(B867,TRAOPE!$A:$W,23,0)),"")</f>
        <v/>
      </c>
      <c r="S867" s="10">
        <f>IF(AND(P867="TN",R867="TN"),N867+N(O867),IF(G867&amp;""="1",N(K867)*N867,(N867+N(O867))*N(K867)))</f>
        <v/>
      </c>
      <c r="T867" s="10">
        <f>IF(Q867="","",Q867-S867)</f>
        <v/>
      </c>
    </row>
    <row r="868">
      <c r="A868" s="7">
        <f>CONCATENATE(C868,E868,F868,I868)</f>
        <v/>
      </c>
      <c r="B868" s="7">
        <f>CONCATENATE(C868,E868,I868)</f>
        <v/>
      </c>
      <c r="C868" s="8" t="n">
        <v>900004465</v>
      </c>
      <c r="D868" s="7">
        <f>IFERROR(VLOOKUP(C868,TRAOPE!$G:$H,2,0),"")</f>
        <v/>
      </c>
      <c r="E868" s="8" t="inlineStr">
        <is>
          <t>DW70</t>
        </is>
      </c>
      <c r="F868" s="8" t="inlineStr">
        <is>
          <t>D083</t>
        </is>
      </c>
      <c r="G868" s="8">
        <f>IFERROR(VLOOKUP(A868,Flete!$A:$E,5,0),"")</f>
        <v/>
      </c>
      <c r="H868" s="7">
        <f>IFERROR(VLOOKUP(F868,TRAOPE!$AA:$AB,2,0),"")</f>
        <v/>
      </c>
      <c r="I868" s="7" t="n">
        <v>10053281</v>
      </c>
      <c r="J868" s="7">
        <f>IFERROR(VLOOKUP(I868,Materiales!$A:$H,8,0),"")</f>
        <v/>
      </c>
      <c r="K868" s="9">
        <f>IFERROR(VLOOKUP(I868,Materiales!$A:$G,7,0),"")</f>
        <v/>
      </c>
      <c r="L868" s="8" t="inlineStr">
        <is>
          <t>20230501</t>
        </is>
      </c>
      <c r="M868" s="8" t="inlineStr">
        <is>
          <t>20250131</t>
        </is>
      </c>
      <c r="N868" s="10" t="n">
        <v>79.84999999999999</v>
      </c>
      <c r="O868" s="10">
        <f>IFERROR(VLOOKUP(A868,Flete!$A:$J,10,0),"")</f>
        <v/>
      </c>
      <c r="P868" s="8" t="inlineStr">
        <is>
          <t>TN</t>
        </is>
      </c>
      <c r="Q868" s="10">
        <f>IFERROR(IFERROR(VLOOKUP(A868,TRAOPE!$A:$U,21,0),VLOOKUP(B868,TRAOPE!$A:$U,21,0)),"")</f>
        <v/>
      </c>
      <c r="R868" s="8">
        <f>IFERROR(IFERROR(VLOOKUP(A868,TRAOPE!$A:$W,23,0),VLOOKUP(B868,TRAOPE!$A:$W,23,0)),"")</f>
        <v/>
      </c>
      <c r="S868" s="10">
        <f>IF(AND(P868="TN",R868="TN"),N868+N(O868),IF(G868&amp;""="1",N(K868)*N868,(N868+N(O868))*N(K868)))</f>
        <v/>
      </c>
      <c r="T868" s="10">
        <f>IF(Q868="","",Q868-S868)</f>
        <v/>
      </c>
    </row>
    <row r="869">
      <c r="A869" s="7">
        <f>CONCATENATE(C869,E869,F869,I869)</f>
        <v/>
      </c>
      <c r="B869" s="7">
        <f>CONCATENATE(C869,E869,I869)</f>
        <v/>
      </c>
      <c r="C869" s="8" t="n">
        <v>900004465</v>
      </c>
      <c r="D869" s="7">
        <f>IFERROR(VLOOKUP(C869,TRAOPE!$G:$H,2,0),"")</f>
        <v/>
      </c>
      <c r="E869" s="8" t="inlineStr">
        <is>
          <t>DW70</t>
        </is>
      </c>
      <c r="F869" s="8" t="inlineStr">
        <is>
          <t>D084</t>
        </is>
      </c>
      <c r="G869" s="8">
        <f>IFERROR(VLOOKUP(A869,Flete!$A:$E,5,0),"")</f>
        <v/>
      </c>
      <c r="H869" s="7">
        <f>IFERROR(VLOOKUP(F869,TRAOPE!$AA:$AB,2,0),"")</f>
        <v/>
      </c>
      <c r="I869" s="7" t="n">
        <v>10053281</v>
      </c>
      <c r="J869" s="7">
        <f>IFERROR(VLOOKUP(I869,Materiales!$A:$H,8,0),"")</f>
        <v/>
      </c>
      <c r="K869" s="9">
        <f>IFERROR(VLOOKUP(I869,Materiales!$A:$G,7,0),"")</f>
        <v/>
      </c>
      <c r="L869" s="8" t="inlineStr">
        <is>
          <t>20230501</t>
        </is>
      </c>
      <c r="M869" s="8" t="inlineStr">
        <is>
          <t>20250131</t>
        </is>
      </c>
      <c r="N869" s="10" t="n">
        <v>79.84999999999999</v>
      </c>
      <c r="O869" s="10">
        <f>IFERROR(VLOOKUP(A869,Flete!$A:$J,10,0),"")</f>
        <v/>
      </c>
      <c r="P869" s="8" t="inlineStr">
        <is>
          <t>TN</t>
        </is>
      </c>
      <c r="Q869" s="10">
        <f>IFERROR(IFERROR(VLOOKUP(A869,TRAOPE!$A:$U,21,0),VLOOKUP(B869,TRAOPE!$A:$U,21,0)),"")</f>
        <v/>
      </c>
      <c r="R869" s="8">
        <f>IFERROR(IFERROR(VLOOKUP(A869,TRAOPE!$A:$W,23,0),VLOOKUP(B869,TRAOPE!$A:$W,23,0)),"")</f>
        <v/>
      </c>
      <c r="S869" s="10">
        <f>IF(AND(P869="TN",R869="TN"),N869+N(O869),IF(G869&amp;""="1",N(K869)*N869,(N869+N(O869))*N(K869)))</f>
        <v/>
      </c>
      <c r="T869" s="10">
        <f>IF(Q869="","",Q869-S869)</f>
        <v/>
      </c>
    </row>
    <row r="870">
      <c r="A870" s="7">
        <f>CONCATENATE(C870,E870,F870,I870)</f>
        <v/>
      </c>
      <c r="B870" s="7">
        <f>CONCATENATE(C870,E870,I870)</f>
        <v/>
      </c>
      <c r="C870" s="8" t="n">
        <v>900004465</v>
      </c>
      <c r="D870" s="7">
        <f>IFERROR(VLOOKUP(C870,TRAOPE!$G:$H,2,0),"")</f>
        <v/>
      </c>
      <c r="E870" s="8" t="inlineStr">
        <is>
          <t>DW70</t>
        </is>
      </c>
      <c r="F870" s="8" t="inlineStr">
        <is>
          <t>D085</t>
        </is>
      </c>
      <c r="G870" s="8">
        <f>IFERROR(VLOOKUP(A870,Flete!$A:$E,5,0),"")</f>
        <v/>
      </c>
      <c r="H870" s="7">
        <f>IFERROR(VLOOKUP(F870,TRAOPE!$AA:$AB,2,0),"")</f>
        <v/>
      </c>
      <c r="I870" s="7" t="n">
        <v>10053281</v>
      </c>
      <c r="J870" s="7">
        <f>IFERROR(VLOOKUP(I870,Materiales!$A:$H,8,0),"")</f>
        <v/>
      </c>
      <c r="K870" s="9">
        <f>IFERROR(VLOOKUP(I870,Materiales!$A:$G,7,0),"")</f>
        <v/>
      </c>
      <c r="L870" s="8" t="inlineStr">
        <is>
          <t>20230501</t>
        </is>
      </c>
      <c r="M870" s="8" t="inlineStr">
        <is>
          <t>20250131</t>
        </is>
      </c>
      <c r="N870" s="10" t="n">
        <v>79.84999999999999</v>
      </c>
      <c r="O870" s="10">
        <f>IFERROR(VLOOKUP(A870,Flete!$A:$J,10,0),"")</f>
        <v/>
      </c>
      <c r="P870" s="8" t="inlineStr">
        <is>
          <t>TN</t>
        </is>
      </c>
      <c r="Q870" s="10">
        <f>IFERROR(IFERROR(VLOOKUP(A870,TRAOPE!$A:$U,21,0),VLOOKUP(B870,TRAOPE!$A:$U,21,0)),"")</f>
        <v/>
      </c>
      <c r="R870" s="8">
        <f>IFERROR(IFERROR(VLOOKUP(A870,TRAOPE!$A:$W,23,0),VLOOKUP(B870,TRAOPE!$A:$W,23,0)),"")</f>
        <v/>
      </c>
      <c r="S870" s="10">
        <f>IF(AND(P870="TN",R870="TN"),N870+N(O870),IF(G870&amp;""="1",N(K870)*N870,(N870+N(O870))*N(K870)))</f>
        <v/>
      </c>
      <c r="T870" s="10">
        <f>IF(Q870="","",Q870-S870)</f>
        <v/>
      </c>
    </row>
    <row r="871">
      <c r="A871" s="7">
        <f>CONCATENATE(C871,E871,F871,I871)</f>
        <v/>
      </c>
      <c r="B871" s="7">
        <f>CONCATENATE(C871,E871,I871)</f>
        <v/>
      </c>
      <c r="C871" s="8" t="n">
        <v>900004465</v>
      </c>
      <c r="D871" s="7">
        <f>IFERROR(VLOOKUP(C871,TRAOPE!$G:$H,2,0),"")</f>
        <v/>
      </c>
      <c r="E871" s="8" t="inlineStr">
        <is>
          <t>DW70</t>
        </is>
      </c>
      <c r="F871" s="8" t="inlineStr">
        <is>
          <t>D086</t>
        </is>
      </c>
      <c r="G871" s="8">
        <f>IFERROR(VLOOKUP(A871,Flete!$A:$E,5,0),"")</f>
        <v/>
      </c>
      <c r="H871" s="7">
        <f>IFERROR(VLOOKUP(F871,TRAOPE!$AA:$AB,2,0),"")</f>
        <v/>
      </c>
      <c r="I871" s="7" t="n">
        <v>10053281</v>
      </c>
      <c r="J871" s="7">
        <f>IFERROR(VLOOKUP(I871,Materiales!$A:$H,8,0),"")</f>
        <v/>
      </c>
      <c r="K871" s="9">
        <f>IFERROR(VLOOKUP(I871,Materiales!$A:$G,7,0),"")</f>
        <v/>
      </c>
      <c r="L871" s="8" t="inlineStr">
        <is>
          <t>20230501</t>
        </is>
      </c>
      <c r="M871" s="8" t="inlineStr">
        <is>
          <t>20250131</t>
        </is>
      </c>
      <c r="N871" s="10" t="n">
        <v>79.84999999999999</v>
      </c>
      <c r="O871" s="10">
        <f>IFERROR(VLOOKUP(A871,Flete!$A:$J,10,0),"")</f>
        <v/>
      </c>
      <c r="P871" s="8" t="inlineStr">
        <is>
          <t>TN</t>
        </is>
      </c>
      <c r="Q871" s="10">
        <f>IFERROR(IFERROR(VLOOKUP(A871,TRAOPE!$A:$U,21,0),VLOOKUP(B871,TRAOPE!$A:$U,21,0)),"")</f>
        <v/>
      </c>
      <c r="R871" s="8">
        <f>IFERROR(IFERROR(VLOOKUP(A871,TRAOPE!$A:$W,23,0),VLOOKUP(B871,TRAOPE!$A:$W,23,0)),"")</f>
        <v/>
      </c>
      <c r="S871" s="10">
        <f>IF(AND(P871="TN",R871="TN"),N871+N(O871),IF(G871&amp;""="1",N(K871)*N871,(N871+N(O871))*N(K871)))</f>
        <v/>
      </c>
      <c r="T871" s="10">
        <f>IF(Q871="","",Q871-S871)</f>
        <v/>
      </c>
    </row>
    <row r="872">
      <c r="A872" s="7">
        <f>CONCATENATE(C872,E872,F872,I872)</f>
        <v/>
      </c>
      <c r="B872" s="7">
        <f>CONCATENATE(C872,E872,I872)</f>
        <v/>
      </c>
      <c r="C872" s="8" t="n">
        <v>900004465</v>
      </c>
      <c r="D872" s="7">
        <f>IFERROR(VLOOKUP(C872,TRAOPE!$G:$H,2,0),"")</f>
        <v/>
      </c>
      <c r="E872" s="8" t="inlineStr">
        <is>
          <t>DW70</t>
        </is>
      </c>
      <c r="F872" s="8" t="inlineStr">
        <is>
          <t>D088</t>
        </is>
      </c>
      <c r="G872" s="8">
        <f>IFERROR(VLOOKUP(A872,Flete!$A:$E,5,0),"")</f>
        <v/>
      </c>
      <c r="H872" s="7">
        <f>IFERROR(VLOOKUP(F872,TRAOPE!$AA:$AB,2,0),"")</f>
        <v/>
      </c>
      <c r="I872" s="7" t="n">
        <v>10053281</v>
      </c>
      <c r="J872" s="7">
        <f>IFERROR(VLOOKUP(I872,Materiales!$A:$H,8,0),"")</f>
        <v/>
      </c>
      <c r="K872" s="9">
        <f>IFERROR(VLOOKUP(I872,Materiales!$A:$G,7,0),"")</f>
        <v/>
      </c>
      <c r="L872" s="8" t="inlineStr">
        <is>
          <t>20230501</t>
        </is>
      </c>
      <c r="M872" s="8" t="inlineStr">
        <is>
          <t>20250131</t>
        </is>
      </c>
      <c r="N872" s="10" t="n">
        <v>79.84999999999999</v>
      </c>
      <c r="O872" s="10">
        <f>IFERROR(VLOOKUP(A872,Flete!$A:$J,10,0),"")</f>
        <v/>
      </c>
      <c r="P872" s="8" t="inlineStr">
        <is>
          <t>TN</t>
        </is>
      </c>
      <c r="Q872" s="10">
        <f>IFERROR(IFERROR(VLOOKUP(A872,TRAOPE!$A:$U,21,0),VLOOKUP(B872,TRAOPE!$A:$U,21,0)),"")</f>
        <v/>
      </c>
      <c r="R872" s="8">
        <f>IFERROR(IFERROR(VLOOKUP(A872,TRAOPE!$A:$W,23,0),VLOOKUP(B872,TRAOPE!$A:$W,23,0)),"")</f>
        <v/>
      </c>
      <c r="S872" s="10">
        <f>IF(AND(P872="TN",R872="TN"),N872+N(O872),IF(G872&amp;""="1",N(K872)*N872,(N872+N(O872))*N(K872)))</f>
        <v/>
      </c>
      <c r="T872" s="10">
        <f>IF(Q872="","",Q872-S872)</f>
        <v/>
      </c>
    </row>
    <row r="873">
      <c r="A873" s="7">
        <f>CONCATENATE(C873,E873,F873,I873)</f>
        <v/>
      </c>
      <c r="B873" s="7">
        <f>CONCATENATE(C873,E873,I873)</f>
        <v/>
      </c>
      <c r="C873" s="8" t="n">
        <v>900004465</v>
      </c>
      <c r="D873" s="7">
        <f>IFERROR(VLOOKUP(C873,TRAOPE!$G:$H,2,0),"")</f>
        <v/>
      </c>
      <c r="E873" s="8" t="inlineStr">
        <is>
          <t>DW70</t>
        </is>
      </c>
      <c r="F873" s="8" t="inlineStr">
        <is>
          <t>D089</t>
        </is>
      </c>
      <c r="G873" s="8">
        <f>IFERROR(VLOOKUP(A873,Flete!$A:$E,5,0),"")</f>
        <v/>
      </c>
      <c r="H873" s="7">
        <f>IFERROR(VLOOKUP(F873,TRAOPE!$AA:$AB,2,0),"")</f>
        <v/>
      </c>
      <c r="I873" s="7" t="n">
        <v>10053281</v>
      </c>
      <c r="J873" s="7">
        <f>IFERROR(VLOOKUP(I873,Materiales!$A:$H,8,0),"")</f>
        <v/>
      </c>
      <c r="K873" s="9">
        <f>IFERROR(VLOOKUP(I873,Materiales!$A:$G,7,0),"")</f>
        <v/>
      </c>
      <c r="L873" s="8" t="inlineStr">
        <is>
          <t>20230501</t>
        </is>
      </c>
      <c r="M873" s="8" t="inlineStr">
        <is>
          <t>20250131</t>
        </is>
      </c>
      <c r="N873" s="10" t="n">
        <v>79.84999999999999</v>
      </c>
      <c r="O873" s="10">
        <f>IFERROR(VLOOKUP(A873,Flete!$A:$J,10,0),"")</f>
        <v/>
      </c>
      <c r="P873" s="8" t="inlineStr">
        <is>
          <t>TN</t>
        </is>
      </c>
      <c r="Q873" s="10">
        <f>IFERROR(IFERROR(VLOOKUP(A873,TRAOPE!$A:$U,21,0),VLOOKUP(B873,TRAOPE!$A:$U,21,0)),"")</f>
        <v/>
      </c>
      <c r="R873" s="8">
        <f>IFERROR(IFERROR(VLOOKUP(A873,TRAOPE!$A:$W,23,0),VLOOKUP(B873,TRAOPE!$A:$W,23,0)),"")</f>
        <v/>
      </c>
      <c r="S873" s="10">
        <f>IF(AND(P873="TN",R873="TN"),N873+N(O873),IF(G873&amp;""="1",N(K873)*N873,(N873+N(O873))*N(K873)))</f>
        <v/>
      </c>
      <c r="T873" s="10">
        <f>IF(Q873="","",Q873-S873)</f>
        <v/>
      </c>
    </row>
    <row r="874">
      <c r="A874" s="7">
        <f>CONCATENATE(C874,E874,F874,I874)</f>
        <v/>
      </c>
      <c r="B874" s="7">
        <f>CONCATENATE(C874,E874,I874)</f>
        <v/>
      </c>
      <c r="C874" s="8" t="n">
        <v>900004465</v>
      </c>
      <c r="D874" s="7">
        <f>IFERROR(VLOOKUP(C874,TRAOPE!$G:$H,2,0),"")</f>
        <v/>
      </c>
      <c r="E874" s="8" t="inlineStr">
        <is>
          <t>DW70</t>
        </is>
      </c>
      <c r="F874" s="8" t="inlineStr">
        <is>
          <t>D093</t>
        </is>
      </c>
      <c r="G874" s="8">
        <f>IFERROR(VLOOKUP(A874,Flete!$A:$E,5,0),"")</f>
        <v/>
      </c>
      <c r="H874" s="7">
        <f>IFERROR(VLOOKUP(F874,TRAOPE!$AA:$AB,2,0),"")</f>
        <v/>
      </c>
      <c r="I874" s="7" t="n">
        <v>10053281</v>
      </c>
      <c r="J874" s="7">
        <f>IFERROR(VLOOKUP(I874,Materiales!$A:$H,8,0),"")</f>
        <v/>
      </c>
      <c r="K874" s="9">
        <f>IFERROR(VLOOKUP(I874,Materiales!$A:$G,7,0),"")</f>
        <v/>
      </c>
      <c r="L874" s="8" t="inlineStr">
        <is>
          <t>20230501</t>
        </is>
      </c>
      <c r="M874" s="8" t="inlineStr">
        <is>
          <t>20250131</t>
        </is>
      </c>
      <c r="N874" s="10" t="n">
        <v>79.84999999999999</v>
      </c>
      <c r="O874" s="10">
        <f>IFERROR(VLOOKUP(A874,Flete!$A:$J,10,0),"")</f>
        <v/>
      </c>
      <c r="P874" s="8" t="inlineStr">
        <is>
          <t>TN</t>
        </is>
      </c>
      <c r="Q874" s="10">
        <f>IFERROR(IFERROR(VLOOKUP(A874,TRAOPE!$A:$U,21,0),VLOOKUP(B874,TRAOPE!$A:$U,21,0)),"")</f>
        <v/>
      </c>
      <c r="R874" s="8">
        <f>IFERROR(IFERROR(VLOOKUP(A874,TRAOPE!$A:$W,23,0),VLOOKUP(B874,TRAOPE!$A:$W,23,0)),"")</f>
        <v/>
      </c>
      <c r="S874" s="10">
        <f>IF(AND(P874="TN",R874="TN"),N874+N(O874),IF(G874&amp;""="1",N(K874)*N874,(N874+N(O874))*N(K874)))</f>
        <v/>
      </c>
      <c r="T874" s="10">
        <f>IF(Q874="","",Q874-S874)</f>
        <v/>
      </c>
    </row>
    <row r="875">
      <c r="A875" s="7">
        <f>CONCATENATE(C875,E875,F875,I875)</f>
        <v/>
      </c>
      <c r="B875" s="7">
        <f>CONCATENATE(C875,E875,I875)</f>
        <v/>
      </c>
      <c r="C875" s="8" t="n">
        <v>900004465</v>
      </c>
      <c r="D875" s="7">
        <f>IFERROR(VLOOKUP(C875,TRAOPE!$G:$H,2,0),"")</f>
        <v/>
      </c>
      <c r="E875" s="8" t="inlineStr">
        <is>
          <t>DW70</t>
        </is>
      </c>
      <c r="F875" s="8" t="inlineStr">
        <is>
          <t>D098</t>
        </is>
      </c>
      <c r="G875" s="8">
        <f>IFERROR(VLOOKUP(A875,Flete!$A:$E,5,0),"")</f>
        <v/>
      </c>
      <c r="H875" s="7">
        <f>IFERROR(VLOOKUP(F875,TRAOPE!$AA:$AB,2,0),"")</f>
        <v/>
      </c>
      <c r="I875" s="7" t="n">
        <v>10053281</v>
      </c>
      <c r="J875" s="7">
        <f>IFERROR(VLOOKUP(I875,Materiales!$A:$H,8,0),"")</f>
        <v/>
      </c>
      <c r="K875" s="9">
        <f>IFERROR(VLOOKUP(I875,Materiales!$A:$G,7,0),"")</f>
        <v/>
      </c>
      <c r="L875" s="8" t="inlineStr">
        <is>
          <t>20230501</t>
        </is>
      </c>
      <c r="M875" s="8" t="inlineStr">
        <is>
          <t>20250131</t>
        </is>
      </c>
      <c r="N875" s="10" t="n">
        <v>79.84999999999999</v>
      </c>
      <c r="O875" s="10">
        <f>IFERROR(VLOOKUP(A875,Flete!$A:$J,10,0),"")</f>
        <v/>
      </c>
      <c r="P875" s="8" t="inlineStr">
        <is>
          <t>TN</t>
        </is>
      </c>
      <c r="Q875" s="10">
        <f>IFERROR(IFERROR(VLOOKUP(A875,TRAOPE!$A:$U,21,0),VLOOKUP(B875,TRAOPE!$A:$U,21,0)),"")</f>
        <v/>
      </c>
      <c r="R875" s="8">
        <f>IFERROR(IFERROR(VLOOKUP(A875,TRAOPE!$A:$W,23,0),VLOOKUP(B875,TRAOPE!$A:$W,23,0)),"")</f>
        <v/>
      </c>
      <c r="S875" s="10">
        <f>IF(AND(P875="TN",R875="TN"),N875+N(O875),IF(G875&amp;""="1",N(K875)*N875,(N875+N(O875))*N(K875)))</f>
        <v/>
      </c>
      <c r="T875" s="10">
        <f>IF(Q875="","",Q875-S875)</f>
        <v/>
      </c>
    </row>
    <row r="876">
      <c r="A876" s="7">
        <f>CONCATENATE(C876,E876,F876,I876)</f>
        <v/>
      </c>
      <c r="B876" s="7">
        <f>CONCATENATE(C876,E876,I876)</f>
        <v/>
      </c>
      <c r="C876" s="8" t="n">
        <v>900004465</v>
      </c>
      <c r="D876" s="7">
        <f>IFERROR(VLOOKUP(C876,TRAOPE!$G:$H,2,0),"")</f>
        <v/>
      </c>
      <c r="E876" s="8" t="inlineStr">
        <is>
          <t>DW70</t>
        </is>
      </c>
      <c r="F876" s="8" t="inlineStr">
        <is>
          <t>D105</t>
        </is>
      </c>
      <c r="G876" s="8">
        <f>IFERROR(VLOOKUP(A876,Flete!$A:$E,5,0),"")</f>
        <v/>
      </c>
      <c r="H876" s="7">
        <f>IFERROR(VLOOKUP(F876,TRAOPE!$AA:$AB,2,0),"")</f>
        <v/>
      </c>
      <c r="I876" s="7" t="n">
        <v>10053281</v>
      </c>
      <c r="J876" s="7">
        <f>IFERROR(VLOOKUP(I876,Materiales!$A:$H,8,0),"")</f>
        <v/>
      </c>
      <c r="K876" s="9">
        <f>IFERROR(VLOOKUP(I876,Materiales!$A:$G,7,0),"")</f>
        <v/>
      </c>
      <c r="L876" s="8" t="inlineStr">
        <is>
          <t>20230501</t>
        </is>
      </c>
      <c r="M876" s="8" t="inlineStr">
        <is>
          <t>20250131</t>
        </is>
      </c>
      <c r="N876" s="10" t="n">
        <v>79.84999999999999</v>
      </c>
      <c r="O876" s="10">
        <f>IFERROR(VLOOKUP(A876,Flete!$A:$J,10,0),"")</f>
        <v/>
      </c>
      <c r="P876" s="8" t="inlineStr">
        <is>
          <t>TN</t>
        </is>
      </c>
      <c r="Q876" s="10">
        <f>IFERROR(IFERROR(VLOOKUP(A876,TRAOPE!$A:$U,21,0),VLOOKUP(B876,TRAOPE!$A:$U,21,0)),"")</f>
        <v/>
      </c>
      <c r="R876" s="8">
        <f>IFERROR(IFERROR(VLOOKUP(A876,TRAOPE!$A:$W,23,0),VLOOKUP(B876,TRAOPE!$A:$W,23,0)),"")</f>
        <v/>
      </c>
      <c r="S876" s="10">
        <f>IF(AND(P876="TN",R876="TN"),N876+N(O876),IF(G876&amp;""="1",N(K876)*N876,(N876+N(O876))*N(K876)))</f>
        <v/>
      </c>
      <c r="T876" s="10">
        <f>IF(Q876="","",Q876-S876)</f>
        <v/>
      </c>
    </row>
    <row r="877">
      <c r="A877" s="7">
        <f>CONCATENATE(C877,E877,F877,I877)</f>
        <v/>
      </c>
      <c r="B877" s="7">
        <f>CONCATENATE(C877,E877,I877)</f>
        <v/>
      </c>
      <c r="C877" s="8" t="n">
        <v>900004465</v>
      </c>
      <c r="D877" s="7">
        <f>IFERROR(VLOOKUP(C877,TRAOPE!$G:$H,2,0),"")</f>
        <v/>
      </c>
      <c r="E877" s="8" t="inlineStr">
        <is>
          <t>DW70</t>
        </is>
      </c>
      <c r="F877" s="8" t="inlineStr">
        <is>
          <t>D111</t>
        </is>
      </c>
      <c r="G877" s="8">
        <f>IFERROR(VLOOKUP(A877,Flete!$A:$E,5,0),"")</f>
        <v/>
      </c>
      <c r="H877" s="7">
        <f>IFERROR(VLOOKUP(F877,TRAOPE!$AA:$AB,2,0),"")</f>
        <v/>
      </c>
      <c r="I877" s="7" t="n">
        <v>10053281</v>
      </c>
      <c r="J877" s="7">
        <f>IFERROR(VLOOKUP(I877,Materiales!$A:$H,8,0),"")</f>
        <v/>
      </c>
      <c r="K877" s="9">
        <f>IFERROR(VLOOKUP(I877,Materiales!$A:$G,7,0),"")</f>
        <v/>
      </c>
      <c r="L877" s="8" t="inlineStr">
        <is>
          <t>20230501</t>
        </is>
      </c>
      <c r="M877" s="8" t="inlineStr">
        <is>
          <t>20250131</t>
        </is>
      </c>
      <c r="N877" s="10" t="n">
        <v>79.84999999999999</v>
      </c>
      <c r="O877" s="10">
        <f>IFERROR(VLOOKUP(A877,Flete!$A:$J,10,0),"")</f>
        <v/>
      </c>
      <c r="P877" s="8" t="inlineStr">
        <is>
          <t>TN</t>
        </is>
      </c>
      <c r="Q877" s="10">
        <f>IFERROR(IFERROR(VLOOKUP(A877,TRAOPE!$A:$U,21,0),VLOOKUP(B877,TRAOPE!$A:$U,21,0)),"")</f>
        <v/>
      </c>
      <c r="R877" s="8">
        <f>IFERROR(IFERROR(VLOOKUP(A877,TRAOPE!$A:$W,23,0),VLOOKUP(B877,TRAOPE!$A:$W,23,0)),"")</f>
        <v/>
      </c>
      <c r="S877" s="10">
        <f>IF(AND(P877="TN",R877="TN"),N877+N(O877),IF(G877&amp;""="1",N(K877)*N877,(N877+N(O877))*N(K877)))</f>
        <v/>
      </c>
      <c r="T877" s="10">
        <f>IF(Q877="","",Q877-S877)</f>
        <v/>
      </c>
    </row>
    <row r="878">
      <c r="A878" s="7">
        <f>CONCATENATE(C878,E878,F878,I878)</f>
        <v/>
      </c>
      <c r="B878" s="7">
        <f>CONCATENATE(C878,E878,I878)</f>
        <v/>
      </c>
      <c r="C878" s="8" t="n">
        <v>900004465</v>
      </c>
      <c r="D878" s="7">
        <f>IFERROR(VLOOKUP(C878,TRAOPE!$G:$H,2,0),"")</f>
        <v/>
      </c>
      <c r="E878" s="8" t="inlineStr">
        <is>
          <t>DW70</t>
        </is>
      </c>
      <c r="F878" s="8" t="inlineStr">
        <is>
          <t>D136</t>
        </is>
      </c>
      <c r="G878" s="8">
        <f>IFERROR(VLOOKUP(A878,Flete!$A:$E,5,0),"")</f>
        <v/>
      </c>
      <c r="H878" s="7">
        <f>IFERROR(VLOOKUP(F878,TRAOPE!$AA:$AB,2,0),"")</f>
        <v/>
      </c>
      <c r="I878" s="7" t="n">
        <v>10053281</v>
      </c>
      <c r="J878" s="7">
        <f>IFERROR(VLOOKUP(I878,Materiales!$A:$H,8,0),"")</f>
        <v/>
      </c>
      <c r="K878" s="9">
        <f>IFERROR(VLOOKUP(I878,Materiales!$A:$G,7,0),"")</f>
        <v/>
      </c>
      <c r="L878" s="8" t="inlineStr">
        <is>
          <t>20230501</t>
        </is>
      </c>
      <c r="M878" s="8" t="inlineStr">
        <is>
          <t>20250131</t>
        </is>
      </c>
      <c r="N878" s="10" t="n">
        <v>79.84999999999999</v>
      </c>
      <c r="O878" s="10">
        <f>IFERROR(VLOOKUP(A878,Flete!$A:$J,10,0),"")</f>
        <v/>
      </c>
      <c r="P878" s="8" t="inlineStr">
        <is>
          <t>TN</t>
        </is>
      </c>
      <c r="Q878" s="10">
        <f>IFERROR(IFERROR(VLOOKUP(A878,TRAOPE!$A:$U,21,0),VLOOKUP(B878,TRAOPE!$A:$U,21,0)),"")</f>
        <v/>
      </c>
      <c r="R878" s="8">
        <f>IFERROR(IFERROR(VLOOKUP(A878,TRAOPE!$A:$W,23,0),VLOOKUP(B878,TRAOPE!$A:$W,23,0)),"")</f>
        <v/>
      </c>
      <c r="S878" s="10">
        <f>IF(AND(P878="TN",R878="TN"),N878+N(O878),IF(G878&amp;""="1",N(K878)*N878,(N878+N(O878))*N(K878)))</f>
        <v/>
      </c>
      <c r="T878" s="10">
        <f>IF(Q878="","",Q878-S878)</f>
        <v/>
      </c>
    </row>
    <row r="879">
      <c r="A879" s="7">
        <f>CONCATENATE(C879,E879,F879,I879)</f>
        <v/>
      </c>
      <c r="B879" s="7">
        <f>CONCATENATE(C879,E879,I879)</f>
        <v/>
      </c>
      <c r="C879" s="8" t="n">
        <v>900004465</v>
      </c>
      <c r="D879" s="7">
        <f>IFERROR(VLOOKUP(C879,TRAOPE!$G:$H,2,0),"")</f>
        <v/>
      </c>
      <c r="E879" s="8" t="inlineStr">
        <is>
          <t>DW70</t>
        </is>
      </c>
      <c r="F879" s="8" t="inlineStr">
        <is>
          <t>D145</t>
        </is>
      </c>
      <c r="G879" s="8">
        <f>IFERROR(VLOOKUP(A879,Flete!$A:$E,5,0),"")</f>
        <v/>
      </c>
      <c r="H879" s="7">
        <f>IFERROR(VLOOKUP(F879,TRAOPE!$AA:$AB,2,0),"")</f>
        <v/>
      </c>
      <c r="I879" s="7" t="n">
        <v>10053281</v>
      </c>
      <c r="J879" s="7">
        <f>IFERROR(VLOOKUP(I879,Materiales!$A:$H,8,0),"")</f>
        <v/>
      </c>
      <c r="K879" s="9">
        <f>IFERROR(VLOOKUP(I879,Materiales!$A:$G,7,0),"")</f>
        <v/>
      </c>
      <c r="L879" s="8" t="inlineStr">
        <is>
          <t>20230501</t>
        </is>
      </c>
      <c r="M879" s="8" t="inlineStr">
        <is>
          <t>20250131</t>
        </is>
      </c>
      <c r="N879" s="10" t="n">
        <v>79.84999999999999</v>
      </c>
      <c r="O879" s="10">
        <f>IFERROR(VLOOKUP(A879,Flete!$A:$J,10,0),"")</f>
        <v/>
      </c>
      <c r="P879" s="8" t="inlineStr">
        <is>
          <t>TN</t>
        </is>
      </c>
      <c r="Q879" s="10">
        <f>IFERROR(IFERROR(VLOOKUP(A879,TRAOPE!$A:$U,21,0),VLOOKUP(B879,TRAOPE!$A:$U,21,0)),"")</f>
        <v/>
      </c>
      <c r="R879" s="8">
        <f>IFERROR(IFERROR(VLOOKUP(A879,TRAOPE!$A:$W,23,0),VLOOKUP(B879,TRAOPE!$A:$W,23,0)),"")</f>
        <v/>
      </c>
      <c r="S879" s="10">
        <f>IF(AND(P879="TN",R879="TN"),N879+N(O879),IF(G879&amp;""="1",N(K879)*N879,(N879+N(O879))*N(K879)))</f>
        <v/>
      </c>
      <c r="T879" s="10">
        <f>IF(Q879="","",Q879-S879)</f>
        <v/>
      </c>
    </row>
    <row r="880">
      <c r="A880" s="7">
        <f>CONCATENATE(C880,E880,F880,I880)</f>
        <v/>
      </c>
      <c r="B880" s="7">
        <f>CONCATENATE(C880,E880,I880)</f>
        <v/>
      </c>
      <c r="C880" s="8" t="n">
        <v>900004541</v>
      </c>
      <c r="D880" s="7">
        <f>IFERROR(VLOOKUP(C880,TRAOPE!$G:$H,2,0),"")</f>
        <v/>
      </c>
      <c r="E880" s="8" t="inlineStr">
        <is>
          <t>DW70</t>
        </is>
      </c>
      <c r="F880" s="8" t="inlineStr">
        <is>
          <t>D081</t>
        </is>
      </c>
      <c r="G880" s="8">
        <f>IFERROR(VLOOKUP(A880,Flete!$A:$E,5,0),"")</f>
        <v/>
      </c>
      <c r="H880" s="7">
        <f>IFERROR(VLOOKUP(F880,TRAOPE!$AA:$AB,2,0),"")</f>
        <v/>
      </c>
      <c r="I880" s="7" t="n">
        <v>10000829</v>
      </c>
      <c r="J880" s="7">
        <f>IFERROR(VLOOKUP(I880,Materiales!$A:$H,8,0),"")</f>
        <v/>
      </c>
      <c r="K880" s="9">
        <f>IFERROR(VLOOKUP(I880,Materiales!$A:$G,7,0),"")</f>
        <v/>
      </c>
      <c r="L880" s="8" t="inlineStr">
        <is>
          <t>20230501</t>
        </is>
      </c>
      <c r="M880" s="8" t="inlineStr">
        <is>
          <t>20250131</t>
        </is>
      </c>
      <c r="N880" s="10" t="n">
        <v>49.93</v>
      </c>
      <c r="O880" s="10">
        <f>IFERROR(VLOOKUP(A880,Flete!$A:$J,10,0),"")</f>
        <v/>
      </c>
      <c r="P880" s="8" t="inlineStr">
        <is>
          <t>TN</t>
        </is>
      </c>
      <c r="Q880" s="10">
        <f>IFERROR(IFERROR(VLOOKUP(A880,TRAOPE!$A:$U,21,0),VLOOKUP(B880,TRAOPE!$A:$U,21,0)),"")</f>
        <v/>
      </c>
      <c r="R880" s="8">
        <f>IFERROR(IFERROR(VLOOKUP(A880,TRAOPE!$A:$W,23,0),VLOOKUP(B880,TRAOPE!$A:$W,23,0)),"")</f>
        <v/>
      </c>
      <c r="S880" s="10">
        <f>IF(AND(P880="TN",R880="TN"),N880+N(O880),IF(G880&amp;""="1",N(K880)*N880,(N880+N(O880))*N(K880)))</f>
        <v/>
      </c>
      <c r="T880" s="10">
        <f>IF(Q880="","",Q880-S880)</f>
        <v/>
      </c>
    </row>
    <row r="881">
      <c r="A881" s="7">
        <f>CONCATENATE(C881,E881,F881,I881)</f>
        <v/>
      </c>
      <c r="B881" s="7">
        <f>CONCATENATE(C881,E881,I881)</f>
        <v/>
      </c>
      <c r="C881" s="8" t="n">
        <v>900004541</v>
      </c>
      <c r="D881" s="7">
        <f>IFERROR(VLOOKUP(C881,TRAOPE!$G:$H,2,0),"")</f>
        <v/>
      </c>
      <c r="E881" s="8" t="inlineStr">
        <is>
          <t>DW70</t>
        </is>
      </c>
      <c r="F881" s="8" t="inlineStr">
        <is>
          <t>D083</t>
        </is>
      </c>
      <c r="G881" s="8">
        <f>IFERROR(VLOOKUP(A881,Flete!$A:$E,5,0),"")</f>
        <v/>
      </c>
      <c r="H881" s="7">
        <f>IFERROR(VLOOKUP(F881,TRAOPE!$AA:$AB,2,0),"")</f>
        <v/>
      </c>
      <c r="I881" s="7" t="n">
        <v>10000829</v>
      </c>
      <c r="J881" s="7">
        <f>IFERROR(VLOOKUP(I881,Materiales!$A:$H,8,0),"")</f>
        <v/>
      </c>
      <c r="K881" s="9">
        <f>IFERROR(VLOOKUP(I881,Materiales!$A:$G,7,0),"")</f>
        <v/>
      </c>
      <c r="L881" s="8" t="inlineStr">
        <is>
          <t>20230501</t>
        </is>
      </c>
      <c r="M881" s="8" t="inlineStr">
        <is>
          <t>20250131</t>
        </is>
      </c>
      <c r="N881" s="10" t="n">
        <v>49.93</v>
      </c>
      <c r="O881" s="10">
        <f>IFERROR(VLOOKUP(A881,Flete!$A:$J,10,0),"")</f>
        <v/>
      </c>
      <c r="P881" s="8" t="inlineStr">
        <is>
          <t>TN</t>
        </is>
      </c>
      <c r="Q881" s="10">
        <f>IFERROR(IFERROR(VLOOKUP(A881,TRAOPE!$A:$U,21,0),VLOOKUP(B881,TRAOPE!$A:$U,21,0)),"")</f>
        <v/>
      </c>
      <c r="R881" s="8">
        <f>IFERROR(IFERROR(VLOOKUP(A881,TRAOPE!$A:$W,23,0),VLOOKUP(B881,TRAOPE!$A:$W,23,0)),"")</f>
        <v/>
      </c>
      <c r="S881" s="10">
        <f>IF(AND(P881="TN",R881="TN"),N881+N(O881),IF(G881&amp;""="1",N(K881)*N881,(N881+N(O881))*N(K881)))</f>
        <v/>
      </c>
      <c r="T881" s="10">
        <f>IF(Q881="","",Q881-S881)</f>
        <v/>
      </c>
    </row>
    <row r="882">
      <c r="A882" s="7">
        <f>CONCATENATE(C882,E882,F882,I882)</f>
        <v/>
      </c>
      <c r="B882" s="7">
        <f>CONCATENATE(C882,E882,I882)</f>
        <v/>
      </c>
      <c r="C882" s="8" t="n">
        <v>900004541</v>
      </c>
      <c r="D882" s="7">
        <f>IFERROR(VLOOKUP(C882,TRAOPE!$G:$H,2,0),"")</f>
        <v/>
      </c>
      <c r="E882" s="8" t="inlineStr">
        <is>
          <t>DW70</t>
        </is>
      </c>
      <c r="F882" s="8" t="inlineStr">
        <is>
          <t>D084</t>
        </is>
      </c>
      <c r="G882" s="8">
        <f>IFERROR(VLOOKUP(A882,Flete!$A:$E,5,0),"")</f>
        <v/>
      </c>
      <c r="H882" s="7">
        <f>IFERROR(VLOOKUP(F882,TRAOPE!$AA:$AB,2,0),"")</f>
        <v/>
      </c>
      <c r="I882" s="7" t="n">
        <v>10000829</v>
      </c>
      <c r="J882" s="7">
        <f>IFERROR(VLOOKUP(I882,Materiales!$A:$H,8,0),"")</f>
        <v/>
      </c>
      <c r="K882" s="9">
        <f>IFERROR(VLOOKUP(I882,Materiales!$A:$G,7,0),"")</f>
        <v/>
      </c>
      <c r="L882" s="8" t="inlineStr">
        <is>
          <t>20230501</t>
        </is>
      </c>
      <c r="M882" s="8" t="inlineStr">
        <is>
          <t>20250131</t>
        </is>
      </c>
      <c r="N882" s="10" t="n">
        <v>49.93</v>
      </c>
      <c r="O882" s="10">
        <f>IFERROR(VLOOKUP(A882,Flete!$A:$J,10,0),"")</f>
        <v/>
      </c>
      <c r="P882" s="8" t="inlineStr">
        <is>
          <t>TN</t>
        </is>
      </c>
      <c r="Q882" s="10">
        <f>IFERROR(IFERROR(VLOOKUP(A882,TRAOPE!$A:$U,21,0),VLOOKUP(B882,TRAOPE!$A:$U,21,0)),"")</f>
        <v/>
      </c>
      <c r="R882" s="8">
        <f>IFERROR(IFERROR(VLOOKUP(A882,TRAOPE!$A:$W,23,0),VLOOKUP(B882,TRAOPE!$A:$W,23,0)),"")</f>
        <v/>
      </c>
      <c r="S882" s="10">
        <f>IF(AND(P882="TN",R882="TN"),N882+N(O882),IF(G882&amp;""="1",N(K882)*N882,(N882+N(O882))*N(K882)))</f>
        <v/>
      </c>
      <c r="T882" s="10">
        <f>IF(Q882="","",Q882-S882)</f>
        <v/>
      </c>
    </row>
    <row r="883">
      <c r="A883" s="7">
        <f>CONCATENATE(C883,E883,F883,I883)</f>
        <v/>
      </c>
      <c r="B883" s="7">
        <f>CONCATENATE(C883,E883,I883)</f>
        <v/>
      </c>
      <c r="C883" s="8" t="n">
        <v>900004541</v>
      </c>
      <c r="D883" s="7">
        <f>IFERROR(VLOOKUP(C883,TRAOPE!$G:$H,2,0),"")</f>
        <v/>
      </c>
      <c r="E883" s="8" t="inlineStr">
        <is>
          <t>DW70</t>
        </is>
      </c>
      <c r="F883" s="8" t="inlineStr">
        <is>
          <t>D086</t>
        </is>
      </c>
      <c r="G883" s="8">
        <f>IFERROR(VLOOKUP(A883,Flete!$A:$E,5,0),"")</f>
        <v/>
      </c>
      <c r="H883" s="7">
        <f>IFERROR(VLOOKUP(F883,TRAOPE!$AA:$AB,2,0),"")</f>
        <v/>
      </c>
      <c r="I883" s="7" t="n">
        <v>10000829</v>
      </c>
      <c r="J883" s="7">
        <f>IFERROR(VLOOKUP(I883,Materiales!$A:$H,8,0),"")</f>
        <v/>
      </c>
      <c r="K883" s="9">
        <f>IFERROR(VLOOKUP(I883,Materiales!$A:$G,7,0),"")</f>
        <v/>
      </c>
      <c r="L883" s="8" t="inlineStr">
        <is>
          <t>20230501</t>
        </is>
      </c>
      <c r="M883" s="8" t="inlineStr">
        <is>
          <t>20250131</t>
        </is>
      </c>
      <c r="N883" s="10" t="n">
        <v>49.93</v>
      </c>
      <c r="O883" s="10">
        <f>IFERROR(VLOOKUP(A883,Flete!$A:$J,10,0),"")</f>
        <v/>
      </c>
      <c r="P883" s="8" t="inlineStr">
        <is>
          <t>TN</t>
        </is>
      </c>
      <c r="Q883" s="10">
        <f>IFERROR(IFERROR(VLOOKUP(A883,TRAOPE!$A:$U,21,0),VLOOKUP(B883,TRAOPE!$A:$U,21,0)),"")</f>
        <v/>
      </c>
      <c r="R883" s="8">
        <f>IFERROR(IFERROR(VLOOKUP(A883,TRAOPE!$A:$W,23,0),VLOOKUP(B883,TRAOPE!$A:$W,23,0)),"")</f>
        <v/>
      </c>
      <c r="S883" s="10">
        <f>IF(AND(P883="TN",R883="TN"),N883+N(O883),IF(G883&amp;""="1",N(K883)*N883,(N883+N(O883))*N(K883)))</f>
        <v/>
      </c>
      <c r="T883" s="10">
        <f>IF(Q883="","",Q883-S883)</f>
        <v/>
      </c>
    </row>
    <row r="884">
      <c r="A884" s="7">
        <f>CONCATENATE(C884,E884,F884,I884)</f>
        <v/>
      </c>
      <c r="B884" s="7">
        <f>CONCATENATE(C884,E884,I884)</f>
        <v/>
      </c>
      <c r="C884" s="8" t="n">
        <v>900004725</v>
      </c>
      <c r="D884" s="7">
        <f>IFERROR(VLOOKUP(C884,TRAOPE!$G:$H,2,0),"")</f>
        <v/>
      </c>
      <c r="E884" s="8" t="inlineStr">
        <is>
          <t>DW70</t>
        </is>
      </c>
      <c r="F884" s="8" t="inlineStr">
        <is>
          <t>D074</t>
        </is>
      </c>
      <c r="G884" s="8">
        <f>IFERROR(VLOOKUP(A884,Flete!$A:$E,5,0),"")</f>
        <v/>
      </c>
      <c r="H884" s="7">
        <f>IFERROR(VLOOKUP(F884,TRAOPE!$AA:$AB,2,0),"")</f>
        <v/>
      </c>
      <c r="I884" s="7" t="n">
        <v>10001073</v>
      </c>
      <c r="J884" s="7">
        <f>IFERROR(VLOOKUP(I884,Materiales!$A:$H,8,0),"")</f>
        <v/>
      </c>
      <c r="K884" s="9">
        <f>IFERROR(VLOOKUP(I884,Materiales!$A:$G,7,0),"")</f>
        <v/>
      </c>
      <c r="L884" s="8" t="inlineStr">
        <is>
          <t>20250701</t>
        </is>
      </c>
      <c r="M884" s="8" t="inlineStr">
        <is>
          <t>20251031</t>
        </is>
      </c>
      <c r="N884" s="10" t="n">
        <v>95</v>
      </c>
      <c r="O884" s="10">
        <f>IFERROR(VLOOKUP(A884,Flete!$A:$J,10,0),"")</f>
        <v/>
      </c>
      <c r="P884" s="8" t="inlineStr">
        <is>
          <t>TN</t>
        </is>
      </c>
      <c r="Q884" s="10">
        <f>IFERROR(IFERROR(VLOOKUP(A884,TRAOPE!$A:$U,21,0),VLOOKUP(B884,TRAOPE!$A:$U,21,0)),"")</f>
        <v/>
      </c>
      <c r="R884" s="8">
        <f>IFERROR(IFERROR(VLOOKUP(A884,TRAOPE!$A:$W,23,0),VLOOKUP(B884,TRAOPE!$A:$W,23,0)),"")</f>
        <v/>
      </c>
      <c r="S884" s="10">
        <f>IF(AND(P884="TN",R884="TN"),N884+N(O884),IF(G884&amp;""="1",N(K884)*N884,(N884+N(O884))*N(K884)))</f>
        <v/>
      </c>
      <c r="T884" s="10">
        <f>IF(Q884="","",Q884-S884)</f>
        <v/>
      </c>
    </row>
    <row r="885">
      <c r="A885" s="7">
        <f>CONCATENATE(C885,E885,F885,I885)</f>
        <v/>
      </c>
      <c r="B885" s="7">
        <f>CONCATENATE(C885,E885,I885)</f>
        <v/>
      </c>
      <c r="C885" s="8" t="n">
        <v>900004725</v>
      </c>
      <c r="D885" s="7">
        <f>IFERROR(VLOOKUP(C885,TRAOPE!$G:$H,2,0),"")</f>
        <v/>
      </c>
      <c r="E885" s="8" t="inlineStr">
        <is>
          <t>DW70</t>
        </is>
      </c>
      <c r="F885" s="8" t="inlineStr">
        <is>
          <t>D075</t>
        </is>
      </c>
      <c r="G885" s="8">
        <f>IFERROR(VLOOKUP(A885,Flete!$A:$E,5,0),"")</f>
        <v/>
      </c>
      <c r="H885" s="7">
        <f>IFERROR(VLOOKUP(F885,TRAOPE!$AA:$AB,2,0),"")</f>
        <v/>
      </c>
      <c r="I885" s="7" t="n">
        <v>10001073</v>
      </c>
      <c r="J885" s="7">
        <f>IFERROR(VLOOKUP(I885,Materiales!$A:$H,8,0),"")</f>
        <v/>
      </c>
      <c r="K885" s="9">
        <f>IFERROR(VLOOKUP(I885,Materiales!$A:$G,7,0),"")</f>
        <v/>
      </c>
      <c r="L885" s="8" t="inlineStr">
        <is>
          <t>20250701</t>
        </is>
      </c>
      <c r="M885" s="8" t="inlineStr">
        <is>
          <t>20251031</t>
        </is>
      </c>
      <c r="N885" s="10" t="n">
        <v>95</v>
      </c>
      <c r="O885" s="10">
        <f>IFERROR(VLOOKUP(A885,Flete!$A:$J,10,0),"")</f>
        <v/>
      </c>
      <c r="P885" s="8" t="inlineStr">
        <is>
          <t>TN</t>
        </is>
      </c>
      <c r="Q885" s="10">
        <f>IFERROR(IFERROR(VLOOKUP(A885,TRAOPE!$A:$U,21,0),VLOOKUP(B885,TRAOPE!$A:$U,21,0)),"")</f>
        <v/>
      </c>
      <c r="R885" s="8">
        <f>IFERROR(IFERROR(VLOOKUP(A885,TRAOPE!$A:$W,23,0),VLOOKUP(B885,TRAOPE!$A:$W,23,0)),"")</f>
        <v/>
      </c>
      <c r="S885" s="10">
        <f>IF(AND(P885="TN",R885="TN"),N885+N(O885),IF(G885&amp;""="1",N(K885)*N885,(N885+N(O885))*N(K885)))</f>
        <v/>
      </c>
      <c r="T885" s="10">
        <f>IF(Q885="","",Q885-S885)</f>
        <v/>
      </c>
    </row>
    <row r="886">
      <c r="A886" s="7">
        <f>CONCATENATE(C886,E886,F886,I886)</f>
        <v/>
      </c>
      <c r="B886" s="7">
        <f>CONCATENATE(C886,E886,I886)</f>
        <v/>
      </c>
      <c r="C886" s="8" t="n">
        <v>900004725</v>
      </c>
      <c r="D886" s="7">
        <f>IFERROR(VLOOKUP(C886,TRAOPE!$G:$H,2,0),"")</f>
        <v/>
      </c>
      <c r="E886" s="8" t="inlineStr">
        <is>
          <t>DW70</t>
        </is>
      </c>
      <c r="F886" s="8" t="inlineStr">
        <is>
          <t>D077</t>
        </is>
      </c>
      <c r="G886" s="8">
        <f>IFERROR(VLOOKUP(A886,Flete!$A:$E,5,0),"")</f>
        <v/>
      </c>
      <c r="H886" s="7">
        <f>IFERROR(VLOOKUP(F886,TRAOPE!$AA:$AB,2,0),"")</f>
        <v/>
      </c>
      <c r="I886" s="7" t="n">
        <v>10001073</v>
      </c>
      <c r="J886" s="7">
        <f>IFERROR(VLOOKUP(I886,Materiales!$A:$H,8,0),"")</f>
        <v/>
      </c>
      <c r="K886" s="9">
        <f>IFERROR(VLOOKUP(I886,Materiales!$A:$G,7,0),"")</f>
        <v/>
      </c>
      <c r="L886" s="8" t="inlineStr">
        <is>
          <t>20250701</t>
        </is>
      </c>
      <c r="M886" s="8" t="inlineStr">
        <is>
          <t>20251031</t>
        </is>
      </c>
      <c r="N886" s="10" t="n">
        <v>95</v>
      </c>
      <c r="O886" s="10">
        <f>IFERROR(VLOOKUP(A886,Flete!$A:$J,10,0),"")</f>
        <v/>
      </c>
      <c r="P886" s="8" t="inlineStr">
        <is>
          <t>TN</t>
        </is>
      </c>
      <c r="Q886" s="10">
        <f>IFERROR(IFERROR(VLOOKUP(A886,TRAOPE!$A:$U,21,0),VLOOKUP(B886,TRAOPE!$A:$U,21,0)),"")</f>
        <v/>
      </c>
      <c r="R886" s="8">
        <f>IFERROR(IFERROR(VLOOKUP(A886,TRAOPE!$A:$W,23,0),VLOOKUP(B886,TRAOPE!$A:$W,23,0)),"")</f>
        <v/>
      </c>
      <c r="S886" s="10">
        <f>IF(AND(P886="TN",R886="TN"),N886+N(O886),IF(G886&amp;""="1",N(K886)*N886,(N886+N(O886))*N(K886)))</f>
        <v/>
      </c>
      <c r="T886" s="10">
        <f>IF(Q886="","",Q886-S886)</f>
        <v/>
      </c>
    </row>
    <row r="887">
      <c r="A887" s="7">
        <f>CONCATENATE(C887,E887,F887,I887)</f>
        <v/>
      </c>
      <c r="B887" s="7">
        <f>CONCATENATE(C887,E887,I887)</f>
        <v/>
      </c>
      <c r="C887" s="8" t="n">
        <v>900004725</v>
      </c>
      <c r="D887" s="7">
        <f>IFERROR(VLOOKUP(C887,TRAOPE!$G:$H,2,0),"")</f>
        <v/>
      </c>
      <c r="E887" s="8" t="inlineStr">
        <is>
          <t>DW70</t>
        </is>
      </c>
      <c r="F887" s="8" t="inlineStr">
        <is>
          <t>D079</t>
        </is>
      </c>
      <c r="G887" s="8">
        <f>IFERROR(VLOOKUP(A887,Flete!$A:$E,5,0),"")</f>
        <v/>
      </c>
      <c r="H887" s="7">
        <f>IFERROR(VLOOKUP(F887,TRAOPE!$AA:$AB,2,0),"")</f>
        <v/>
      </c>
      <c r="I887" s="7" t="n">
        <v>10001073</v>
      </c>
      <c r="J887" s="7">
        <f>IFERROR(VLOOKUP(I887,Materiales!$A:$H,8,0),"")</f>
        <v/>
      </c>
      <c r="K887" s="9">
        <f>IFERROR(VLOOKUP(I887,Materiales!$A:$G,7,0),"")</f>
        <v/>
      </c>
      <c r="L887" s="8" t="inlineStr">
        <is>
          <t>20250701</t>
        </is>
      </c>
      <c r="M887" s="8" t="inlineStr">
        <is>
          <t>20251031</t>
        </is>
      </c>
      <c r="N887" s="10" t="n">
        <v>95</v>
      </c>
      <c r="O887" s="10">
        <f>IFERROR(VLOOKUP(A887,Flete!$A:$J,10,0),"")</f>
        <v/>
      </c>
      <c r="P887" s="8" t="inlineStr">
        <is>
          <t>TN</t>
        </is>
      </c>
      <c r="Q887" s="10">
        <f>IFERROR(IFERROR(VLOOKUP(A887,TRAOPE!$A:$U,21,0),VLOOKUP(B887,TRAOPE!$A:$U,21,0)),"")</f>
        <v/>
      </c>
      <c r="R887" s="8">
        <f>IFERROR(IFERROR(VLOOKUP(A887,TRAOPE!$A:$W,23,0),VLOOKUP(B887,TRAOPE!$A:$W,23,0)),"")</f>
        <v/>
      </c>
      <c r="S887" s="10">
        <f>IF(AND(P887="TN",R887="TN"),N887+N(O887),IF(G887&amp;""="1",N(K887)*N887,(N887+N(O887))*N(K887)))</f>
        <v/>
      </c>
      <c r="T887" s="10">
        <f>IF(Q887="","",Q887-S887)</f>
        <v/>
      </c>
    </row>
    <row r="888">
      <c r="A888" s="7">
        <f>CONCATENATE(C888,E888,F888,I888)</f>
        <v/>
      </c>
      <c r="B888" s="7">
        <f>CONCATENATE(C888,E888,I888)</f>
        <v/>
      </c>
      <c r="C888" s="8" t="n">
        <v>900004725</v>
      </c>
      <c r="D888" s="7">
        <f>IFERROR(VLOOKUP(C888,TRAOPE!$G:$H,2,0),"")</f>
        <v/>
      </c>
      <c r="E888" s="8" t="inlineStr">
        <is>
          <t>DW70</t>
        </is>
      </c>
      <c r="F888" s="8" t="inlineStr">
        <is>
          <t>D080</t>
        </is>
      </c>
      <c r="G888" s="8">
        <f>IFERROR(VLOOKUP(A888,Flete!$A:$E,5,0),"")</f>
        <v/>
      </c>
      <c r="H888" s="7">
        <f>IFERROR(VLOOKUP(F888,TRAOPE!$AA:$AB,2,0),"")</f>
        <v/>
      </c>
      <c r="I888" s="7" t="n">
        <v>10001073</v>
      </c>
      <c r="J888" s="7">
        <f>IFERROR(VLOOKUP(I888,Materiales!$A:$H,8,0),"")</f>
        <v/>
      </c>
      <c r="K888" s="9">
        <f>IFERROR(VLOOKUP(I888,Materiales!$A:$G,7,0),"")</f>
        <v/>
      </c>
      <c r="L888" s="8" t="inlineStr">
        <is>
          <t>20250701</t>
        </is>
      </c>
      <c r="M888" s="8" t="inlineStr">
        <is>
          <t>20251031</t>
        </is>
      </c>
      <c r="N888" s="10" t="n">
        <v>95</v>
      </c>
      <c r="O888" s="10">
        <f>IFERROR(VLOOKUP(A888,Flete!$A:$J,10,0),"")</f>
        <v/>
      </c>
      <c r="P888" s="8" t="inlineStr">
        <is>
          <t>TN</t>
        </is>
      </c>
      <c r="Q888" s="10">
        <f>IFERROR(IFERROR(VLOOKUP(A888,TRAOPE!$A:$U,21,0),VLOOKUP(B888,TRAOPE!$A:$U,21,0)),"")</f>
        <v/>
      </c>
      <c r="R888" s="8">
        <f>IFERROR(IFERROR(VLOOKUP(A888,TRAOPE!$A:$W,23,0),VLOOKUP(B888,TRAOPE!$A:$W,23,0)),"")</f>
        <v/>
      </c>
      <c r="S888" s="10">
        <f>IF(AND(P888="TN",R888="TN"),N888+N(O888),IF(G888&amp;""="1",N(K888)*N888,(N888+N(O888))*N(K888)))</f>
        <v/>
      </c>
      <c r="T888" s="10">
        <f>IF(Q888="","",Q888-S888)</f>
        <v/>
      </c>
    </row>
    <row r="889">
      <c r="A889" s="7">
        <f>CONCATENATE(C889,E889,F889,I889)</f>
        <v/>
      </c>
      <c r="B889" s="7">
        <f>CONCATENATE(C889,E889,I889)</f>
        <v/>
      </c>
      <c r="C889" s="8" t="n">
        <v>900004725</v>
      </c>
      <c r="D889" s="7">
        <f>IFERROR(VLOOKUP(C889,TRAOPE!$G:$H,2,0),"")</f>
        <v/>
      </c>
      <c r="E889" s="8" t="inlineStr">
        <is>
          <t>DW70</t>
        </is>
      </c>
      <c r="F889" s="8" t="inlineStr">
        <is>
          <t>D081</t>
        </is>
      </c>
      <c r="G889" s="8">
        <f>IFERROR(VLOOKUP(A889,Flete!$A:$E,5,0),"")</f>
        <v/>
      </c>
      <c r="H889" s="7">
        <f>IFERROR(VLOOKUP(F889,TRAOPE!$AA:$AB,2,0),"")</f>
        <v/>
      </c>
      <c r="I889" s="7" t="n">
        <v>10001073</v>
      </c>
      <c r="J889" s="7">
        <f>IFERROR(VLOOKUP(I889,Materiales!$A:$H,8,0),"")</f>
        <v/>
      </c>
      <c r="K889" s="9">
        <f>IFERROR(VLOOKUP(I889,Materiales!$A:$G,7,0),"")</f>
        <v/>
      </c>
      <c r="L889" s="8" t="inlineStr">
        <is>
          <t>20250701</t>
        </is>
      </c>
      <c r="M889" s="8" t="inlineStr">
        <is>
          <t>20251031</t>
        </is>
      </c>
      <c r="N889" s="10" t="n">
        <v>95</v>
      </c>
      <c r="O889" s="10">
        <f>IFERROR(VLOOKUP(A889,Flete!$A:$J,10,0),"")</f>
        <v/>
      </c>
      <c r="P889" s="8" t="inlineStr">
        <is>
          <t>TN</t>
        </is>
      </c>
      <c r="Q889" s="10">
        <f>IFERROR(IFERROR(VLOOKUP(A889,TRAOPE!$A:$U,21,0),VLOOKUP(B889,TRAOPE!$A:$U,21,0)),"")</f>
        <v/>
      </c>
      <c r="R889" s="8">
        <f>IFERROR(IFERROR(VLOOKUP(A889,TRAOPE!$A:$W,23,0),VLOOKUP(B889,TRAOPE!$A:$W,23,0)),"")</f>
        <v/>
      </c>
      <c r="S889" s="10">
        <f>IF(AND(P889="TN",R889="TN"),N889+N(O889),IF(G889&amp;""="1",N(K889)*N889,(N889+N(O889))*N(K889)))</f>
        <v/>
      </c>
      <c r="T889" s="10">
        <f>IF(Q889="","",Q889-S889)</f>
        <v/>
      </c>
    </row>
    <row r="890">
      <c r="A890" s="7">
        <f>CONCATENATE(C890,E890,F890,I890)</f>
        <v/>
      </c>
      <c r="B890" s="7">
        <f>CONCATENATE(C890,E890,I890)</f>
        <v/>
      </c>
      <c r="C890" s="8" t="n">
        <v>900004725</v>
      </c>
      <c r="D890" s="7">
        <f>IFERROR(VLOOKUP(C890,TRAOPE!$G:$H,2,0),"")</f>
        <v/>
      </c>
      <c r="E890" s="8" t="inlineStr">
        <is>
          <t>DW70</t>
        </is>
      </c>
      <c r="F890" s="8" t="inlineStr">
        <is>
          <t>D083</t>
        </is>
      </c>
      <c r="G890" s="8">
        <f>IFERROR(VLOOKUP(A890,Flete!$A:$E,5,0),"")</f>
        <v/>
      </c>
      <c r="H890" s="7">
        <f>IFERROR(VLOOKUP(F890,TRAOPE!$AA:$AB,2,0),"")</f>
        <v/>
      </c>
      <c r="I890" s="7" t="n">
        <v>10001073</v>
      </c>
      <c r="J890" s="7">
        <f>IFERROR(VLOOKUP(I890,Materiales!$A:$H,8,0),"")</f>
        <v/>
      </c>
      <c r="K890" s="9">
        <f>IFERROR(VLOOKUP(I890,Materiales!$A:$G,7,0),"")</f>
        <v/>
      </c>
      <c r="L890" s="8" t="inlineStr">
        <is>
          <t>20250701</t>
        </is>
      </c>
      <c r="M890" s="8" t="inlineStr">
        <is>
          <t>20251031</t>
        </is>
      </c>
      <c r="N890" s="10" t="n">
        <v>95</v>
      </c>
      <c r="O890" s="10">
        <f>IFERROR(VLOOKUP(A890,Flete!$A:$J,10,0),"")</f>
        <v/>
      </c>
      <c r="P890" s="8" t="inlineStr">
        <is>
          <t>TN</t>
        </is>
      </c>
      <c r="Q890" s="10">
        <f>IFERROR(IFERROR(VLOOKUP(A890,TRAOPE!$A:$U,21,0),VLOOKUP(B890,TRAOPE!$A:$U,21,0)),"")</f>
        <v/>
      </c>
      <c r="R890" s="8">
        <f>IFERROR(IFERROR(VLOOKUP(A890,TRAOPE!$A:$W,23,0),VLOOKUP(B890,TRAOPE!$A:$W,23,0)),"")</f>
        <v/>
      </c>
      <c r="S890" s="10">
        <f>IF(AND(P890="TN",R890="TN"),N890+N(O890),IF(G890&amp;""="1",N(K890)*N890,(N890+N(O890))*N(K890)))</f>
        <v/>
      </c>
      <c r="T890" s="10">
        <f>IF(Q890="","",Q890-S890)</f>
        <v/>
      </c>
    </row>
    <row r="891">
      <c r="A891" s="7">
        <f>CONCATENATE(C891,E891,F891,I891)</f>
        <v/>
      </c>
      <c r="B891" s="7">
        <f>CONCATENATE(C891,E891,I891)</f>
        <v/>
      </c>
      <c r="C891" s="8" t="n">
        <v>900004725</v>
      </c>
      <c r="D891" s="7">
        <f>IFERROR(VLOOKUP(C891,TRAOPE!$G:$H,2,0),"")</f>
        <v/>
      </c>
      <c r="E891" s="8" t="inlineStr">
        <is>
          <t>DW70</t>
        </is>
      </c>
      <c r="F891" s="8" t="inlineStr">
        <is>
          <t>D084</t>
        </is>
      </c>
      <c r="G891" s="8">
        <f>IFERROR(VLOOKUP(A891,Flete!$A:$E,5,0),"")</f>
        <v/>
      </c>
      <c r="H891" s="7">
        <f>IFERROR(VLOOKUP(F891,TRAOPE!$AA:$AB,2,0),"")</f>
        <v/>
      </c>
      <c r="I891" s="7" t="n">
        <v>10001073</v>
      </c>
      <c r="J891" s="7">
        <f>IFERROR(VLOOKUP(I891,Materiales!$A:$H,8,0),"")</f>
        <v/>
      </c>
      <c r="K891" s="9">
        <f>IFERROR(VLOOKUP(I891,Materiales!$A:$G,7,0),"")</f>
        <v/>
      </c>
      <c r="L891" s="8" t="inlineStr">
        <is>
          <t>20250701</t>
        </is>
      </c>
      <c r="M891" s="8" t="inlineStr">
        <is>
          <t>20251031</t>
        </is>
      </c>
      <c r="N891" s="10" t="n">
        <v>95</v>
      </c>
      <c r="O891" s="10">
        <f>IFERROR(VLOOKUP(A891,Flete!$A:$J,10,0),"")</f>
        <v/>
      </c>
      <c r="P891" s="8" t="inlineStr">
        <is>
          <t>TN</t>
        </is>
      </c>
      <c r="Q891" s="10">
        <f>IFERROR(IFERROR(VLOOKUP(A891,TRAOPE!$A:$U,21,0),VLOOKUP(B891,TRAOPE!$A:$U,21,0)),"")</f>
        <v/>
      </c>
      <c r="R891" s="8">
        <f>IFERROR(IFERROR(VLOOKUP(A891,TRAOPE!$A:$W,23,0),VLOOKUP(B891,TRAOPE!$A:$W,23,0)),"")</f>
        <v/>
      </c>
      <c r="S891" s="10">
        <f>IF(AND(P891="TN",R891="TN"),N891+N(O891),IF(G891&amp;""="1",N(K891)*N891,(N891+N(O891))*N(K891)))</f>
        <v/>
      </c>
      <c r="T891" s="10">
        <f>IF(Q891="","",Q891-S891)</f>
        <v/>
      </c>
    </row>
    <row r="892">
      <c r="A892" s="7">
        <f>CONCATENATE(C892,E892,F892,I892)</f>
        <v/>
      </c>
      <c r="B892" s="7">
        <f>CONCATENATE(C892,E892,I892)</f>
        <v/>
      </c>
      <c r="C892" s="8" t="n">
        <v>900004725</v>
      </c>
      <c r="D892" s="7">
        <f>IFERROR(VLOOKUP(C892,TRAOPE!$G:$H,2,0),"")</f>
        <v/>
      </c>
      <c r="E892" s="8" t="inlineStr">
        <is>
          <t>DW70</t>
        </is>
      </c>
      <c r="F892" s="8" t="inlineStr">
        <is>
          <t>D085</t>
        </is>
      </c>
      <c r="G892" s="8">
        <f>IFERROR(VLOOKUP(A892,Flete!$A:$E,5,0),"")</f>
        <v/>
      </c>
      <c r="H892" s="7">
        <f>IFERROR(VLOOKUP(F892,TRAOPE!$AA:$AB,2,0),"")</f>
        <v/>
      </c>
      <c r="I892" s="7" t="n">
        <v>10001073</v>
      </c>
      <c r="J892" s="7">
        <f>IFERROR(VLOOKUP(I892,Materiales!$A:$H,8,0),"")</f>
        <v/>
      </c>
      <c r="K892" s="9">
        <f>IFERROR(VLOOKUP(I892,Materiales!$A:$G,7,0),"")</f>
        <v/>
      </c>
      <c r="L892" s="8" t="inlineStr">
        <is>
          <t>20250701</t>
        </is>
      </c>
      <c r="M892" s="8" t="inlineStr">
        <is>
          <t>20251031</t>
        </is>
      </c>
      <c r="N892" s="10" t="n">
        <v>95</v>
      </c>
      <c r="O892" s="10">
        <f>IFERROR(VLOOKUP(A892,Flete!$A:$J,10,0),"")</f>
        <v/>
      </c>
      <c r="P892" s="8" t="inlineStr">
        <is>
          <t>TN</t>
        </is>
      </c>
      <c r="Q892" s="10">
        <f>IFERROR(IFERROR(VLOOKUP(A892,TRAOPE!$A:$U,21,0),VLOOKUP(B892,TRAOPE!$A:$U,21,0)),"")</f>
        <v/>
      </c>
      <c r="R892" s="8">
        <f>IFERROR(IFERROR(VLOOKUP(A892,TRAOPE!$A:$W,23,0),VLOOKUP(B892,TRAOPE!$A:$W,23,0)),"")</f>
        <v/>
      </c>
      <c r="S892" s="10">
        <f>IF(AND(P892="TN",R892="TN"),N892+N(O892),IF(G892&amp;""="1",N(K892)*N892,(N892+N(O892))*N(K892)))</f>
        <v/>
      </c>
      <c r="T892" s="10">
        <f>IF(Q892="","",Q892-S892)</f>
        <v/>
      </c>
    </row>
    <row r="893">
      <c r="A893" s="7">
        <f>CONCATENATE(C893,E893,F893,I893)</f>
        <v/>
      </c>
      <c r="B893" s="7">
        <f>CONCATENATE(C893,E893,I893)</f>
        <v/>
      </c>
      <c r="C893" s="8" t="n">
        <v>900004725</v>
      </c>
      <c r="D893" s="7">
        <f>IFERROR(VLOOKUP(C893,TRAOPE!$G:$H,2,0),"")</f>
        <v/>
      </c>
      <c r="E893" s="8" t="inlineStr">
        <is>
          <t>DW70</t>
        </is>
      </c>
      <c r="F893" s="8" t="inlineStr">
        <is>
          <t>D086</t>
        </is>
      </c>
      <c r="G893" s="8">
        <f>IFERROR(VLOOKUP(A893,Flete!$A:$E,5,0),"")</f>
        <v/>
      </c>
      <c r="H893" s="7">
        <f>IFERROR(VLOOKUP(F893,TRAOPE!$AA:$AB,2,0),"")</f>
        <v/>
      </c>
      <c r="I893" s="7" t="n">
        <v>10001073</v>
      </c>
      <c r="J893" s="7">
        <f>IFERROR(VLOOKUP(I893,Materiales!$A:$H,8,0),"")</f>
        <v/>
      </c>
      <c r="K893" s="9">
        <f>IFERROR(VLOOKUP(I893,Materiales!$A:$G,7,0),"")</f>
        <v/>
      </c>
      <c r="L893" s="8" t="inlineStr">
        <is>
          <t>20250701</t>
        </is>
      </c>
      <c r="M893" s="8" t="inlineStr">
        <is>
          <t>20251031</t>
        </is>
      </c>
      <c r="N893" s="10" t="n">
        <v>95</v>
      </c>
      <c r="O893" s="10">
        <f>IFERROR(VLOOKUP(A893,Flete!$A:$J,10,0),"")</f>
        <v/>
      </c>
      <c r="P893" s="8" t="inlineStr">
        <is>
          <t>TN</t>
        </is>
      </c>
      <c r="Q893" s="10">
        <f>IFERROR(IFERROR(VLOOKUP(A893,TRAOPE!$A:$U,21,0),VLOOKUP(B893,TRAOPE!$A:$U,21,0)),"")</f>
        <v/>
      </c>
      <c r="R893" s="8">
        <f>IFERROR(IFERROR(VLOOKUP(A893,TRAOPE!$A:$W,23,0),VLOOKUP(B893,TRAOPE!$A:$W,23,0)),"")</f>
        <v/>
      </c>
      <c r="S893" s="10">
        <f>IF(AND(P893="TN",R893="TN"),N893+N(O893),IF(G893&amp;""="1",N(K893)*N893,(N893+N(O893))*N(K893)))</f>
        <v/>
      </c>
      <c r="T893" s="10">
        <f>IF(Q893="","",Q893-S893)</f>
        <v/>
      </c>
    </row>
    <row r="894">
      <c r="A894" s="7">
        <f>CONCATENATE(C894,E894,F894,I894)</f>
        <v/>
      </c>
      <c r="B894" s="7">
        <f>CONCATENATE(C894,E894,I894)</f>
        <v/>
      </c>
      <c r="C894" s="8" t="n">
        <v>900004725</v>
      </c>
      <c r="D894" s="7">
        <f>IFERROR(VLOOKUP(C894,TRAOPE!$G:$H,2,0),"")</f>
        <v/>
      </c>
      <c r="E894" s="8" t="inlineStr">
        <is>
          <t>DW70</t>
        </is>
      </c>
      <c r="F894" s="8" t="inlineStr">
        <is>
          <t>D093</t>
        </is>
      </c>
      <c r="G894" s="8">
        <f>IFERROR(VLOOKUP(A894,Flete!$A:$E,5,0),"")</f>
        <v/>
      </c>
      <c r="H894" s="7">
        <f>IFERROR(VLOOKUP(F894,TRAOPE!$AA:$AB,2,0),"")</f>
        <v/>
      </c>
      <c r="I894" s="7" t="n">
        <v>10001073</v>
      </c>
      <c r="J894" s="7">
        <f>IFERROR(VLOOKUP(I894,Materiales!$A:$H,8,0),"")</f>
        <v/>
      </c>
      <c r="K894" s="9">
        <f>IFERROR(VLOOKUP(I894,Materiales!$A:$G,7,0),"")</f>
        <v/>
      </c>
      <c r="L894" s="8" t="inlineStr">
        <is>
          <t>20250701</t>
        </is>
      </c>
      <c r="M894" s="8" t="inlineStr">
        <is>
          <t>20251031</t>
        </is>
      </c>
      <c r="N894" s="10" t="n">
        <v>95</v>
      </c>
      <c r="O894" s="10">
        <f>IFERROR(VLOOKUP(A894,Flete!$A:$J,10,0),"")</f>
        <v/>
      </c>
      <c r="P894" s="8" t="inlineStr">
        <is>
          <t>TN</t>
        </is>
      </c>
      <c r="Q894" s="10">
        <f>IFERROR(IFERROR(VLOOKUP(A894,TRAOPE!$A:$U,21,0),VLOOKUP(B894,TRAOPE!$A:$U,21,0)),"")</f>
        <v/>
      </c>
      <c r="R894" s="8">
        <f>IFERROR(IFERROR(VLOOKUP(A894,TRAOPE!$A:$W,23,0),VLOOKUP(B894,TRAOPE!$A:$W,23,0)),"")</f>
        <v/>
      </c>
      <c r="S894" s="10">
        <f>IF(AND(P894="TN",R894="TN"),N894+N(O894),IF(G894&amp;""="1",N(K894)*N894,(N894+N(O894))*N(K894)))</f>
        <v/>
      </c>
      <c r="T894" s="10">
        <f>IF(Q894="","",Q894-S894)</f>
        <v/>
      </c>
    </row>
    <row r="895">
      <c r="A895" s="7">
        <f>CONCATENATE(C895,E895,F895,I895)</f>
        <v/>
      </c>
      <c r="B895" s="7">
        <f>CONCATENATE(C895,E895,I895)</f>
        <v/>
      </c>
      <c r="C895" s="8" t="n">
        <v>900004725</v>
      </c>
      <c r="D895" s="7">
        <f>IFERROR(VLOOKUP(C895,TRAOPE!$G:$H,2,0),"")</f>
        <v/>
      </c>
      <c r="E895" s="8" t="inlineStr">
        <is>
          <t>DW70</t>
        </is>
      </c>
      <c r="F895" s="8" t="inlineStr">
        <is>
          <t>D098</t>
        </is>
      </c>
      <c r="G895" s="8">
        <f>IFERROR(VLOOKUP(A895,Flete!$A:$E,5,0),"")</f>
        <v/>
      </c>
      <c r="H895" s="7">
        <f>IFERROR(VLOOKUP(F895,TRAOPE!$AA:$AB,2,0),"")</f>
        <v/>
      </c>
      <c r="I895" s="7" t="n">
        <v>10001073</v>
      </c>
      <c r="J895" s="7">
        <f>IFERROR(VLOOKUP(I895,Materiales!$A:$H,8,0),"")</f>
        <v/>
      </c>
      <c r="K895" s="9">
        <f>IFERROR(VLOOKUP(I895,Materiales!$A:$G,7,0),"")</f>
        <v/>
      </c>
      <c r="L895" s="8" t="inlineStr">
        <is>
          <t>20250701</t>
        </is>
      </c>
      <c r="M895" s="8" t="inlineStr">
        <is>
          <t>20251031</t>
        </is>
      </c>
      <c r="N895" s="10" t="n">
        <v>95</v>
      </c>
      <c r="O895" s="10">
        <f>IFERROR(VLOOKUP(A895,Flete!$A:$J,10,0),"")</f>
        <v/>
      </c>
      <c r="P895" s="8" t="inlineStr">
        <is>
          <t>TN</t>
        </is>
      </c>
      <c r="Q895" s="10">
        <f>IFERROR(IFERROR(VLOOKUP(A895,TRAOPE!$A:$U,21,0),VLOOKUP(B895,TRAOPE!$A:$U,21,0)),"")</f>
        <v/>
      </c>
      <c r="R895" s="8">
        <f>IFERROR(IFERROR(VLOOKUP(A895,TRAOPE!$A:$W,23,0),VLOOKUP(B895,TRAOPE!$A:$W,23,0)),"")</f>
        <v/>
      </c>
      <c r="S895" s="10">
        <f>IF(AND(P895="TN",R895="TN"),N895+N(O895),IF(G895&amp;""="1",N(K895)*N895,(N895+N(O895))*N(K895)))</f>
        <v/>
      </c>
      <c r="T895" s="10">
        <f>IF(Q895="","",Q895-S895)</f>
        <v/>
      </c>
    </row>
    <row r="896">
      <c r="A896" s="7">
        <f>CONCATENATE(C896,E896,F896,I896)</f>
        <v/>
      </c>
      <c r="B896" s="7">
        <f>CONCATENATE(C896,E896,I896)</f>
        <v/>
      </c>
      <c r="C896" s="8" t="n">
        <v>900004725</v>
      </c>
      <c r="D896" s="7">
        <f>IFERROR(VLOOKUP(C896,TRAOPE!$G:$H,2,0),"")</f>
        <v/>
      </c>
      <c r="E896" s="8" t="inlineStr">
        <is>
          <t>DW70</t>
        </is>
      </c>
      <c r="F896" s="8" t="inlineStr">
        <is>
          <t>D105</t>
        </is>
      </c>
      <c r="G896" s="8">
        <f>IFERROR(VLOOKUP(A896,Flete!$A:$E,5,0),"")</f>
        <v/>
      </c>
      <c r="H896" s="7">
        <f>IFERROR(VLOOKUP(F896,TRAOPE!$AA:$AB,2,0),"")</f>
        <v/>
      </c>
      <c r="I896" s="7" t="n">
        <v>10001073</v>
      </c>
      <c r="J896" s="7">
        <f>IFERROR(VLOOKUP(I896,Materiales!$A:$H,8,0),"")</f>
        <v/>
      </c>
      <c r="K896" s="9">
        <f>IFERROR(VLOOKUP(I896,Materiales!$A:$G,7,0),"")</f>
        <v/>
      </c>
      <c r="L896" s="8" t="inlineStr">
        <is>
          <t>20250701</t>
        </is>
      </c>
      <c r="M896" s="8" t="inlineStr">
        <is>
          <t>20251031</t>
        </is>
      </c>
      <c r="N896" s="10" t="n">
        <v>95</v>
      </c>
      <c r="O896" s="10">
        <f>IFERROR(VLOOKUP(A896,Flete!$A:$J,10,0),"")</f>
        <v/>
      </c>
      <c r="P896" s="8" t="inlineStr">
        <is>
          <t>TN</t>
        </is>
      </c>
      <c r="Q896" s="10">
        <f>IFERROR(IFERROR(VLOOKUP(A896,TRAOPE!$A:$U,21,0),VLOOKUP(B896,TRAOPE!$A:$U,21,0)),"")</f>
        <v/>
      </c>
      <c r="R896" s="8">
        <f>IFERROR(IFERROR(VLOOKUP(A896,TRAOPE!$A:$W,23,0),VLOOKUP(B896,TRAOPE!$A:$W,23,0)),"")</f>
        <v/>
      </c>
      <c r="S896" s="10">
        <f>IF(AND(P896="TN",R896="TN"),N896+N(O896),IF(G896&amp;""="1",N(K896)*N896,(N896+N(O896))*N(K896)))</f>
        <v/>
      </c>
      <c r="T896" s="10">
        <f>IF(Q896="","",Q896-S896)</f>
        <v/>
      </c>
    </row>
    <row r="897">
      <c r="A897" s="7">
        <f>CONCATENATE(C897,E897,F897,I897)</f>
        <v/>
      </c>
      <c r="B897" s="7">
        <f>CONCATENATE(C897,E897,I897)</f>
        <v/>
      </c>
      <c r="C897" s="8" t="n">
        <v>900004725</v>
      </c>
      <c r="D897" s="7">
        <f>IFERROR(VLOOKUP(C897,TRAOPE!$G:$H,2,0),"")</f>
        <v/>
      </c>
      <c r="E897" s="8" t="inlineStr">
        <is>
          <t>DW70</t>
        </is>
      </c>
      <c r="F897" s="8" t="inlineStr">
        <is>
          <t>D136</t>
        </is>
      </c>
      <c r="G897" s="8">
        <f>IFERROR(VLOOKUP(A897,Flete!$A:$E,5,0),"")</f>
        <v/>
      </c>
      <c r="H897" s="7">
        <f>IFERROR(VLOOKUP(F897,TRAOPE!$AA:$AB,2,0),"")</f>
        <v/>
      </c>
      <c r="I897" s="7" t="n">
        <v>10001073</v>
      </c>
      <c r="J897" s="7">
        <f>IFERROR(VLOOKUP(I897,Materiales!$A:$H,8,0),"")</f>
        <v/>
      </c>
      <c r="K897" s="9">
        <f>IFERROR(VLOOKUP(I897,Materiales!$A:$G,7,0),"")</f>
        <v/>
      </c>
      <c r="L897" s="8" t="inlineStr">
        <is>
          <t>20250701</t>
        </is>
      </c>
      <c r="M897" s="8" t="inlineStr">
        <is>
          <t>20251031</t>
        </is>
      </c>
      <c r="N897" s="10" t="n">
        <v>95</v>
      </c>
      <c r="O897" s="10">
        <f>IFERROR(VLOOKUP(A897,Flete!$A:$J,10,0),"")</f>
        <v/>
      </c>
      <c r="P897" s="8" t="inlineStr">
        <is>
          <t>TN</t>
        </is>
      </c>
      <c r="Q897" s="10">
        <f>IFERROR(IFERROR(VLOOKUP(A897,TRAOPE!$A:$U,21,0),VLOOKUP(B897,TRAOPE!$A:$U,21,0)),"")</f>
        <v/>
      </c>
      <c r="R897" s="8">
        <f>IFERROR(IFERROR(VLOOKUP(A897,TRAOPE!$A:$W,23,0),VLOOKUP(B897,TRAOPE!$A:$W,23,0)),"")</f>
        <v/>
      </c>
      <c r="S897" s="10">
        <f>IF(AND(P897="TN",R897="TN"),N897+N(O897),IF(G897&amp;""="1",N(K897)*N897,(N897+N(O897))*N(K897)))</f>
        <v/>
      </c>
      <c r="T897" s="10">
        <f>IF(Q897="","",Q897-S897)</f>
        <v/>
      </c>
    </row>
    <row r="898">
      <c r="A898" s="7">
        <f>CONCATENATE(C898,E898,F898,I898)</f>
        <v/>
      </c>
      <c r="B898" s="7">
        <f>CONCATENATE(C898,E898,I898)</f>
        <v/>
      </c>
      <c r="C898" s="8" t="n">
        <v>900004725</v>
      </c>
      <c r="D898" s="7">
        <f>IFERROR(VLOOKUP(C898,TRAOPE!$G:$H,2,0),"")</f>
        <v/>
      </c>
      <c r="E898" s="8" t="inlineStr">
        <is>
          <t>DW70</t>
        </is>
      </c>
      <c r="F898" s="8" t="inlineStr">
        <is>
          <t>D145</t>
        </is>
      </c>
      <c r="G898" s="8">
        <f>IFERROR(VLOOKUP(A898,Flete!$A:$E,5,0),"")</f>
        <v/>
      </c>
      <c r="H898" s="7">
        <f>IFERROR(VLOOKUP(F898,TRAOPE!$AA:$AB,2,0),"")</f>
        <v/>
      </c>
      <c r="I898" s="7" t="n">
        <v>10001073</v>
      </c>
      <c r="J898" s="7">
        <f>IFERROR(VLOOKUP(I898,Materiales!$A:$H,8,0),"")</f>
        <v/>
      </c>
      <c r="K898" s="9">
        <f>IFERROR(VLOOKUP(I898,Materiales!$A:$G,7,0),"")</f>
        <v/>
      </c>
      <c r="L898" s="8" t="inlineStr">
        <is>
          <t>20250701</t>
        </is>
      </c>
      <c r="M898" s="8" t="inlineStr">
        <is>
          <t>20251031</t>
        </is>
      </c>
      <c r="N898" s="10" t="n">
        <v>95</v>
      </c>
      <c r="O898" s="10">
        <f>IFERROR(VLOOKUP(A898,Flete!$A:$J,10,0),"")</f>
        <v/>
      </c>
      <c r="P898" s="8" t="inlineStr">
        <is>
          <t>TN</t>
        </is>
      </c>
      <c r="Q898" s="10">
        <f>IFERROR(IFERROR(VLOOKUP(A898,TRAOPE!$A:$U,21,0),VLOOKUP(B898,TRAOPE!$A:$U,21,0)),"")</f>
        <v/>
      </c>
      <c r="R898" s="8">
        <f>IFERROR(IFERROR(VLOOKUP(A898,TRAOPE!$A:$W,23,0),VLOOKUP(B898,TRAOPE!$A:$W,23,0)),"")</f>
        <v/>
      </c>
      <c r="S898" s="10">
        <f>IF(AND(P898="TN",R898="TN"),N898+N(O898),IF(G898&amp;""="1",N(K898)*N898,(N898+N(O898))*N(K898)))</f>
        <v/>
      </c>
      <c r="T898" s="10">
        <f>IF(Q898="","",Q898-S898)</f>
        <v/>
      </c>
    </row>
    <row r="899">
      <c r="A899" s="7">
        <f>CONCATENATE(C899,E899,F899,I899)</f>
        <v/>
      </c>
      <c r="B899" s="7">
        <f>CONCATENATE(C899,E899,I899)</f>
        <v/>
      </c>
      <c r="C899" s="8" t="n">
        <v>900004725</v>
      </c>
      <c r="D899" s="7">
        <f>IFERROR(VLOOKUP(C899,TRAOPE!$G:$H,2,0),"")</f>
        <v/>
      </c>
      <c r="E899" s="8" t="inlineStr">
        <is>
          <t>DW70</t>
        </is>
      </c>
      <c r="F899" s="8" t="inlineStr">
        <is>
          <t>D681</t>
        </is>
      </c>
      <c r="G899" s="8">
        <f>IFERROR(VLOOKUP(A899,Flete!$A:$E,5,0),"")</f>
        <v/>
      </c>
      <c r="H899" s="7">
        <f>IFERROR(VLOOKUP(F899,TRAOPE!$AA:$AB,2,0),"")</f>
        <v/>
      </c>
      <c r="I899" s="7" t="n">
        <v>10001073</v>
      </c>
      <c r="J899" s="7">
        <f>IFERROR(VLOOKUP(I899,Materiales!$A:$H,8,0),"")</f>
        <v/>
      </c>
      <c r="K899" s="9">
        <f>IFERROR(VLOOKUP(I899,Materiales!$A:$G,7,0),"")</f>
        <v/>
      </c>
      <c r="L899" s="8" t="inlineStr">
        <is>
          <t>20250701</t>
        </is>
      </c>
      <c r="M899" s="8" t="inlineStr">
        <is>
          <t>20251031</t>
        </is>
      </c>
      <c r="N899" s="10" t="n">
        <v>95</v>
      </c>
      <c r="O899" s="10">
        <f>IFERROR(VLOOKUP(A899,Flete!$A:$J,10,0),"")</f>
        <v/>
      </c>
      <c r="P899" s="8" t="inlineStr">
        <is>
          <t>TN</t>
        </is>
      </c>
      <c r="Q899" s="10">
        <f>IFERROR(IFERROR(VLOOKUP(A899,TRAOPE!$A:$U,21,0),VLOOKUP(B899,TRAOPE!$A:$U,21,0)),"")</f>
        <v/>
      </c>
      <c r="R899" s="8">
        <f>IFERROR(IFERROR(VLOOKUP(A899,TRAOPE!$A:$W,23,0),VLOOKUP(B899,TRAOPE!$A:$W,23,0)),"")</f>
        <v/>
      </c>
      <c r="S899" s="10">
        <f>IF(AND(P899="TN",R899="TN"),N899+N(O899),IF(G899&amp;""="1",N(K899)*N899,(N899+N(O899))*N(K899)))</f>
        <v/>
      </c>
      <c r="T899" s="10">
        <f>IF(Q899="","",Q899-S899)</f>
        <v/>
      </c>
    </row>
    <row r="900">
      <c r="A900" s="7">
        <f>CONCATENATE(C900,E900,F900,I900)</f>
        <v/>
      </c>
      <c r="B900" s="7">
        <f>CONCATENATE(C900,E900,I900)</f>
        <v/>
      </c>
      <c r="C900" s="8" t="n">
        <v>900004901</v>
      </c>
      <c r="D900" s="7">
        <f>IFERROR(VLOOKUP(C900,TRAOPE!$G:$H,2,0),"")</f>
        <v/>
      </c>
      <c r="E900" s="8" t="inlineStr">
        <is>
          <t>DW70</t>
        </is>
      </c>
      <c r="F900" s="8" t="inlineStr">
        <is>
          <t>D086</t>
        </is>
      </c>
      <c r="G900" s="8">
        <f>IFERROR(VLOOKUP(A900,Flete!$A:$E,5,0),"")</f>
        <v/>
      </c>
      <c r="H900" s="7">
        <f>IFERROR(VLOOKUP(F900,TRAOPE!$AA:$AB,2,0),"")</f>
        <v/>
      </c>
      <c r="I900" s="7" t="n">
        <v>10002802</v>
      </c>
      <c r="J900" s="7">
        <f>IFERROR(VLOOKUP(I900,Materiales!$A:$H,8,0),"")</f>
        <v/>
      </c>
      <c r="K900" s="9">
        <f>IFERROR(VLOOKUP(I900,Materiales!$A:$G,7,0),"")</f>
        <v/>
      </c>
      <c r="L900" s="8" t="inlineStr">
        <is>
          <t>20230501</t>
        </is>
      </c>
      <c r="M900" s="8" t="inlineStr">
        <is>
          <t>20250131</t>
        </is>
      </c>
      <c r="N900" s="10" t="n">
        <v>86.47</v>
      </c>
      <c r="O900" s="10">
        <f>IFERROR(VLOOKUP(A900,Flete!$A:$J,10,0),"")</f>
        <v/>
      </c>
      <c r="P900" s="8" t="inlineStr">
        <is>
          <t>TN</t>
        </is>
      </c>
      <c r="Q900" s="10">
        <f>IFERROR(IFERROR(VLOOKUP(A900,TRAOPE!$A:$U,21,0),VLOOKUP(B900,TRAOPE!$A:$U,21,0)),"")</f>
        <v/>
      </c>
      <c r="R900" s="8">
        <f>IFERROR(IFERROR(VLOOKUP(A900,TRAOPE!$A:$W,23,0),VLOOKUP(B900,TRAOPE!$A:$W,23,0)),"")</f>
        <v/>
      </c>
      <c r="S900" s="10">
        <f>IF(AND(P900="TN",R900="TN"),N900+N(O900),IF(G900&amp;""="1",N(K900)*N900,(N900+N(O900))*N(K900)))</f>
        <v/>
      </c>
      <c r="T900" s="10">
        <f>IF(Q900="","",Q900-S900)</f>
        <v/>
      </c>
    </row>
    <row r="901">
      <c r="A901" s="7">
        <f>CONCATENATE(C901,E901,F901,I901)</f>
        <v/>
      </c>
      <c r="B901" s="7">
        <f>CONCATENATE(C901,E901,I901)</f>
        <v/>
      </c>
      <c r="C901" s="8" t="n">
        <v>900004901</v>
      </c>
      <c r="D901" s="7">
        <f>IFERROR(VLOOKUP(C901,TRAOPE!$G:$H,2,0),"")</f>
        <v/>
      </c>
      <c r="E901" s="8" t="inlineStr">
        <is>
          <t>DW70</t>
        </is>
      </c>
      <c r="F901" s="8" t="inlineStr">
        <is>
          <t>D098</t>
        </is>
      </c>
      <c r="G901" s="8">
        <f>IFERROR(VLOOKUP(A901,Flete!$A:$E,5,0),"")</f>
        <v/>
      </c>
      <c r="H901" s="7">
        <f>IFERROR(VLOOKUP(F901,TRAOPE!$AA:$AB,2,0),"")</f>
        <v/>
      </c>
      <c r="I901" s="7" t="n">
        <v>10002802</v>
      </c>
      <c r="J901" s="7">
        <f>IFERROR(VLOOKUP(I901,Materiales!$A:$H,8,0),"")</f>
        <v/>
      </c>
      <c r="K901" s="9">
        <f>IFERROR(VLOOKUP(I901,Materiales!$A:$G,7,0),"")</f>
        <v/>
      </c>
      <c r="L901" s="8" t="inlineStr">
        <is>
          <t>20230501</t>
        </is>
      </c>
      <c r="M901" s="8" t="inlineStr">
        <is>
          <t>20250131</t>
        </is>
      </c>
      <c r="N901" s="10" t="n">
        <v>95.12</v>
      </c>
      <c r="O901" s="10">
        <f>IFERROR(VLOOKUP(A901,Flete!$A:$J,10,0),"")</f>
        <v/>
      </c>
      <c r="P901" s="8" t="inlineStr">
        <is>
          <t>TN</t>
        </is>
      </c>
      <c r="Q901" s="10">
        <f>IFERROR(IFERROR(VLOOKUP(A901,TRAOPE!$A:$U,21,0),VLOOKUP(B901,TRAOPE!$A:$U,21,0)),"")</f>
        <v/>
      </c>
      <c r="R901" s="8">
        <f>IFERROR(IFERROR(VLOOKUP(A901,TRAOPE!$A:$W,23,0),VLOOKUP(B901,TRAOPE!$A:$W,23,0)),"")</f>
        <v/>
      </c>
      <c r="S901" s="10">
        <f>IF(AND(P901="TN",R901="TN"),N901+N(O901),IF(G901&amp;""="1",N(K901)*N901,(N901+N(O901))*N(K901)))</f>
        <v/>
      </c>
      <c r="T901" s="10">
        <f>IF(Q901="","",Q901-S901)</f>
        <v/>
      </c>
    </row>
    <row r="902">
      <c r="A902" s="7">
        <f>CONCATENATE(C902,E902,F902,I902)</f>
        <v/>
      </c>
      <c r="B902" s="7">
        <f>CONCATENATE(C902,E902,I902)</f>
        <v/>
      </c>
      <c r="C902" s="8" t="n">
        <v>900004901</v>
      </c>
      <c r="D902" s="7">
        <f>IFERROR(VLOOKUP(C902,TRAOPE!$G:$H,2,0),"")</f>
        <v/>
      </c>
      <c r="E902" s="8" t="inlineStr">
        <is>
          <t>DW70</t>
        </is>
      </c>
      <c r="F902" s="8" t="inlineStr">
        <is>
          <t>D105</t>
        </is>
      </c>
      <c r="G902" s="8">
        <f>IFERROR(VLOOKUP(A902,Flete!$A:$E,5,0),"")</f>
        <v/>
      </c>
      <c r="H902" s="7">
        <f>IFERROR(VLOOKUP(F902,TRAOPE!$AA:$AB,2,0),"")</f>
        <v/>
      </c>
      <c r="I902" s="7" t="n">
        <v>10002802</v>
      </c>
      <c r="J902" s="7">
        <f>IFERROR(VLOOKUP(I902,Materiales!$A:$H,8,0),"")</f>
        <v/>
      </c>
      <c r="K902" s="9">
        <f>IFERROR(VLOOKUP(I902,Materiales!$A:$G,7,0),"")</f>
        <v/>
      </c>
      <c r="L902" s="8" t="inlineStr">
        <is>
          <t>20230501</t>
        </is>
      </c>
      <c r="M902" s="8" t="inlineStr">
        <is>
          <t>20250131</t>
        </is>
      </c>
      <c r="N902" s="10" t="n">
        <v>95.12</v>
      </c>
      <c r="O902" s="10">
        <f>IFERROR(VLOOKUP(A902,Flete!$A:$J,10,0),"")</f>
        <v/>
      </c>
      <c r="P902" s="8" t="inlineStr">
        <is>
          <t>TN</t>
        </is>
      </c>
      <c r="Q902" s="10">
        <f>IFERROR(IFERROR(VLOOKUP(A902,TRAOPE!$A:$U,21,0),VLOOKUP(B902,TRAOPE!$A:$U,21,0)),"")</f>
        <v/>
      </c>
      <c r="R902" s="8">
        <f>IFERROR(IFERROR(VLOOKUP(A902,TRAOPE!$A:$W,23,0),VLOOKUP(B902,TRAOPE!$A:$W,23,0)),"")</f>
        <v/>
      </c>
      <c r="S902" s="10">
        <f>IF(AND(P902="TN",R902="TN"),N902+N(O902),IF(G902&amp;""="1",N(K902)*N902,(N902+N(O902))*N(K902)))</f>
        <v/>
      </c>
      <c r="T902" s="10">
        <f>IF(Q902="","",Q902-S902)</f>
        <v/>
      </c>
    </row>
    <row r="903">
      <c r="A903" s="7">
        <f>CONCATENATE(C903,E903,F903,I903)</f>
        <v/>
      </c>
      <c r="B903" s="7">
        <f>CONCATENATE(C903,E903,I903)</f>
        <v/>
      </c>
      <c r="C903" s="8" t="n">
        <v>900005270</v>
      </c>
      <c r="D903" s="7">
        <f>IFERROR(VLOOKUP(C903,TRAOPE!$G:$H,2,0),"")</f>
        <v/>
      </c>
      <c r="E903" s="8" t="inlineStr">
        <is>
          <t>DW70</t>
        </is>
      </c>
      <c r="F903" s="8" t="inlineStr">
        <is>
          <t>D074</t>
        </is>
      </c>
      <c r="G903" s="8">
        <f>IFERROR(VLOOKUP(A903,Flete!$A:$E,5,0),"")</f>
        <v/>
      </c>
      <c r="H903" s="7">
        <f>IFERROR(VLOOKUP(F903,TRAOPE!$AA:$AB,2,0),"")</f>
        <v/>
      </c>
      <c r="I903" s="7" t="n">
        <v>10000623</v>
      </c>
      <c r="J903" s="7">
        <f>IFERROR(VLOOKUP(I903,Materiales!$A:$H,8,0),"")</f>
        <v/>
      </c>
      <c r="K903" s="9">
        <f>IFERROR(VLOOKUP(I903,Materiales!$A:$G,7,0),"")</f>
        <v/>
      </c>
      <c r="L903" s="8" t="inlineStr">
        <is>
          <t>20230501</t>
        </is>
      </c>
      <c r="M903" s="8" t="inlineStr">
        <is>
          <t>20250131</t>
        </is>
      </c>
      <c r="N903" s="10" t="n">
        <v>97.05</v>
      </c>
      <c r="O903" s="10">
        <f>IFERROR(VLOOKUP(A903,Flete!$A:$J,10,0),"")</f>
        <v/>
      </c>
      <c r="P903" s="8" t="inlineStr">
        <is>
          <t>TN</t>
        </is>
      </c>
      <c r="Q903" s="10">
        <f>IFERROR(IFERROR(VLOOKUP(A903,TRAOPE!$A:$U,21,0),VLOOKUP(B903,TRAOPE!$A:$U,21,0)),"")</f>
        <v/>
      </c>
      <c r="R903" s="8">
        <f>IFERROR(IFERROR(VLOOKUP(A903,TRAOPE!$A:$W,23,0),VLOOKUP(B903,TRAOPE!$A:$W,23,0)),"")</f>
        <v/>
      </c>
      <c r="S903" s="10">
        <f>IF(AND(P903="TN",R903="TN"),N903+N(O903),IF(G903&amp;""="1",N(K903)*N903,(N903+N(O903))*N(K903)))</f>
        <v/>
      </c>
      <c r="T903" s="10">
        <f>IF(Q903="","",Q903-S903)</f>
        <v/>
      </c>
    </row>
    <row r="904">
      <c r="A904" s="7">
        <f>CONCATENATE(C904,E904,F904,I904)</f>
        <v/>
      </c>
      <c r="B904" s="7">
        <f>CONCATENATE(C904,E904,I904)</f>
        <v/>
      </c>
      <c r="C904" s="8" t="n">
        <v>900005270</v>
      </c>
      <c r="D904" s="7">
        <f>IFERROR(VLOOKUP(C904,TRAOPE!$G:$H,2,0),"")</f>
        <v/>
      </c>
      <c r="E904" s="8" t="inlineStr">
        <is>
          <t>DW70</t>
        </is>
      </c>
      <c r="F904" s="8" t="inlineStr">
        <is>
          <t>D075</t>
        </is>
      </c>
      <c r="G904" s="8">
        <f>IFERROR(VLOOKUP(A904,Flete!$A:$E,5,0),"")</f>
        <v/>
      </c>
      <c r="H904" s="7">
        <f>IFERROR(VLOOKUP(F904,TRAOPE!$AA:$AB,2,0),"")</f>
        <v/>
      </c>
      <c r="I904" s="7" t="n">
        <v>10000623</v>
      </c>
      <c r="J904" s="7">
        <f>IFERROR(VLOOKUP(I904,Materiales!$A:$H,8,0),"")</f>
        <v/>
      </c>
      <c r="K904" s="9">
        <f>IFERROR(VLOOKUP(I904,Materiales!$A:$G,7,0),"")</f>
        <v/>
      </c>
      <c r="L904" s="8" t="inlineStr">
        <is>
          <t>20230501</t>
        </is>
      </c>
      <c r="M904" s="8" t="inlineStr">
        <is>
          <t>20250131</t>
        </is>
      </c>
      <c r="N904" s="10" t="n">
        <v>97.05</v>
      </c>
      <c r="O904" s="10">
        <f>IFERROR(VLOOKUP(A904,Flete!$A:$J,10,0),"")</f>
        <v/>
      </c>
      <c r="P904" s="8" t="inlineStr">
        <is>
          <t>TN</t>
        </is>
      </c>
      <c r="Q904" s="10">
        <f>IFERROR(IFERROR(VLOOKUP(A904,TRAOPE!$A:$U,21,0),VLOOKUP(B904,TRAOPE!$A:$U,21,0)),"")</f>
        <v/>
      </c>
      <c r="R904" s="8">
        <f>IFERROR(IFERROR(VLOOKUP(A904,TRAOPE!$A:$W,23,0),VLOOKUP(B904,TRAOPE!$A:$W,23,0)),"")</f>
        <v/>
      </c>
      <c r="S904" s="10">
        <f>IF(AND(P904="TN",R904="TN"),N904+N(O904),IF(G904&amp;""="1",N(K904)*N904,(N904+N(O904))*N(K904)))</f>
        <v/>
      </c>
      <c r="T904" s="10">
        <f>IF(Q904="","",Q904-S904)</f>
        <v/>
      </c>
    </row>
    <row r="905">
      <c r="A905" s="7">
        <f>CONCATENATE(C905,E905,F905,I905)</f>
        <v/>
      </c>
      <c r="B905" s="7">
        <f>CONCATENATE(C905,E905,I905)</f>
        <v/>
      </c>
      <c r="C905" s="8" t="n">
        <v>900005270</v>
      </c>
      <c r="D905" s="7">
        <f>IFERROR(VLOOKUP(C905,TRAOPE!$G:$H,2,0),"")</f>
        <v/>
      </c>
      <c r="E905" s="8" t="inlineStr">
        <is>
          <t>DW70</t>
        </is>
      </c>
      <c r="F905" s="8" t="inlineStr">
        <is>
          <t>D077</t>
        </is>
      </c>
      <c r="G905" s="8">
        <f>IFERROR(VLOOKUP(A905,Flete!$A:$E,5,0),"")</f>
        <v/>
      </c>
      <c r="H905" s="7">
        <f>IFERROR(VLOOKUP(F905,TRAOPE!$AA:$AB,2,0),"")</f>
        <v/>
      </c>
      <c r="I905" s="7" t="n">
        <v>10000623</v>
      </c>
      <c r="J905" s="7">
        <f>IFERROR(VLOOKUP(I905,Materiales!$A:$H,8,0),"")</f>
        <v/>
      </c>
      <c r="K905" s="9">
        <f>IFERROR(VLOOKUP(I905,Materiales!$A:$G,7,0),"")</f>
        <v/>
      </c>
      <c r="L905" s="8" t="inlineStr">
        <is>
          <t>20230501</t>
        </is>
      </c>
      <c r="M905" s="8" t="inlineStr">
        <is>
          <t>20250131</t>
        </is>
      </c>
      <c r="N905" s="10" t="n">
        <v>97.05</v>
      </c>
      <c r="O905" s="10">
        <f>IFERROR(VLOOKUP(A905,Flete!$A:$J,10,0),"")</f>
        <v/>
      </c>
      <c r="P905" s="8" t="inlineStr">
        <is>
          <t>TN</t>
        </is>
      </c>
      <c r="Q905" s="10">
        <f>IFERROR(IFERROR(VLOOKUP(A905,TRAOPE!$A:$U,21,0),VLOOKUP(B905,TRAOPE!$A:$U,21,0)),"")</f>
        <v/>
      </c>
      <c r="R905" s="8">
        <f>IFERROR(IFERROR(VLOOKUP(A905,TRAOPE!$A:$W,23,0),VLOOKUP(B905,TRAOPE!$A:$W,23,0)),"")</f>
        <v/>
      </c>
      <c r="S905" s="10">
        <f>IF(AND(P905="TN",R905="TN"),N905+N(O905),IF(G905&amp;""="1",N(K905)*N905,(N905+N(O905))*N(K905)))</f>
        <v/>
      </c>
      <c r="T905" s="10">
        <f>IF(Q905="","",Q905-S905)</f>
        <v/>
      </c>
    </row>
    <row r="906">
      <c r="A906" s="7">
        <f>CONCATENATE(C906,E906,F906,I906)</f>
        <v/>
      </c>
      <c r="B906" s="7">
        <f>CONCATENATE(C906,E906,I906)</f>
        <v/>
      </c>
      <c r="C906" s="8" t="n">
        <v>900005270</v>
      </c>
      <c r="D906" s="7">
        <f>IFERROR(VLOOKUP(C906,TRAOPE!$G:$H,2,0),"")</f>
        <v/>
      </c>
      <c r="E906" s="8" t="inlineStr">
        <is>
          <t>DW70</t>
        </is>
      </c>
      <c r="F906" s="8" t="inlineStr">
        <is>
          <t>D079</t>
        </is>
      </c>
      <c r="G906" s="8">
        <f>IFERROR(VLOOKUP(A906,Flete!$A:$E,5,0),"")</f>
        <v/>
      </c>
      <c r="H906" s="7">
        <f>IFERROR(VLOOKUP(F906,TRAOPE!$AA:$AB,2,0),"")</f>
        <v/>
      </c>
      <c r="I906" s="7" t="n">
        <v>10000623</v>
      </c>
      <c r="J906" s="7">
        <f>IFERROR(VLOOKUP(I906,Materiales!$A:$H,8,0),"")</f>
        <v/>
      </c>
      <c r="K906" s="9">
        <f>IFERROR(VLOOKUP(I906,Materiales!$A:$G,7,0),"")</f>
        <v/>
      </c>
      <c r="L906" s="8" t="inlineStr">
        <is>
          <t>20230501</t>
        </is>
      </c>
      <c r="M906" s="8" t="inlineStr">
        <is>
          <t>20250131</t>
        </is>
      </c>
      <c r="N906" s="10" t="n">
        <v>97.05</v>
      </c>
      <c r="O906" s="10">
        <f>IFERROR(VLOOKUP(A906,Flete!$A:$J,10,0),"")</f>
        <v/>
      </c>
      <c r="P906" s="8" t="inlineStr">
        <is>
          <t>TN</t>
        </is>
      </c>
      <c r="Q906" s="10">
        <f>IFERROR(IFERROR(VLOOKUP(A906,TRAOPE!$A:$U,21,0),VLOOKUP(B906,TRAOPE!$A:$U,21,0)),"")</f>
        <v/>
      </c>
      <c r="R906" s="8">
        <f>IFERROR(IFERROR(VLOOKUP(A906,TRAOPE!$A:$W,23,0),VLOOKUP(B906,TRAOPE!$A:$W,23,0)),"")</f>
        <v/>
      </c>
      <c r="S906" s="10">
        <f>IF(AND(P906="TN",R906="TN"),N906+N(O906),IF(G906&amp;""="1",N(K906)*N906,(N906+N(O906))*N(K906)))</f>
        <v/>
      </c>
      <c r="T906" s="10">
        <f>IF(Q906="","",Q906-S906)</f>
        <v/>
      </c>
    </row>
    <row r="907">
      <c r="A907" s="7">
        <f>CONCATENATE(C907,E907,F907,I907)</f>
        <v/>
      </c>
      <c r="B907" s="7">
        <f>CONCATENATE(C907,E907,I907)</f>
        <v/>
      </c>
      <c r="C907" s="8" t="n">
        <v>900005270</v>
      </c>
      <c r="D907" s="7">
        <f>IFERROR(VLOOKUP(C907,TRAOPE!$G:$H,2,0),"")</f>
        <v/>
      </c>
      <c r="E907" s="8" t="inlineStr">
        <is>
          <t>DW70</t>
        </is>
      </c>
      <c r="F907" s="8" t="inlineStr">
        <is>
          <t>D080</t>
        </is>
      </c>
      <c r="G907" s="8">
        <f>IFERROR(VLOOKUP(A907,Flete!$A:$E,5,0),"")</f>
        <v/>
      </c>
      <c r="H907" s="7">
        <f>IFERROR(VLOOKUP(F907,TRAOPE!$AA:$AB,2,0),"")</f>
        <v/>
      </c>
      <c r="I907" s="7" t="n">
        <v>10000623</v>
      </c>
      <c r="J907" s="7">
        <f>IFERROR(VLOOKUP(I907,Materiales!$A:$H,8,0),"")</f>
        <v/>
      </c>
      <c r="K907" s="9">
        <f>IFERROR(VLOOKUP(I907,Materiales!$A:$G,7,0),"")</f>
        <v/>
      </c>
      <c r="L907" s="8" t="inlineStr">
        <is>
          <t>20230501</t>
        </is>
      </c>
      <c r="M907" s="8" t="inlineStr">
        <is>
          <t>20250131</t>
        </is>
      </c>
      <c r="N907" s="10" t="n">
        <v>97.05</v>
      </c>
      <c r="O907" s="10">
        <f>IFERROR(VLOOKUP(A907,Flete!$A:$J,10,0),"")</f>
        <v/>
      </c>
      <c r="P907" s="8" t="inlineStr">
        <is>
          <t>TN</t>
        </is>
      </c>
      <c r="Q907" s="10">
        <f>IFERROR(IFERROR(VLOOKUP(A907,TRAOPE!$A:$U,21,0),VLOOKUP(B907,TRAOPE!$A:$U,21,0)),"")</f>
        <v/>
      </c>
      <c r="R907" s="8">
        <f>IFERROR(IFERROR(VLOOKUP(A907,TRAOPE!$A:$W,23,0),VLOOKUP(B907,TRAOPE!$A:$W,23,0)),"")</f>
        <v/>
      </c>
      <c r="S907" s="10">
        <f>IF(AND(P907="TN",R907="TN"),N907+N(O907),IF(G907&amp;""="1",N(K907)*N907,(N907+N(O907))*N(K907)))</f>
        <v/>
      </c>
      <c r="T907" s="10">
        <f>IF(Q907="","",Q907-S907)</f>
        <v/>
      </c>
    </row>
    <row r="908">
      <c r="A908" s="7">
        <f>CONCATENATE(C908,E908,F908,I908)</f>
        <v/>
      </c>
      <c r="B908" s="7">
        <f>CONCATENATE(C908,E908,I908)</f>
        <v/>
      </c>
      <c r="C908" s="8" t="n">
        <v>900005270</v>
      </c>
      <c r="D908" s="7">
        <f>IFERROR(VLOOKUP(C908,TRAOPE!$G:$H,2,0),"")</f>
        <v/>
      </c>
      <c r="E908" s="8" t="inlineStr">
        <is>
          <t>DW70</t>
        </is>
      </c>
      <c r="F908" s="8" t="inlineStr">
        <is>
          <t>D081</t>
        </is>
      </c>
      <c r="G908" s="8">
        <f>IFERROR(VLOOKUP(A908,Flete!$A:$E,5,0),"")</f>
        <v/>
      </c>
      <c r="H908" s="7">
        <f>IFERROR(VLOOKUP(F908,TRAOPE!$AA:$AB,2,0),"")</f>
        <v/>
      </c>
      <c r="I908" s="7" t="n">
        <v>10000623</v>
      </c>
      <c r="J908" s="7">
        <f>IFERROR(VLOOKUP(I908,Materiales!$A:$H,8,0),"")</f>
        <v/>
      </c>
      <c r="K908" s="9">
        <f>IFERROR(VLOOKUP(I908,Materiales!$A:$G,7,0),"")</f>
        <v/>
      </c>
      <c r="L908" s="8" t="inlineStr">
        <is>
          <t>20230501</t>
        </is>
      </c>
      <c r="M908" s="8" t="inlineStr">
        <is>
          <t>20250131</t>
        </is>
      </c>
      <c r="N908" s="10" t="n">
        <v>97.05</v>
      </c>
      <c r="O908" s="10">
        <f>IFERROR(VLOOKUP(A908,Flete!$A:$J,10,0),"")</f>
        <v/>
      </c>
      <c r="P908" s="8" t="inlineStr">
        <is>
          <t>TN</t>
        </is>
      </c>
      <c r="Q908" s="10">
        <f>IFERROR(IFERROR(VLOOKUP(A908,TRAOPE!$A:$U,21,0),VLOOKUP(B908,TRAOPE!$A:$U,21,0)),"")</f>
        <v/>
      </c>
      <c r="R908" s="8">
        <f>IFERROR(IFERROR(VLOOKUP(A908,TRAOPE!$A:$W,23,0),VLOOKUP(B908,TRAOPE!$A:$W,23,0)),"")</f>
        <v/>
      </c>
      <c r="S908" s="10">
        <f>IF(AND(P908="TN",R908="TN"),N908+N(O908),IF(G908&amp;""="1",N(K908)*N908,(N908+N(O908))*N(K908)))</f>
        <v/>
      </c>
      <c r="T908" s="10">
        <f>IF(Q908="","",Q908-S908)</f>
        <v/>
      </c>
    </row>
    <row r="909">
      <c r="A909" s="7">
        <f>CONCATENATE(C909,E909,F909,I909)</f>
        <v/>
      </c>
      <c r="B909" s="7">
        <f>CONCATENATE(C909,E909,I909)</f>
        <v/>
      </c>
      <c r="C909" s="8" t="n">
        <v>900005270</v>
      </c>
      <c r="D909" s="7">
        <f>IFERROR(VLOOKUP(C909,TRAOPE!$G:$H,2,0),"")</f>
        <v/>
      </c>
      <c r="E909" s="8" t="inlineStr">
        <is>
          <t>DW70</t>
        </is>
      </c>
      <c r="F909" s="8" t="inlineStr">
        <is>
          <t>D083</t>
        </is>
      </c>
      <c r="G909" s="8">
        <f>IFERROR(VLOOKUP(A909,Flete!$A:$E,5,0),"")</f>
        <v/>
      </c>
      <c r="H909" s="7">
        <f>IFERROR(VLOOKUP(F909,TRAOPE!$AA:$AB,2,0),"")</f>
        <v/>
      </c>
      <c r="I909" s="7" t="n">
        <v>10000623</v>
      </c>
      <c r="J909" s="7">
        <f>IFERROR(VLOOKUP(I909,Materiales!$A:$H,8,0),"")</f>
        <v/>
      </c>
      <c r="K909" s="9">
        <f>IFERROR(VLOOKUP(I909,Materiales!$A:$G,7,0),"")</f>
        <v/>
      </c>
      <c r="L909" s="8" t="inlineStr">
        <is>
          <t>20230501</t>
        </is>
      </c>
      <c r="M909" s="8" t="inlineStr">
        <is>
          <t>20250131</t>
        </is>
      </c>
      <c r="N909" s="10" t="n">
        <v>97.05</v>
      </c>
      <c r="O909" s="10">
        <f>IFERROR(VLOOKUP(A909,Flete!$A:$J,10,0),"")</f>
        <v/>
      </c>
      <c r="P909" s="8" t="inlineStr">
        <is>
          <t>TN</t>
        </is>
      </c>
      <c r="Q909" s="10">
        <f>IFERROR(IFERROR(VLOOKUP(A909,TRAOPE!$A:$U,21,0),VLOOKUP(B909,TRAOPE!$A:$U,21,0)),"")</f>
        <v/>
      </c>
      <c r="R909" s="8">
        <f>IFERROR(IFERROR(VLOOKUP(A909,TRAOPE!$A:$W,23,0),VLOOKUP(B909,TRAOPE!$A:$W,23,0)),"")</f>
        <v/>
      </c>
      <c r="S909" s="10">
        <f>IF(AND(P909="TN",R909="TN"),N909+N(O909),IF(G909&amp;""="1",N(K909)*N909,(N909+N(O909))*N(K909)))</f>
        <v/>
      </c>
      <c r="T909" s="10">
        <f>IF(Q909="","",Q909-S909)</f>
        <v/>
      </c>
    </row>
    <row r="910">
      <c r="A910" s="7">
        <f>CONCATENATE(C910,E910,F910,I910)</f>
        <v/>
      </c>
      <c r="B910" s="7">
        <f>CONCATENATE(C910,E910,I910)</f>
        <v/>
      </c>
      <c r="C910" s="8" t="n">
        <v>900005270</v>
      </c>
      <c r="D910" s="7">
        <f>IFERROR(VLOOKUP(C910,TRAOPE!$G:$H,2,0),"")</f>
        <v/>
      </c>
      <c r="E910" s="8" t="inlineStr">
        <is>
          <t>DW70</t>
        </is>
      </c>
      <c r="F910" s="8" t="inlineStr">
        <is>
          <t>D084</t>
        </is>
      </c>
      <c r="G910" s="8">
        <f>IFERROR(VLOOKUP(A910,Flete!$A:$E,5,0),"")</f>
        <v/>
      </c>
      <c r="H910" s="7">
        <f>IFERROR(VLOOKUP(F910,TRAOPE!$AA:$AB,2,0),"")</f>
        <v/>
      </c>
      <c r="I910" s="7" t="n">
        <v>10000623</v>
      </c>
      <c r="J910" s="7">
        <f>IFERROR(VLOOKUP(I910,Materiales!$A:$H,8,0),"")</f>
        <v/>
      </c>
      <c r="K910" s="9">
        <f>IFERROR(VLOOKUP(I910,Materiales!$A:$G,7,0),"")</f>
        <v/>
      </c>
      <c r="L910" s="8" t="inlineStr">
        <is>
          <t>20230501</t>
        </is>
      </c>
      <c r="M910" s="8" t="inlineStr">
        <is>
          <t>20250131</t>
        </is>
      </c>
      <c r="N910" s="10" t="n">
        <v>97.05</v>
      </c>
      <c r="O910" s="10">
        <f>IFERROR(VLOOKUP(A910,Flete!$A:$J,10,0),"")</f>
        <v/>
      </c>
      <c r="P910" s="8" t="inlineStr">
        <is>
          <t>TN</t>
        </is>
      </c>
      <c r="Q910" s="10">
        <f>IFERROR(IFERROR(VLOOKUP(A910,TRAOPE!$A:$U,21,0),VLOOKUP(B910,TRAOPE!$A:$U,21,0)),"")</f>
        <v/>
      </c>
      <c r="R910" s="8">
        <f>IFERROR(IFERROR(VLOOKUP(A910,TRAOPE!$A:$W,23,0),VLOOKUP(B910,TRAOPE!$A:$W,23,0)),"")</f>
        <v/>
      </c>
      <c r="S910" s="10">
        <f>IF(AND(P910="TN",R910="TN"),N910+N(O910),IF(G910&amp;""="1",N(K910)*N910,(N910+N(O910))*N(K910)))</f>
        <v/>
      </c>
      <c r="T910" s="10">
        <f>IF(Q910="","",Q910-S910)</f>
        <v/>
      </c>
    </row>
    <row r="911">
      <c r="A911" s="7">
        <f>CONCATENATE(C911,E911,F911,I911)</f>
        <v/>
      </c>
      <c r="B911" s="7">
        <f>CONCATENATE(C911,E911,I911)</f>
        <v/>
      </c>
      <c r="C911" s="8" t="n">
        <v>900005270</v>
      </c>
      <c r="D911" s="7">
        <f>IFERROR(VLOOKUP(C911,TRAOPE!$G:$H,2,0),"")</f>
        <v/>
      </c>
      <c r="E911" s="8" t="inlineStr">
        <is>
          <t>DW70</t>
        </is>
      </c>
      <c r="F911" s="8" t="inlineStr">
        <is>
          <t>D085</t>
        </is>
      </c>
      <c r="G911" s="8">
        <f>IFERROR(VLOOKUP(A911,Flete!$A:$E,5,0),"")</f>
        <v/>
      </c>
      <c r="H911" s="7">
        <f>IFERROR(VLOOKUP(F911,TRAOPE!$AA:$AB,2,0),"")</f>
        <v/>
      </c>
      <c r="I911" s="7" t="n">
        <v>10000623</v>
      </c>
      <c r="J911" s="7">
        <f>IFERROR(VLOOKUP(I911,Materiales!$A:$H,8,0),"")</f>
        <v/>
      </c>
      <c r="K911" s="9">
        <f>IFERROR(VLOOKUP(I911,Materiales!$A:$G,7,0),"")</f>
        <v/>
      </c>
      <c r="L911" s="8" t="inlineStr">
        <is>
          <t>20230501</t>
        </is>
      </c>
      <c r="M911" s="8" t="inlineStr">
        <is>
          <t>20250131</t>
        </is>
      </c>
      <c r="N911" s="10" t="n">
        <v>97.05</v>
      </c>
      <c r="O911" s="10">
        <f>IFERROR(VLOOKUP(A911,Flete!$A:$J,10,0),"")</f>
        <v/>
      </c>
      <c r="P911" s="8" t="inlineStr">
        <is>
          <t>TN</t>
        </is>
      </c>
      <c r="Q911" s="10">
        <f>IFERROR(IFERROR(VLOOKUP(A911,TRAOPE!$A:$U,21,0),VLOOKUP(B911,TRAOPE!$A:$U,21,0)),"")</f>
        <v/>
      </c>
      <c r="R911" s="8">
        <f>IFERROR(IFERROR(VLOOKUP(A911,TRAOPE!$A:$W,23,0),VLOOKUP(B911,TRAOPE!$A:$W,23,0)),"")</f>
        <v/>
      </c>
      <c r="S911" s="10">
        <f>IF(AND(P911="TN",R911="TN"),N911+N(O911),IF(G911&amp;""="1",N(K911)*N911,(N911+N(O911))*N(K911)))</f>
        <v/>
      </c>
      <c r="T911" s="10">
        <f>IF(Q911="","",Q911-S911)</f>
        <v/>
      </c>
    </row>
    <row r="912">
      <c r="A912" s="7">
        <f>CONCATENATE(C912,E912,F912,I912)</f>
        <v/>
      </c>
      <c r="B912" s="7">
        <f>CONCATENATE(C912,E912,I912)</f>
        <v/>
      </c>
      <c r="C912" s="8" t="n">
        <v>900005270</v>
      </c>
      <c r="D912" s="7">
        <f>IFERROR(VLOOKUP(C912,TRAOPE!$G:$H,2,0),"")</f>
        <v/>
      </c>
      <c r="E912" s="8" t="inlineStr">
        <is>
          <t>DW70</t>
        </is>
      </c>
      <c r="F912" s="8" t="inlineStr">
        <is>
          <t>D086</t>
        </is>
      </c>
      <c r="G912" s="8">
        <f>IFERROR(VLOOKUP(A912,Flete!$A:$E,5,0),"")</f>
        <v/>
      </c>
      <c r="H912" s="7">
        <f>IFERROR(VLOOKUP(F912,TRAOPE!$AA:$AB,2,0),"")</f>
        <v/>
      </c>
      <c r="I912" s="7" t="n">
        <v>10000623</v>
      </c>
      <c r="J912" s="7">
        <f>IFERROR(VLOOKUP(I912,Materiales!$A:$H,8,0),"")</f>
        <v/>
      </c>
      <c r="K912" s="9">
        <f>IFERROR(VLOOKUP(I912,Materiales!$A:$G,7,0),"")</f>
        <v/>
      </c>
      <c r="L912" s="8" t="inlineStr">
        <is>
          <t>20230501</t>
        </is>
      </c>
      <c r="M912" s="8" t="inlineStr">
        <is>
          <t>20250131</t>
        </is>
      </c>
      <c r="N912" s="10" t="n">
        <v>97.05</v>
      </c>
      <c r="O912" s="10">
        <f>IFERROR(VLOOKUP(A912,Flete!$A:$J,10,0),"")</f>
        <v/>
      </c>
      <c r="P912" s="8" t="inlineStr">
        <is>
          <t>TN</t>
        </is>
      </c>
      <c r="Q912" s="10">
        <f>IFERROR(IFERROR(VLOOKUP(A912,TRAOPE!$A:$U,21,0),VLOOKUP(B912,TRAOPE!$A:$U,21,0)),"")</f>
        <v/>
      </c>
      <c r="R912" s="8">
        <f>IFERROR(IFERROR(VLOOKUP(A912,TRAOPE!$A:$W,23,0),VLOOKUP(B912,TRAOPE!$A:$W,23,0)),"")</f>
        <v/>
      </c>
      <c r="S912" s="10">
        <f>IF(AND(P912="TN",R912="TN"),N912+N(O912),IF(G912&amp;""="1",N(K912)*N912,(N912+N(O912))*N(K912)))</f>
        <v/>
      </c>
      <c r="T912" s="10">
        <f>IF(Q912="","",Q912-S912)</f>
        <v/>
      </c>
    </row>
    <row r="913">
      <c r="A913" s="7">
        <f>CONCATENATE(C913,E913,F913,I913)</f>
        <v/>
      </c>
      <c r="B913" s="7">
        <f>CONCATENATE(C913,E913,I913)</f>
        <v/>
      </c>
      <c r="C913" s="8" t="n">
        <v>900005270</v>
      </c>
      <c r="D913" s="7">
        <f>IFERROR(VLOOKUP(C913,TRAOPE!$G:$H,2,0),"")</f>
        <v/>
      </c>
      <c r="E913" s="8" t="inlineStr">
        <is>
          <t>DW70</t>
        </is>
      </c>
      <c r="F913" s="8" t="inlineStr">
        <is>
          <t>D088</t>
        </is>
      </c>
      <c r="G913" s="8">
        <f>IFERROR(VLOOKUP(A913,Flete!$A:$E,5,0),"")</f>
        <v/>
      </c>
      <c r="H913" s="7">
        <f>IFERROR(VLOOKUP(F913,TRAOPE!$AA:$AB,2,0),"")</f>
        <v/>
      </c>
      <c r="I913" s="7" t="n">
        <v>10000623</v>
      </c>
      <c r="J913" s="7">
        <f>IFERROR(VLOOKUP(I913,Materiales!$A:$H,8,0),"")</f>
        <v/>
      </c>
      <c r="K913" s="9">
        <f>IFERROR(VLOOKUP(I913,Materiales!$A:$G,7,0),"")</f>
        <v/>
      </c>
      <c r="L913" s="8" t="inlineStr">
        <is>
          <t>20230501</t>
        </is>
      </c>
      <c r="M913" s="8" t="inlineStr">
        <is>
          <t>20250131</t>
        </is>
      </c>
      <c r="N913" s="10" t="n">
        <v>97.05</v>
      </c>
      <c r="O913" s="10">
        <f>IFERROR(VLOOKUP(A913,Flete!$A:$J,10,0),"")</f>
        <v/>
      </c>
      <c r="P913" s="8" t="inlineStr">
        <is>
          <t>TN</t>
        </is>
      </c>
      <c r="Q913" s="10">
        <f>IFERROR(IFERROR(VLOOKUP(A913,TRAOPE!$A:$U,21,0),VLOOKUP(B913,TRAOPE!$A:$U,21,0)),"")</f>
        <v/>
      </c>
      <c r="R913" s="8">
        <f>IFERROR(IFERROR(VLOOKUP(A913,TRAOPE!$A:$W,23,0),VLOOKUP(B913,TRAOPE!$A:$W,23,0)),"")</f>
        <v/>
      </c>
      <c r="S913" s="10">
        <f>IF(AND(P913="TN",R913="TN"),N913+N(O913),IF(G913&amp;""="1",N(K913)*N913,(N913+N(O913))*N(K913)))</f>
        <v/>
      </c>
      <c r="T913" s="10">
        <f>IF(Q913="","",Q913-S913)</f>
        <v/>
      </c>
    </row>
    <row r="914">
      <c r="A914" s="7">
        <f>CONCATENATE(C914,E914,F914,I914)</f>
        <v/>
      </c>
      <c r="B914" s="7">
        <f>CONCATENATE(C914,E914,I914)</f>
        <v/>
      </c>
      <c r="C914" s="8" t="n">
        <v>900005270</v>
      </c>
      <c r="D914" s="7">
        <f>IFERROR(VLOOKUP(C914,TRAOPE!$G:$H,2,0),"")</f>
        <v/>
      </c>
      <c r="E914" s="8" t="inlineStr">
        <is>
          <t>DW70</t>
        </is>
      </c>
      <c r="F914" s="8" t="inlineStr">
        <is>
          <t>D089</t>
        </is>
      </c>
      <c r="G914" s="8">
        <f>IFERROR(VLOOKUP(A914,Flete!$A:$E,5,0),"")</f>
        <v/>
      </c>
      <c r="H914" s="7">
        <f>IFERROR(VLOOKUP(F914,TRAOPE!$AA:$AB,2,0),"")</f>
        <v/>
      </c>
      <c r="I914" s="7" t="n">
        <v>10000623</v>
      </c>
      <c r="J914" s="7">
        <f>IFERROR(VLOOKUP(I914,Materiales!$A:$H,8,0),"")</f>
        <v/>
      </c>
      <c r="K914" s="9">
        <f>IFERROR(VLOOKUP(I914,Materiales!$A:$G,7,0),"")</f>
        <v/>
      </c>
      <c r="L914" s="8" t="inlineStr">
        <is>
          <t>20230501</t>
        </is>
      </c>
      <c r="M914" s="8" t="inlineStr">
        <is>
          <t>20250131</t>
        </is>
      </c>
      <c r="N914" s="10" t="n">
        <v>97.05</v>
      </c>
      <c r="O914" s="10">
        <f>IFERROR(VLOOKUP(A914,Flete!$A:$J,10,0),"")</f>
        <v/>
      </c>
      <c r="P914" s="8" t="inlineStr">
        <is>
          <t>TN</t>
        </is>
      </c>
      <c r="Q914" s="10">
        <f>IFERROR(IFERROR(VLOOKUP(A914,TRAOPE!$A:$U,21,0),VLOOKUP(B914,TRAOPE!$A:$U,21,0)),"")</f>
        <v/>
      </c>
      <c r="R914" s="8">
        <f>IFERROR(IFERROR(VLOOKUP(A914,TRAOPE!$A:$W,23,0),VLOOKUP(B914,TRAOPE!$A:$W,23,0)),"")</f>
        <v/>
      </c>
      <c r="S914" s="10">
        <f>IF(AND(P914="TN",R914="TN"),N914+N(O914),IF(G914&amp;""="1",N(K914)*N914,(N914+N(O914))*N(K914)))</f>
        <v/>
      </c>
      <c r="T914" s="10">
        <f>IF(Q914="","",Q914-S914)</f>
        <v/>
      </c>
    </row>
    <row r="915">
      <c r="A915" s="7">
        <f>CONCATENATE(C915,E915,F915,I915)</f>
        <v/>
      </c>
      <c r="B915" s="7">
        <f>CONCATENATE(C915,E915,I915)</f>
        <v/>
      </c>
      <c r="C915" s="8" t="n">
        <v>900005270</v>
      </c>
      <c r="D915" s="7">
        <f>IFERROR(VLOOKUP(C915,TRAOPE!$G:$H,2,0),"")</f>
        <v/>
      </c>
      <c r="E915" s="8" t="inlineStr">
        <is>
          <t>DW70</t>
        </is>
      </c>
      <c r="F915" s="8" t="inlineStr">
        <is>
          <t>D093</t>
        </is>
      </c>
      <c r="G915" s="8">
        <f>IFERROR(VLOOKUP(A915,Flete!$A:$E,5,0),"")</f>
        <v/>
      </c>
      <c r="H915" s="7">
        <f>IFERROR(VLOOKUP(F915,TRAOPE!$AA:$AB,2,0),"")</f>
        <v/>
      </c>
      <c r="I915" s="7" t="n">
        <v>10000623</v>
      </c>
      <c r="J915" s="7">
        <f>IFERROR(VLOOKUP(I915,Materiales!$A:$H,8,0),"")</f>
        <v/>
      </c>
      <c r="K915" s="9">
        <f>IFERROR(VLOOKUP(I915,Materiales!$A:$G,7,0),"")</f>
        <v/>
      </c>
      <c r="L915" s="8" t="inlineStr">
        <is>
          <t>20230501</t>
        </is>
      </c>
      <c r="M915" s="8" t="inlineStr">
        <is>
          <t>20250131</t>
        </is>
      </c>
      <c r="N915" s="10" t="n">
        <v>97.05</v>
      </c>
      <c r="O915" s="10">
        <f>IFERROR(VLOOKUP(A915,Flete!$A:$J,10,0),"")</f>
        <v/>
      </c>
      <c r="P915" s="8" t="inlineStr">
        <is>
          <t>TN</t>
        </is>
      </c>
      <c r="Q915" s="10">
        <f>IFERROR(IFERROR(VLOOKUP(A915,TRAOPE!$A:$U,21,0),VLOOKUP(B915,TRAOPE!$A:$U,21,0)),"")</f>
        <v/>
      </c>
      <c r="R915" s="8">
        <f>IFERROR(IFERROR(VLOOKUP(A915,TRAOPE!$A:$W,23,0),VLOOKUP(B915,TRAOPE!$A:$W,23,0)),"")</f>
        <v/>
      </c>
      <c r="S915" s="10">
        <f>IF(AND(P915="TN",R915="TN"),N915+N(O915),IF(G915&amp;""="1",N(K915)*N915,(N915+N(O915))*N(K915)))</f>
        <v/>
      </c>
      <c r="T915" s="10">
        <f>IF(Q915="","",Q915-S915)</f>
        <v/>
      </c>
    </row>
    <row r="916">
      <c r="A916" s="7">
        <f>CONCATENATE(C916,E916,F916,I916)</f>
        <v/>
      </c>
      <c r="B916" s="7">
        <f>CONCATENATE(C916,E916,I916)</f>
        <v/>
      </c>
      <c r="C916" s="8" t="n">
        <v>900005270</v>
      </c>
      <c r="D916" s="7">
        <f>IFERROR(VLOOKUP(C916,TRAOPE!$G:$H,2,0),"")</f>
        <v/>
      </c>
      <c r="E916" s="8" t="inlineStr">
        <is>
          <t>DW70</t>
        </is>
      </c>
      <c r="F916" s="8" t="inlineStr">
        <is>
          <t>D098</t>
        </is>
      </c>
      <c r="G916" s="8">
        <f>IFERROR(VLOOKUP(A916,Flete!$A:$E,5,0),"")</f>
        <v/>
      </c>
      <c r="H916" s="7">
        <f>IFERROR(VLOOKUP(F916,TRAOPE!$AA:$AB,2,0),"")</f>
        <v/>
      </c>
      <c r="I916" s="7" t="n">
        <v>10000623</v>
      </c>
      <c r="J916" s="7">
        <f>IFERROR(VLOOKUP(I916,Materiales!$A:$H,8,0),"")</f>
        <v/>
      </c>
      <c r="K916" s="9">
        <f>IFERROR(VLOOKUP(I916,Materiales!$A:$G,7,0),"")</f>
        <v/>
      </c>
      <c r="L916" s="8" t="inlineStr">
        <is>
          <t>20230501</t>
        </is>
      </c>
      <c r="M916" s="8" t="inlineStr">
        <is>
          <t>20250131</t>
        </is>
      </c>
      <c r="N916" s="10" t="n">
        <v>97.05</v>
      </c>
      <c r="O916" s="10">
        <f>IFERROR(VLOOKUP(A916,Flete!$A:$J,10,0),"")</f>
        <v/>
      </c>
      <c r="P916" s="8" t="inlineStr">
        <is>
          <t>TN</t>
        </is>
      </c>
      <c r="Q916" s="10">
        <f>IFERROR(IFERROR(VLOOKUP(A916,TRAOPE!$A:$U,21,0),VLOOKUP(B916,TRAOPE!$A:$U,21,0)),"")</f>
        <v/>
      </c>
      <c r="R916" s="8">
        <f>IFERROR(IFERROR(VLOOKUP(A916,TRAOPE!$A:$W,23,0),VLOOKUP(B916,TRAOPE!$A:$W,23,0)),"")</f>
        <v/>
      </c>
      <c r="S916" s="10">
        <f>IF(AND(P916="TN",R916="TN"),N916+N(O916),IF(G916&amp;""="1",N(K916)*N916,(N916+N(O916))*N(K916)))</f>
        <v/>
      </c>
      <c r="T916" s="10">
        <f>IF(Q916="","",Q916-S916)</f>
        <v/>
      </c>
    </row>
    <row r="917">
      <c r="A917" s="7">
        <f>CONCATENATE(C917,E917,F917,I917)</f>
        <v/>
      </c>
      <c r="B917" s="7">
        <f>CONCATENATE(C917,E917,I917)</f>
        <v/>
      </c>
      <c r="C917" s="8" t="n">
        <v>900005270</v>
      </c>
      <c r="D917" s="7">
        <f>IFERROR(VLOOKUP(C917,TRAOPE!$G:$H,2,0),"")</f>
        <v/>
      </c>
      <c r="E917" s="8" t="inlineStr">
        <is>
          <t>DW70</t>
        </is>
      </c>
      <c r="F917" s="8" t="inlineStr">
        <is>
          <t>D105</t>
        </is>
      </c>
      <c r="G917" s="8">
        <f>IFERROR(VLOOKUP(A917,Flete!$A:$E,5,0),"")</f>
        <v/>
      </c>
      <c r="H917" s="7">
        <f>IFERROR(VLOOKUP(F917,TRAOPE!$AA:$AB,2,0),"")</f>
        <v/>
      </c>
      <c r="I917" s="7" t="n">
        <v>10000623</v>
      </c>
      <c r="J917" s="7">
        <f>IFERROR(VLOOKUP(I917,Materiales!$A:$H,8,0),"")</f>
        <v/>
      </c>
      <c r="K917" s="9">
        <f>IFERROR(VLOOKUP(I917,Materiales!$A:$G,7,0),"")</f>
        <v/>
      </c>
      <c r="L917" s="8" t="inlineStr">
        <is>
          <t>20230501</t>
        </is>
      </c>
      <c r="M917" s="8" t="inlineStr">
        <is>
          <t>20250131</t>
        </is>
      </c>
      <c r="N917" s="10" t="n">
        <v>97.05</v>
      </c>
      <c r="O917" s="10">
        <f>IFERROR(VLOOKUP(A917,Flete!$A:$J,10,0),"")</f>
        <v/>
      </c>
      <c r="P917" s="8" t="inlineStr">
        <is>
          <t>TN</t>
        </is>
      </c>
      <c r="Q917" s="10">
        <f>IFERROR(IFERROR(VLOOKUP(A917,TRAOPE!$A:$U,21,0),VLOOKUP(B917,TRAOPE!$A:$U,21,0)),"")</f>
        <v/>
      </c>
      <c r="R917" s="8">
        <f>IFERROR(IFERROR(VLOOKUP(A917,TRAOPE!$A:$W,23,0),VLOOKUP(B917,TRAOPE!$A:$W,23,0)),"")</f>
        <v/>
      </c>
      <c r="S917" s="10">
        <f>IF(AND(P917="TN",R917="TN"),N917+N(O917),IF(G917&amp;""="1",N(K917)*N917,(N917+N(O917))*N(K917)))</f>
        <v/>
      </c>
      <c r="T917" s="10">
        <f>IF(Q917="","",Q917-S917)</f>
        <v/>
      </c>
    </row>
    <row r="918">
      <c r="A918" s="7">
        <f>CONCATENATE(C918,E918,F918,I918)</f>
        <v/>
      </c>
      <c r="B918" s="7">
        <f>CONCATENATE(C918,E918,I918)</f>
        <v/>
      </c>
      <c r="C918" s="8" t="n">
        <v>900005270</v>
      </c>
      <c r="D918" s="7">
        <f>IFERROR(VLOOKUP(C918,TRAOPE!$G:$H,2,0),"")</f>
        <v/>
      </c>
      <c r="E918" s="8" t="inlineStr">
        <is>
          <t>DW70</t>
        </is>
      </c>
      <c r="F918" s="8" t="inlineStr">
        <is>
          <t>D110</t>
        </is>
      </c>
      <c r="G918" s="8">
        <f>IFERROR(VLOOKUP(A918,Flete!$A:$E,5,0),"")</f>
        <v/>
      </c>
      <c r="H918" s="7">
        <f>IFERROR(VLOOKUP(F918,TRAOPE!$AA:$AB,2,0),"")</f>
        <v/>
      </c>
      <c r="I918" s="7" t="n">
        <v>10000623</v>
      </c>
      <c r="J918" s="7">
        <f>IFERROR(VLOOKUP(I918,Materiales!$A:$H,8,0),"")</f>
        <v/>
      </c>
      <c r="K918" s="9">
        <f>IFERROR(VLOOKUP(I918,Materiales!$A:$G,7,0),"")</f>
        <v/>
      </c>
      <c r="L918" s="8" t="inlineStr">
        <is>
          <t>20230501</t>
        </is>
      </c>
      <c r="M918" s="8" t="inlineStr">
        <is>
          <t>20250131</t>
        </is>
      </c>
      <c r="N918" s="10" t="n">
        <v>97.05</v>
      </c>
      <c r="O918" s="10">
        <f>IFERROR(VLOOKUP(A918,Flete!$A:$J,10,0),"")</f>
        <v/>
      </c>
      <c r="P918" s="8" t="inlineStr">
        <is>
          <t>TN</t>
        </is>
      </c>
      <c r="Q918" s="10">
        <f>IFERROR(IFERROR(VLOOKUP(A918,TRAOPE!$A:$U,21,0),VLOOKUP(B918,TRAOPE!$A:$U,21,0)),"")</f>
        <v/>
      </c>
      <c r="R918" s="8">
        <f>IFERROR(IFERROR(VLOOKUP(A918,TRAOPE!$A:$W,23,0),VLOOKUP(B918,TRAOPE!$A:$W,23,0)),"")</f>
        <v/>
      </c>
      <c r="S918" s="10">
        <f>IF(AND(P918="TN",R918="TN"),N918+N(O918),IF(G918&amp;""="1",N(K918)*N918,(N918+N(O918))*N(K918)))</f>
        <v/>
      </c>
      <c r="T918" s="10">
        <f>IF(Q918="","",Q918-S918)</f>
        <v/>
      </c>
    </row>
    <row r="919">
      <c r="A919" s="7">
        <f>CONCATENATE(C919,E919,F919,I919)</f>
        <v/>
      </c>
      <c r="B919" s="7">
        <f>CONCATENATE(C919,E919,I919)</f>
        <v/>
      </c>
      <c r="C919" s="8" t="n">
        <v>900005270</v>
      </c>
      <c r="D919" s="7">
        <f>IFERROR(VLOOKUP(C919,TRAOPE!$G:$H,2,0),"")</f>
        <v/>
      </c>
      <c r="E919" s="8" t="inlineStr">
        <is>
          <t>DW70</t>
        </is>
      </c>
      <c r="F919" s="8" t="inlineStr">
        <is>
          <t>D136</t>
        </is>
      </c>
      <c r="G919" s="8">
        <f>IFERROR(VLOOKUP(A919,Flete!$A:$E,5,0),"")</f>
        <v/>
      </c>
      <c r="H919" s="7">
        <f>IFERROR(VLOOKUP(F919,TRAOPE!$AA:$AB,2,0),"")</f>
        <v/>
      </c>
      <c r="I919" s="7" t="n">
        <v>10000623</v>
      </c>
      <c r="J919" s="7">
        <f>IFERROR(VLOOKUP(I919,Materiales!$A:$H,8,0),"")</f>
        <v/>
      </c>
      <c r="K919" s="9">
        <f>IFERROR(VLOOKUP(I919,Materiales!$A:$G,7,0),"")</f>
        <v/>
      </c>
      <c r="L919" s="8" t="inlineStr">
        <is>
          <t>20230501</t>
        </is>
      </c>
      <c r="M919" s="8" t="inlineStr">
        <is>
          <t>20250131</t>
        </is>
      </c>
      <c r="N919" s="10" t="n">
        <v>97.05</v>
      </c>
      <c r="O919" s="10">
        <f>IFERROR(VLOOKUP(A919,Flete!$A:$J,10,0),"")</f>
        <v/>
      </c>
      <c r="P919" s="8" t="inlineStr">
        <is>
          <t>TN</t>
        </is>
      </c>
      <c r="Q919" s="10">
        <f>IFERROR(IFERROR(VLOOKUP(A919,TRAOPE!$A:$U,21,0),VLOOKUP(B919,TRAOPE!$A:$U,21,0)),"")</f>
        <v/>
      </c>
      <c r="R919" s="8">
        <f>IFERROR(IFERROR(VLOOKUP(A919,TRAOPE!$A:$W,23,0),VLOOKUP(B919,TRAOPE!$A:$W,23,0)),"")</f>
        <v/>
      </c>
      <c r="S919" s="10">
        <f>IF(AND(P919="TN",R919="TN"),N919+N(O919),IF(G919&amp;""="1",N(K919)*N919,(N919+N(O919))*N(K919)))</f>
        <v/>
      </c>
      <c r="T919" s="10">
        <f>IF(Q919="","",Q919-S919)</f>
        <v/>
      </c>
    </row>
    <row r="920">
      <c r="A920" s="7">
        <f>CONCATENATE(C920,E920,F920,I920)</f>
        <v/>
      </c>
      <c r="B920" s="7">
        <f>CONCATENATE(C920,E920,I920)</f>
        <v/>
      </c>
      <c r="C920" s="8" t="n">
        <v>900005270</v>
      </c>
      <c r="D920" s="7">
        <f>IFERROR(VLOOKUP(C920,TRAOPE!$G:$H,2,0),"")</f>
        <v/>
      </c>
      <c r="E920" s="8" t="inlineStr">
        <is>
          <t>DW70</t>
        </is>
      </c>
      <c r="F920" s="8" t="inlineStr">
        <is>
          <t>D145</t>
        </is>
      </c>
      <c r="G920" s="8">
        <f>IFERROR(VLOOKUP(A920,Flete!$A:$E,5,0),"")</f>
        <v/>
      </c>
      <c r="H920" s="7">
        <f>IFERROR(VLOOKUP(F920,TRAOPE!$AA:$AB,2,0),"")</f>
        <v/>
      </c>
      <c r="I920" s="7" t="n">
        <v>10000623</v>
      </c>
      <c r="J920" s="7">
        <f>IFERROR(VLOOKUP(I920,Materiales!$A:$H,8,0),"")</f>
        <v/>
      </c>
      <c r="K920" s="9">
        <f>IFERROR(VLOOKUP(I920,Materiales!$A:$G,7,0),"")</f>
        <v/>
      </c>
      <c r="L920" s="8" t="inlineStr">
        <is>
          <t>20230501</t>
        </is>
      </c>
      <c r="M920" s="8" t="inlineStr">
        <is>
          <t>20250131</t>
        </is>
      </c>
      <c r="N920" s="10" t="n">
        <v>97.05</v>
      </c>
      <c r="O920" s="10">
        <f>IFERROR(VLOOKUP(A920,Flete!$A:$J,10,0),"")</f>
        <v/>
      </c>
      <c r="P920" s="8" t="inlineStr">
        <is>
          <t>TN</t>
        </is>
      </c>
      <c r="Q920" s="10">
        <f>IFERROR(IFERROR(VLOOKUP(A920,TRAOPE!$A:$U,21,0),VLOOKUP(B920,TRAOPE!$A:$U,21,0)),"")</f>
        <v/>
      </c>
      <c r="R920" s="8">
        <f>IFERROR(IFERROR(VLOOKUP(A920,TRAOPE!$A:$W,23,0),VLOOKUP(B920,TRAOPE!$A:$W,23,0)),"")</f>
        <v/>
      </c>
      <c r="S920" s="10">
        <f>IF(AND(P920="TN",R920="TN"),N920+N(O920),IF(G920&amp;""="1",N(K920)*N920,(N920+N(O920))*N(K920)))</f>
        <v/>
      </c>
      <c r="T920" s="10">
        <f>IF(Q920="","",Q920-S920)</f>
        <v/>
      </c>
    </row>
    <row r="921">
      <c r="A921" s="7">
        <f>CONCATENATE(C921,E921,F921,I921)</f>
        <v/>
      </c>
      <c r="B921" s="7">
        <f>CONCATENATE(C921,E921,I921)</f>
        <v/>
      </c>
      <c r="C921" s="8" t="n">
        <v>900005400</v>
      </c>
      <c r="D921" s="7">
        <f>IFERROR(VLOOKUP(C921,TRAOPE!$G:$H,2,0),"")</f>
        <v/>
      </c>
      <c r="E921" s="8" t="inlineStr">
        <is>
          <t>DW70</t>
        </is>
      </c>
      <c r="F921" s="8" t="inlineStr">
        <is>
          <t>D081</t>
        </is>
      </c>
      <c r="G921" s="8">
        <f>IFERROR(VLOOKUP(A921,Flete!$A:$E,5,0),"")</f>
        <v/>
      </c>
      <c r="H921" s="7">
        <f>IFERROR(VLOOKUP(F921,TRAOPE!$AA:$AB,2,0),"")</f>
        <v/>
      </c>
      <c r="I921" s="7" t="n">
        <v>10059181</v>
      </c>
      <c r="J921" s="7">
        <f>IFERROR(VLOOKUP(I921,Materiales!$A:$H,8,0),"")</f>
        <v/>
      </c>
      <c r="K921" s="9">
        <f>IFERROR(VLOOKUP(I921,Materiales!$A:$G,7,0),"")</f>
        <v/>
      </c>
      <c r="L921" s="8" t="inlineStr">
        <is>
          <t>20230501</t>
        </is>
      </c>
      <c r="M921" s="8" t="inlineStr">
        <is>
          <t>20250131</t>
        </is>
      </c>
      <c r="N921" s="10" t="n">
        <v>67.89</v>
      </c>
      <c r="O921" s="10">
        <f>IFERROR(VLOOKUP(A921,Flete!$A:$J,10,0),"")</f>
        <v/>
      </c>
      <c r="P921" s="8" t="inlineStr">
        <is>
          <t>TN</t>
        </is>
      </c>
      <c r="Q921" s="10">
        <f>IFERROR(IFERROR(VLOOKUP(A921,TRAOPE!$A:$U,21,0),VLOOKUP(B921,TRAOPE!$A:$U,21,0)),"")</f>
        <v/>
      </c>
      <c r="R921" s="8">
        <f>IFERROR(IFERROR(VLOOKUP(A921,TRAOPE!$A:$W,23,0),VLOOKUP(B921,TRAOPE!$A:$W,23,0)),"")</f>
        <v/>
      </c>
      <c r="S921" s="10">
        <f>IF(AND(P921="TN",R921="TN"),N921+N(O921),IF(G921&amp;""="1",N(K921)*N921,(N921+N(O921))*N(K921)))</f>
        <v/>
      </c>
      <c r="T921" s="10">
        <f>IF(Q921="","",Q921-S921)</f>
        <v/>
      </c>
    </row>
    <row r="922">
      <c r="A922" s="7">
        <f>CONCATENATE(C922,E922,F922,I922)</f>
        <v/>
      </c>
      <c r="B922" s="7">
        <f>CONCATENATE(C922,E922,I922)</f>
        <v/>
      </c>
      <c r="C922" s="8" t="n">
        <v>900005400</v>
      </c>
      <c r="D922" s="7">
        <f>IFERROR(VLOOKUP(C922,TRAOPE!$G:$H,2,0),"")</f>
        <v/>
      </c>
      <c r="E922" s="8" t="inlineStr">
        <is>
          <t>DW70</t>
        </is>
      </c>
      <c r="F922" s="8" t="inlineStr">
        <is>
          <t>D088</t>
        </is>
      </c>
      <c r="G922" s="8">
        <f>IFERROR(VLOOKUP(A922,Flete!$A:$E,5,0),"")</f>
        <v/>
      </c>
      <c r="H922" s="7">
        <f>IFERROR(VLOOKUP(F922,TRAOPE!$AA:$AB,2,0),"")</f>
        <v/>
      </c>
      <c r="I922" s="7" t="n">
        <v>10000651</v>
      </c>
      <c r="J922" s="7">
        <f>IFERROR(VLOOKUP(I922,Materiales!$A:$H,8,0),"")</f>
        <v/>
      </c>
      <c r="K922" s="9">
        <f>IFERROR(VLOOKUP(I922,Materiales!$A:$G,7,0),"")</f>
        <v/>
      </c>
      <c r="L922" s="8" t="inlineStr">
        <is>
          <t>20230501</t>
        </is>
      </c>
      <c r="M922" s="8" t="inlineStr">
        <is>
          <t>20250131</t>
        </is>
      </c>
      <c r="N922" s="10" t="n">
        <v>73.68000000000001</v>
      </c>
      <c r="O922" s="10">
        <f>IFERROR(VLOOKUP(A922,Flete!$A:$J,10,0),"")</f>
        <v/>
      </c>
      <c r="P922" s="8" t="inlineStr">
        <is>
          <t>TN</t>
        </is>
      </c>
      <c r="Q922" s="10">
        <f>IFERROR(IFERROR(VLOOKUP(A922,TRAOPE!$A:$U,21,0),VLOOKUP(B922,TRAOPE!$A:$U,21,0)),"")</f>
        <v/>
      </c>
      <c r="R922" s="8">
        <f>IFERROR(IFERROR(VLOOKUP(A922,TRAOPE!$A:$W,23,0),VLOOKUP(B922,TRAOPE!$A:$W,23,0)),"")</f>
        <v/>
      </c>
      <c r="S922" s="10">
        <f>IF(AND(P922="TN",R922="TN"),N922+N(O922),IF(G922&amp;""="1",N(K922)*N922,(N922+N(O922))*N(K922)))</f>
        <v/>
      </c>
      <c r="T922" s="10">
        <f>IF(Q922="","",Q922-S922)</f>
        <v/>
      </c>
    </row>
    <row r="923">
      <c r="A923" s="7">
        <f>CONCATENATE(C923,E923,F923,I923)</f>
        <v/>
      </c>
      <c r="B923" s="7">
        <f>CONCATENATE(C923,E923,I923)</f>
        <v/>
      </c>
      <c r="C923" s="8" t="n">
        <v>900005400</v>
      </c>
      <c r="D923" s="7">
        <f>IFERROR(VLOOKUP(C923,TRAOPE!$G:$H,2,0),"")</f>
        <v/>
      </c>
      <c r="E923" s="8" t="inlineStr">
        <is>
          <t>DW70</t>
        </is>
      </c>
      <c r="F923" s="8" t="inlineStr">
        <is>
          <t>D093</t>
        </is>
      </c>
      <c r="G923" s="8">
        <f>IFERROR(VLOOKUP(A923,Flete!$A:$E,5,0),"")</f>
        <v/>
      </c>
      <c r="H923" s="7">
        <f>IFERROR(VLOOKUP(F923,TRAOPE!$AA:$AB,2,0),"")</f>
        <v/>
      </c>
      <c r="I923" s="7" t="n">
        <v>10000651</v>
      </c>
      <c r="J923" s="7">
        <f>IFERROR(VLOOKUP(I923,Materiales!$A:$H,8,0),"")</f>
        <v/>
      </c>
      <c r="K923" s="9">
        <f>IFERROR(VLOOKUP(I923,Materiales!$A:$G,7,0),"")</f>
        <v/>
      </c>
      <c r="L923" s="8" t="inlineStr">
        <is>
          <t>20230501</t>
        </is>
      </c>
      <c r="M923" s="8" t="inlineStr">
        <is>
          <t>20250131</t>
        </is>
      </c>
      <c r="N923" s="10" t="n">
        <v>73.68000000000001</v>
      </c>
      <c r="O923" s="10">
        <f>IFERROR(VLOOKUP(A923,Flete!$A:$J,10,0),"")</f>
        <v/>
      </c>
      <c r="P923" s="8" t="inlineStr">
        <is>
          <t>TN</t>
        </is>
      </c>
      <c r="Q923" s="10">
        <f>IFERROR(IFERROR(VLOOKUP(A923,TRAOPE!$A:$U,21,0),VLOOKUP(B923,TRAOPE!$A:$U,21,0)),"")</f>
        <v/>
      </c>
      <c r="R923" s="8">
        <f>IFERROR(IFERROR(VLOOKUP(A923,TRAOPE!$A:$W,23,0),VLOOKUP(B923,TRAOPE!$A:$W,23,0)),"")</f>
        <v/>
      </c>
      <c r="S923" s="10">
        <f>IF(AND(P923="TN",R923="TN"),N923+N(O923),IF(G923&amp;""="1",N(K923)*N923,(N923+N(O923))*N(K923)))</f>
        <v/>
      </c>
      <c r="T923" s="10">
        <f>IF(Q923="","",Q923-S923)</f>
        <v/>
      </c>
    </row>
    <row r="924">
      <c r="A924" s="7">
        <f>CONCATENATE(C924,E924,F924,I924)</f>
        <v/>
      </c>
      <c r="B924" s="7">
        <f>CONCATENATE(C924,E924,I924)</f>
        <v/>
      </c>
      <c r="C924" s="8" t="n">
        <v>900005554</v>
      </c>
      <c r="D924" s="7">
        <f>IFERROR(VLOOKUP(C924,TRAOPE!$G:$H,2,0),"")</f>
        <v/>
      </c>
      <c r="E924" s="8" t="inlineStr">
        <is>
          <t>DW70</t>
        </is>
      </c>
      <c r="F924" s="8" t="inlineStr">
        <is>
          <t>D074</t>
        </is>
      </c>
      <c r="G924" s="8">
        <f>IFERROR(VLOOKUP(A924,Flete!$A:$E,5,0),"")</f>
        <v/>
      </c>
      <c r="H924" s="7">
        <f>IFERROR(VLOOKUP(F924,TRAOPE!$AA:$AB,2,0),"")</f>
        <v/>
      </c>
      <c r="I924" s="7" t="n">
        <v>10152583</v>
      </c>
      <c r="J924" s="7">
        <f>IFERROR(VLOOKUP(I924,Materiales!$A:$H,8,0),"")</f>
        <v/>
      </c>
      <c r="K924" s="9">
        <f>IFERROR(VLOOKUP(I924,Materiales!$A:$G,7,0),"")</f>
        <v/>
      </c>
      <c r="L924" s="8" t="inlineStr">
        <is>
          <t>20260413</t>
        </is>
      </c>
      <c r="M924" s="8" t="inlineStr">
        <is>
          <t>99991231</t>
        </is>
      </c>
      <c r="N924" s="10" t="n">
        <v>105.71</v>
      </c>
      <c r="O924" s="10">
        <f>IFERROR(VLOOKUP(A924,Flete!$A:$J,10,0),"")</f>
        <v/>
      </c>
      <c r="P924" s="8" t="inlineStr">
        <is>
          <t>TN</t>
        </is>
      </c>
      <c r="Q924" s="10">
        <f>IFERROR(IFERROR(VLOOKUP(A924,TRAOPE!$A:$U,21,0),VLOOKUP(B924,TRAOPE!$A:$U,21,0)),"")</f>
        <v/>
      </c>
      <c r="R924" s="8">
        <f>IFERROR(IFERROR(VLOOKUP(A924,TRAOPE!$A:$W,23,0),VLOOKUP(B924,TRAOPE!$A:$W,23,0)),"")</f>
        <v/>
      </c>
      <c r="S924" s="10">
        <f>IF(AND(P924="TN",R924="TN"),N924+N(O924),IF(G924&amp;""="1",N(K924)*N924,(N924+N(O924))*N(K924)))</f>
        <v/>
      </c>
      <c r="T924" s="10">
        <f>IF(Q924="","",Q924-S924)</f>
        <v/>
      </c>
    </row>
    <row r="925">
      <c r="A925" s="7">
        <f>CONCATENATE(C925,E925,F925,I925)</f>
        <v/>
      </c>
      <c r="B925" s="7">
        <f>CONCATENATE(C925,E925,I925)</f>
        <v/>
      </c>
      <c r="C925" s="8" t="n">
        <v>900005554</v>
      </c>
      <c r="D925" s="7">
        <f>IFERROR(VLOOKUP(C925,TRAOPE!$G:$H,2,0),"")</f>
        <v/>
      </c>
      <c r="E925" s="8" t="inlineStr">
        <is>
          <t>DW70</t>
        </is>
      </c>
      <c r="F925" s="8" t="inlineStr">
        <is>
          <t>D075</t>
        </is>
      </c>
      <c r="G925" s="8">
        <f>IFERROR(VLOOKUP(A925,Flete!$A:$E,5,0),"")</f>
        <v/>
      </c>
      <c r="H925" s="7">
        <f>IFERROR(VLOOKUP(F925,TRAOPE!$AA:$AB,2,0),"")</f>
        <v/>
      </c>
      <c r="I925" s="7" t="n">
        <v>10152583</v>
      </c>
      <c r="J925" s="7">
        <f>IFERROR(VLOOKUP(I925,Materiales!$A:$H,8,0),"")</f>
        <v/>
      </c>
      <c r="K925" s="9">
        <f>IFERROR(VLOOKUP(I925,Materiales!$A:$G,7,0),"")</f>
        <v/>
      </c>
      <c r="L925" s="8" t="inlineStr">
        <is>
          <t>20260413</t>
        </is>
      </c>
      <c r="M925" s="8" t="inlineStr">
        <is>
          <t>99991231</t>
        </is>
      </c>
      <c r="N925" s="10" t="n">
        <v>105.71</v>
      </c>
      <c r="O925" s="10">
        <f>IFERROR(VLOOKUP(A925,Flete!$A:$J,10,0),"")</f>
        <v/>
      </c>
      <c r="P925" s="8" t="inlineStr">
        <is>
          <t>TN</t>
        </is>
      </c>
      <c r="Q925" s="10">
        <f>IFERROR(IFERROR(VLOOKUP(A925,TRAOPE!$A:$U,21,0),VLOOKUP(B925,TRAOPE!$A:$U,21,0)),"")</f>
        <v/>
      </c>
      <c r="R925" s="8">
        <f>IFERROR(IFERROR(VLOOKUP(A925,TRAOPE!$A:$W,23,0),VLOOKUP(B925,TRAOPE!$A:$W,23,0)),"")</f>
        <v/>
      </c>
      <c r="S925" s="10">
        <f>IF(AND(P925="TN",R925="TN"),N925+N(O925),IF(G925&amp;""="1",N(K925)*N925,(N925+N(O925))*N(K925)))</f>
        <v/>
      </c>
      <c r="T925" s="10">
        <f>IF(Q925="","",Q925-S925)</f>
        <v/>
      </c>
    </row>
    <row r="926">
      <c r="A926" s="7">
        <f>CONCATENATE(C926,E926,F926,I926)</f>
        <v/>
      </c>
      <c r="B926" s="7">
        <f>CONCATENATE(C926,E926,I926)</f>
        <v/>
      </c>
      <c r="C926" s="8" t="n">
        <v>900005554</v>
      </c>
      <c r="D926" s="7">
        <f>IFERROR(VLOOKUP(C926,TRAOPE!$G:$H,2,0),"")</f>
        <v/>
      </c>
      <c r="E926" s="8" t="inlineStr">
        <is>
          <t>DW70</t>
        </is>
      </c>
      <c r="F926" s="8" t="inlineStr">
        <is>
          <t>D077</t>
        </is>
      </c>
      <c r="G926" s="8">
        <f>IFERROR(VLOOKUP(A926,Flete!$A:$E,5,0),"")</f>
        <v/>
      </c>
      <c r="H926" s="7">
        <f>IFERROR(VLOOKUP(F926,TRAOPE!$AA:$AB,2,0),"")</f>
        <v/>
      </c>
      <c r="I926" s="7" t="n">
        <v>10152583</v>
      </c>
      <c r="J926" s="7">
        <f>IFERROR(VLOOKUP(I926,Materiales!$A:$H,8,0),"")</f>
        <v/>
      </c>
      <c r="K926" s="9">
        <f>IFERROR(VLOOKUP(I926,Materiales!$A:$G,7,0),"")</f>
        <v/>
      </c>
      <c r="L926" s="8" t="inlineStr">
        <is>
          <t>20260413</t>
        </is>
      </c>
      <c r="M926" s="8" t="inlineStr">
        <is>
          <t>99991231</t>
        </is>
      </c>
      <c r="N926" s="10" t="n">
        <v>105.71</v>
      </c>
      <c r="O926" s="10">
        <f>IFERROR(VLOOKUP(A926,Flete!$A:$J,10,0),"")</f>
        <v/>
      </c>
      <c r="P926" s="8" t="inlineStr">
        <is>
          <t>TN</t>
        </is>
      </c>
      <c r="Q926" s="10">
        <f>IFERROR(IFERROR(VLOOKUP(A926,TRAOPE!$A:$U,21,0),VLOOKUP(B926,TRAOPE!$A:$U,21,0)),"")</f>
        <v/>
      </c>
      <c r="R926" s="8">
        <f>IFERROR(IFERROR(VLOOKUP(A926,TRAOPE!$A:$W,23,0),VLOOKUP(B926,TRAOPE!$A:$W,23,0)),"")</f>
        <v/>
      </c>
      <c r="S926" s="10">
        <f>IF(AND(P926="TN",R926="TN"),N926+N(O926),IF(G926&amp;""="1",N(K926)*N926,(N926+N(O926))*N(K926)))</f>
        <v/>
      </c>
      <c r="T926" s="10">
        <f>IF(Q926="","",Q926-S926)</f>
        <v/>
      </c>
    </row>
    <row r="927">
      <c r="A927" s="7">
        <f>CONCATENATE(C927,E927,F927,I927)</f>
        <v/>
      </c>
      <c r="B927" s="7">
        <f>CONCATENATE(C927,E927,I927)</f>
        <v/>
      </c>
      <c r="C927" s="8" t="n">
        <v>900005554</v>
      </c>
      <c r="D927" s="7">
        <f>IFERROR(VLOOKUP(C927,TRAOPE!$G:$H,2,0),"")</f>
        <v/>
      </c>
      <c r="E927" s="8" t="inlineStr">
        <is>
          <t>DW70</t>
        </is>
      </c>
      <c r="F927" s="8" t="inlineStr">
        <is>
          <t>D079</t>
        </is>
      </c>
      <c r="G927" s="8">
        <f>IFERROR(VLOOKUP(A927,Flete!$A:$E,5,0),"")</f>
        <v/>
      </c>
      <c r="H927" s="7">
        <f>IFERROR(VLOOKUP(F927,TRAOPE!$AA:$AB,2,0),"")</f>
        <v/>
      </c>
      <c r="I927" s="7" t="n">
        <v>10152583</v>
      </c>
      <c r="J927" s="7">
        <f>IFERROR(VLOOKUP(I927,Materiales!$A:$H,8,0),"")</f>
        <v/>
      </c>
      <c r="K927" s="9">
        <f>IFERROR(VLOOKUP(I927,Materiales!$A:$G,7,0),"")</f>
        <v/>
      </c>
      <c r="L927" s="8" t="inlineStr">
        <is>
          <t>20260413</t>
        </is>
      </c>
      <c r="M927" s="8" t="inlineStr">
        <is>
          <t>99991231</t>
        </is>
      </c>
      <c r="N927" s="10" t="n">
        <v>105.71</v>
      </c>
      <c r="O927" s="10">
        <f>IFERROR(VLOOKUP(A927,Flete!$A:$J,10,0),"")</f>
        <v/>
      </c>
      <c r="P927" s="8" t="inlineStr">
        <is>
          <t>TN</t>
        </is>
      </c>
      <c r="Q927" s="10">
        <f>IFERROR(IFERROR(VLOOKUP(A927,TRAOPE!$A:$U,21,0),VLOOKUP(B927,TRAOPE!$A:$U,21,0)),"")</f>
        <v/>
      </c>
      <c r="R927" s="8">
        <f>IFERROR(IFERROR(VLOOKUP(A927,TRAOPE!$A:$W,23,0),VLOOKUP(B927,TRAOPE!$A:$W,23,0)),"")</f>
        <v/>
      </c>
      <c r="S927" s="10">
        <f>IF(AND(P927="TN",R927="TN"),N927+N(O927),IF(G927&amp;""="1",N(K927)*N927,(N927+N(O927))*N(K927)))</f>
        <v/>
      </c>
      <c r="T927" s="10">
        <f>IF(Q927="","",Q927-S927)</f>
        <v/>
      </c>
    </row>
    <row r="928">
      <c r="A928" s="7">
        <f>CONCATENATE(C928,E928,F928,I928)</f>
        <v/>
      </c>
      <c r="B928" s="7">
        <f>CONCATENATE(C928,E928,I928)</f>
        <v/>
      </c>
      <c r="C928" s="8" t="n">
        <v>900005554</v>
      </c>
      <c r="D928" s="7">
        <f>IFERROR(VLOOKUP(C928,TRAOPE!$G:$H,2,0),"")</f>
        <v/>
      </c>
      <c r="E928" s="8" t="inlineStr">
        <is>
          <t>DW70</t>
        </is>
      </c>
      <c r="F928" s="8" t="inlineStr">
        <is>
          <t>D080</t>
        </is>
      </c>
      <c r="G928" s="8">
        <f>IFERROR(VLOOKUP(A928,Flete!$A:$E,5,0),"")</f>
        <v/>
      </c>
      <c r="H928" s="7">
        <f>IFERROR(VLOOKUP(F928,TRAOPE!$AA:$AB,2,0),"")</f>
        <v/>
      </c>
      <c r="I928" s="7" t="n">
        <v>10152583</v>
      </c>
      <c r="J928" s="7">
        <f>IFERROR(VLOOKUP(I928,Materiales!$A:$H,8,0),"")</f>
        <v/>
      </c>
      <c r="K928" s="9">
        <f>IFERROR(VLOOKUP(I928,Materiales!$A:$G,7,0),"")</f>
        <v/>
      </c>
      <c r="L928" s="8" t="inlineStr">
        <is>
          <t>20260413</t>
        </is>
      </c>
      <c r="M928" s="8" t="inlineStr">
        <is>
          <t>99991231</t>
        </is>
      </c>
      <c r="N928" s="10" t="n">
        <v>105.71</v>
      </c>
      <c r="O928" s="10">
        <f>IFERROR(VLOOKUP(A928,Flete!$A:$J,10,0),"")</f>
        <v/>
      </c>
      <c r="P928" s="8" t="inlineStr">
        <is>
          <t>TN</t>
        </is>
      </c>
      <c r="Q928" s="10">
        <f>IFERROR(IFERROR(VLOOKUP(A928,TRAOPE!$A:$U,21,0),VLOOKUP(B928,TRAOPE!$A:$U,21,0)),"")</f>
        <v/>
      </c>
      <c r="R928" s="8">
        <f>IFERROR(IFERROR(VLOOKUP(A928,TRAOPE!$A:$W,23,0),VLOOKUP(B928,TRAOPE!$A:$W,23,0)),"")</f>
        <v/>
      </c>
      <c r="S928" s="10">
        <f>IF(AND(P928="TN",R928="TN"),N928+N(O928),IF(G928&amp;""="1",N(K928)*N928,(N928+N(O928))*N(K928)))</f>
        <v/>
      </c>
      <c r="T928" s="10">
        <f>IF(Q928="","",Q928-S928)</f>
        <v/>
      </c>
    </row>
    <row r="929">
      <c r="A929" s="7">
        <f>CONCATENATE(C929,E929,F929,I929)</f>
        <v/>
      </c>
      <c r="B929" s="7">
        <f>CONCATENATE(C929,E929,I929)</f>
        <v/>
      </c>
      <c r="C929" s="8" t="n">
        <v>900005554</v>
      </c>
      <c r="D929" s="7">
        <f>IFERROR(VLOOKUP(C929,TRAOPE!$G:$H,2,0),"")</f>
        <v/>
      </c>
      <c r="E929" s="8" t="inlineStr">
        <is>
          <t>DW70</t>
        </is>
      </c>
      <c r="F929" s="8" t="inlineStr">
        <is>
          <t>D081</t>
        </is>
      </c>
      <c r="G929" s="8">
        <f>IFERROR(VLOOKUP(A929,Flete!$A:$E,5,0),"")</f>
        <v/>
      </c>
      <c r="H929" s="7">
        <f>IFERROR(VLOOKUP(F929,TRAOPE!$AA:$AB,2,0),"")</f>
        <v/>
      </c>
      <c r="I929" s="7" t="n">
        <v>10152583</v>
      </c>
      <c r="J929" s="7">
        <f>IFERROR(VLOOKUP(I929,Materiales!$A:$H,8,0),"")</f>
        <v/>
      </c>
      <c r="K929" s="9">
        <f>IFERROR(VLOOKUP(I929,Materiales!$A:$G,7,0),"")</f>
        <v/>
      </c>
      <c r="L929" s="8" t="inlineStr">
        <is>
          <t>20260413</t>
        </is>
      </c>
      <c r="M929" s="8" t="inlineStr">
        <is>
          <t>99991231</t>
        </is>
      </c>
      <c r="N929" s="10" t="n">
        <v>105.71</v>
      </c>
      <c r="O929" s="10">
        <f>IFERROR(VLOOKUP(A929,Flete!$A:$J,10,0),"")</f>
        <v/>
      </c>
      <c r="P929" s="8" t="inlineStr">
        <is>
          <t>TN</t>
        </is>
      </c>
      <c r="Q929" s="10">
        <f>IFERROR(IFERROR(VLOOKUP(A929,TRAOPE!$A:$U,21,0),VLOOKUP(B929,TRAOPE!$A:$U,21,0)),"")</f>
        <v/>
      </c>
      <c r="R929" s="8">
        <f>IFERROR(IFERROR(VLOOKUP(A929,TRAOPE!$A:$W,23,0),VLOOKUP(B929,TRAOPE!$A:$W,23,0)),"")</f>
        <v/>
      </c>
      <c r="S929" s="10">
        <f>IF(AND(P929="TN",R929="TN"),N929+N(O929),IF(G929&amp;""="1",N(K929)*N929,(N929+N(O929))*N(K929)))</f>
        <v/>
      </c>
      <c r="T929" s="10">
        <f>IF(Q929="","",Q929-S929)</f>
        <v/>
      </c>
    </row>
    <row r="930">
      <c r="A930" s="7">
        <f>CONCATENATE(C930,E930,F930,I930)</f>
        <v/>
      </c>
      <c r="B930" s="7">
        <f>CONCATENATE(C930,E930,I930)</f>
        <v/>
      </c>
      <c r="C930" s="8" t="n">
        <v>900005554</v>
      </c>
      <c r="D930" s="7">
        <f>IFERROR(VLOOKUP(C930,TRAOPE!$G:$H,2,0),"")</f>
        <v/>
      </c>
      <c r="E930" s="8" t="inlineStr">
        <is>
          <t>DW70</t>
        </is>
      </c>
      <c r="F930" s="8" t="inlineStr">
        <is>
          <t>D083</t>
        </is>
      </c>
      <c r="G930" s="8">
        <f>IFERROR(VLOOKUP(A930,Flete!$A:$E,5,0),"")</f>
        <v/>
      </c>
      <c r="H930" s="7">
        <f>IFERROR(VLOOKUP(F930,TRAOPE!$AA:$AB,2,0),"")</f>
        <v/>
      </c>
      <c r="I930" s="7" t="n">
        <v>10152583</v>
      </c>
      <c r="J930" s="7">
        <f>IFERROR(VLOOKUP(I930,Materiales!$A:$H,8,0),"")</f>
        <v/>
      </c>
      <c r="K930" s="9">
        <f>IFERROR(VLOOKUP(I930,Materiales!$A:$G,7,0),"")</f>
        <v/>
      </c>
      <c r="L930" s="8" t="inlineStr">
        <is>
          <t>20260413</t>
        </is>
      </c>
      <c r="M930" s="8" t="inlineStr">
        <is>
          <t>99991231</t>
        </is>
      </c>
      <c r="N930" s="10" t="n">
        <v>105.71</v>
      </c>
      <c r="O930" s="10">
        <f>IFERROR(VLOOKUP(A930,Flete!$A:$J,10,0),"")</f>
        <v/>
      </c>
      <c r="P930" s="8" t="inlineStr">
        <is>
          <t>TN</t>
        </is>
      </c>
      <c r="Q930" s="10">
        <f>IFERROR(IFERROR(VLOOKUP(A930,TRAOPE!$A:$U,21,0),VLOOKUP(B930,TRAOPE!$A:$U,21,0)),"")</f>
        <v/>
      </c>
      <c r="R930" s="8">
        <f>IFERROR(IFERROR(VLOOKUP(A930,TRAOPE!$A:$W,23,0),VLOOKUP(B930,TRAOPE!$A:$W,23,0)),"")</f>
        <v/>
      </c>
      <c r="S930" s="10">
        <f>IF(AND(P930="TN",R930="TN"),N930+N(O930),IF(G930&amp;""="1",N(K930)*N930,(N930+N(O930))*N(K930)))</f>
        <v/>
      </c>
      <c r="T930" s="10">
        <f>IF(Q930="","",Q930-S930)</f>
        <v/>
      </c>
    </row>
    <row r="931">
      <c r="A931" s="7">
        <f>CONCATENATE(C931,E931,F931,I931)</f>
        <v/>
      </c>
      <c r="B931" s="7">
        <f>CONCATENATE(C931,E931,I931)</f>
        <v/>
      </c>
      <c r="C931" s="8" t="n">
        <v>900005554</v>
      </c>
      <c r="D931" s="7">
        <f>IFERROR(VLOOKUP(C931,TRAOPE!$G:$H,2,0),"")</f>
        <v/>
      </c>
      <c r="E931" s="8" t="inlineStr">
        <is>
          <t>DW70</t>
        </is>
      </c>
      <c r="F931" s="8" t="inlineStr">
        <is>
          <t>D084</t>
        </is>
      </c>
      <c r="G931" s="8">
        <f>IFERROR(VLOOKUP(A931,Flete!$A:$E,5,0),"")</f>
        <v/>
      </c>
      <c r="H931" s="7">
        <f>IFERROR(VLOOKUP(F931,TRAOPE!$AA:$AB,2,0),"")</f>
        <v/>
      </c>
      <c r="I931" s="7" t="n">
        <v>10152583</v>
      </c>
      <c r="J931" s="7">
        <f>IFERROR(VLOOKUP(I931,Materiales!$A:$H,8,0),"")</f>
        <v/>
      </c>
      <c r="K931" s="9">
        <f>IFERROR(VLOOKUP(I931,Materiales!$A:$G,7,0),"")</f>
        <v/>
      </c>
      <c r="L931" s="8" t="inlineStr">
        <is>
          <t>20260413</t>
        </is>
      </c>
      <c r="M931" s="8" t="inlineStr">
        <is>
          <t>99991231</t>
        </is>
      </c>
      <c r="N931" s="10" t="n">
        <v>105.71</v>
      </c>
      <c r="O931" s="10">
        <f>IFERROR(VLOOKUP(A931,Flete!$A:$J,10,0),"")</f>
        <v/>
      </c>
      <c r="P931" s="8" t="inlineStr">
        <is>
          <t>TN</t>
        </is>
      </c>
      <c r="Q931" s="10">
        <f>IFERROR(IFERROR(VLOOKUP(A931,TRAOPE!$A:$U,21,0),VLOOKUP(B931,TRAOPE!$A:$U,21,0)),"")</f>
        <v/>
      </c>
      <c r="R931" s="8">
        <f>IFERROR(IFERROR(VLOOKUP(A931,TRAOPE!$A:$W,23,0),VLOOKUP(B931,TRAOPE!$A:$W,23,0)),"")</f>
        <v/>
      </c>
      <c r="S931" s="10">
        <f>IF(AND(P931="TN",R931="TN"),N931+N(O931),IF(G931&amp;""="1",N(K931)*N931,(N931+N(O931))*N(K931)))</f>
        <v/>
      </c>
      <c r="T931" s="10">
        <f>IF(Q931="","",Q931-S931)</f>
        <v/>
      </c>
    </row>
    <row r="932">
      <c r="A932" s="7">
        <f>CONCATENATE(C932,E932,F932,I932)</f>
        <v/>
      </c>
      <c r="B932" s="7">
        <f>CONCATENATE(C932,E932,I932)</f>
        <v/>
      </c>
      <c r="C932" s="8" t="n">
        <v>900005554</v>
      </c>
      <c r="D932" s="7">
        <f>IFERROR(VLOOKUP(C932,TRAOPE!$G:$H,2,0),"")</f>
        <v/>
      </c>
      <c r="E932" s="8" t="inlineStr">
        <is>
          <t>DW70</t>
        </is>
      </c>
      <c r="F932" s="8" t="inlineStr">
        <is>
          <t>D085</t>
        </is>
      </c>
      <c r="G932" s="8">
        <f>IFERROR(VLOOKUP(A932,Flete!$A:$E,5,0),"")</f>
        <v/>
      </c>
      <c r="H932" s="7">
        <f>IFERROR(VLOOKUP(F932,TRAOPE!$AA:$AB,2,0),"")</f>
        <v/>
      </c>
      <c r="I932" s="7" t="n">
        <v>10152583</v>
      </c>
      <c r="J932" s="7">
        <f>IFERROR(VLOOKUP(I932,Materiales!$A:$H,8,0),"")</f>
        <v/>
      </c>
      <c r="K932" s="9">
        <f>IFERROR(VLOOKUP(I932,Materiales!$A:$G,7,0),"")</f>
        <v/>
      </c>
      <c r="L932" s="8" t="inlineStr">
        <is>
          <t>20260413</t>
        </is>
      </c>
      <c r="M932" s="8" t="inlineStr">
        <is>
          <t>99991231</t>
        </is>
      </c>
      <c r="N932" s="10" t="n">
        <v>105.71</v>
      </c>
      <c r="O932" s="10">
        <f>IFERROR(VLOOKUP(A932,Flete!$A:$J,10,0),"")</f>
        <v/>
      </c>
      <c r="P932" s="8" t="inlineStr">
        <is>
          <t>TN</t>
        </is>
      </c>
      <c r="Q932" s="10">
        <f>IFERROR(IFERROR(VLOOKUP(A932,TRAOPE!$A:$U,21,0),VLOOKUP(B932,TRAOPE!$A:$U,21,0)),"")</f>
        <v/>
      </c>
      <c r="R932" s="8">
        <f>IFERROR(IFERROR(VLOOKUP(A932,TRAOPE!$A:$W,23,0),VLOOKUP(B932,TRAOPE!$A:$W,23,0)),"")</f>
        <v/>
      </c>
      <c r="S932" s="10">
        <f>IF(AND(P932="TN",R932="TN"),N932+N(O932),IF(G932&amp;""="1",N(K932)*N932,(N932+N(O932))*N(K932)))</f>
        <v/>
      </c>
      <c r="T932" s="10">
        <f>IF(Q932="","",Q932-S932)</f>
        <v/>
      </c>
    </row>
    <row r="933">
      <c r="A933" s="7">
        <f>CONCATENATE(C933,E933,F933,I933)</f>
        <v/>
      </c>
      <c r="B933" s="7">
        <f>CONCATENATE(C933,E933,I933)</f>
        <v/>
      </c>
      <c r="C933" s="8" t="n">
        <v>900005554</v>
      </c>
      <c r="D933" s="7">
        <f>IFERROR(VLOOKUP(C933,TRAOPE!$G:$H,2,0),"")</f>
        <v/>
      </c>
      <c r="E933" s="8" t="inlineStr">
        <is>
          <t>DW70</t>
        </is>
      </c>
      <c r="F933" s="8" t="inlineStr">
        <is>
          <t>D086</t>
        </is>
      </c>
      <c r="G933" s="8">
        <f>IFERROR(VLOOKUP(A933,Flete!$A:$E,5,0),"")</f>
        <v/>
      </c>
      <c r="H933" s="7">
        <f>IFERROR(VLOOKUP(F933,TRAOPE!$AA:$AB,2,0),"")</f>
        <v/>
      </c>
      <c r="I933" s="7" t="n">
        <v>10152583</v>
      </c>
      <c r="J933" s="7">
        <f>IFERROR(VLOOKUP(I933,Materiales!$A:$H,8,0),"")</f>
        <v/>
      </c>
      <c r="K933" s="9">
        <f>IFERROR(VLOOKUP(I933,Materiales!$A:$G,7,0),"")</f>
        <v/>
      </c>
      <c r="L933" s="8" t="inlineStr">
        <is>
          <t>20260413</t>
        </is>
      </c>
      <c r="M933" s="8" t="inlineStr">
        <is>
          <t>99991231</t>
        </is>
      </c>
      <c r="N933" s="10" t="n">
        <v>105.71</v>
      </c>
      <c r="O933" s="10">
        <f>IFERROR(VLOOKUP(A933,Flete!$A:$J,10,0),"")</f>
        <v/>
      </c>
      <c r="P933" s="8" t="inlineStr">
        <is>
          <t>TN</t>
        </is>
      </c>
      <c r="Q933" s="10">
        <f>IFERROR(IFERROR(VLOOKUP(A933,TRAOPE!$A:$U,21,0),VLOOKUP(B933,TRAOPE!$A:$U,21,0)),"")</f>
        <v/>
      </c>
      <c r="R933" s="8">
        <f>IFERROR(IFERROR(VLOOKUP(A933,TRAOPE!$A:$W,23,0),VLOOKUP(B933,TRAOPE!$A:$W,23,0)),"")</f>
        <v/>
      </c>
      <c r="S933" s="10">
        <f>IF(AND(P933="TN",R933="TN"),N933+N(O933),IF(G933&amp;""="1",N(K933)*N933,(N933+N(O933))*N(K933)))</f>
        <v/>
      </c>
      <c r="T933" s="10">
        <f>IF(Q933="","",Q933-S933)</f>
        <v/>
      </c>
    </row>
    <row r="934">
      <c r="A934" s="7">
        <f>CONCATENATE(C934,E934,F934,I934)</f>
        <v/>
      </c>
      <c r="B934" s="7">
        <f>CONCATENATE(C934,E934,I934)</f>
        <v/>
      </c>
      <c r="C934" s="8" t="n">
        <v>900005554</v>
      </c>
      <c r="D934" s="7">
        <f>IFERROR(VLOOKUP(C934,TRAOPE!$G:$H,2,0),"")</f>
        <v/>
      </c>
      <c r="E934" s="8" t="inlineStr">
        <is>
          <t>DW70</t>
        </is>
      </c>
      <c r="F934" s="8" t="inlineStr">
        <is>
          <t>D093</t>
        </is>
      </c>
      <c r="G934" s="8">
        <f>IFERROR(VLOOKUP(A934,Flete!$A:$E,5,0),"")</f>
        <v/>
      </c>
      <c r="H934" s="7">
        <f>IFERROR(VLOOKUP(F934,TRAOPE!$AA:$AB,2,0),"")</f>
        <v/>
      </c>
      <c r="I934" s="7" t="n">
        <v>10152583</v>
      </c>
      <c r="J934" s="7">
        <f>IFERROR(VLOOKUP(I934,Materiales!$A:$H,8,0),"")</f>
        <v/>
      </c>
      <c r="K934" s="9">
        <f>IFERROR(VLOOKUP(I934,Materiales!$A:$G,7,0),"")</f>
        <v/>
      </c>
      <c r="L934" s="8" t="inlineStr">
        <is>
          <t>20260413</t>
        </is>
      </c>
      <c r="M934" s="8" t="inlineStr">
        <is>
          <t>99991231</t>
        </is>
      </c>
      <c r="N934" s="10" t="n">
        <v>105.71</v>
      </c>
      <c r="O934" s="10">
        <f>IFERROR(VLOOKUP(A934,Flete!$A:$J,10,0),"")</f>
        <v/>
      </c>
      <c r="P934" s="8" t="inlineStr">
        <is>
          <t>TN</t>
        </is>
      </c>
      <c r="Q934" s="10">
        <f>IFERROR(IFERROR(VLOOKUP(A934,TRAOPE!$A:$U,21,0),VLOOKUP(B934,TRAOPE!$A:$U,21,0)),"")</f>
        <v/>
      </c>
      <c r="R934" s="8">
        <f>IFERROR(IFERROR(VLOOKUP(A934,TRAOPE!$A:$W,23,0),VLOOKUP(B934,TRAOPE!$A:$W,23,0)),"")</f>
        <v/>
      </c>
      <c r="S934" s="10">
        <f>IF(AND(P934="TN",R934="TN"),N934+N(O934),IF(G934&amp;""="1",N(K934)*N934,(N934+N(O934))*N(K934)))</f>
        <v/>
      </c>
      <c r="T934" s="10">
        <f>IF(Q934="","",Q934-S934)</f>
        <v/>
      </c>
    </row>
    <row r="935">
      <c r="A935" s="7">
        <f>CONCATENATE(C935,E935,F935,I935)</f>
        <v/>
      </c>
      <c r="B935" s="7">
        <f>CONCATENATE(C935,E935,I935)</f>
        <v/>
      </c>
      <c r="C935" s="8" t="n">
        <v>900005554</v>
      </c>
      <c r="D935" s="7">
        <f>IFERROR(VLOOKUP(C935,TRAOPE!$G:$H,2,0),"")</f>
        <v/>
      </c>
      <c r="E935" s="8" t="inlineStr">
        <is>
          <t>DW70</t>
        </is>
      </c>
      <c r="F935" s="8" t="inlineStr">
        <is>
          <t>D098</t>
        </is>
      </c>
      <c r="G935" s="8">
        <f>IFERROR(VLOOKUP(A935,Flete!$A:$E,5,0),"")</f>
        <v/>
      </c>
      <c r="H935" s="7">
        <f>IFERROR(VLOOKUP(F935,TRAOPE!$AA:$AB,2,0),"")</f>
        <v/>
      </c>
      <c r="I935" s="7" t="n">
        <v>10152583</v>
      </c>
      <c r="J935" s="7">
        <f>IFERROR(VLOOKUP(I935,Materiales!$A:$H,8,0),"")</f>
        <v/>
      </c>
      <c r="K935" s="9">
        <f>IFERROR(VLOOKUP(I935,Materiales!$A:$G,7,0),"")</f>
        <v/>
      </c>
      <c r="L935" s="8" t="inlineStr">
        <is>
          <t>20260413</t>
        </is>
      </c>
      <c r="M935" s="8" t="inlineStr">
        <is>
          <t>99991231</t>
        </is>
      </c>
      <c r="N935" s="10" t="n">
        <v>105.71</v>
      </c>
      <c r="O935" s="10">
        <f>IFERROR(VLOOKUP(A935,Flete!$A:$J,10,0),"")</f>
        <v/>
      </c>
      <c r="P935" s="8" t="inlineStr">
        <is>
          <t>TN</t>
        </is>
      </c>
      <c r="Q935" s="10">
        <f>IFERROR(IFERROR(VLOOKUP(A935,TRAOPE!$A:$U,21,0),VLOOKUP(B935,TRAOPE!$A:$U,21,0)),"")</f>
        <v/>
      </c>
      <c r="R935" s="8">
        <f>IFERROR(IFERROR(VLOOKUP(A935,TRAOPE!$A:$W,23,0),VLOOKUP(B935,TRAOPE!$A:$W,23,0)),"")</f>
        <v/>
      </c>
      <c r="S935" s="10">
        <f>IF(AND(P935="TN",R935="TN"),N935+N(O935),IF(G935&amp;""="1",N(K935)*N935,(N935+N(O935))*N(K935)))</f>
        <v/>
      </c>
      <c r="T935" s="10">
        <f>IF(Q935="","",Q935-S935)</f>
        <v/>
      </c>
    </row>
    <row r="936">
      <c r="A936" s="7">
        <f>CONCATENATE(C936,E936,F936,I936)</f>
        <v/>
      </c>
      <c r="B936" s="7">
        <f>CONCATENATE(C936,E936,I936)</f>
        <v/>
      </c>
      <c r="C936" s="8" t="n">
        <v>900005554</v>
      </c>
      <c r="D936" s="7">
        <f>IFERROR(VLOOKUP(C936,TRAOPE!$G:$H,2,0),"")</f>
        <v/>
      </c>
      <c r="E936" s="8" t="inlineStr">
        <is>
          <t>DW70</t>
        </is>
      </c>
      <c r="F936" s="8" t="inlineStr">
        <is>
          <t>D105</t>
        </is>
      </c>
      <c r="G936" s="8">
        <f>IFERROR(VLOOKUP(A936,Flete!$A:$E,5,0),"")</f>
        <v/>
      </c>
      <c r="H936" s="7">
        <f>IFERROR(VLOOKUP(F936,TRAOPE!$AA:$AB,2,0),"")</f>
        <v/>
      </c>
      <c r="I936" s="7" t="n">
        <v>10152583</v>
      </c>
      <c r="J936" s="7">
        <f>IFERROR(VLOOKUP(I936,Materiales!$A:$H,8,0),"")</f>
        <v/>
      </c>
      <c r="K936" s="9">
        <f>IFERROR(VLOOKUP(I936,Materiales!$A:$G,7,0),"")</f>
        <v/>
      </c>
      <c r="L936" s="8" t="inlineStr">
        <is>
          <t>20260413</t>
        </is>
      </c>
      <c r="M936" s="8" t="inlineStr">
        <is>
          <t>99991231</t>
        </is>
      </c>
      <c r="N936" s="10" t="n">
        <v>105.71</v>
      </c>
      <c r="O936" s="10">
        <f>IFERROR(VLOOKUP(A936,Flete!$A:$J,10,0),"")</f>
        <v/>
      </c>
      <c r="P936" s="8" t="inlineStr">
        <is>
          <t>TN</t>
        </is>
      </c>
      <c r="Q936" s="10">
        <f>IFERROR(IFERROR(VLOOKUP(A936,TRAOPE!$A:$U,21,0),VLOOKUP(B936,TRAOPE!$A:$U,21,0)),"")</f>
        <v/>
      </c>
      <c r="R936" s="8">
        <f>IFERROR(IFERROR(VLOOKUP(A936,TRAOPE!$A:$W,23,0),VLOOKUP(B936,TRAOPE!$A:$W,23,0)),"")</f>
        <v/>
      </c>
      <c r="S936" s="10">
        <f>IF(AND(P936="TN",R936="TN"),N936+N(O936),IF(G936&amp;""="1",N(K936)*N936,(N936+N(O936))*N(K936)))</f>
        <v/>
      </c>
      <c r="T936" s="10">
        <f>IF(Q936="","",Q936-S936)</f>
        <v/>
      </c>
    </row>
    <row r="937">
      <c r="A937" s="7">
        <f>CONCATENATE(C937,E937,F937,I937)</f>
        <v/>
      </c>
      <c r="B937" s="7">
        <f>CONCATENATE(C937,E937,I937)</f>
        <v/>
      </c>
      <c r="C937" s="8" t="n">
        <v>900005554</v>
      </c>
      <c r="D937" s="7">
        <f>IFERROR(VLOOKUP(C937,TRAOPE!$G:$H,2,0),"")</f>
        <v/>
      </c>
      <c r="E937" s="8" t="inlineStr">
        <is>
          <t>DW70</t>
        </is>
      </c>
      <c r="F937" s="8" t="inlineStr">
        <is>
          <t>D111</t>
        </is>
      </c>
      <c r="G937" s="8">
        <f>IFERROR(VLOOKUP(A937,Flete!$A:$E,5,0),"")</f>
        <v/>
      </c>
      <c r="H937" s="7">
        <f>IFERROR(VLOOKUP(F937,TRAOPE!$AA:$AB,2,0),"")</f>
        <v/>
      </c>
      <c r="I937" s="7" t="n">
        <v>10152583</v>
      </c>
      <c r="J937" s="7">
        <f>IFERROR(VLOOKUP(I937,Materiales!$A:$H,8,0),"")</f>
        <v/>
      </c>
      <c r="K937" s="9">
        <f>IFERROR(VLOOKUP(I937,Materiales!$A:$G,7,0),"")</f>
        <v/>
      </c>
      <c r="L937" s="8" t="inlineStr">
        <is>
          <t>20230501</t>
        </is>
      </c>
      <c r="M937" s="8" t="inlineStr">
        <is>
          <t>20250131</t>
        </is>
      </c>
      <c r="N937" s="10" t="n">
        <v>80.38</v>
      </c>
      <c r="O937" s="10">
        <f>IFERROR(VLOOKUP(A937,Flete!$A:$J,10,0),"")</f>
        <v/>
      </c>
      <c r="P937" s="8" t="inlineStr">
        <is>
          <t>TN</t>
        </is>
      </c>
      <c r="Q937" s="10">
        <f>IFERROR(IFERROR(VLOOKUP(A937,TRAOPE!$A:$U,21,0),VLOOKUP(B937,TRAOPE!$A:$U,21,0)),"")</f>
        <v/>
      </c>
      <c r="R937" s="8">
        <f>IFERROR(IFERROR(VLOOKUP(A937,TRAOPE!$A:$W,23,0),VLOOKUP(B937,TRAOPE!$A:$W,23,0)),"")</f>
        <v/>
      </c>
      <c r="S937" s="10">
        <f>IF(AND(P937="TN",R937="TN"),N937+N(O937),IF(G937&amp;""="1",N(K937)*N937,(N937+N(O937))*N(K937)))</f>
        <v/>
      </c>
      <c r="T937" s="10">
        <f>IF(Q937="","",Q937-S937)</f>
        <v/>
      </c>
    </row>
    <row r="938">
      <c r="A938" s="7">
        <f>CONCATENATE(C938,E938,F938,I938)</f>
        <v/>
      </c>
      <c r="B938" s="7">
        <f>CONCATENATE(C938,E938,I938)</f>
        <v/>
      </c>
      <c r="C938" s="8" t="n">
        <v>900005554</v>
      </c>
      <c r="D938" s="7">
        <f>IFERROR(VLOOKUP(C938,TRAOPE!$G:$H,2,0),"")</f>
        <v/>
      </c>
      <c r="E938" s="8" t="inlineStr">
        <is>
          <t>DW70</t>
        </is>
      </c>
      <c r="F938" s="8" t="inlineStr">
        <is>
          <t>D136</t>
        </is>
      </c>
      <c r="G938" s="8">
        <f>IFERROR(VLOOKUP(A938,Flete!$A:$E,5,0),"")</f>
        <v/>
      </c>
      <c r="H938" s="7">
        <f>IFERROR(VLOOKUP(F938,TRAOPE!$AA:$AB,2,0),"")</f>
        <v/>
      </c>
      <c r="I938" s="7" t="n">
        <v>10152583</v>
      </c>
      <c r="J938" s="7">
        <f>IFERROR(VLOOKUP(I938,Materiales!$A:$H,8,0),"")</f>
        <v/>
      </c>
      <c r="K938" s="9">
        <f>IFERROR(VLOOKUP(I938,Materiales!$A:$G,7,0),"")</f>
        <v/>
      </c>
      <c r="L938" s="8" t="inlineStr">
        <is>
          <t>20260413</t>
        </is>
      </c>
      <c r="M938" s="8" t="inlineStr">
        <is>
          <t>99991231</t>
        </is>
      </c>
      <c r="N938" s="10" t="n">
        <v>105.71</v>
      </c>
      <c r="O938" s="10">
        <f>IFERROR(VLOOKUP(A938,Flete!$A:$J,10,0),"")</f>
        <v/>
      </c>
      <c r="P938" s="8" t="inlineStr">
        <is>
          <t>TN</t>
        </is>
      </c>
      <c r="Q938" s="10">
        <f>IFERROR(IFERROR(VLOOKUP(A938,TRAOPE!$A:$U,21,0),VLOOKUP(B938,TRAOPE!$A:$U,21,0)),"")</f>
        <v/>
      </c>
      <c r="R938" s="8">
        <f>IFERROR(IFERROR(VLOOKUP(A938,TRAOPE!$A:$W,23,0),VLOOKUP(B938,TRAOPE!$A:$W,23,0)),"")</f>
        <v/>
      </c>
      <c r="S938" s="10">
        <f>IF(AND(P938="TN",R938="TN"),N938+N(O938),IF(G938&amp;""="1",N(K938)*N938,(N938+N(O938))*N(K938)))</f>
        <v/>
      </c>
      <c r="T938" s="10">
        <f>IF(Q938="","",Q938-S938)</f>
        <v/>
      </c>
    </row>
    <row r="939">
      <c r="A939" s="7">
        <f>CONCATENATE(C939,E939,F939,I939)</f>
        <v/>
      </c>
      <c r="B939" s="7">
        <f>CONCATENATE(C939,E939,I939)</f>
        <v/>
      </c>
      <c r="C939" s="8" t="n">
        <v>900005554</v>
      </c>
      <c r="D939" s="7">
        <f>IFERROR(VLOOKUP(C939,TRAOPE!$G:$H,2,0),"")</f>
        <v/>
      </c>
      <c r="E939" s="8" t="inlineStr">
        <is>
          <t>DW70</t>
        </is>
      </c>
      <c r="F939" s="8" t="inlineStr">
        <is>
          <t>D145</t>
        </is>
      </c>
      <c r="G939" s="8">
        <f>IFERROR(VLOOKUP(A939,Flete!$A:$E,5,0),"")</f>
        <v/>
      </c>
      <c r="H939" s="7">
        <f>IFERROR(VLOOKUP(F939,TRAOPE!$AA:$AB,2,0),"")</f>
        <v/>
      </c>
      <c r="I939" s="7" t="n">
        <v>10152583</v>
      </c>
      <c r="J939" s="7">
        <f>IFERROR(VLOOKUP(I939,Materiales!$A:$H,8,0),"")</f>
        <v/>
      </c>
      <c r="K939" s="9">
        <f>IFERROR(VLOOKUP(I939,Materiales!$A:$G,7,0),"")</f>
        <v/>
      </c>
      <c r="L939" s="8" t="inlineStr">
        <is>
          <t>20260413</t>
        </is>
      </c>
      <c r="M939" s="8" t="inlineStr">
        <is>
          <t>99991231</t>
        </is>
      </c>
      <c r="N939" s="10" t="n">
        <v>105.71</v>
      </c>
      <c r="O939" s="10">
        <f>IFERROR(VLOOKUP(A939,Flete!$A:$J,10,0),"")</f>
        <v/>
      </c>
      <c r="P939" s="8" t="inlineStr">
        <is>
          <t>TN</t>
        </is>
      </c>
      <c r="Q939" s="10">
        <f>IFERROR(IFERROR(VLOOKUP(A939,TRAOPE!$A:$U,21,0),VLOOKUP(B939,TRAOPE!$A:$U,21,0)),"")</f>
        <v/>
      </c>
      <c r="R939" s="8">
        <f>IFERROR(IFERROR(VLOOKUP(A939,TRAOPE!$A:$W,23,0),VLOOKUP(B939,TRAOPE!$A:$W,23,0)),"")</f>
        <v/>
      </c>
      <c r="S939" s="10">
        <f>IF(AND(P939="TN",R939="TN"),N939+N(O939),IF(G939&amp;""="1",N(K939)*N939,(N939+N(O939))*N(K939)))</f>
        <v/>
      </c>
      <c r="T939" s="10">
        <f>IF(Q939="","",Q939-S939)</f>
        <v/>
      </c>
    </row>
    <row r="940">
      <c r="A940" s="7">
        <f>CONCATENATE(C940,E940,F940,I940)</f>
        <v/>
      </c>
      <c r="B940" s="7">
        <f>CONCATENATE(C940,E940,I940)</f>
        <v/>
      </c>
      <c r="C940" s="8" t="n">
        <v>900005554</v>
      </c>
      <c r="D940" s="7">
        <f>IFERROR(VLOOKUP(C940,TRAOPE!$G:$H,2,0),"")</f>
        <v/>
      </c>
      <c r="E940" s="8" t="inlineStr">
        <is>
          <t>DW70</t>
        </is>
      </c>
      <c r="F940" s="8" t="inlineStr">
        <is>
          <t>D681</t>
        </is>
      </c>
      <c r="G940" s="8">
        <f>IFERROR(VLOOKUP(A940,Flete!$A:$E,5,0),"")</f>
        <v/>
      </c>
      <c r="H940" s="7">
        <f>IFERROR(VLOOKUP(F940,TRAOPE!$AA:$AB,2,0),"")</f>
        <v/>
      </c>
      <c r="I940" s="7" t="n">
        <v>10152583</v>
      </c>
      <c r="J940" s="7">
        <f>IFERROR(VLOOKUP(I940,Materiales!$A:$H,8,0),"")</f>
        <v/>
      </c>
      <c r="K940" s="9">
        <f>IFERROR(VLOOKUP(I940,Materiales!$A:$G,7,0),"")</f>
        <v/>
      </c>
      <c r="L940" s="8" t="inlineStr">
        <is>
          <t>20260413</t>
        </is>
      </c>
      <c r="M940" s="8" t="inlineStr">
        <is>
          <t>99991231</t>
        </is>
      </c>
      <c r="N940" s="10" t="n">
        <v>105.71</v>
      </c>
      <c r="O940" s="10">
        <f>IFERROR(VLOOKUP(A940,Flete!$A:$J,10,0),"")</f>
        <v/>
      </c>
      <c r="P940" s="8" t="inlineStr">
        <is>
          <t>TN</t>
        </is>
      </c>
      <c r="Q940" s="10">
        <f>IFERROR(IFERROR(VLOOKUP(A940,TRAOPE!$A:$U,21,0),VLOOKUP(B940,TRAOPE!$A:$U,21,0)),"")</f>
        <v/>
      </c>
      <c r="R940" s="8">
        <f>IFERROR(IFERROR(VLOOKUP(A940,TRAOPE!$A:$W,23,0),VLOOKUP(B940,TRAOPE!$A:$W,23,0)),"")</f>
        <v/>
      </c>
      <c r="S940" s="10">
        <f>IF(AND(P940="TN",R940="TN"),N940+N(O940),IF(G940&amp;""="1",N(K940)*N940,(N940+N(O940))*N(K940)))</f>
        <v/>
      </c>
      <c r="T940" s="10">
        <f>IF(Q940="","",Q940-S940)</f>
        <v/>
      </c>
    </row>
    <row r="941">
      <c r="A941" s="7">
        <f>CONCATENATE(C941,E941,F941,I941)</f>
        <v/>
      </c>
      <c r="B941" s="7">
        <f>CONCATENATE(C941,E941,I941)</f>
        <v/>
      </c>
      <c r="C941" s="8" t="n">
        <v>900005705</v>
      </c>
      <c r="D941" s="7">
        <f>IFERROR(VLOOKUP(C941,TRAOPE!$G:$H,2,0),"")</f>
        <v/>
      </c>
      <c r="E941" s="8" t="inlineStr">
        <is>
          <t>DW70</t>
        </is>
      </c>
      <c r="F941" s="8" t="inlineStr">
        <is>
          <t>D074</t>
        </is>
      </c>
      <c r="G941" s="8">
        <f>IFERROR(VLOOKUP(A941,Flete!$A:$E,5,0),"")</f>
        <v/>
      </c>
      <c r="H941" s="7">
        <f>IFERROR(VLOOKUP(F941,TRAOPE!$AA:$AB,2,0),"")</f>
        <v/>
      </c>
      <c r="I941" s="7" t="n">
        <v>10000811</v>
      </c>
      <c r="J941" s="7">
        <f>IFERROR(VLOOKUP(I941,Materiales!$A:$H,8,0),"")</f>
        <v/>
      </c>
      <c r="K941" s="9">
        <f>IFERROR(VLOOKUP(I941,Materiales!$A:$G,7,0),"")</f>
        <v/>
      </c>
      <c r="L941" s="8" t="inlineStr">
        <is>
          <t>20230501</t>
        </is>
      </c>
      <c r="M941" s="8" t="inlineStr">
        <is>
          <t>20250131</t>
        </is>
      </c>
      <c r="N941" s="10" t="n">
        <v>252.37</v>
      </c>
      <c r="O941" s="10">
        <f>IFERROR(VLOOKUP(A941,Flete!$A:$J,10,0),"")</f>
        <v/>
      </c>
      <c r="P941" s="8" t="inlineStr">
        <is>
          <t>TN</t>
        </is>
      </c>
      <c r="Q941" s="10">
        <f>IFERROR(IFERROR(VLOOKUP(A941,TRAOPE!$A:$U,21,0),VLOOKUP(B941,TRAOPE!$A:$U,21,0)),"")</f>
        <v/>
      </c>
      <c r="R941" s="8">
        <f>IFERROR(IFERROR(VLOOKUP(A941,TRAOPE!$A:$W,23,0),VLOOKUP(B941,TRAOPE!$A:$W,23,0)),"")</f>
        <v/>
      </c>
      <c r="S941" s="10">
        <f>IF(AND(P941="TN",R941="TN"),N941+N(O941),IF(G941&amp;""="1",N(K941)*N941,(N941+N(O941))*N(K941)))</f>
        <v/>
      </c>
      <c r="T941" s="10">
        <f>IF(Q941="","",Q941-S941)</f>
        <v/>
      </c>
    </row>
    <row r="942">
      <c r="A942" s="7">
        <f>CONCATENATE(C942,E942,F942,I942)</f>
        <v/>
      </c>
      <c r="B942" s="7">
        <f>CONCATENATE(C942,E942,I942)</f>
        <v/>
      </c>
      <c r="C942" s="8" t="n">
        <v>900005705</v>
      </c>
      <c r="D942" s="7">
        <f>IFERROR(VLOOKUP(C942,TRAOPE!$G:$H,2,0),"")</f>
        <v/>
      </c>
      <c r="E942" s="8" t="inlineStr">
        <is>
          <t>DW70</t>
        </is>
      </c>
      <c r="F942" s="8" t="inlineStr">
        <is>
          <t>D074</t>
        </is>
      </c>
      <c r="G942" s="8">
        <f>IFERROR(VLOOKUP(A942,Flete!$A:$E,5,0),"")</f>
        <v/>
      </c>
      <c r="H942" s="7">
        <f>IFERROR(VLOOKUP(F942,TRAOPE!$AA:$AB,2,0),"")</f>
        <v/>
      </c>
      <c r="I942" s="7" t="n">
        <v>10161192</v>
      </c>
      <c r="J942" s="7">
        <f>IFERROR(VLOOKUP(I942,Materiales!$A:$H,8,0),"")</f>
        <v/>
      </c>
      <c r="K942" s="9">
        <f>IFERROR(VLOOKUP(I942,Materiales!$A:$G,7,0),"")</f>
        <v/>
      </c>
      <c r="L942" s="8" t="inlineStr">
        <is>
          <t>20230501</t>
        </is>
      </c>
      <c r="M942" s="8" t="inlineStr">
        <is>
          <t>20250131</t>
        </is>
      </c>
      <c r="N942" s="10" t="n">
        <v>295.64</v>
      </c>
      <c r="O942" s="10">
        <f>IFERROR(VLOOKUP(A942,Flete!$A:$J,10,0),"")</f>
        <v/>
      </c>
      <c r="P942" s="8" t="inlineStr">
        <is>
          <t>TN</t>
        </is>
      </c>
      <c r="Q942" s="10">
        <f>IFERROR(IFERROR(VLOOKUP(A942,TRAOPE!$A:$U,21,0),VLOOKUP(B942,TRAOPE!$A:$U,21,0)),"")</f>
        <v/>
      </c>
      <c r="R942" s="8">
        <f>IFERROR(IFERROR(VLOOKUP(A942,TRAOPE!$A:$W,23,0),VLOOKUP(B942,TRAOPE!$A:$W,23,0)),"")</f>
        <v/>
      </c>
      <c r="S942" s="10">
        <f>IF(AND(P942="TN",R942="TN"),N942+N(O942),IF(G942&amp;""="1",N(K942)*N942,(N942+N(O942))*N(K942)))</f>
        <v/>
      </c>
      <c r="T942" s="10">
        <f>IF(Q942="","",Q942-S942)</f>
        <v/>
      </c>
    </row>
    <row r="943">
      <c r="A943" s="7">
        <f>CONCATENATE(C943,E943,F943,I943)</f>
        <v/>
      </c>
      <c r="B943" s="7">
        <f>CONCATENATE(C943,E943,I943)</f>
        <v/>
      </c>
      <c r="C943" s="8" t="n">
        <v>900005705</v>
      </c>
      <c r="D943" s="7">
        <f>IFERROR(VLOOKUP(C943,TRAOPE!$G:$H,2,0),"")</f>
        <v/>
      </c>
      <c r="E943" s="8" t="inlineStr">
        <is>
          <t>DW70</t>
        </is>
      </c>
      <c r="F943" s="8" t="inlineStr">
        <is>
          <t>D075</t>
        </is>
      </c>
      <c r="G943" s="8">
        <f>IFERROR(VLOOKUP(A943,Flete!$A:$E,5,0),"")</f>
        <v/>
      </c>
      <c r="H943" s="7">
        <f>IFERROR(VLOOKUP(F943,TRAOPE!$AA:$AB,2,0),"")</f>
        <v/>
      </c>
      <c r="I943" s="7" t="n">
        <v>10000811</v>
      </c>
      <c r="J943" s="7">
        <f>IFERROR(VLOOKUP(I943,Materiales!$A:$H,8,0),"")</f>
        <v/>
      </c>
      <c r="K943" s="9">
        <f>IFERROR(VLOOKUP(I943,Materiales!$A:$G,7,0),"")</f>
        <v/>
      </c>
      <c r="L943" s="8" t="inlineStr">
        <is>
          <t>20230501</t>
        </is>
      </c>
      <c r="M943" s="8" t="inlineStr">
        <is>
          <t>20250131</t>
        </is>
      </c>
      <c r="N943" s="10" t="n">
        <v>252.37</v>
      </c>
      <c r="O943" s="10">
        <f>IFERROR(VLOOKUP(A943,Flete!$A:$J,10,0),"")</f>
        <v/>
      </c>
      <c r="P943" s="8" t="inlineStr">
        <is>
          <t>TN</t>
        </is>
      </c>
      <c r="Q943" s="10">
        <f>IFERROR(IFERROR(VLOOKUP(A943,TRAOPE!$A:$U,21,0),VLOOKUP(B943,TRAOPE!$A:$U,21,0)),"")</f>
        <v/>
      </c>
      <c r="R943" s="8">
        <f>IFERROR(IFERROR(VLOOKUP(A943,TRAOPE!$A:$W,23,0),VLOOKUP(B943,TRAOPE!$A:$W,23,0)),"")</f>
        <v/>
      </c>
      <c r="S943" s="10">
        <f>IF(AND(P943="TN",R943="TN"),N943+N(O943),IF(G943&amp;""="1",N(K943)*N943,(N943+N(O943))*N(K943)))</f>
        <v/>
      </c>
      <c r="T943" s="10">
        <f>IF(Q943="","",Q943-S943)</f>
        <v/>
      </c>
    </row>
    <row r="944">
      <c r="A944" s="7">
        <f>CONCATENATE(C944,E944,F944,I944)</f>
        <v/>
      </c>
      <c r="B944" s="7">
        <f>CONCATENATE(C944,E944,I944)</f>
        <v/>
      </c>
      <c r="C944" s="8" t="n">
        <v>900005705</v>
      </c>
      <c r="D944" s="7">
        <f>IFERROR(VLOOKUP(C944,TRAOPE!$G:$H,2,0),"")</f>
        <v/>
      </c>
      <c r="E944" s="8" t="inlineStr">
        <is>
          <t>DW70</t>
        </is>
      </c>
      <c r="F944" s="8" t="inlineStr">
        <is>
          <t>D075</t>
        </is>
      </c>
      <c r="G944" s="8">
        <f>IFERROR(VLOOKUP(A944,Flete!$A:$E,5,0),"")</f>
        <v/>
      </c>
      <c r="H944" s="7">
        <f>IFERROR(VLOOKUP(F944,TRAOPE!$AA:$AB,2,0),"")</f>
        <v/>
      </c>
      <c r="I944" s="7" t="n">
        <v>10161192</v>
      </c>
      <c r="J944" s="7">
        <f>IFERROR(VLOOKUP(I944,Materiales!$A:$H,8,0),"")</f>
        <v/>
      </c>
      <c r="K944" s="9">
        <f>IFERROR(VLOOKUP(I944,Materiales!$A:$G,7,0),"")</f>
        <v/>
      </c>
      <c r="L944" s="8" t="inlineStr">
        <is>
          <t>20230501</t>
        </is>
      </c>
      <c r="M944" s="8" t="inlineStr">
        <is>
          <t>20250131</t>
        </is>
      </c>
      <c r="N944" s="10" t="n">
        <v>295.64</v>
      </c>
      <c r="O944" s="10">
        <f>IFERROR(VLOOKUP(A944,Flete!$A:$J,10,0),"")</f>
        <v/>
      </c>
      <c r="P944" s="8" t="inlineStr">
        <is>
          <t>TN</t>
        </is>
      </c>
      <c r="Q944" s="10">
        <f>IFERROR(IFERROR(VLOOKUP(A944,TRAOPE!$A:$U,21,0),VLOOKUP(B944,TRAOPE!$A:$U,21,0)),"")</f>
        <v/>
      </c>
      <c r="R944" s="8">
        <f>IFERROR(IFERROR(VLOOKUP(A944,TRAOPE!$A:$W,23,0),VLOOKUP(B944,TRAOPE!$A:$W,23,0)),"")</f>
        <v/>
      </c>
      <c r="S944" s="10">
        <f>IF(AND(P944="TN",R944="TN"),N944+N(O944),IF(G944&amp;""="1",N(K944)*N944,(N944+N(O944))*N(K944)))</f>
        <v/>
      </c>
      <c r="T944" s="10">
        <f>IF(Q944="","",Q944-S944)</f>
        <v/>
      </c>
    </row>
    <row r="945">
      <c r="A945" s="7">
        <f>CONCATENATE(C945,E945,F945,I945)</f>
        <v/>
      </c>
      <c r="B945" s="7">
        <f>CONCATENATE(C945,E945,I945)</f>
        <v/>
      </c>
      <c r="C945" s="8" t="n">
        <v>900005705</v>
      </c>
      <c r="D945" s="7">
        <f>IFERROR(VLOOKUP(C945,TRAOPE!$G:$H,2,0),"")</f>
        <v/>
      </c>
      <c r="E945" s="8" t="inlineStr">
        <is>
          <t>DW70</t>
        </is>
      </c>
      <c r="F945" s="8" t="inlineStr">
        <is>
          <t>D077</t>
        </is>
      </c>
      <c r="G945" s="8">
        <f>IFERROR(VLOOKUP(A945,Flete!$A:$E,5,0),"")</f>
        <v/>
      </c>
      <c r="H945" s="7">
        <f>IFERROR(VLOOKUP(F945,TRAOPE!$AA:$AB,2,0),"")</f>
        <v/>
      </c>
      <c r="I945" s="7" t="n">
        <v>10000811</v>
      </c>
      <c r="J945" s="7">
        <f>IFERROR(VLOOKUP(I945,Materiales!$A:$H,8,0),"")</f>
        <v/>
      </c>
      <c r="K945" s="9">
        <f>IFERROR(VLOOKUP(I945,Materiales!$A:$G,7,0),"")</f>
        <v/>
      </c>
      <c r="L945" s="8" t="inlineStr">
        <is>
          <t>20230501</t>
        </is>
      </c>
      <c r="M945" s="8" t="inlineStr">
        <is>
          <t>20250131</t>
        </is>
      </c>
      <c r="N945" s="10" t="n">
        <v>252.37</v>
      </c>
      <c r="O945" s="10">
        <f>IFERROR(VLOOKUP(A945,Flete!$A:$J,10,0),"")</f>
        <v/>
      </c>
      <c r="P945" s="8" t="inlineStr">
        <is>
          <t>TN</t>
        </is>
      </c>
      <c r="Q945" s="10">
        <f>IFERROR(IFERROR(VLOOKUP(A945,TRAOPE!$A:$U,21,0),VLOOKUP(B945,TRAOPE!$A:$U,21,0)),"")</f>
        <v/>
      </c>
      <c r="R945" s="8">
        <f>IFERROR(IFERROR(VLOOKUP(A945,TRAOPE!$A:$W,23,0),VLOOKUP(B945,TRAOPE!$A:$W,23,0)),"")</f>
        <v/>
      </c>
      <c r="S945" s="10">
        <f>IF(AND(P945="TN",R945="TN"),N945+N(O945),IF(G945&amp;""="1",N(K945)*N945,(N945+N(O945))*N(K945)))</f>
        <v/>
      </c>
      <c r="T945" s="10">
        <f>IF(Q945="","",Q945-S945)</f>
        <v/>
      </c>
    </row>
    <row r="946">
      <c r="A946" s="7">
        <f>CONCATENATE(C946,E946,F946,I946)</f>
        <v/>
      </c>
      <c r="B946" s="7">
        <f>CONCATENATE(C946,E946,I946)</f>
        <v/>
      </c>
      <c r="C946" s="8" t="n">
        <v>900005705</v>
      </c>
      <c r="D946" s="7">
        <f>IFERROR(VLOOKUP(C946,TRAOPE!$G:$H,2,0),"")</f>
        <v/>
      </c>
      <c r="E946" s="8" t="inlineStr">
        <is>
          <t>DW70</t>
        </is>
      </c>
      <c r="F946" s="8" t="inlineStr">
        <is>
          <t>D077</t>
        </is>
      </c>
      <c r="G946" s="8">
        <f>IFERROR(VLOOKUP(A946,Flete!$A:$E,5,0),"")</f>
        <v/>
      </c>
      <c r="H946" s="7">
        <f>IFERROR(VLOOKUP(F946,TRAOPE!$AA:$AB,2,0),"")</f>
        <v/>
      </c>
      <c r="I946" s="7" t="n">
        <v>10161192</v>
      </c>
      <c r="J946" s="7">
        <f>IFERROR(VLOOKUP(I946,Materiales!$A:$H,8,0),"")</f>
        <v/>
      </c>
      <c r="K946" s="9">
        <f>IFERROR(VLOOKUP(I946,Materiales!$A:$G,7,0),"")</f>
        <v/>
      </c>
      <c r="L946" s="8" t="inlineStr">
        <is>
          <t>20230501</t>
        </is>
      </c>
      <c r="M946" s="8" t="inlineStr">
        <is>
          <t>20250131</t>
        </is>
      </c>
      <c r="N946" s="10" t="n">
        <v>295.64</v>
      </c>
      <c r="O946" s="10">
        <f>IFERROR(VLOOKUP(A946,Flete!$A:$J,10,0),"")</f>
        <v/>
      </c>
      <c r="P946" s="8" t="inlineStr">
        <is>
          <t>TN</t>
        </is>
      </c>
      <c r="Q946" s="10">
        <f>IFERROR(IFERROR(VLOOKUP(A946,TRAOPE!$A:$U,21,0),VLOOKUP(B946,TRAOPE!$A:$U,21,0)),"")</f>
        <v/>
      </c>
      <c r="R946" s="8">
        <f>IFERROR(IFERROR(VLOOKUP(A946,TRAOPE!$A:$W,23,0),VLOOKUP(B946,TRAOPE!$A:$W,23,0)),"")</f>
        <v/>
      </c>
      <c r="S946" s="10">
        <f>IF(AND(P946="TN",R946="TN"),N946+N(O946),IF(G946&amp;""="1",N(K946)*N946,(N946+N(O946))*N(K946)))</f>
        <v/>
      </c>
      <c r="T946" s="10">
        <f>IF(Q946="","",Q946-S946)</f>
        <v/>
      </c>
    </row>
    <row r="947">
      <c r="A947" s="7">
        <f>CONCATENATE(C947,E947,F947,I947)</f>
        <v/>
      </c>
      <c r="B947" s="7">
        <f>CONCATENATE(C947,E947,I947)</f>
        <v/>
      </c>
      <c r="C947" s="8" t="n">
        <v>900005705</v>
      </c>
      <c r="D947" s="7">
        <f>IFERROR(VLOOKUP(C947,TRAOPE!$G:$H,2,0),"")</f>
        <v/>
      </c>
      <c r="E947" s="8" t="inlineStr">
        <is>
          <t>DW70</t>
        </is>
      </c>
      <c r="F947" s="8" t="inlineStr">
        <is>
          <t>D079</t>
        </is>
      </c>
      <c r="G947" s="8">
        <f>IFERROR(VLOOKUP(A947,Flete!$A:$E,5,0),"")</f>
        <v/>
      </c>
      <c r="H947" s="7">
        <f>IFERROR(VLOOKUP(F947,TRAOPE!$AA:$AB,2,0),"")</f>
        <v/>
      </c>
      <c r="I947" s="7" t="n">
        <v>10000811</v>
      </c>
      <c r="J947" s="7">
        <f>IFERROR(VLOOKUP(I947,Materiales!$A:$H,8,0),"")</f>
        <v/>
      </c>
      <c r="K947" s="9">
        <f>IFERROR(VLOOKUP(I947,Materiales!$A:$G,7,0),"")</f>
        <v/>
      </c>
      <c r="L947" s="8" t="inlineStr">
        <is>
          <t>20230501</t>
        </is>
      </c>
      <c r="M947" s="8" t="inlineStr">
        <is>
          <t>20250131</t>
        </is>
      </c>
      <c r="N947" s="10" t="n">
        <v>252.37</v>
      </c>
      <c r="O947" s="10">
        <f>IFERROR(VLOOKUP(A947,Flete!$A:$J,10,0),"")</f>
        <v/>
      </c>
      <c r="P947" s="8" t="inlineStr">
        <is>
          <t>TN</t>
        </is>
      </c>
      <c r="Q947" s="10">
        <f>IFERROR(IFERROR(VLOOKUP(A947,TRAOPE!$A:$U,21,0),VLOOKUP(B947,TRAOPE!$A:$U,21,0)),"")</f>
        <v/>
      </c>
      <c r="R947" s="8">
        <f>IFERROR(IFERROR(VLOOKUP(A947,TRAOPE!$A:$W,23,0),VLOOKUP(B947,TRAOPE!$A:$W,23,0)),"")</f>
        <v/>
      </c>
      <c r="S947" s="10">
        <f>IF(AND(P947="TN",R947="TN"),N947+N(O947),IF(G947&amp;""="1",N(K947)*N947,(N947+N(O947))*N(K947)))</f>
        <v/>
      </c>
      <c r="T947" s="10">
        <f>IF(Q947="","",Q947-S947)</f>
        <v/>
      </c>
    </row>
    <row r="948">
      <c r="A948" s="7">
        <f>CONCATENATE(C948,E948,F948,I948)</f>
        <v/>
      </c>
      <c r="B948" s="7">
        <f>CONCATENATE(C948,E948,I948)</f>
        <v/>
      </c>
      <c r="C948" s="8" t="n">
        <v>900005705</v>
      </c>
      <c r="D948" s="7">
        <f>IFERROR(VLOOKUP(C948,TRAOPE!$G:$H,2,0),"")</f>
        <v/>
      </c>
      <c r="E948" s="8" t="inlineStr">
        <is>
          <t>DW70</t>
        </is>
      </c>
      <c r="F948" s="8" t="inlineStr">
        <is>
          <t>D079</t>
        </is>
      </c>
      <c r="G948" s="8">
        <f>IFERROR(VLOOKUP(A948,Flete!$A:$E,5,0),"")</f>
        <v/>
      </c>
      <c r="H948" s="7">
        <f>IFERROR(VLOOKUP(F948,TRAOPE!$AA:$AB,2,0),"")</f>
        <v/>
      </c>
      <c r="I948" s="7" t="n">
        <v>10161192</v>
      </c>
      <c r="J948" s="7">
        <f>IFERROR(VLOOKUP(I948,Materiales!$A:$H,8,0),"")</f>
        <v/>
      </c>
      <c r="K948" s="9">
        <f>IFERROR(VLOOKUP(I948,Materiales!$A:$G,7,0),"")</f>
        <v/>
      </c>
      <c r="L948" s="8" t="inlineStr">
        <is>
          <t>20230501</t>
        </is>
      </c>
      <c r="M948" s="8" t="inlineStr">
        <is>
          <t>20250131</t>
        </is>
      </c>
      <c r="N948" s="10" t="n">
        <v>295.64</v>
      </c>
      <c r="O948" s="10">
        <f>IFERROR(VLOOKUP(A948,Flete!$A:$J,10,0),"")</f>
        <v/>
      </c>
      <c r="P948" s="8" t="inlineStr">
        <is>
          <t>TN</t>
        </is>
      </c>
      <c r="Q948" s="10">
        <f>IFERROR(IFERROR(VLOOKUP(A948,TRAOPE!$A:$U,21,0),VLOOKUP(B948,TRAOPE!$A:$U,21,0)),"")</f>
        <v/>
      </c>
      <c r="R948" s="8">
        <f>IFERROR(IFERROR(VLOOKUP(A948,TRAOPE!$A:$W,23,0),VLOOKUP(B948,TRAOPE!$A:$W,23,0)),"")</f>
        <v/>
      </c>
      <c r="S948" s="10">
        <f>IF(AND(P948="TN",R948="TN"),N948+N(O948),IF(G948&amp;""="1",N(K948)*N948,(N948+N(O948))*N(K948)))</f>
        <v/>
      </c>
      <c r="T948" s="10">
        <f>IF(Q948="","",Q948-S948)</f>
        <v/>
      </c>
    </row>
    <row r="949">
      <c r="A949" s="7">
        <f>CONCATENATE(C949,E949,F949,I949)</f>
        <v/>
      </c>
      <c r="B949" s="7">
        <f>CONCATENATE(C949,E949,I949)</f>
        <v/>
      </c>
      <c r="C949" s="8" t="n">
        <v>900005705</v>
      </c>
      <c r="D949" s="7">
        <f>IFERROR(VLOOKUP(C949,TRAOPE!$G:$H,2,0),"")</f>
        <v/>
      </c>
      <c r="E949" s="8" t="inlineStr">
        <is>
          <t>DW70</t>
        </is>
      </c>
      <c r="F949" s="8" t="inlineStr">
        <is>
          <t>D080</t>
        </is>
      </c>
      <c r="G949" s="8">
        <f>IFERROR(VLOOKUP(A949,Flete!$A:$E,5,0),"")</f>
        <v/>
      </c>
      <c r="H949" s="7">
        <f>IFERROR(VLOOKUP(F949,TRAOPE!$AA:$AB,2,0),"")</f>
        <v/>
      </c>
      <c r="I949" s="7" t="n">
        <v>10000811</v>
      </c>
      <c r="J949" s="7">
        <f>IFERROR(VLOOKUP(I949,Materiales!$A:$H,8,0),"")</f>
        <v/>
      </c>
      <c r="K949" s="9">
        <f>IFERROR(VLOOKUP(I949,Materiales!$A:$G,7,0),"")</f>
        <v/>
      </c>
      <c r="L949" s="8" t="inlineStr">
        <is>
          <t>20230501</t>
        </is>
      </c>
      <c r="M949" s="8" t="inlineStr">
        <is>
          <t>20250131</t>
        </is>
      </c>
      <c r="N949" s="10" t="n">
        <v>252.37</v>
      </c>
      <c r="O949" s="10">
        <f>IFERROR(VLOOKUP(A949,Flete!$A:$J,10,0),"")</f>
        <v/>
      </c>
      <c r="P949" s="8" t="inlineStr">
        <is>
          <t>TN</t>
        </is>
      </c>
      <c r="Q949" s="10">
        <f>IFERROR(IFERROR(VLOOKUP(A949,TRAOPE!$A:$U,21,0),VLOOKUP(B949,TRAOPE!$A:$U,21,0)),"")</f>
        <v/>
      </c>
      <c r="R949" s="8">
        <f>IFERROR(IFERROR(VLOOKUP(A949,TRAOPE!$A:$W,23,0),VLOOKUP(B949,TRAOPE!$A:$W,23,0)),"")</f>
        <v/>
      </c>
      <c r="S949" s="10">
        <f>IF(AND(P949="TN",R949="TN"),N949+N(O949),IF(G949&amp;""="1",N(K949)*N949,(N949+N(O949))*N(K949)))</f>
        <v/>
      </c>
      <c r="T949" s="10">
        <f>IF(Q949="","",Q949-S949)</f>
        <v/>
      </c>
    </row>
    <row r="950">
      <c r="A950" s="7">
        <f>CONCATENATE(C950,E950,F950,I950)</f>
        <v/>
      </c>
      <c r="B950" s="7">
        <f>CONCATENATE(C950,E950,I950)</f>
        <v/>
      </c>
      <c r="C950" s="8" t="n">
        <v>900005705</v>
      </c>
      <c r="D950" s="7">
        <f>IFERROR(VLOOKUP(C950,TRAOPE!$G:$H,2,0),"")</f>
        <v/>
      </c>
      <c r="E950" s="8" t="inlineStr">
        <is>
          <t>DW70</t>
        </is>
      </c>
      <c r="F950" s="8" t="inlineStr">
        <is>
          <t>D080</t>
        </is>
      </c>
      <c r="G950" s="8">
        <f>IFERROR(VLOOKUP(A950,Flete!$A:$E,5,0),"")</f>
        <v/>
      </c>
      <c r="H950" s="7">
        <f>IFERROR(VLOOKUP(F950,TRAOPE!$AA:$AB,2,0),"")</f>
        <v/>
      </c>
      <c r="I950" s="7" t="n">
        <v>10161192</v>
      </c>
      <c r="J950" s="7">
        <f>IFERROR(VLOOKUP(I950,Materiales!$A:$H,8,0),"")</f>
        <v/>
      </c>
      <c r="K950" s="9">
        <f>IFERROR(VLOOKUP(I950,Materiales!$A:$G,7,0),"")</f>
        <v/>
      </c>
      <c r="L950" s="8" t="inlineStr">
        <is>
          <t>20230501</t>
        </is>
      </c>
      <c r="M950" s="8" t="inlineStr">
        <is>
          <t>20250131</t>
        </is>
      </c>
      <c r="N950" s="10" t="n">
        <v>295.64</v>
      </c>
      <c r="O950" s="10">
        <f>IFERROR(VLOOKUP(A950,Flete!$A:$J,10,0),"")</f>
        <v/>
      </c>
      <c r="P950" s="8" t="inlineStr">
        <is>
          <t>TN</t>
        </is>
      </c>
      <c r="Q950" s="10">
        <f>IFERROR(IFERROR(VLOOKUP(A950,TRAOPE!$A:$U,21,0),VLOOKUP(B950,TRAOPE!$A:$U,21,0)),"")</f>
        <v/>
      </c>
      <c r="R950" s="8">
        <f>IFERROR(IFERROR(VLOOKUP(A950,TRAOPE!$A:$W,23,0),VLOOKUP(B950,TRAOPE!$A:$W,23,0)),"")</f>
        <v/>
      </c>
      <c r="S950" s="10">
        <f>IF(AND(P950="TN",R950="TN"),N950+N(O950),IF(G950&amp;""="1",N(K950)*N950,(N950+N(O950))*N(K950)))</f>
        <v/>
      </c>
      <c r="T950" s="10">
        <f>IF(Q950="","",Q950-S950)</f>
        <v/>
      </c>
    </row>
    <row r="951">
      <c r="A951" s="7">
        <f>CONCATENATE(C951,E951,F951,I951)</f>
        <v/>
      </c>
      <c r="B951" s="7">
        <f>CONCATENATE(C951,E951,I951)</f>
        <v/>
      </c>
      <c r="C951" s="8" t="n">
        <v>900005705</v>
      </c>
      <c r="D951" s="7">
        <f>IFERROR(VLOOKUP(C951,TRAOPE!$G:$H,2,0),"")</f>
        <v/>
      </c>
      <c r="E951" s="8" t="inlineStr">
        <is>
          <t>DW70</t>
        </is>
      </c>
      <c r="F951" s="8" t="inlineStr">
        <is>
          <t>D081</t>
        </is>
      </c>
      <c r="G951" s="8">
        <f>IFERROR(VLOOKUP(A951,Flete!$A:$E,5,0),"")</f>
        <v/>
      </c>
      <c r="H951" s="7">
        <f>IFERROR(VLOOKUP(F951,TRAOPE!$AA:$AB,2,0),"")</f>
        <v/>
      </c>
      <c r="I951" s="7" t="n">
        <v>10000811</v>
      </c>
      <c r="J951" s="7">
        <f>IFERROR(VLOOKUP(I951,Materiales!$A:$H,8,0),"")</f>
        <v/>
      </c>
      <c r="K951" s="9">
        <f>IFERROR(VLOOKUP(I951,Materiales!$A:$G,7,0),"")</f>
        <v/>
      </c>
      <c r="L951" s="8" t="inlineStr">
        <is>
          <t>20230501</t>
        </is>
      </c>
      <c r="M951" s="8" t="inlineStr">
        <is>
          <t>20250131</t>
        </is>
      </c>
      <c r="N951" s="10" t="n">
        <v>252.37</v>
      </c>
      <c r="O951" s="10">
        <f>IFERROR(VLOOKUP(A951,Flete!$A:$J,10,0),"")</f>
        <v/>
      </c>
      <c r="P951" s="8" t="inlineStr">
        <is>
          <t>TN</t>
        </is>
      </c>
      <c r="Q951" s="10">
        <f>IFERROR(IFERROR(VLOOKUP(A951,TRAOPE!$A:$U,21,0),VLOOKUP(B951,TRAOPE!$A:$U,21,0)),"")</f>
        <v/>
      </c>
      <c r="R951" s="8">
        <f>IFERROR(IFERROR(VLOOKUP(A951,TRAOPE!$A:$W,23,0),VLOOKUP(B951,TRAOPE!$A:$W,23,0)),"")</f>
        <v/>
      </c>
      <c r="S951" s="10">
        <f>IF(AND(P951="TN",R951="TN"),N951+N(O951),IF(G951&amp;""="1",N(K951)*N951,(N951+N(O951))*N(K951)))</f>
        <v/>
      </c>
      <c r="T951" s="10">
        <f>IF(Q951="","",Q951-S951)</f>
        <v/>
      </c>
    </row>
    <row r="952">
      <c r="A952" s="7">
        <f>CONCATENATE(C952,E952,F952,I952)</f>
        <v/>
      </c>
      <c r="B952" s="7">
        <f>CONCATENATE(C952,E952,I952)</f>
        <v/>
      </c>
      <c r="C952" s="8" t="n">
        <v>900005705</v>
      </c>
      <c r="D952" s="7">
        <f>IFERROR(VLOOKUP(C952,TRAOPE!$G:$H,2,0),"")</f>
        <v/>
      </c>
      <c r="E952" s="8" t="inlineStr">
        <is>
          <t>DW70</t>
        </is>
      </c>
      <c r="F952" s="8" t="inlineStr">
        <is>
          <t>D081</t>
        </is>
      </c>
      <c r="G952" s="8">
        <f>IFERROR(VLOOKUP(A952,Flete!$A:$E,5,0),"")</f>
        <v/>
      </c>
      <c r="H952" s="7">
        <f>IFERROR(VLOOKUP(F952,TRAOPE!$AA:$AB,2,0),"")</f>
        <v/>
      </c>
      <c r="I952" s="7" t="n">
        <v>10161192</v>
      </c>
      <c r="J952" s="7">
        <f>IFERROR(VLOOKUP(I952,Materiales!$A:$H,8,0),"")</f>
        <v/>
      </c>
      <c r="K952" s="9">
        <f>IFERROR(VLOOKUP(I952,Materiales!$A:$G,7,0),"")</f>
        <v/>
      </c>
      <c r="L952" s="8" t="inlineStr">
        <is>
          <t>20230501</t>
        </is>
      </c>
      <c r="M952" s="8" t="inlineStr">
        <is>
          <t>20250131</t>
        </is>
      </c>
      <c r="N952" s="10" t="n">
        <v>295.64</v>
      </c>
      <c r="O952" s="10">
        <f>IFERROR(VLOOKUP(A952,Flete!$A:$J,10,0),"")</f>
        <v/>
      </c>
      <c r="P952" s="8" t="inlineStr">
        <is>
          <t>TN</t>
        </is>
      </c>
      <c r="Q952" s="10">
        <f>IFERROR(IFERROR(VLOOKUP(A952,TRAOPE!$A:$U,21,0),VLOOKUP(B952,TRAOPE!$A:$U,21,0)),"")</f>
        <v/>
      </c>
      <c r="R952" s="8">
        <f>IFERROR(IFERROR(VLOOKUP(A952,TRAOPE!$A:$W,23,0),VLOOKUP(B952,TRAOPE!$A:$W,23,0)),"")</f>
        <v/>
      </c>
      <c r="S952" s="10">
        <f>IF(AND(P952="TN",R952="TN"),N952+N(O952),IF(G952&amp;""="1",N(K952)*N952,(N952+N(O952))*N(K952)))</f>
        <v/>
      </c>
      <c r="T952" s="10">
        <f>IF(Q952="","",Q952-S952)</f>
        <v/>
      </c>
    </row>
    <row r="953">
      <c r="A953" s="7">
        <f>CONCATENATE(C953,E953,F953,I953)</f>
        <v/>
      </c>
      <c r="B953" s="7">
        <f>CONCATENATE(C953,E953,I953)</f>
        <v/>
      </c>
      <c r="C953" s="8" t="n">
        <v>900005705</v>
      </c>
      <c r="D953" s="7">
        <f>IFERROR(VLOOKUP(C953,TRAOPE!$G:$H,2,0),"")</f>
        <v/>
      </c>
      <c r="E953" s="8" t="inlineStr">
        <is>
          <t>DW70</t>
        </is>
      </c>
      <c r="F953" s="8" t="inlineStr">
        <is>
          <t>D083</t>
        </is>
      </c>
      <c r="G953" s="8">
        <f>IFERROR(VLOOKUP(A953,Flete!$A:$E,5,0),"")</f>
        <v/>
      </c>
      <c r="H953" s="7">
        <f>IFERROR(VLOOKUP(F953,TRAOPE!$AA:$AB,2,0),"")</f>
        <v/>
      </c>
      <c r="I953" s="7" t="n">
        <v>10000811</v>
      </c>
      <c r="J953" s="7">
        <f>IFERROR(VLOOKUP(I953,Materiales!$A:$H,8,0),"")</f>
        <v/>
      </c>
      <c r="K953" s="9">
        <f>IFERROR(VLOOKUP(I953,Materiales!$A:$G,7,0),"")</f>
        <v/>
      </c>
      <c r="L953" s="8" t="inlineStr">
        <is>
          <t>20230501</t>
        </is>
      </c>
      <c r="M953" s="8" t="inlineStr">
        <is>
          <t>20250131</t>
        </is>
      </c>
      <c r="N953" s="10" t="n">
        <v>252.37</v>
      </c>
      <c r="O953" s="10">
        <f>IFERROR(VLOOKUP(A953,Flete!$A:$J,10,0),"")</f>
        <v/>
      </c>
      <c r="P953" s="8" t="inlineStr">
        <is>
          <t>TN</t>
        </is>
      </c>
      <c r="Q953" s="10">
        <f>IFERROR(IFERROR(VLOOKUP(A953,TRAOPE!$A:$U,21,0),VLOOKUP(B953,TRAOPE!$A:$U,21,0)),"")</f>
        <v/>
      </c>
      <c r="R953" s="8">
        <f>IFERROR(IFERROR(VLOOKUP(A953,TRAOPE!$A:$W,23,0),VLOOKUP(B953,TRAOPE!$A:$W,23,0)),"")</f>
        <v/>
      </c>
      <c r="S953" s="10">
        <f>IF(AND(P953="TN",R953="TN"),N953+N(O953),IF(G953&amp;""="1",N(K953)*N953,(N953+N(O953))*N(K953)))</f>
        <v/>
      </c>
      <c r="T953" s="10">
        <f>IF(Q953="","",Q953-S953)</f>
        <v/>
      </c>
    </row>
    <row r="954">
      <c r="A954" s="7">
        <f>CONCATENATE(C954,E954,F954,I954)</f>
        <v/>
      </c>
      <c r="B954" s="7">
        <f>CONCATENATE(C954,E954,I954)</f>
        <v/>
      </c>
      <c r="C954" s="8" t="n">
        <v>900005705</v>
      </c>
      <c r="D954" s="7">
        <f>IFERROR(VLOOKUP(C954,TRAOPE!$G:$H,2,0),"")</f>
        <v/>
      </c>
      <c r="E954" s="8" t="inlineStr">
        <is>
          <t>DW70</t>
        </is>
      </c>
      <c r="F954" s="8" t="inlineStr">
        <is>
          <t>D083</t>
        </is>
      </c>
      <c r="G954" s="8">
        <f>IFERROR(VLOOKUP(A954,Flete!$A:$E,5,0),"")</f>
        <v/>
      </c>
      <c r="H954" s="7">
        <f>IFERROR(VLOOKUP(F954,TRAOPE!$AA:$AB,2,0),"")</f>
        <v/>
      </c>
      <c r="I954" s="7" t="n">
        <v>10161192</v>
      </c>
      <c r="J954" s="7">
        <f>IFERROR(VLOOKUP(I954,Materiales!$A:$H,8,0),"")</f>
        <v/>
      </c>
      <c r="K954" s="9">
        <f>IFERROR(VLOOKUP(I954,Materiales!$A:$G,7,0),"")</f>
        <v/>
      </c>
      <c r="L954" s="8" t="inlineStr">
        <is>
          <t>20230501</t>
        </is>
      </c>
      <c r="M954" s="8" t="inlineStr">
        <is>
          <t>20250131</t>
        </is>
      </c>
      <c r="N954" s="10" t="n">
        <v>295.64</v>
      </c>
      <c r="O954" s="10">
        <f>IFERROR(VLOOKUP(A954,Flete!$A:$J,10,0),"")</f>
        <v/>
      </c>
      <c r="P954" s="8" t="inlineStr">
        <is>
          <t>TN</t>
        </is>
      </c>
      <c r="Q954" s="10">
        <f>IFERROR(IFERROR(VLOOKUP(A954,TRAOPE!$A:$U,21,0),VLOOKUP(B954,TRAOPE!$A:$U,21,0)),"")</f>
        <v/>
      </c>
      <c r="R954" s="8">
        <f>IFERROR(IFERROR(VLOOKUP(A954,TRAOPE!$A:$W,23,0),VLOOKUP(B954,TRAOPE!$A:$W,23,0)),"")</f>
        <v/>
      </c>
      <c r="S954" s="10">
        <f>IF(AND(P954="TN",R954="TN"),N954+N(O954),IF(G954&amp;""="1",N(K954)*N954,(N954+N(O954))*N(K954)))</f>
        <v/>
      </c>
      <c r="T954" s="10">
        <f>IF(Q954="","",Q954-S954)</f>
        <v/>
      </c>
    </row>
    <row r="955">
      <c r="A955" s="7">
        <f>CONCATENATE(C955,E955,F955,I955)</f>
        <v/>
      </c>
      <c r="B955" s="7">
        <f>CONCATENATE(C955,E955,I955)</f>
        <v/>
      </c>
      <c r="C955" s="8" t="n">
        <v>900005705</v>
      </c>
      <c r="D955" s="7">
        <f>IFERROR(VLOOKUP(C955,TRAOPE!$G:$H,2,0),"")</f>
        <v/>
      </c>
      <c r="E955" s="8" t="inlineStr">
        <is>
          <t>DW70</t>
        </is>
      </c>
      <c r="F955" s="8" t="inlineStr">
        <is>
          <t>D084</t>
        </is>
      </c>
      <c r="G955" s="8">
        <f>IFERROR(VLOOKUP(A955,Flete!$A:$E,5,0),"")</f>
        <v/>
      </c>
      <c r="H955" s="7">
        <f>IFERROR(VLOOKUP(F955,TRAOPE!$AA:$AB,2,0),"")</f>
        <v/>
      </c>
      <c r="I955" s="7" t="n">
        <v>10000811</v>
      </c>
      <c r="J955" s="7">
        <f>IFERROR(VLOOKUP(I955,Materiales!$A:$H,8,0),"")</f>
        <v/>
      </c>
      <c r="K955" s="9">
        <f>IFERROR(VLOOKUP(I955,Materiales!$A:$G,7,0),"")</f>
        <v/>
      </c>
      <c r="L955" s="8" t="inlineStr">
        <is>
          <t>20230501</t>
        </is>
      </c>
      <c r="M955" s="8" t="inlineStr">
        <is>
          <t>20250131</t>
        </is>
      </c>
      <c r="N955" s="10" t="n">
        <v>252.37</v>
      </c>
      <c r="O955" s="10">
        <f>IFERROR(VLOOKUP(A955,Flete!$A:$J,10,0),"")</f>
        <v/>
      </c>
      <c r="P955" s="8" t="inlineStr">
        <is>
          <t>TN</t>
        </is>
      </c>
      <c r="Q955" s="10">
        <f>IFERROR(IFERROR(VLOOKUP(A955,TRAOPE!$A:$U,21,0),VLOOKUP(B955,TRAOPE!$A:$U,21,0)),"")</f>
        <v/>
      </c>
      <c r="R955" s="8">
        <f>IFERROR(IFERROR(VLOOKUP(A955,TRAOPE!$A:$W,23,0),VLOOKUP(B955,TRAOPE!$A:$W,23,0)),"")</f>
        <v/>
      </c>
      <c r="S955" s="10">
        <f>IF(AND(P955="TN",R955="TN"),N955+N(O955),IF(G955&amp;""="1",N(K955)*N955,(N955+N(O955))*N(K955)))</f>
        <v/>
      </c>
      <c r="T955" s="10">
        <f>IF(Q955="","",Q955-S955)</f>
        <v/>
      </c>
    </row>
    <row r="956">
      <c r="A956" s="7">
        <f>CONCATENATE(C956,E956,F956,I956)</f>
        <v/>
      </c>
      <c r="B956" s="7">
        <f>CONCATENATE(C956,E956,I956)</f>
        <v/>
      </c>
      <c r="C956" s="8" t="n">
        <v>900005705</v>
      </c>
      <c r="D956" s="7">
        <f>IFERROR(VLOOKUP(C956,TRAOPE!$G:$H,2,0),"")</f>
        <v/>
      </c>
      <c r="E956" s="8" t="inlineStr">
        <is>
          <t>DW70</t>
        </is>
      </c>
      <c r="F956" s="8" t="inlineStr">
        <is>
          <t>D084</t>
        </is>
      </c>
      <c r="G956" s="8">
        <f>IFERROR(VLOOKUP(A956,Flete!$A:$E,5,0),"")</f>
        <v/>
      </c>
      <c r="H956" s="7">
        <f>IFERROR(VLOOKUP(F956,TRAOPE!$AA:$AB,2,0),"")</f>
        <v/>
      </c>
      <c r="I956" s="7" t="n">
        <v>10161192</v>
      </c>
      <c r="J956" s="7">
        <f>IFERROR(VLOOKUP(I956,Materiales!$A:$H,8,0),"")</f>
        <v/>
      </c>
      <c r="K956" s="9">
        <f>IFERROR(VLOOKUP(I956,Materiales!$A:$G,7,0),"")</f>
        <v/>
      </c>
      <c r="L956" s="8" t="inlineStr">
        <is>
          <t>20230501</t>
        </is>
      </c>
      <c r="M956" s="8" t="inlineStr">
        <is>
          <t>20250131</t>
        </is>
      </c>
      <c r="N956" s="10" t="n">
        <v>295.64</v>
      </c>
      <c r="O956" s="10">
        <f>IFERROR(VLOOKUP(A956,Flete!$A:$J,10,0),"")</f>
        <v/>
      </c>
      <c r="P956" s="8" t="inlineStr">
        <is>
          <t>TN</t>
        </is>
      </c>
      <c r="Q956" s="10">
        <f>IFERROR(IFERROR(VLOOKUP(A956,TRAOPE!$A:$U,21,0),VLOOKUP(B956,TRAOPE!$A:$U,21,0)),"")</f>
        <v/>
      </c>
      <c r="R956" s="8">
        <f>IFERROR(IFERROR(VLOOKUP(A956,TRAOPE!$A:$W,23,0),VLOOKUP(B956,TRAOPE!$A:$W,23,0)),"")</f>
        <v/>
      </c>
      <c r="S956" s="10">
        <f>IF(AND(P956="TN",R956="TN"),N956+N(O956),IF(G956&amp;""="1",N(K956)*N956,(N956+N(O956))*N(K956)))</f>
        <v/>
      </c>
      <c r="T956" s="10">
        <f>IF(Q956="","",Q956-S956)</f>
        <v/>
      </c>
    </row>
    <row r="957">
      <c r="A957" s="7">
        <f>CONCATENATE(C957,E957,F957,I957)</f>
        <v/>
      </c>
      <c r="B957" s="7">
        <f>CONCATENATE(C957,E957,I957)</f>
        <v/>
      </c>
      <c r="C957" s="8" t="n">
        <v>900005705</v>
      </c>
      <c r="D957" s="7">
        <f>IFERROR(VLOOKUP(C957,TRAOPE!$G:$H,2,0),"")</f>
        <v/>
      </c>
      <c r="E957" s="8" t="inlineStr">
        <is>
          <t>DW70</t>
        </is>
      </c>
      <c r="F957" s="8" t="inlineStr">
        <is>
          <t>D085</t>
        </is>
      </c>
      <c r="G957" s="8">
        <f>IFERROR(VLOOKUP(A957,Flete!$A:$E,5,0),"")</f>
        <v/>
      </c>
      <c r="H957" s="7">
        <f>IFERROR(VLOOKUP(F957,TRAOPE!$AA:$AB,2,0),"")</f>
        <v/>
      </c>
      <c r="I957" s="7" t="n">
        <v>10000811</v>
      </c>
      <c r="J957" s="7">
        <f>IFERROR(VLOOKUP(I957,Materiales!$A:$H,8,0),"")</f>
        <v/>
      </c>
      <c r="K957" s="9">
        <f>IFERROR(VLOOKUP(I957,Materiales!$A:$G,7,0),"")</f>
        <v/>
      </c>
      <c r="L957" s="8" t="inlineStr">
        <is>
          <t>20230501</t>
        </is>
      </c>
      <c r="M957" s="8" t="inlineStr">
        <is>
          <t>20250131</t>
        </is>
      </c>
      <c r="N957" s="10" t="n">
        <v>252.37</v>
      </c>
      <c r="O957" s="10">
        <f>IFERROR(VLOOKUP(A957,Flete!$A:$J,10,0),"")</f>
        <v/>
      </c>
      <c r="P957" s="8" t="inlineStr">
        <is>
          <t>TN</t>
        </is>
      </c>
      <c r="Q957" s="10">
        <f>IFERROR(IFERROR(VLOOKUP(A957,TRAOPE!$A:$U,21,0),VLOOKUP(B957,TRAOPE!$A:$U,21,0)),"")</f>
        <v/>
      </c>
      <c r="R957" s="8">
        <f>IFERROR(IFERROR(VLOOKUP(A957,TRAOPE!$A:$W,23,0),VLOOKUP(B957,TRAOPE!$A:$W,23,0)),"")</f>
        <v/>
      </c>
      <c r="S957" s="10">
        <f>IF(AND(P957="TN",R957="TN"),N957+N(O957),IF(G957&amp;""="1",N(K957)*N957,(N957+N(O957))*N(K957)))</f>
        <v/>
      </c>
      <c r="T957" s="10">
        <f>IF(Q957="","",Q957-S957)</f>
        <v/>
      </c>
    </row>
    <row r="958">
      <c r="A958" s="7">
        <f>CONCATENATE(C958,E958,F958,I958)</f>
        <v/>
      </c>
      <c r="B958" s="7">
        <f>CONCATENATE(C958,E958,I958)</f>
        <v/>
      </c>
      <c r="C958" s="8" t="n">
        <v>900005705</v>
      </c>
      <c r="D958" s="7">
        <f>IFERROR(VLOOKUP(C958,TRAOPE!$G:$H,2,0),"")</f>
        <v/>
      </c>
      <c r="E958" s="8" t="inlineStr">
        <is>
          <t>DW70</t>
        </is>
      </c>
      <c r="F958" s="8" t="inlineStr">
        <is>
          <t>D085</t>
        </is>
      </c>
      <c r="G958" s="8">
        <f>IFERROR(VLOOKUP(A958,Flete!$A:$E,5,0),"")</f>
        <v/>
      </c>
      <c r="H958" s="7">
        <f>IFERROR(VLOOKUP(F958,TRAOPE!$AA:$AB,2,0),"")</f>
        <v/>
      </c>
      <c r="I958" s="7" t="n">
        <v>10161192</v>
      </c>
      <c r="J958" s="7">
        <f>IFERROR(VLOOKUP(I958,Materiales!$A:$H,8,0),"")</f>
        <v/>
      </c>
      <c r="K958" s="9">
        <f>IFERROR(VLOOKUP(I958,Materiales!$A:$G,7,0),"")</f>
        <v/>
      </c>
      <c r="L958" s="8" t="inlineStr">
        <is>
          <t>20230501</t>
        </is>
      </c>
      <c r="M958" s="8" t="inlineStr">
        <is>
          <t>20250131</t>
        </is>
      </c>
      <c r="N958" s="10" t="n">
        <v>295.64</v>
      </c>
      <c r="O958" s="10">
        <f>IFERROR(VLOOKUP(A958,Flete!$A:$J,10,0),"")</f>
        <v/>
      </c>
      <c r="P958" s="8" t="inlineStr">
        <is>
          <t>TN</t>
        </is>
      </c>
      <c r="Q958" s="10">
        <f>IFERROR(IFERROR(VLOOKUP(A958,TRAOPE!$A:$U,21,0),VLOOKUP(B958,TRAOPE!$A:$U,21,0)),"")</f>
        <v/>
      </c>
      <c r="R958" s="8">
        <f>IFERROR(IFERROR(VLOOKUP(A958,TRAOPE!$A:$W,23,0),VLOOKUP(B958,TRAOPE!$A:$W,23,0)),"")</f>
        <v/>
      </c>
      <c r="S958" s="10">
        <f>IF(AND(P958="TN",R958="TN"),N958+N(O958),IF(G958&amp;""="1",N(K958)*N958,(N958+N(O958))*N(K958)))</f>
        <v/>
      </c>
      <c r="T958" s="10">
        <f>IF(Q958="","",Q958-S958)</f>
        <v/>
      </c>
    </row>
    <row r="959">
      <c r="A959" s="7">
        <f>CONCATENATE(C959,E959,F959,I959)</f>
        <v/>
      </c>
      <c r="B959" s="7">
        <f>CONCATENATE(C959,E959,I959)</f>
        <v/>
      </c>
      <c r="C959" s="8" t="n">
        <v>900005705</v>
      </c>
      <c r="D959" s="7">
        <f>IFERROR(VLOOKUP(C959,TRAOPE!$G:$H,2,0),"")</f>
        <v/>
      </c>
      <c r="E959" s="8" t="inlineStr">
        <is>
          <t>DW70</t>
        </is>
      </c>
      <c r="F959" s="8" t="inlineStr">
        <is>
          <t>D086</t>
        </is>
      </c>
      <c r="G959" s="8">
        <f>IFERROR(VLOOKUP(A959,Flete!$A:$E,5,0),"")</f>
        <v/>
      </c>
      <c r="H959" s="7">
        <f>IFERROR(VLOOKUP(F959,TRAOPE!$AA:$AB,2,0),"")</f>
        <v/>
      </c>
      <c r="I959" s="7" t="n">
        <v>10000811</v>
      </c>
      <c r="J959" s="7">
        <f>IFERROR(VLOOKUP(I959,Materiales!$A:$H,8,0),"")</f>
        <v/>
      </c>
      <c r="K959" s="9">
        <f>IFERROR(VLOOKUP(I959,Materiales!$A:$G,7,0),"")</f>
        <v/>
      </c>
      <c r="L959" s="8" t="inlineStr">
        <is>
          <t>20230501</t>
        </is>
      </c>
      <c r="M959" s="8" t="inlineStr">
        <is>
          <t>20250131</t>
        </is>
      </c>
      <c r="N959" s="10" t="n">
        <v>252.37</v>
      </c>
      <c r="O959" s="10">
        <f>IFERROR(VLOOKUP(A959,Flete!$A:$J,10,0),"")</f>
        <v/>
      </c>
      <c r="P959" s="8" t="inlineStr">
        <is>
          <t>TN</t>
        </is>
      </c>
      <c r="Q959" s="10">
        <f>IFERROR(IFERROR(VLOOKUP(A959,TRAOPE!$A:$U,21,0),VLOOKUP(B959,TRAOPE!$A:$U,21,0)),"")</f>
        <v/>
      </c>
      <c r="R959" s="8">
        <f>IFERROR(IFERROR(VLOOKUP(A959,TRAOPE!$A:$W,23,0),VLOOKUP(B959,TRAOPE!$A:$W,23,0)),"")</f>
        <v/>
      </c>
      <c r="S959" s="10">
        <f>IF(AND(P959="TN",R959="TN"),N959+N(O959),IF(G959&amp;""="1",N(K959)*N959,(N959+N(O959))*N(K959)))</f>
        <v/>
      </c>
      <c r="T959" s="10">
        <f>IF(Q959="","",Q959-S959)</f>
        <v/>
      </c>
    </row>
    <row r="960">
      <c r="A960" s="7">
        <f>CONCATENATE(C960,E960,F960,I960)</f>
        <v/>
      </c>
      <c r="B960" s="7">
        <f>CONCATENATE(C960,E960,I960)</f>
        <v/>
      </c>
      <c r="C960" s="8" t="n">
        <v>900005705</v>
      </c>
      <c r="D960" s="7">
        <f>IFERROR(VLOOKUP(C960,TRAOPE!$G:$H,2,0),"")</f>
        <v/>
      </c>
      <c r="E960" s="8" t="inlineStr">
        <is>
          <t>DW70</t>
        </is>
      </c>
      <c r="F960" s="8" t="inlineStr">
        <is>
          <t>D086</t>
        </is>
      </c>
      <c r="G960" s="8">
        <f>IFERROR(VLOOKUP(A960,Flete!$A:$E,5,0),"")</f>
        <v/>
      </c>
      <c r="H960" s="7">
        <f>IFERROR(VLOOKUP(F960,TRAOPE!$AA:$AB,2,0),"")</f>
        <v/>
      </c>
      <c r="I960" s="7" t="n">
        <v>10161192</v>
      </c>
      <c r="J960" s="7">
        <f>IFERROR(VLOOKUP(I960,Materiales!$A:$H,8,0),"")</f>
        <v/>
      </c>
      <c r="K960" s="9">
        <f>IFERROR(VLOOKUP(I960,Materiales!$A:$G,7,0),"")</f>
        <v/>
      </c>
      <c r="L960" s="8" t="inlineStr">
        <is>
          <t>20230501</t>
        </is>
      </c>
      <c r="M960" s="8" t="inlineStr">
        <is>
          <t>20250131</t>
        </is>
      </c>
      <c r="N960" s="10" t="n">
        <v>295.64</v>
      </c>
      <c r="O960" s="10">
        <f>IFERROR(VLOOKUP(A960,Flete!$A:$J,10,0),"")</f>
        <v/>
      </c>
      <c r="P960" s="8" t="inlineStr">
        <is>
          <t>TN</t>
        </is>
      </c>
      <c r="Q960" s="10">
        <f>IFERROR(IFERROR(VLOOKUP(A960,TRAOPE!$A:$U,21,0),VLOOKUP(B960,TRAOPE!$A:$U,21,0)),"")</f>
        <v/>
      </c>
      <c r="R960" s="8">
        <f>IFERROR(IFERROR(VLOOKUP(A960,TRAOPE!$A:$W,23,0),VLOOKUP(B960,TRAOPE!$A:$W,23,0)),"")</f>
        <v/>
      </c>
      <c r="S960" s="10">
        <f>IF(AND(P960="TN",R960="TN"),N960+N(O960),IF(G960&amp;""="1",N(K960)*N960,(N960+N(O960))*N(K960)))</f>
        <v/>
      </c>
      <c r="T960" s="10">
        <f>IF(Q960="","",Q960-S960)</f>
        <v/>
      </c>
    </row>
    <row r="961">
      <c r="A961" s="7">
        <f>CONCATENATE(C961,E961,F961,I961)</f>
        <v/>
      </c>
      <c r="B961" s="7">
        <f>CONCATENATE(C961,E961,I961)</f>
        <v/>
      </c>
      <c r="C961" s="8" t="n">
        <v>900005705</v>
      </c>
      <c r="D961" s="7">
        <f>IFERROR(VLOOKUP(C961,TRAOPE!$G:$H,2,0),"")</f>
        <v/>
      </c>
      <c r="E961" s="8" t="inlineStr">
        <is>
          <t>DW70</t>
        </is>
      </c>
      <c r="F961" s="8" t="inlineStr">
        <is>
          <t>D088</t>
        </is>
      </c>
      <c r="G961" s="8">
        <f>IFERROR(VLOOKUP(A961,Flete!$A:$E,5,0),"")</f>
        <v/>
      </c>
      <c r="H961" s="7">
        <f>IFERROR(VLOOKUP(F961,TRAOPE!$AA:$AB,2,0),"")</f>
        <v/>
      </c>
      <c r="I961" s="7" t="n">
        <v>10000811</v>
      </c>
      <c r="J961" s="7">
        <f>IFERROR(VLOOKUP(I961,Materiales!$A:$H,8,0),"")</f>
        <v/>
      </c>
      <c r="K961" s="9">
        <f>IFERROR(VLOOKUP(I961,Materiales!$A:$G,7,0),"")</f>
        <v/>
      </c>
      <c r="L961" s="8" t="inlineStr">
        <is>
          <t>20230501</t>
        </is>
      </c>
      <c r="M961" s="8" t="inlineStr">
        <is>
          <t>20250131</t>
        </is>
      </c>
      <c r="N961" s="10" t="n">
        <v>252.37</v>
      </c>
      <c r="O961" s="10">
        <f>IFERROR(VLOOKUP(A961,Flete!$A:$J,10,0),"")</f>
        <v/>
      </c>
      <c r="P961" s="8" t="inlineStr">
        <is>
          <t>TN</t>
        </is>
      </c>
      <c r="Q961" s="10">
        <f>IFERROR(IFERROR(VLOOKUP(A961,TRAOPE!$A:$U,21,0),VLOOKUP(B961,TRAOPE!$A:$U,21,0)),"")</f>
        <v/>
      </c>
      <c r="R961" s="8">
        <f>IFERROR(IFERROR(VLOOKUP(A961,TRAOPE!$A:$W,23,0),VLOOKUP(B961,TRAOPE!$A:$W,23,0)),"")</f>
        <v/>
      </c>
      <c r="S961" s="10">
        <f>IF(AND(P961="TN",R961="TN"),N961+N(O961),IF(G961&amp;""="1",N(K961)*N961,(N961+N(O961))*N(K961)))</f>
        <v/>
      </c>
      <c r="T961" s="10">
        <f>IF(Q961="","",Q961-S961)</f>
        <v/>
      </c>
    </row>
    <row r="962">
      <c r="A962" s="7">
        <f>CONCATENATE(C962,E962,F962,I962)</f>
        <v/>
      </c>
      <c r="B962" s="7">
        <f>CONCATENATE(C962,E962,I962)</f>
        <v/>
      </c>
      <c r="C962" s="8" t="n">
        <v>900005705</v>
      </c>
      <c r="D962" s="7">
        <f>IFERROR(VLOOKUP(C962,TRAOPE!$G:$H,2,0),"")</f>
        <v/>
      </c>
      <c r="E962" s="8" t="inlineStr">
        <is>
          <t>DW70</t>
        </is>
      </c>
      <c r="F962" s="8" t="inlineStr">
        <is>
          <t>D088</t>
        </is>
      </c>
      <c r="G962" s="8">
        <f>IFERROR(VLOOKUP(A962,Flete!$A:$E,5,0),"")</f>
        <v/>
      </c>
      <c r="H962" s="7">
        <f>IFERROR(VLOOKUP(F962,TRAOPE!$AA:$AB,2,0),"")</f>
        <v/>
      </c>
      <c r="I962" s="7" t="n">
        <v>10161192</v>
      </c>
      <c r="J962" s="7">
        <f>IFERROR(VLOOKUP(I962,Materiales!$A:$H,8,0),"")</f>
        <v/>
      </c>
      <c r="K962" s="9">
        <f>IFERROR(VLOOKUP(I962,Materiales!$A:$G,7,0),"")</f>
        <v/>
      </c>
      <c r="L962" s="8" t="inlineStr">
        <is>
          <t>20230501</t>
        </is>
      </c>
      <c r="M962" s="8" t="inlineStr">
        <is>
          <t>20250131</t>
        </is>
      </c>
      <c r="N962" s="10" t="n">
        <v>295.64</v>
      </c>
      <c r="O962" s="10">
        <f>IFERROR(VLOOKUP(A962,Flete!$A:$J,10,0),"")</f>
        <v/>
      </c>
      <c r="P962" s="8" t="inlineStr">
        <is>
          <t>TN</t>
        </is>
      </c>
      <c r="Q962" s="10">
        <f>IFERROR(IFERROR(VLOOKUP(A962,TRAOPE!$A:$U,21,0),VLOOKUP(B962,TRAOPE!$A:$U,21,0)),"")</f>
        <v/>
      </c>
      <c r="R962" s="8">
        <f>IFERROR(IFERROR(VLOOKUP(A962,TRAOPE!$A:$W,23,0),VLOOKUP(B962,TRAOPE!$A:$W,23,0)),"")</f>
        <v/>
      </c>
      <c r="S962" s="10">
        <f>IF(AND(P962="TN",R962="TN"),N962+N(O962),IF(G962&amp;""="1",N(K962)*N962,(N962+N(O962))*N(K962)))</f>
        <v/>
      </c>
      <c r="T962" s="10">
        <f>IF(Q962="","",Q962-S962)</f>
        <v/>
      </c>
    </row>
    <row r="963">
      <c r="A963" s="7">
        <f>CONCATENATE(C963,E963,F963,I963)</f>
        <v/>
      </c>
      <c r="B963" s="7">
        <f>CONCATENATE(C963,E963,I963)</f>
        <v/>
      </c>
      <c r="C963" s="8" t="n">
        <v>900005705</v>
      </c>
      <c r="D963" s="7">
        <f>IFERROR(VLOOKUP(C963,TRAOPE!$G:$H,2,0),"")</f>
        <v/>
      </c>
      <c r="E963" s="8" t="inlineStr">
        <is>
          <t>DW70</t>
        </is>
      </c>
      <c r="F963" s="8" t="inlineStr">
        <is>
          <t>D089</t>
        </is>
      </c>
      <c r="G963" s="8">
        <f>IFERROR(VLOOKUP(A963,Flete!$A:$E,5,0),"")</f>
        <v/>
      </c>
      <c r="H963" s="7">
        <f>IFERROR(VLOOKUP(F963,TRAOPE!$AA:$AB,2,0),"")</f>
        <v/>
      </c>
      <c r="I963" s="7" t="n">
        <v>10000811</v>
      </c>
      <c r="J963" s="7">
        <f>IFERROR(VLOOKUP(I963,Materiales!$A:$H,8,0),"")</f>
        <v/>
      </c>
      <c r="K963" s="9">
        <f>IFERROR(VLOOKUP(I963,Materiales!$A:$G,7,0),"")</f>
        <v/>
      </c>
      <c r="L963" s="8" t="inlineStr">
        <is>
          <t>20230501</t>
        </is>
      </c>
      <c r="M963" s="8" t="inlineStr">
        <is>
          <t>20250131</t>
        </is>
      </c>
      <c r="N963" s="10" t="n">
        <v>252.37</v>
      </c>
      <c r="O963" s="10">
        <f>IFERROR(VLOOKUP(A963,Flete!$A:$J,10,0),"")</f>
        <v/>
      </c>
      <c r="P963" s="8" t="inlineStr">
        <is>
          <t>TN</t>
        </is>
      </c>
      <c r="Q963" s="10">
        <f>IFERROR(IFERROR(VLOOKUP(A963,TRAOPE!$A:$U,21,0),VLOOKUP(B963,TRAOPE!$A:$U,21,0)),"")</f>
        <v/>
      </c>
      <c r="R963" s="8">
        <f>IFERROR(IFERROR(VLOOKUP(A963,TRAOPE!$A:$W,23,0),VLOOKUP(B963,TRAOPE!$A:$W,23,0)),"")</f>
        <v/>
      </c>
      <c r="S963" s="10">
        <f>IF(AND(P963="TN",R963="TN"),N963+N(O963),IF(G963&amp;""="1",N(K963)*N963,(N963+N(O963))*N(K963)))</f>
        <v/>
      </c>
      <c r="T963" s="10">
        <f>IF(Q963="","",Q963-S963)</f>
        <v/>
      </c>
    </row>
    <row r="964">
      <c r="A964" s="7">
        <f>CONCATENATE(C964,E964,F964,I964)</f>
        <v/>
      </c>
      <c r="B964" s="7">
        <f>CONCATENATE(C964,E964,I964)</f>
        <v/>
      </c>
      <c r="C964" s="8" t="n">
        <v>900005705</v>
      </c>
      <c r="D964" s="7">
        <f>IFERROR(VLOOKUP(C964,TRAOPE!$G:$H,2,0),"")</f>
        <v/>
      </c>
      <c r="E964" s="8" t="inlineStr">
        <is>
          <t>DW70</t>
        </is>
      </c>
      <c r="F964" s="8" t="inlineStr">
        <is>
          <t>D089</t>
        </is>
      </c>
      <c r="G964" s="8">
        <f>IFERROR(VLOOKUP(A964,Flete!$A:$E,5,0),"")</f>
        <v/>
      </c>
      <c r="H964" s="7">
        <f>IFERROR(VLOOKUP(F964,TRAOPE!$AA:$AB,2,0),"")</f>
        <v/>
      </c>
      <c r="I964" s="7" t="n">
        <v>10161192</v>
      </c>
      <c r="J964" s="7">
        <f>IFERROR(VLOOKUP(I964,Materiales!$A:$H,8,0),"")</f>
        <v/>
      </c>
      <c r="K964" s="9">
        <f>IFERROR(VLOOKUP(I964,Materiales!$A:$G,7,0),"")</f>
        <v/>
      </c>
      <c r="L964" s="8" t="inlineStr">
        <is>
          <t>20230501</t>
        </is>
      </c>
      <c r="M964" s="8" t="inlineStr">
        <is>
          <t>20250131</t>
        </is>
      </c>
      <c r="N964" s="10" t="n">
        <v>295.64</v>
      </c>
      <c r="O964" s="10">
        <f>IFERROR(VLOOKUP(A964,Flete!$A:$J,10,0),"")</f>
        <v/>
      </c>
      <c r="P964" s="8" t="inlineStr">
        <is>
          <t>TN</t>
        </is>
      </c>
      <c r="Q964" s="10">
        <f>IFERROR(IFERROR(VLOOKUP(A964,TRAOPE!$A:$U,21,0),VLOOKUP(B964,TRAOPE!$A:$U,21,0)),"")</f>
        <v/>
      </c>
      <c r="R964" s="8">
        <f>IFERROR(IFERROR(VLOOKUP(A964,TRAOPE!$A:$W,23,0),VLOOKUP(B964,TRAOPE!$A:$W,23,0)),"")</f>
        <v/>
      </c>
      <c r="S964" s="10">
        <f>IF(AND(P964="TN",R964="TN"),N964+N(O964),IF(G964&amp;""="1",N(K964)*N964,(N964+N(O964))*N(K964)))</f>
        <v/>
      </c>
      <c r="T964" s="10">
        <f>IF(Q964="","",Q964-S964)</f>
        <v/>
      </c>
    </row>
    <row r="965">
      <c r="A965" s="7">
        <f>CONCATENATE(C965,E965,F965,I965)</f>
        <v/>
      </c>
      <c r="B965" s="7">
        <f>CONCATENATE(C965,E965,I965)</f>
        <v/>
      </c>
      <c r="C965" s="8" t="n">
        <v>900005705</v>
      </c>
      <c r="D965" s="7">
        <f>IFERROR(VLOOKUP(C965,TRAOPE!$G:$H,2,0),"")</f>
        <v/>
      </c>
      <c r="E965" s="8" t="inlineStr">
        <is>
          <t>DW70</t>
        </is>
      </c>
      <c r="F965" s="8" t="inlineStr">
        <is>
          <t>D093</t>
        </is>
      </c>
      <c r="G965" s="8">
        <f>IFERROR(VLOOKUP(A965,Flete!$A:$E,5,0),"")</f>
        <v/>
      </c>
      <c r="H965" s="7">
        <f>IFERROR(VLOOKUP(F965,TRAOPE!$AA:$AB,2,0),"")</f>
        <v/>
      </c>
      <c r="I965" s="7" t="n">
        <v>10000811</v>
      </c>
      <c r="J965" s="7">
        <f>IFERROR(VLOOKUP(I965,Materiales!$A:$H,8,0),"")</f>
        <v/>
      </c>
      <c r="K965" s="9">
        <f>IFERROR(VLOOKUP(I965,Materiales!$A:$G,7,0),"")</f>
        <v/>
      </c>
      <c r="L965" s="8" t="inlineStr">
        <is>
          <t>20230501</t>
        </is>
      </c>
      <c r="M965" s="8" t="inlineStr">
        <is>
          <t>20250131</t>
        </is>
      </c>
      <c r="N965" s="10" t="n">
        <v>252.37</v>
      </c>
      <c r="O965" s="10">
        <f>IFERROR(VLOOKUP(A965,Flete!$A:$J,10,0),"")</f>
        <v/>
      </c>
      <c r="P965" s="8" t="inlineStr">
        <is>
          <t>TN</t>
        </is>
      </c>
      <c r="Q965" s="10">
        <f>IFERROR(IFERROR(VLOOKUP(A965,TRAOPE!$A:$U,21,0),VLOOKUP(B965,TRAOPE!$A:$U,21,0)),"")</f>
        <v/>
      </c>
      <c r="R965" s="8">
        <f>IFERROR(IFERROR(VLOOKUP(A965,TRAOPE!$A:$W,23,0),VLOOKUP(B965,TRAOPE!$A:$W,23,0)),"")</f>
        <v/>
      </c>
      <c r="S965" s="10">
        <f>IF(AND(P965="TN",R965="TN"),N965+N(O965),IF(G965&amp;""="1",N(K965)*N965,(N965+N(O965))*N(K965)))</f>
        <v/>
      </c>
      <c r="T965" s="10">
        <f>IF(Q965="","",Q965-S965)</f>
        <v/>
      </c>
    </row>
    <row r="966">
      <c r="A966" s="7">
        <f>CONCATENATE(C966,E966,F966,I966)</f>
        <v/>
      </c>
      <c r="B966" s="7">
        <f>CONCATENATE(C966,E966,I966)</f>
        <v/>
      </c>
      <c r="C966" s="8" t="n">
        <v>900005705</v>
      </c>
      <c r="D966" s="7">
        <f>IFERROR(VLOOKUP(C966,TRAOPE!$G:$H,2,0),"")</f>
        <v/>
      </c>
      <c r="E966" s="8" t="inlineStr">
        <is>
          <t>DW70</t>
        </is>
      </c>
      <c r="F966" s="8" t="inlineStr">
        <is>
          <t>D093</t>
        </is>
      </c>
      <c r="G966" s="8">
        <f>IFERROR(VLOOKUP(A966,Flete!$A:$E,5,0),"")</f>
        <v/>
      </c>
      <c r="H966" s="7">
        <f>IFERROR(VLOOKUP(F966,TRAOPE!$AA:$AB,2,0),"")</f>
        <v/>
      </c>
      <c r="I966" s="7" t="n">
        <v>10161192</v>
      </c>
      <c r="J966" s="7">
        <f>IFERROR(VLOOKUP(I966,Materiales!$A:$H,8,0),"")</f>
        <v/>
      </c>
      <c r="K966" s="9">
        <f>IFERROR(VLOOKUP(I966,Materiales!$A:$G,7,0),"")</f>
        <v/>
      </c>
      <c r="L966" s="8" t="inlineStr">
        <is>
          <t>20230501</t>
        </is>
      </c>
      <c r="M966" s="8" t="inlineStr">
        <is>
          <t>20250131</t>
        </is>
      </c>
      <c r="N966" s="10" t="n">
        <v>295.64</v>
      </c>
      <c r="O966" s="10">
        <f>IFERROR(VLOOKUP(A966,Flete!$A:$J,10,0),"")</f>
        <v/>
      </c>
      <c r="P966" s="8" t="inlineStr">
        <is>
          <t>TN</t>
        </is>
      </c>
      <c r="Q966" s="10">
        <f>IFERROR(IFERROR(VLOOKUP(A966,TRAOPE!$A:$U,21,0),VLOOKUP(B966,TRAOPE!$A:$U,21,0)),"")</f>
        <v/>
      </c>
      <c r="R966" s="8">
        <f>IFERROR(IFERROR(VLOOKUP(A966,TRAOPE!$A:$W,23,0),VLOOKUP(B966,TRAOPE!$A:$W,23,0)),"")</f>
        <v/>
      </c>
      <c r="S966" s="10">
        <f>IF(AND(P966="TN",R966="TN"),N966+N(O966),IF(G966&amp;""="1",N(K966)*N966,(N966+N(O966))*N(K966)))</f>
        <v/>
      </c>
      <c r="T966" s="10">
        <f>IF(Q966="","",Q966-S966)</f>
        <v/>
      </c>
    </row>
    <row r="967">
      <c r="A967" s="7">
        <f>CONCATENATE(C967,E967,F967,I967)</f>
        <v/>
      </c>
      <c r="B967" s="7">
        <f>CONCATENATE(C967,E967,I967)</f>
        <v/>
      </c>
      <c r="C967" s="8" t="n">
        <v>900005705</v>
      </c>
      <c r="D967" s="7">
        <f>IFERROR(VLOOKUP(C967,TRAOPE!$G:$H,2,0),"")</f>
        <v/>
      </c>
      <c r="E967" s="8" t="inlineStr">
        <is>
          <t>DW70</t>
        </is>
      </c>
      <c r="F967" s="8" t="inlineStr">
        <is>
          <t>D098</t>
        </is>
      </c>
      <c r="G967" s="8">
        <f>IFERROR(VLOOKUP(A967,Flete!$A:$E,5,0),"")</f>
        <v/>
      </c>
      <c r="H967" s="7">
        <f>IFERROR(VLOOKUP(F967,TRAOPE!$AA:$AB,2,0),"")</f>
        <v/>
      </c>
      <c r="I967" s="7" t="n">
        <v>10000811</v>
      </c>
      <c r="J967" s="7">
        <f>IFERROR(VLOOKUP(I967,Materiales!$A:$H,8,0),"")</f>
        <v/>
      </c>
      <c r="K967" s="9">
        <f>IFERROR(VLOOKUP(I967,Materiales!$A:$G,7,0),"")</f>
        <v/>
      </c>
      <c r="L967" s="8" t="inlineStr">
        <is>
          <t>20230501</t>
        </is>
      </c>
      <c r="M967" s="8" t="inlineStr">
        <is>
          <t>20250131</t>
        </is>
      </c>
      <c r="N967" s="10" t="n">
        <v>252.37</v>
      </c>
      <c r="O967" s="10">
        <f>IFERROR(VLOOKUP(A967,Flete!$A:$J,10,0),"")</f>
        <v/>
      </c>
      <c r="P967" s="8" t="inlineStr">
        <is>
          <t>TN</t>
        </is>
      </c>
      <c r="Q967" s="10">
        <f>IFERROR(IFERROR(VLOOKUP(A967,TRAOPE!$A:$U,21,0),VLOOKUP(B967,TRAOPE!$A:$U,21,0)),"")</f>
        <v/>
      </c>
      <c r="R967" s="8">
        <f>IFERROR(IFERROR(VLOOKUP(A967,TRAOPE!$A:$W,23,0),VLOOKUP(B967,TRAOPE!$A:$W,23,0)),"")</f>
        <v/>
      </c>
      <c r="S967" s="10">
        <f>IF(AND(P967="TN",R967="TN"),N967+N(O967),IF(G967&amp;""="1",N(K967)*N967,(N967+N(O967))*N(K967)))</f>
        <v/>
      </c>
      <c r="T967" s="10">
        <f>IF(Q967="","",Q967-S967)</f>
        <v/>
      </c>
    </row>
    <row r="968">
      <c r="A968" s="7">
        <f>CONCATENATE(C968,E968,F968,I968)</f>
        <v/>
      </c>
      <c r="B968" s="7">
        <f>CONCATENATE(C968,E968,I968)</f>
        <v/>
      </c>
      <c r="C968" s="8" t="n">
        <v>900005705</v>
      </c>
      <c r="D968" s="7">
        <f>IFERROR(VLOOKUP(C968,TRAOPE!$G:$H,2,0),"")</f>
        <v/>
      </c>
      <c r="E968" s="8" t="inlineStr">
        <is>
          <t>DW70</t>
        </is>
      </c>
      <c r="F968" s="8" t="inlineStr">
        <is>
          <t>D098</t>
        </is>
      </c>
      <c r="G968" s="8">
        <f>IFERROR(VLOOKUP(A968,Flete!$A:$E,5,0),"")</f>
        <v/>
      </c>
      <c r="H968" s="7">
        <f>IFERROR(VLOOKUP(F968,TRAOPE!$AA:$AB,2,0),"")</f>
        <v/>
      </c>
      <c r="I968" s="7" t="n">
        <v>10161192</v>
      </c>
      <c r="J968" s="7">
        <f>IFERROR(VLOOKUP(I968,Materiales!$A:$H,8,0),"")</f>
        <v/>
      </c>
      <c r="K968" s="9">
        <f>IFERROR(VLOOKUP(I968,Materiales!$A:$G,7,0),"")</f>
        <v/>
      </c>
      <c r="L968" s="8" t="inlineStr">
        <is>
          <t>20230501</t>
        </is>
      </c>
      <c r="M968" s="8" t="inlineStr">
        <is>
          <t>20250131</t>
        </is>
      </c>
      <c r="N968" s="10" t="n">
        <v>295.64</v>
      </c>
      <c r="O968" s="10">
        <f>IFERROR(VLOOKUP(A968,Flete!$A:$J,10,0),"")</f>
        <v/>
      </c>
      <c r="P968" s="8" t="inlineStr">
        <is>
          <t>TN</t>
        </is>
      </c>
      <c r="Q968" s="10">
        <f>IFERROR(IFERROR(VLOOKUP(A968,TRAOPE!$A:$U,21,0),VLOOKUP(B968,TRAOPE!$A:$U,21,0)),"")</f>
        <v/>
      </c>
      <c r="R968" s="8">
        <f>IFERROR(IFERROR(VLOOKUP(A968,TRAOPE!$A:$W,23,0),VLOOKUP(B968,TRAOPE!$A:$W,23,0)),"")</f>
        <v/>
      </c>
      <c r="S968" s="10">
        <f>IF(AND(P968="TN",R968="TN"),N968+N(O968),IF(G968&amp;""="1",N(K968)*N968,(N968+N(O968))*N(K968)))</f>
        <v/>
      </c>
      <c r="T968" s="10">
        <f>IF(Q968="","",Q968-S968)</f>
        <v/>
      </c>
    </row>
    <row r="969">
      <c r="A969" s="7">
        <f>CONCATENATE(C969,E969,F969,I969)</f>
        <v/>
      </c>
      <c r="B969" s="7">
        <f>CONCATENATE(C969,E969,I969)</f>
        <v/>
      </c>
      <c r="C969" s="8" t="n">
        <v>900005705</v>
      </c>
      <c r="D969" s="7">
        <f>IFERROR(VLOOKUP(C969,TRAOPE!$G:$H,2,0),"")</f>
        <v/>
      </c>
      <c r="E969" s="8" t="inlineStr">
        <is>
          <t>DW70</t>
        </is>
      </c>
      <c r="F969" s="8" t="inlineStr">
        <is>
          <t>D105</t>
        </is>
      </c>
      <c r="G969" s="8">
        <f>IFERROR(VLOOKUP(A969,Flete!$A:$E,5,0),"")</f>
        <v/>
      </c>
      <c r="H969" s="7">
        <f>IFERROR(VLOOKUP(F969,TRAOPE!$AA:$AB,2,0),"")</f>
        <v/>
      </c>
      <c r="I969" s="7" t="n">
        <v>10000811</v>
      </c>
      <c r="J969" s="7">
        <f>IFERROR(VLOOKUP(I969,Materiales!$A:$H,8,0),"")</f>
        <v/>
      </c>
      <c r="K969" s="9">
        <f>IFERROR(VLOOKUP(I969,Materiales!$A:$G,7,0),"")</f>
        <v/>
      </c>
      <c r="L969" s="8" t="inlineStr">
        <is>
          <t>20230501</t>
        </is>
      </c>
      <c r="M969" s="8" t="inlineStr">
        <is>
          <t>20250131</t>
        </is>
      </c>
      <c r="N969" s="10" t="n">
        <v>252.37</v>
      </c>
      <c r="O969" s="10">
        <f>IFERROR(VLOOKUP(A969,Flete!$A:$J,10,0),"")</f>
        <v/>
      </c>
      <c r="P969" s="8" t="inlineStr">
        <is>
          <t>TN</t>
        </is>
      </c>
      <c r="Q969" s="10">
        <f>IFERROR(IFERROR(VLOOKUP(A969,TRAOPE!$A:$U,21,0),VLOOKUP(B969,TRAOPE!$A:$U,21,0)),"")</f>
        <v/>
      </c>
      <c r="R969" s="8">
        <f>IFERROR(IFERROR(VLOOKUP(A969,TRAOPE!$A:$W,23,0),VLOOKUP(B969,TRAOPE!$A:$W,23,0)),"")</f>
        <v/>
      </c>
      <c r="S969" s="10">
        <f>IF(AND(P969="TN",R969="TN"),N969+N(O969),IF(G969&amp;""="1",N(K969)*N969,(N969+N(O969))*N(K969)))</f>
        <v/>
      </c>
      <c r="T969" s="10">
        <f>IF(Q969="","",Q969-S969)</f>
        <v/>
      </c>
    </row>
    <row r="970">
      <c r="A970" s="7">
        <f>CONCATENATE(C970,E970,F970,I970)</f>
        <v/>
      </c>
      <c r="B970" s="7">
        <f>CONCATENATE(C970,E970,I970)</f>
        <v/>
      </c>
      <c r="C970" s="8" t="n">
        <v>900005705</v>
      </c>
      <c r="D970" s="7">
        <f>IFERROR(VLOOKUP(C970,TRAOPE!$G:$H,2,0),"")</f>
        <v/>
      </c>
      <c r="E970" s="8" t="inlineStr">
        <is>
          <t>DW70</t>
        </is>
      </c>
      <c r="F970" s="8" t="inlineStr">
        <is>
          <t>D105</t>
        </is>
      </c>
      <c r="G970" s="8">
        <f>IFERROR(VLOOKUP(A970,Flete!$A:$E,5,0),"")</f>
        <v/>
      </c>
      <c r="H970" s="7">
        <f>IFERROR(VLOOKUP(F970,TRAOPE!$AA:$AB,2,0),"")</f>
        <v/>
      </c>
      <c r="I970" s="7" t="n">
        <v>10161192</v>
      </c>
      <c r="J970" s="7">
        <f>IFERROR(VLOOKUP(I970,Materiales!$A:$H,8,0),"")</f>
        <v/>
      </c>
      <c r="K970" s="9">
        <f>IFERROR(VLOOKUP(I970,Materiales!$A:$G,7,0),"")</f>
        <v/>
      </c>
      <c r="L970" s="8" t="inlineStr">
        <is>
          <t>20230501</t>
        </is>
      </c>
      <c r="M970" s="8" t="inlineStr">
        <is>
          <t>20250131</t>
        </is>
      </c>
      <c r="N970" s="10" t="n">
        <v>295.64</v>
      </c>
      <c r="O970" s="10">
        <f>IFERROR(VLOOKUP(A970,Flete!$A:$J,10,0),"")</f>
        <v/>
      </c>
      <c r="P970" s="8" t="inlineStr">
        <is>
          <t>TN</t>
        </is>
      </c>
      <c r="Q970" s="10">
        <f>IFERROR(IFERROR(VLOOKUP(A970,TRAOPE!$A:$U,21,0),VLOOKUP(B970,TRAOPE!$A:$U,21,0)),"")</f>
        <v/>
      </c>
      <c r="R970" s="8">
        <f>IFERROR(IFERROR(VLOOKUP(A970,TRAOPE!$A:$W,23,0),VLOOKUP(B970,TRAOPE!$A:$W,23,0)),"")</f>
        <v/>
      </c>
      <c r="S970" s="10">
        <f>IF(AND(P970="TN",R970="TN"),N970+N(O970),IF(G970&amp;""="1",N(K970)*N970,(N970+N(O970))*N(K970)))</f>
        <v/>
      </c>
      <c r="T970" s="10">
        <f>IF(Q970="","",Q970-S970)</f>
        <v/>
      </c>
    </row>
    <row r="971">
      <c r="A971" s="7">
        <f>CONCATENATE(C971,E971,F971,I971)</f>
        <v/>
      </c>
      <c r="B971" s="7">
        <f>CONCATENATE(C971,E971,I971)</f>
        <v/>
      </c>
      <c r="C971" s="8" t="n">
        <v>900005705</v>
      </c>
      <c r="D971" s="7">
        <f>IFERROR(VLOOKUP(C971,TRAOPE!$G:$H,2,0),"")</f>
        <v/>
      </c>
      <c r="E971" s="8" t="inlineStr">
        <is>
          <t>DW70</t>
        </is>
      </c>
      <c r="F971" s="8" t="inlineStr">
        <is>
          <t>D111</t>
        </is>
      </c>
      <c r="G971" s="8">
        <f>IFERROR(VLOOKUP(A971,Flete!$A:$E,5,0),"")</f>
        <v/>
      </c>
      <c r="H971" s="7">
        <f>IFERROR(VLOOKUP(F971,TRAOPE!$AA:$AB,2,0),"")</f>
        <v/>
      </c>
      <c r="I971" s="7" t="n">
        <v>10000811</v>
      </c>
      <c r="J971" s="7">
        <f>IFERROR(VLOOKUP(I971,Materiales!$A:$H,8,0),"")</f>
        <v/>
      </c>
      <c r="K971" s="9">
        <f>IFERROR(VLOOKUP(I971,Materiales!$A:$G,7,0),"")</f>
        <v/>
      </c>
      <c r="L971" s="8" t="inlineStr">
        <is>
          <t>20230501</t>
        </is>
      </c>
      <c r="M971" s="8" t="inlineStr">
        <is>
          <t>20250131</t>
        </is>
      </c>
      <c r="N971" s="10" t="n">
        <v>252.37</v>
      </c>
      <c r="O971" s="10">
        <f>IFERROR(VLOOKUP(A971,Flete!$A:$J,10,0),"")</f>
        <v/>
      </c>
      <c r="P971" s="8" t="inlineStr">
        <is>
          <t>TN</t>
        </is>
      </c>
      <c r="Q971" s="10">
        <f>IFERROR(IFERROR(VLOOKUP(A971,TRAOPE!$A:$U,21,0),VLOOKUP(B971,TRAOPE!$A:$U,21,0)),"")</f>
        <v/>
      </c>
      <c r="R971" s="8">
        <f>IFERROR(IFERROR(VLOOKUP(A971,TRAOPE!$A:$W,23,0),VLOOKUP(B971,TRAOPE!$A:$W,23,0)),"")</f>
        <v/>
      </c>
      <c r="S971" s="10">
        <f>IF(AND(P971="TN",R971="TN"),N971+N(O971),IF(G971&amp;""="1",N(K971)*N971,(N971+N(O971))*N(K971)))</f>
        <v/>
      </c>
      <c r="T971" s="10">
        <f>IF(Q971="","",Q971-S971)</f>
        <v/>
      </c>
    </row>
    <row r="972">
      <c r="A972" s="7">
        <f>CONCATENATE(C972,E972,F972,I972)</f>
        <v/>
      </c>
      <c r="B972" s="7">
        <f>CONCATENATE(C972,E972,I972)</f>
        <v/>
      </c>
      <c r="C972" s="8" t="n">
        <v>900005705</v>
      </c>
      <c r="D972" s="7">
        <f>IFERROR(VLOOKUP(C972,TRAOPE!$G:$H,2,0),"")</f>
        <v/>
      </c>
      <c r="E972" s="8" t="inlineStr">
        <is>
          <t>DW70</t>
        </is>
      </c>
      <c r="F972" s="8" t="inlineStr">
        <is>
          <t>D111</t>
        </is>
      </c>
      <c r="G972" s="8">
        <f>IFERROR(VLOOKUP(A972,Flete!$A:$E,5,0),"")</f>
        <v/>
      </c>
      <c r="H972" s="7">
        <f>IFERROR(VLOOKUP(F972,TRAOPE!$AA:$AB,2,0),"")</f>
        <v/>
      </c>
      <c r="I972" s="7" t="n">
        <v>10161192</v>
      </c>
      <c r="J972" s="7">
        <f>IFERROR(VLOOKUP(I972,Materiales!$A:$H,8,0),"")</f>
        <v/>
      </c>
      <c r="K972" s="9">
        <f>IFERROR(VLOOKUP(I972,Materiales!$A:$G,7,0),"")</f>
        <v/>
      </c>
      <c r="L972" s="8" t="inlineStr">
        <is>
          <t>20230501</t>
        </is>
      </c>
      <c r="M972" s="8" t="inlineStr">
        <is>
          <t>20250131</t>
        </is>
      </c>
      <c r="N972" s="10" t="n">
        <v>295.64</v>
      </c>
      <c r="O972" s="10">
        <f>IFERROR(VLOOKUP(A972,Flete!$A:$J,10,0),"")</f>
        <v/>
      </c>
      <c r="P972" s="8" t="inlineStr">
        <is>
          <t>TN</t>
        </is>
      </c>
      <c r="Q972" s="10">
        <f>IFERROR(IFERROR(VLOOKUP(A972,TRAOPE!$A:$U,21,0),VLOOKUP(B972,TRAOPE!$A:$U,21,0)),"")</f>
        <v/>
      </c>
      <c r="R972" s="8">
        <f>IFERROR(IFERROR(VLOOKUP(A972,TRAOPE!$A:$W,23,0),VLOOKUP(B972,TRAOPE!$A:$W,23,0)),"")</f>
        <v/>
      </c>
      <c r="S972" s="10">
        <f>IF(AND(P972="TN",R972="TN"),N972+N(O972),IF(G972&amp;""="1",N(K972)*N972,(N972+N(O972))*N(K972)))</f>
        <v/>
      </c>
      <c r="T972" s="10">
        <f>IF(Q972="","",Q972-S972)</f>
        <v/>
      </c>
    </row>
    <row r="973">
      <c r="A973" s="7">
        <f>CONCATENATE(C973,E973,F973,I973)</f>
        <v/>
      </c>
      <c r="B973" s="7">
        <f>CONCATENATE(C973,E973,I973)</f>
        <v/>
      </c>
      <c r="C973" s="8" t="n">
        <v>900005705</v>
      </c>
      <c r="D973" s="7">
        <f>IFERROR(VLOOKUP(C973,TRAOPE!$G:$H,2,0),"")</f>
        <v/>
      </c>
      <c r="E973" s="8" t="inlineStr">
        <is>
          <t>DW70</t>
        </is>
      </c>
      <c r="F973" s="8" t="inlineStr">
        <is>
          <t>D136</t>
        </is>
      </c>
      <c r="G973" s="8">
        <f>IFERROR(VLOOKUP(A973,Flete!$A:$E,5,0),"")</f>
        <v/>
      </c>
      <c r="H973" s="7">
        <f>IFERROR(VLOOKUP(F973,TRAOPE!$AA:$AB,2,0),"")</f>
        <v/>
      </c>
      <c r="I973" s="7" t="n">
        <v>10000811</v>
      </c>
      <c r="J973" s="7">
        <f>IFERROR(VLOOKUP(I973,Materiales!$A:$H,8,0),"")</f>
        <v/>
      </c>
      <c r="K973" s="9">
        <f>IFERROR(VLOOKUP(I973,Materiales!$A:$G,7,0),"")</f>
        <v/>
      </c>
      <c r="L973" s="8" t="inlineStr">
        <is>
          <t>20230501</t>
        </is>
      </c>
      <c r="M973" s="8" t="inlineStr">
        <is>
          <t>20250131</t>
        </is>
      </c>
      <c r="N973" s="10" t="n">
        <v>252.37</v>
      </c>
      <c r="O973" s="10">
        <f>IFERROR(VLOOKUP(A973,Flete!$A:$J,10,0),"")</f>
        <v/>
      </c>
      <c r="P973" s="8" t="inlineStr">
        <is>
          <t>TN</t>
        </is>
      </c>
      <c r="Q973" s="10">
        <f>IFERROR(IFERROR(VLOOKUP(A973,TRAOPE!$A:$U,21,0),VLOOKUP(B973,TRAOPE!$A:$U,21,0)),"")</f>
        <v/>
      </c>
      <c r="R973" s="8">
        <f>IFERROR(IFERROR(VLOOKUP(A973,TRAOPE!$A:$W,23,0),VLOOKUP(B973,TRAOPE!$A:$W,23,0)),"")</f>
        <v/>
      </c>
      <c r="S973" s="10">
        <f>IF(AND(P973="TN",R973="TN"),N973+N(O973),IF(G973&amp;""="1",N(K973)*N973,(N973+N(O973))*N(K973)))</f>
        <v/>
      </c>
      <c r="T973" s="10">
        <f>IF(Q973="","",Q973-S973)</f>
        <v/>
      </c>
    </row>
    <row r="974">
      <c r="A974" s="7">
        <f>CONCATENATE(C974,E974,F974,I974)</f>
        <v/>
      </c>
      <c r="B974" s="7">
        <f>CONCATENATE(C974,E974,I974)</f>
        <v/>
      </c>
      <c r="C974" s="8" t="n">
        <v>900005705</v>
      </c>
      <c r="D974" s="7">
        <f>IFERROR(VLOOKUP(C974,TRAOPE!$G:$H,2,0),"")</f>
        <v/>
      </c>
      <c r="E974" s="8" t="inlineStr">
        <is>
          <t>DW70</t>
        </is>
      </c>
      <c r="F974" s="8" t="inlineStr">
        <is>
          <t>D136</t>
        </is>
      </c>
      <c r="G974" s="8">
        <f>IFERROR(VLOOKUP(A974,Flete!$A:$E,5,0),"")</f>
        <v/>
      </c>
      <c r="H974" s="7">
        <f>IFERROR(VLOOKUP(F974,TRAOPE!$AA:$AB,2,0),"")</f>
        <v/>
      </c>
      <c r="I974" s="7" t="n">
        <v>10161192</v>
      </c>
      <c r="J974" s="7">
        <f>IFERROR(VLOOKUP(I974,Materiales!$A:$H,8,0),"")</f>
        <v/>
      </c>
      <c r="K974" s="9">
        <f>IFERROR(VLOOKUP(I974,Materiales!$A:$G,7,0),"")</f>
        <v/>
      </c>
      <c r="L974" s="8" t="inlineStr">
        <is>
          <t>20230501</t>
        </is>
      </c>
      <c r="M974" s="8" t="inlineStr">
        <is>
          <t>20250131</t>
        </is>
      </c>
      <c r="N974" s="10" t="n">
        <v>295.64</v>
      </c>
      <c r="O974" s="10">
        <f>IFERROR(VLOOKUP(A974,Flete!$A:$J,10,0),"")</f>
        <v/>
      </c>
      <c r="P974" s="8" t="inlineStr">
        <is>
          <t>TN</t>
        </is>
      </c>
      <c r="Q974" s="10">
        <f>IFERROR(IFERROR(VLOOKUP(A974,TRAOPE!$A:$U,21,0),VLOOKUP(B974,TRAOPE!$A:$U,21,0)),"")</f>
        <v/>
      </c>
      <c r="R974" s="8">
        <f>IFERROR(IFERROR(VLOOKUP(A974,TRAOPE!$A:$W,23,0),VLOOKUP(B974,TRAOPE!$A:$W,23,0)),"")</f>
        <v/>
      </c>
      <c r="S974" s="10">
        <f>IF(AND(P974="TN",R974="TN"),N974+N(O974),IF(G974&amp;""="1",N(K974)*N974,(N974+N(O974))*N(K974)))</f>
        <v/>
      </c>
      <c r="T974" s="10">
        <f>IF(Q974="","",Q974-S974)</f>
        <v/>
      </c>
    </row>
    <row r="975">
      <c r="A975" s="7">
        <f>CONCATENATE(C975,E975,F975,I975)</f>
        <v/>
      </c>
      <c r="B975" s="7">
        <f>CONCATENATE(C975,E975,I975)</f>
        <v/>
      </c>
      <c r="C975" s="8" t="n">
        <v>900005705</v>
      </c>
      <c r="D975" s="7">
        <f>IFERROR(VLOOKUP(C975,TRAOPE!$G:$H,2,0),"")</f>
        <v/>
      </c>
      <c r="E975" s="8" t="inlineStr">
        <is>
          <t>DW70</t>
        </is>
      </c>
      <c r="F975" s="8" t="inlineStr">
        <is>
          <t>D136</t>
        </is>
      </c>
      <c r="G975" s="8">
        <f>IFERROR(VLOOKUP(A975,Flete!$A:$E,5,0),"")</f>
        <v/>
      </c>
      <c r="H975" s="7">
        <f>IFERROR(VLOOKUP(F975,TRAOPE!$AA:$AB,2,0),"")</f>
        <v/>
      </c>
      <c r="I975" s="7" t="n">
        <v>10161492</v>
      </c>
      <c r="J975" s="7">
        <f>IFERROR(VLOOKUP(I975,Materiales!$A:$H,8,0),"")</f>
        <v/>
      </c>
      <c r="K975" s="9">
        <f>IFERROR(VLOOKUP(I975,Materiales!$A:$G,7,0),"")</f>
        <v/>
      </c>
      <c r="L975" s="8" t="inlineStr">
        <is>
          <t>20230501</t>
        </is>
      </c>
      <c r="M975" s="8" t="inlineStr">
        <is>
          <t>20250131</t>
        </is>
      </c>
      <c r="N975" s="10" t="n">
        <v>184.72</v>
      </c>
      <c r="O975" s="10">
        <f>IFERROR(VLOOKUP(A975,Flete!$A:$J,10,0),"")</f>
        <v/>
      </c>
      <c r="P975" s="8" t="inlineStr">
        <is>
          <t>TN</t>
        </is>
      </c>
      <c r="Q975" s="10">
        <f>IFERROR(IFERROR(VLOOKUP(A975,TRAOPE!$A:$U,21,0),VLOOKUP(B975,TRAOPE!$A:$U,21,0)),"")</f>
        <v/>
      </c>
      <c r="R975" s="8">
        <f>IFERROR(IFERROR(VLOOKUP(A975,TRAOPE!$A:$W,23,0),VLOOKUP(B975,TRAOPE!$A:$W,23,0)),"")</f>
        <v/>
      </c>
      <c r="S975" s="10">
        <f>IF(AND(P975="TN",R975="TN"),N975+N(O975),IF(G975&amp;""="1",N(K975)*N975,(N975+N(O975))*N(K975)))</f>
        <v/>
      </c>
      <c r="T975" s="10">
        <f>IF(Q975="","",Q975-S975)</f>
        <v/>
      </c>
    </row>
    <row r="976">
      <c r="A976" s="7">
        <f>CONCATENATE(C976,E976,F976,I976)</f>
        <v/>
      </c>
      <c r="B976" s="7">
        <f>CONCATENATE(C976,E976,I976)</f>
        <v/>
      </c>
      <c r="C976" s="8" t="n">
        <v>900005705</v>
      </c>
      <c r="D976" s="7">
        <f>IFERROR(VLOOKUP(C976,TRAOPE!$G:$H,2,0),"")</f>
        <v/>
      </c>
      <c r="E976" s="8" t="inlineStr">
        <is>
          <t>DW70</t>
        </is>
      </c>
      <c r="F976" s="8" t="inlineStr">
        <is>
          <t>D145</t>
        </is>
      </c>
      <c r="G976" s="8">
        <f>IFERROR(VLOOKUP(A976,Flete!$A:$E,5,0),"")</f>
        <v/>
      </c>
      <c r="H976" s="7">
        <f>IFERROR(VLOOKUP(F976,TRAOPE!$AA:$AB,2,0),"")</f>
        <v/>
      </c>
      <c r="I976" s="7" t="n">
        <v>10000811</v>
      </c>
      <c r="J976" s="7">
        <f>IFERROR(VLOOKUP(I976,Materiales!$A:$H,8,0),"")</f>
        <v/>
      </c>
      <c r="K976" s="9">
        <f>IFERROR(VLOOKUP(I976,Materiales!$A:$G,7,0),"")</f>
        <v/>
      </c>
      <c r="L976" s="8" t="inlineStr">
        <is>
          <t>20230501</t>
        </is>
      </c>
      <c r="M976" s="8" t="inlineStr">
        <is>
          <t>20250131</t>
        </is>
      </c>
      <c r="N976" s="10" t="n">
        <v>252.37</v>
      </c>
      <c r="O976" s="10">
        <f>IFERROR(VLOOKUP(A976,Flete!$A:$J,10,0),"")</f>
        <v/>
      </c>
      <c r="P976" s="8" t="inlineStr">
        <is>
          <t>TN</t>
        </is>
      </c>
      <c r="Q976" s="10">
        <f>IFERROR(IFERROR(VLOOKUP(A976,TRAOPE!$A:$U,21,0),VLOOKUP(B976,TRAOPE!$A:$U,21,0)),"")</f>
        <v/>
      </c>
      <c r="R976" s="8">
        <f>IFERROR(IFERROR(VLOOKUP(A976,TRAOPE!$A:$W,23,0),VLOOKUP(B976,TRAOPE!$A:$W,23,0)),"")</f>
        <v/>
      </c>
      <c r="S976" s="10">
        <f>IF(AND(P976="TN",R976="TN"),N976+N(O976),IF(G976&amp;""="1",N(K976)*N976,(N976+N(O976))*N(K976)))</f>
        <v/>
      </c>
      <c r="T976" s="10">
        <f>IF(Q976="","",Q976-S976)</f>
        <v/>
      </c>
    </row>
    <row r="977">
      <c r="A977" s="7">
        <f>CONCATENATE(C977,E977,F977,I977)</f>
        <v/>
      </c>
      <c r="B977" s="7">
        <f>CONCATENATE(C977,E977,I977)</f>
        <v/>
      </c>
      <c r="C977" s="8" t="n">
        <v>900005705</v>
      </c>
      <c r="D977" s="7">
        <f>IFERROR(VLOOKUP(C977,TRAOPE!$G:$H,2,0),"")</f>
        <v/>
      </c>
      <c r="E977" s="8" t="inlineStr">
        <is>
          <t>DW70</t>
        </is>
      </c>
      <c r="F977" s="8" t="inlineStr">
        <is>
          <t>D145</t>
        </is>
      </c>
      <c r="G977" s="8">
        <f>IFERROR(VLOOKUP(A977,Flete!$A:$E,5,0),"")</f>
        <v/>
      </c>
      <c r="H977" s="7">
        <f>IFERROR(VLOOKUP(F977,TRAOPE!$AA:$AB,2,0),"")</f>
        <v/>
      </c>
      <c r="I977" s="7" t="n">
        <v>10161192</v>
      </c>
      <c r="J977" s="7">
        <f>IFERROR(VLOOKUP(I977,Materiales!$A:$H,8,0),"")</f>
        <v/>
      </c>
      <c r="K977" s="9">
        <f>IFERROR(VLOOKUP(I977,Materiales!$A:$G,7,0),"")</f>
        <v/>
      </c>
      <c r="L977" s="8" t="inlineStr">
        <is>
          <t>20230501</t>
        </is>
      </c>
      <c r="M977" s="8" t="inlineStr">
        <is>
          <t>20250131</t>
        </is>
      </c>
      <c r="N977" s="10" t="n">
        <v>295.64</v>
      </c>
      <c r="O977" s="10">
        <f>IFERROR(VLOOKUP(A977,Flete!$A:$J,10,0),"")</f>
        <v/>
      </c>
      <c r="P977" s="8" t="inlineStr">
        <is>
          <t>TN</t>
        </is>
      </c>
      <c r="Q977" s="10">
        <f>IFERROR(IFERROR(VLOOKUP(A977,TRAOPE!$A:$U,21,0),VLOOKUP(B977,TRAOPE!$A:$U,21,0)),"")</f>
        <v/>
      </c>
      <c r="R977" s="8">
        <f>IFERROR(IFERROR(VLOOKUP(A977,TRAOPE!$A:$W,23,0),VLOOKUP(B977,TRAOPE!$A:$W,23,0)),"")</f>
        <v/>
      </c>
      <c r="S977" s="10">
        <f>IF(AND(P977="TN",R977="TN"),N977+N(O977),IF(G977&amp;""="1",N(K977)*N977,(N977+N(O977))*N(K977)))</f>
        <v/>
      </c>
      <c r="T977" s="10">
        <f>IF(Q977="","",Q977-S977)</f>
        <v/>
      </c>
    </row>
    <row r="978">
      <c r="A978" s="7">
        <f>CONCATENATE(C978,E978,F978,I978)</f>
        <v/>
      </c>
      <c r="B978" s="7">
        <f>CONCATENATE(C978,E978,I978)</f>
        <v/>
      </c>
      <c r="C978" s="8" t="n">
        <v>900005713</v>
      </c>
      <c r="D978" s="7">
        <f>IFERROR(VLOOKUP(C978,TRAOPE!$G:$H,2,0),"")</f>
        <v/>
      </c>
      <c r="E978" s="8" t="inlineStr">
        <is>
          <t>DW70</t>
        </is>
      </c>
      <c r="F978" s="8" t="inlineStr">
        <is>
          <t>D084</t>
        </is>
      </c>
      <c r="G978" s="8">
        <f>IFERROR(VLOOKUP(A978,Flete!$A:$E,5,0),"")</f>
        <v/>
      </c>
      <c r="H978" s="7">
        <f>IFERROR(VLOOKUP(F978,TRAOPE!$AA:$AB,2,0),"")</f>
        <v/>
      </c>
      <c r="I978" s="7" t="n">
        <v>10000722</v>
      </c>
      <c r="J978" s="7">
        <f>IFERROR(VLOOKUP(I978,Materiales!$A:$H,8,0),"")</f>
        <v/>
      </c>
      <c r="K978" s="9">
        <f>IFERROR(VLOOKUP(I978,Materiales!$A:$G,7,0),"")</f>
        <v/>
      </c>
      <c r="L978" s="8" t="inlineStr">
        <is>
          <t>20230501</t>
        </is>
      </c>
      <c r="M978" s="8" t="inlineStr">
        <is>
          <t>20250131</t>
        </is>
      </c>
      <c r="N978" s="10" t="n">
        <v>93.56999999999999</v>
      </c>
      <c r="O978" s="10">
        <f>IFERROR(VLOOKUP(A978,Flete!$A:$J,10,0),"")</f>
        <v/>
      </c>
      <c r="P978" s="8" t="inlineStr">
        <is>
          <t>TN</t>
        </is>
      </c>
      <c r="Q978" s="10">
        <f>IFERROR(IFERROR(VLOOKUP(A978,TRAOPE!$A:$U,21,0),VLOOKUP(B978,TRAOPE!$A:$U,21,0)),"")</f>
        <v/>
      </c>
      <c r="R978" s="8">
        <f>IFERROR(IFERROR(VLOOKUP(A978,TRAOPE!$A:$W,23,0),VLOOKUP(B978,TRAOPE!$A:$W,23,0)),"")</f>
        <v/>
      </c>
      <c r="S978" s="10">
        <f>IF(AND(P978="TN",R978="TN"),N978+N(O978),IF(G978&amp;""="1",N(K978)*N978,(N978+N(O978))*N(K978)))</f>
        <v/>
      </c>
      <c r="T978" s="10">
        <f>IF(Q978="","",Q978-S978)</f>
        <v/>
      </c>
    </row>
    <row r="979">
      <c r="A979" s="7">
        <f>CONCATENATE(C979,E979,F979,I979)</f>
        <v/>
      </c>
      <c r="B979" s="7">
        <f>CONCATENATE(C979,E979,I979)</f>
        <v/>
      </c>
      <c r="C979" s="8" t="n">
        <v>900005713</v>
      </c>
      <c r="D979" s="7">
        <f>IFERROR(VLOOKUP(C979,TRAOPE!$G:$H,2,0),"")</f>
        <v/>
      </c>
      <c r="E979" s="8" t="inlineStr">
        <is>
          <t>DW70</t>
        </is>
      </c>
      <c r="F979" s="8" t="inlineStr">
        <is>
          <t>D084</t>
        </is>
      </c>
      <c r="G979" s="8">
        <f>IFERROR(VLOOKUP(A979,Flete!$A:$E,5,0),"")</f>
        <v/>
      </c>
      <c r="H979" s="7">
        <f>IFERROR(VLOOKUP(F979,TRAOPE!$AA:$AB,2,0),"")</f>
        <v/>
      </c>
      <c r="I979" s="7" t="n">
        <v>10156061</v>
      </c>
      <c r="J979" s="7">
        <f>IFERROR(VLOOKUP(I979,Materiales!$A:$H,8,0),"")</f>
        <v/>
      </c>
      <c r="K979" s="9">
        <f>IFERROR(VLOOKUP(I979,Materiales!$A:$G,7,0),"")</f>
        <v/>
      </c>
      <c r="L979" s="8" t="inlineStr">
        <is>
          <t>20230501</t>
        </is>
      </c>
      <c r="M979" s="8" t="inlineStr">
        <is>
          <t>20250131</t>
        </is>
      </c>
      <c r="N979" s="10" t="n">
        <v>104.03</v>
      </c>
      <c r="O979" s="10">
        <f>IFERROR(VLOOKUP(A979,Flete!$A:$J,10,0),"")</f>
        <v/>
      </c>
      <c r="P979" s="8" t="inlineStr">
        <is>
          <t>TN</t>
        </is>
      </c>
      <c r="Q979" s="10">
        <f>IFERROR(IFERROR(VLOOKUP(A979,TRAOPE!$A:$U,21,0),VLOOKUP(B979,TRAOPE!$A:$U,21,0)),"")</f>
        <v/>
      </c>
      <c r="R979" s="8">
        <f>IFERROR(IFERROR(VLOOKUP(A979,TRAOPE!$A:$W,23,0),VLOOKUP(B979,TRAOPE!$A:$W,23,0)),"")</f>
        <v/>
      </c>
      <c r="S979" s="10">
        <f>IF(AND(P979="TN",R979="TN"),N979+N(O979),IF(G979&amp;""="1",N(K979)*N979,(N979+N(O979))*N(K979)))</f>
        <v/>
      </c>
      <c r="T979" s="10">
        <f>IF(Q979="","",Q979-S979)</f>
        <v/>
      </c>
    </row>
    <row r="980">
      <c r="A980" s="7">
        <f>CONCATENATE(C980,E980,F980,I980)</f>
        <v/>
      </c>
      <c r="B980" s="7">
        <f>CONCATENATE(C980,E980,I980)</f>
        <v/>
      </c>
      <c r="C980" s="8" t="n">
        <v>900005713</v>
      </c>
      <c r="D980" s="7">
        <f>IFERROR(VLOOKUP(C980,TRAOPE!$G:$H,2,0),"")</f>
        <v/>
      </c>
      <c r="E980" s="8" t="inlineStr">
        <is>
          <t>DW70</t>
        </is>
      </c>
      <c r="F980" s="8" t="inlineStr">
        <is>
          <t>D086</t>
        </is>
      </c>
      <c r="G980" s="8">
        <f>IFERROR(VLOOKUP(A980,Flete!$A:$E,5,0),"")</f>
        <v/>
      </c>
      <c r="H980" s="7">
        <f>IFERROR(VLOOKUP(F980,TRAOPE!$AA:$AB,2,0),"")</f>
        <v/>
      </c>
      <c r="I980" s="7" t="n">
        <v>10000722</v>
      </c>
      <c r="J980" s="7">
        <f>IFERROR(VLOOKUP(I980,Materiales!$A:$H,8,0),"")</f>
        <v/>
      </c>
      <c r="K980" s="9">
        <f>IFERROR(VLOOKUP(I980,Materiales!$A:$G,7,0),"")</f>
        <v/>
      </c>
      <c r="L980" s="8" t="inlineStr">
        <is>
          <t>20230501</t>
        </is>
      </c>
      <c r="M980" s="8" t="inlineStr">
        <is>
          <t>20250131</t>
        </is>
      </c>
      <c r="N980" s="10" t="n">
        <v>93.56999999999999</v>
      </c>
      <c r="O980" s="10">
        <f>IFERROR(VLOOKUP(A980,Flete!$A:$J,10,0),"")</f>
        <v/>
      </c>
      <c r="P980" s="8" t="inlineStr">
        <is>
          <t>TN</t>
        </is>
      </c>
      <c r="Q980" s="10">
        <f>IFERROR(IFERROR(VLOOKUP(A980,TRAOPE!$A:$U,21,0),VLOOKUP(B980,TRAOPE!$A:$U,21,0)),"")</f>
        <v/>
      </c>
      <c r="R980" s="8">
        <f>IFERROR(IFERROR(VLOOKUP(A980,TRAOPE!$A:$W,23,0),VLOOKUP(B980,TRAOPE!$A:$W,23,0)),"")</f>
        <v/>
      </c>
      <c r="S980" s="10">
        <f>IF(AND(P980="TN",R980="TN"),N980+N(O980),IF(G980&amp;""="1",N(K980)*N980,(N980+N(O980))*N(K980)))</f>
        <v/>
      </c>
      <c r="T980" s="10">
        <f>IF(Q980="","",Q980-S980)</f>
        <v/>
      </c>
    </row>
    <row r="981">
      <c r="A981" s="7">
        <f>CONCATENATE(C981,E981,F981,I981)</f>
        <v/>
      </c>
      <c r="B981" s="7">
        <f>CONCATENATE(C981,E981,I981)</f>
        <v/>
      </c>
      <c r="C981" s="8" t="n">
        <v>900005713</v>
      </c>
      <c r="D981" s="7">
        <f>IFERROR(VLOOKUP(C981,TRAOPE!$G:$H,2,0),"")</f>
        <v/>
      </c>
      <c r="E981" s="8" t="inlineStr">
        <is>
          <t>DW70</t>
        </is>
      </c>
      <c r="F981" s="8" t="inlineStr">
        <is>
          <t>D086</t>
        </is>
      </c>
      <c r="G981" s="8">
        <f>IFERROR(VLOOKUP(A981,Flete!$A:$E,5,0),"")</f>
        <v/>
      </c>
      <c r="H981" s="7">
        <f>IFERROR(VLOOKUP(F981,TRAOPE!$AA:$AB,2,0),"")</f>
        <v/>
      </c>
      <c r="I981" s="7" t="n">
        <v>10156061</v>
      </c>
      <c r="J981" s="7">
        <f>IFERROR(VLOOKUP(I981,Materiales!$A:$H,8,0),"")</f>
        <v/>
      </c>
      <c r="K981" s="9">
        <f>IFERROR(VLOOKUP(I981,Materiales!$A:$G,7,0),"")</f>
        <v/>
      </c>
      <c r="L981" s="8" t="inlineStr">
        <is>
          <t>20230501</t>
        </is>
      </c>
      <c r="M981" s="8" t="inlineStr">
        <is>
          <t>20250131</t>
        </is>
      </c>
      <c r="N981" s="10" t="n">
        <v>104.03</v>
      </c>
      <c r="O981" s="10">
        <f>IFERROR(VLOOKUP(A981,Flete!$A:$J,10,0),"")</f>
        <v/>
      </c>
      <c r="P981" s="8" t="inlineStr">
        <is>
          <t>TN</t>
        </is>
      </c>
      <c r="Q981" s="10">
        <f>IFERROR(IFERROR(VLOOKUP(A981,TRAOPE!$A:$U,21,0),VLOOKUP(B981,TRAOPE!$A:$U,21,0)),"")</f>
        <v/>
      </c>
      <c r="R981" s="8">
        <f>IFERROR(IFERROR(VLOOKUP(A981,TRAOPE!$A:$W,23,0),VLOOKUP(B981,TRAOPE!$A:$W,23,0)),"")</f>
        <v/>
      </c>
      <c r="S981" s="10">
        <f>IF(AND(P981="TN",R981="TN"),N981+N(O981),IF(G981&amp;""="1",N(K981)*N981,(N981+N(O981))*N(K981)))</f>
        <v/>
      </c>
      <c r="T981" s="10">
        <f>IF(Q981="","",Q981-S981)</f>
        <v/>
      </c>
    </row>
    <row r="982">
      <c r="A982" s="7">
        <f>CONCATENATE(C982,E982,F982,I982)</f>
        <v/>
      </c>
      <c r="B982" s="7">
        <f>CONCATENATE(C982,E982,I982)</f>
        <v/>
      </c>
      <c r="C982" s="8" t="n">
        <v>900005713</v>
      </c>
      <c r="D982" s="7">
        <f>IFERROR(VLOOKUP(C982,TRAOPE!$G:$H,2,0),"")</f>
        <v/>
      </c>
      <c r="E982" s="8" t="inlineStr">
        <is>
          <t>DW70</t>
        </is>
      </c>
      <c r="F982" s="8" t="inlineStr">
        <is>
          <t>D145</t>
        </is>
      </c>
      <c r="G982" s="8">
        <f>IFERROR(VLOOKUP(A982,Flete!$A:$E,5,0),"")</f>
        <v/>
      </c>
      <c r="H982" s="7">
        <f>IFERROR(VLOOKUP(F982,TRAOPE!$AA:$AB,2,0),"")</f>
        <v/>
      </c>
      <c r="I982" s="7" t="n">
        <v>10000722</v>
      </c>
      <c r="J982" s="7">
        <f>IFERROR(VLOOKUP(I982,Materiales!$A:$H,8,0),"")</f>
        <v/>
      </c>
      <c r="K982" s="9">
        <f>IFERROR(VLOOKUP(I982,Materiales!$A:$G,7,0),"")</f>
        <v/>
      </c>
      <c r="L982" s="8" t="inlineStr">
        <is>
          <t>20230501</t>
        </is>
      </c>
      <c r="M982" s="8" t="inlineStr">
        <is>
          <t>20250131</t>
        </is>
      </c>
      <c r="N982" s="10" t="n">
        <v>93.56999999999999</v>
      </c>
      <c r="O982" s="10">
        <f>IFERROR(VLOOKUP(A982,Flete!$A:$J,10,0),"")</f>
        <v/>
      </c>
      <c r="P982" s="8" t="inlineStr">
        <is>
          <t>TN</t>
        </is>
      </c>
      <c r="Q982" s="10">
        <f>IFERROR(IFERROR(VLOOKUP(A982,TRAOPE!$A:$U,21,0),VLOOKUP(B982,TRAOPE!$A:$U,21,0)),"")</f>
        <v/>
      </c>
      <c r="R982" s="8">
        <f>IFERROR(IFERROR(VLOOKUP(A982,TRAOPE!$A:$W,23,0),VLOOKUP(B982,TRAOPE!$A:$W,23,0)),"")</f>
        <v/>
      </c>
      <c r="S982" s="10">
        <f>IF(AND(P982="TN",R982="TN"),N982+N(O982),IF(G982&amp;""="1",N(K982)*N982,(N982+N(O982))*N(K982)))</f>
        <v/>
      </c>
      <c r="T982" s="10">
        <f>IF(Q982="","",Q982-S982)</f>
        <v/>
      </c>
    </row>
    <row r="983">
      <c r="A983" s="7">
        <f>CONCATENATE(C983,E983,F983,I983)</f>
        <v/>
      </c>
      <c r="B983" s="7">
        <f>CONCATENATE(C983,E983,I983)</f>
        <v/>
      </c>
      <c r="C983" s="8" t="n">
        <v>900005713</v>
      </c>
      <c r="D983" s="7">
        <f>IFERROR(VLOOKUP(C983,TRAOPE!$G:$H,2,0),"")</f>
        <v/>
      </c>
      <c r="E983" s="8" t="inlineStr">
        <is>
          <t>DW70</t>
        </is>
      </c>
      <c r="F983" s="8" t="inlineStr">
        <is>
          <t>D145</t>
        </is>
      </c>
      <c r="G983" s="8">
        <f>IFERROR(VLOOKUP(A983,Flete!$A:$E,5,0),"")</f>
        <v/>
      </c>
      <c r="H983" s="7">
        <f>IFERROR(VLOOKUP(F983,TRAOPE!$AA:$AB,2,0),"")</f>
        <v/>
      </c>
      <c r="I983" s="7" t="n">
        <v>10156061</v>
      </c>
      <c r="J983" s="7">
        <f>IFERROR(VLOOKUP(I983,Materiales!$A:$H,8,0),"")</f>
        <v/>
      </c>
      <c r="K983" s="9">
        <f>IFERROR(VLOOKUP(I983,Materiales!$A:$G,7,0),"")</f>
        <v/>
      </c>
      <c r="L983" s="8" t="inlineStr">
        <is>
          <t>20230501</t>
        </is>
      </c>
      <c r="M983" s="8" t="inlineStr">
        <is>
          <t>20250131</t>
        </is>
      </c>
      <c r="N983" s="10" t="n">
        <v>104.03</v>
      </c>
      <c r="O983" s="10">
        <f>IFERROR(VLOOKUP(A983,Flete!$A:$J,10,0),"")</f>
        <v/>
      </c>
      <c r="P983" s="8" t="inlineStr">
        <is>
          <t>TN</t>
        </is>
      </c>
      <c r="Q983" s="10">
        <f>IFERROR(IFERROR(VLOOKUP(A983,TRAOPE!$A:$U,21,0),VLOOKUP(B983,TRAOPE!$A:$U,21,0)),"")</f>
        <v/>
      </c>
      <c r="R983" s="8">
        <f>IFERROR(IFERROR(VLOOKUP(A983,TRAOPE!$A:$W,23,0),VLOOKUP(B983,TRAOPE!$A:$W,23,0)),"")</f>
        <v/>
      </c>
      <c r="S983" s="10">
        <f>IF(AND(P983="TN",R983="TN"),N983+N(O983),IF(G983&amp;""="1",N(K983)*N983,(N983+N(O983))*N(K983)))</f>
        <v/>
      </c>
      <c r="T983" s="10">
        <f>IF(Q983="","",Q983-S983)</f>
        <v/>
      </c>
    </row>
    <row r="984">
      <c r="A984" s="7">
        <f>CONCATENATE(C984,E984,F984,I984)</f>
        <v/>
      </c>
      <c r="B984" s="7">
        <f>CONCATENATE(C984,E984,I984)</f>
        <v/>
      </c>
      <c r="C984" s="8" t="n">
        <v>900005730</v>
      </c>
      <c r="D984" s="7">
        <f>IFERROR(VLOOKUP(C984,TRAOPE!$G:$H,2,0),"")</f>
        <v/>
      </c>
      <c r="E984" s="8" t="inlineStr">
        <is>
          <t>DW70</t>
        </is>
      </c>
      <c r="F984" s="8" t="inlineStr">
        <is>
          <t>ENAS</t>
        </is>
      </c>
      <c r="G984" s="8">
        <f>IFERROR(VLOOKUP(A984,Flete!$A:$E,5,0),"")</f>
        <v/>
      </c>
      <c r="H984" s="7">
        <f>IFERROR(VLOOKUP(F984,TRAOPE!$AA:$AB,2,0),"")</f>
        <v/>
      </c>
      <c r="I984" s="7" t="n">
        <v>10000649</v>
      </c>
      <c r="J984" s="7">
        <f>IFERROR(VLOOKUP(I984,Materiales!$A:$H,8,0),"")</f>
        <v/>
      </c>
      <c r="K984" s="9">
        <f>IFERROR(VLOOKUP(I984,Materiales!$A:$G,7,0),"")</f>
        <v/>
      </c>
      <c r="L984" s="8" t="inlineStr">
        <is>
          <t>20260507</t>
        </is>
      </c>
      <c r="M984" s="8" t="inlineStr">
        <is>
          <t>99991231</t>
        </is>
      </c>
      <c r="N984" s="10" t="n">
        <v>93.37</v>
      </c>
      <c r="O984" s="10">
        <f>IFERROR(VLOOKUP(A984,Flete!$A:$J,10,0),"")</f>
        <v/>
      </c>
      <c r="P984" s="8" t="inlineStr">
        <is>
          <t>TN</t>
        </is>
      </c>
      <c r="Q984" s="10">
        <f>IFERROR(IFERROR(VLOOKUP(A984,TRAOPE!$A:$U,21,0),VLOOKUP(B984,TRAOPE!$A:$U,21,0)),"")</f>
        <v/>
      </c>
      <c r="R984" s="8">
        <f>IFERROR(IFERROR(VLOOKUP(A984,TRAOPE!$A:$W,23,0),VLOOKUP(B984,TRAOPE!$A:$W,23,0)),"")</f>
        <v/>
      </c>
      <c r="S984" s="10">
        <f>IF(AND(P984="TN",R984="TN"),N984+N(O984),IF(G984&amp;""="1",N(K984)*N984,(N984+N(O984))*N(K984)))</f>
        <v/>
      </c>
      <c r="T984" s="10">
        <f>IF(Q984="","",Q984-S984)</f>
        <v/>
      </c>
    </row>
    <row r="985">
      <c r="A985" s="7">
        <f>CONCATENATE(C985,E985,F985,I985)</f>
        <v/>
      </c>
      <c r="B985" s="7">
        <f>CONCATENATE(C985,E985,I985)</f>
        <v/>
      </c>
      <c r="C985" s="8" t="n">
        <v>900005730</v>
      </c>
      <c r="D985" s="7">
        <f>IFERROR(VLOOKUP(C985,TRAOPE!$G:$H,2,0),"")</f>
        <v/>
      </c>
      <c r="E985" s="8" t="inlineStr">
        <is>
          <t>DW70</t>
        </is>
      </c>
      <c r="F985" s="8" t="inlineStr">
        <is>
          <t>ENAS</t>
        </is>
      </c>
      <c r="G985" s="8">
        <f>IFERROR(VLOOKUP(A985,Flete!$A:$E,5,0),"")</f>
        <v/>
      </c>
      <c r="H985" s="7">
        <f>IFERROR(VLOOKUP(F985,TRAOPE!$AA:$AB,2,0),"")</f>
        <v/>
      </c>
      <c r="I985" s="7" t="n">
        <v>10185476</v>
      </c>
      <c r="J985" s="7">
        <f>IFERROR(VLOOKUP(I985,Materiales!$A:$H,8,0),"")</f>
        <v/>
      </c>
      <c r="K985" s="9">
        <f>IFERROR(VLOOKUP(I985,Materiales!$A:$G,7,0),"")</f>
        <v/>
      </c>
      <c r="L985" s="8" t="inlineStr">
        <is>
          <t>20250701</t>
        </is>
      </c>
      <c r="M985" s="8" t="inlineStr">
        <is>
          <t>99991231</t>
        </is>
      </c>
      <c r="N985" s="10" t="n">
        <v>78.25</v>
      </c>
      <c r="O985" s="10">
        <f>IFERROR(VLOOKUP(A985,Flete!$A:$J,10,0),"")</f>
        <v/>
      </c>
      <c r="P985" s="8" t="inlineStr">
        <is>
          <t>TN</t>
        </is>
      </c>
      <c r="Q985" s="10">
        <f>IFERROR(IFERROR(VLOOKUP(A985,TRAOPE!$A:$U,21,0),VLOOKUP(B985,TRAOPE!$A:$U,21,0)),"")</f>
        <v/>
      </c>
      <c r="R985" s="8">
        <f>IFERROR(IFERROR(VLOOKUP(A985,TRAOPE!$A:$W,23,0),VLOOKUP(B985,TRAOPE!$A:$W,23,0)),"")</f>
        <v/>
      </c>
      <c r="S985" s="10">
        <f>IF(AND(P985="TN",R985="TN"),N985+N(O985),IF(G985&amp;""="1",N(K985)*N985,(N985+N(O985))*N(K985)))</f>
        <v/>
      </c>
      <c r="T985" s="10">
        <f>IF(Q985="","",Q985-S985)</f>
        <v/>
      </c>
    </row>
    <row r="986">
      <c r="A986" s="7">
        <f>CONCATENATE(C986,E986,F986,I986)</f>
        <v/>
      </c>
      <c r="B986" s="7">
        <f>CONCATENATE(C986,E986,I986)</f>
        <v/>
      </c>
      <c r="C986" s="8" t="n">
        <v>900005730</v>
      </c>
      <c r="D986" s="7">
        <f>IFERROR(VLOOKUP(C986,TRAOPE!$G:$H,2,0),"")</f>
        <v/>
      </c>
      <c r="E986" s="8" t="inlineStr">
        <is>
          <t>DW70</t>
        </is>
      </c>
      <c r="F986" s="8" t="inlineStr">
        <is>
          <t>ENAS</t>
        </is>
      </c>
      <c r="G986" s="8">
        <f>IFERROR(VLOOKUP(A986,Flete!$A:$E,5,0),"")</f>
        <v/>
      </c>
      <c r="H986" s="7">
        <f>IFERROR(VLOOKUP(F986,TRAOPE!$AA:$AB,2,0),"")</f>
        <v/>
      </c>
      <c r="I986" s="7" t="n">
        <v>10216851</v>
      </c>
      <c r="J986" s="7">
        <f>IFERROR(VLOOKUP(I986,Materiales!$A:$H,8,0),"")</f>
        <v/>
      </c>
      <c r="K986" s="9">
        <f>IFERROR(VLOOKUP(I986,Materiales!$A:$G,7,0),"")</f>
        <v/>
      </c>
      <c r="L986" s="8" t="inlineStr">
        <is>
          <t>20250701</t>
        </is>
      </c>
      <c r="M986" s="8" t="inlineStr">
        <is>
          <t>99991231</t>
        </is>
      </c>
      <c r="N986" s="10" t="n">
        <v>44.04</v>
      </c>
      <c r="O986" s="10">
        <f>IFERROR(VLOOKUP(A986,Flete!$A:$J,10,0),"")</f>
        <v/>
      </c>
      <c r="P986" s="8" t="inlineStr">
        <is>
          <t>TN</t>
        </is>
      </c>
      <c r="Q986" s="10">
        <f>IFERROR(IFERROR(VLOOKUP(A986,TRAOPE!$A:$U,21,0),VLOOKUP(B986,TRAOPE!$A:$U,21,0)),"")</f>
        <v/>
      </c>
      <c r="R986" s="8">
        <f>IFERROR(IFERROR(VLOOKUP(A986,TRAOPE!$A:$W,23,0),VLOOKUP(B986,TRAOPE!$A:$W,23,0)),"")</f>
        <v/>
      </c>
      <c r="S986" s="10">
        <f>IF(AND(P986="TN",R986="TN"),N986+N(O986),IF(G986&amp;""="1",N(K986)*N986,(N986+N(O986))*N(K986)))</f>
        <v/>
      </c>
      <c r="T986" s="10">
        <f>IF(Q986="","",Q986-S986)</f>
        <v/>
      </c>
    </row>
    <row r="987">
      <c r="A987" s="7">
        <f>CONCATENATE(C987,E987,F987,I987)</f>
        <v/>
      </c>
      <c r="B987" s="7">
        <f>CONCATENATE(C987,E987,I987)</f>
        <v/>
      </c>
      <c r="C987" s="8" t="n">
        <v>900005730</v>
      </c>
      <c r="D987" s="7">
        <f>IFERROR(VLOOKUP(C987,TRAOPE!$G:$H,2,0),"")</f>
        <v/>
      </c>
      <c r="E987" s="8" t="inlineStr">
        <is>
          <t>DW70</t>
        </is>
      </c>
      <c r="F987" s="8" t="inlineStr">
        <is>
          <t>ENAW</t>
        </is>
      </c>
      <c r="G987" s="8">
        <f>IFERROR(VLOOKUP(A987,Flete!$A:$E,5,0),"")</f>
        <v/>
      </c>
      <c r="H987" s="7">
        <f>IFERROR(VLOOKUP(F987,TRAOPE!$AA:$AB,2,0),"")</f>
        <v/>
      </c>
      <c r="I987" s="7" t="n">
        <v>10000357</v>
      </c>
      <c r="J987" s="7">
        <f>IFERROR(VLOOKUP(I987,Materiales!$A:$H,8,0),"")</f>
        <v/>
      </c>
      <c r="K987" s="9">
        <f>IFERROR(VLOOKUP(I987,Materiales!$A:$G,7,0),"")</f>
        <v/>
      </c>
      <c r="L987" s="8" t="inlineStr">
        <is>
          <t>20250701</t>
        </is>
      </c>
      <c r="M987" s="8" t="inlineStr">
        <is>
          <t>99991231</t>
        </is>
      </c>
      <c r="N987" s="10" t="n">
        <v>206.64</v>
      </c>
      <c r="O987" s="10">
        <f>IFERROR(VLOOKUP(A987,Flete!$A:$J,10,0),"")</f>
        <v/>
      </c>
      <c r="P987" s="8" t="inlineStr">
        <is>
          <t>TN</t>
        </is>
      </c>
      <c r="Q987" s="10">
        <f>IFERROR(IFERROR(VLOOKUP(A987,TRAOPE!$A:$U,21,0),VLOOKUP(B987,TRAOPE!$A:$U,21,0)),"")</f>
        <v/>
      </c>
      <c r="R987" s="8">
        <f>IFERROR(IFERROR(VLOOKUP(A987,TRAOPE!$A:$W,23,0),VLOOKUP(B987,TRAOPE!$A:$W,23,0)),"")</f>
        <v/>
      </c>
      <c r="S987" s="10">
        <f>IF(AND(P987="TN",R987="TN"),N987+N(O987),IF(G987&amp;""="1",N(K987)*N987,(N987+N(O987))*N(K987)))</f>
        <v/>
      </c>
      <c r="T987" s="10">
        <f>IF(Q987="","",Q987-S987)</f>
        <v/>
      </c>
    </row>
    <row r="988">
      <c r="A988" s="7">
        <f>CONCATENATE(C988,E988,F988,I988)</f>
        <v/>
      </c>
      <c r="B988" s="7">
        <f>CONCATENATE(C988,E988,I988)</f>
        <v/>
      </c>
      <c r="C988" s="8" t="n">
        <v>900005730</v>
      </c>
      <c r="D988" s="7">
        <f>IFERROR(VLOOKUP(C988,TRAOPE!$G:$H,2,0),"")</f>
        <v/>
      </c>
      <c r="E988" s="8" t="inlineStr">
        <is>
          <t>DW70</t>
        </is>
      </c>
      <c r="F988" s="8" t="inlineStr">
        <is>
          <t>ENAW</t>
        </is>
      </c>
      <c r="G988" s="8">
        <f>IFERROR(VLOOKUP(A988,Flete!$A:$E,5,0),"")</f>
        <v/>
      </c>
      <c r="H988" s="7">
        <f>IFERROR(VLOOKUP(F988,TRAOPE!$AA:$AB,2,0),"")</f>
        <v/>
      </c>
      <c r="I988" s="7" t="n">
        <v>10185476</v>
      </c>
      <c r="J988" s="7">
        <f>IFERROR(VLOOKUP(I988,Materiales!$A:$H,8,0),"")</f>
        <v/>
      </c>
      <c r="K988" s="9">
        <f>IFERROR(VLOOKUP(I988,Materiales!$A:$G,7,0),"")</f>
        <v/>
      </c>
      <c r="L988" s="8" t="inlineStr">
        <is>
          <t>20250701</t>
        </is>
      </c>
      <c r="M988" s="8" t="inlineStr">
        <is>
          <t>99991231</t>
        </is>
      </c>
      <c r="N988" s="10" t="n">
        <v>143.2</v>
      </c>
      <c r="O988" s="10">
        <f>IFERROR(VLOOKUP(A988,Flete!$A:$J,10,0),"")</f>
        <v/>
      </c>
      <c r="P988" s="8" t="inlineStr">
        <is>
          <t>TN</t>
        </is>
      </c>
      <c r="Q988" s="10">
        <f>IFERROR(IFERROR(VLOOKUP(A988,TRAOPE!$A:$U,21,0),VLOOKUP(B988,TRAOPE!$A:$U,21,0)),"")</f>
        <v/>
      </c>
      <c r="R988" s="8">
        <f>IFERROR(IFERROR(VLOOKUP(A988,TRAOPE!$A:$W,23,0),VLOOKUP(B988,TRAOPE!$A:$W,23,0)),"")</f>
        <v/>
      </c>
      <c r="S988" s="10">
        <f>IF(AND(P988="TN",R988="TN"),N988+N(O988),IF(G988&amp;""="1",N(K988)*N988,(N988+N(O988))*N(K988)))</f>
        <v/>
      </c>
      <c r="T988" s="10">
        <f>IF(Q988="","",Q988-S988)</f>
        <v/>
      </c>
    </row>
    <row r="989">
      <c r="A989" s="7">
        <f>CONCATENATE(C989,E989,F989,I989)</f>
        <v/>
      </c>
      <c r="B989" s="7">
        <f>CONCATENATE(C989,E989,I989)</f>
        <v/>
      </c>
      <c r="C989" s="8" t="n">
        <v>900005730</v>
      </c>
      <c r="D989" s="7">
        <f>IFERROR(VLOOKUP(C989,TRAOPE!$G:$H,2,0),"")</f>
        <v/>
      </c>
      <c r="E989" s="8" t="inlineStr">
        <is>
          <t>DW70</t>
        </is>
      </c>
      <c r="F989" s="8" t="inlineStr">
        <is>
          <t>ENDB</t>
        </is>
      </c>
      <c r="G989" s="8">
        <f>IFERROR(VLOOKUP(A989,Flete!$A:$E,5,0),"")</f>
        <v/>
      </c>
      <c r="H989" s="7">
        <f>IFERROR(VLOOKUP(F989,TRAOPE!$AA:$AB,2,0),"")</f>
        <v/>
      </c>
      <c r="I989" s="7" t="n">
        <v>10000160</v>
      </c>
      <c r="J989" s="7">
        <f>IFERROR(VLOOKUP(I989,Materiales!$A:$H,8,0),"")</f>
        <v/>
      </c>
      <c r="K989" s="9">
        <f>IFERROR(VLOOKUP(I989,Materiales!$A:$G,7,0),"")</f>
        <v/>
      </c>
      <c r="L989" s="8" t="inlineStr">
        <is>
          <t>20250701</t>
        </is>
      </c>
      <c r="M989" s="8" t="inlineStr">
        <is>
          <t>99991231</t>
        </is>
      </c>
      <c r="N989" s="10" t="n">
        <v>355.57</v>
      </c>
      <c r="O989" s="10">
        <f>IFERROR(VLOOKUP(A989,Flete!$A:$J,10,0),"")</f>
        <v/>
      </c>
      <c r="P989" s="8" t="inlineStr">
        <is>
          <t>TN</t>
        </is>
      </c>
      <c r="Q989" s="10">
        <f>IFERROR(IFERROR(VLOOKUP(A989,TRAOPE!$A:$U,21,0),VLOOKUP(B989,TRAOPE!$A:$U,21,0)),"")</f>
        <v/>
      </c>
      <c r="R989" s="8">
        <f>IFERROR(IFERROR(VLOOKUP(A989,TRAOPE!$A:$W,23,0),VLOOKUP(B989,TRAOPE!$A:$W,23,0)),"")</f>
        <v/>
      </c>
      <c r="S989" s="10">
        <f>IF(AND(P989="TN",R989="TN"),N989+N(O989),IF(G989&amp;""="1",N(K989)*N989,(N989+N(O989))*N(K989)))</f>
        <v/>
      </c>
      <c r="T989" s="10">
        <f>IF(Q989="","",Q989-S989)</f>
        <v/>
      </c>
    </row>
    <row r="990">
      <c r="A990" s="7">
        <f>CONCATENATE(C990,E990,F990,I990)</f>
        <v/>
      </c>
      <c r="B990" s="7">
        <f>CONCATENATE(C990,E990,I990)</f>
        <v/>
      </c>
      <c r="C990" s="8" t="n">
        <v>900005730</v>
      </c>
      <c r="D990" s="7">
        <f>IFERROR(VLOOKUP(C990,TRAOPE!$G:$H,2,0),"")</f>
        <v/>
      </c>
      <c r="E990" s="8" t="inlineStr">
        <is>
          <t>DW70</t>
        </is>
      </c>
      <c r="F990" s="8" t="inlineStr">
        <is>
          <t>ENDB</t>
        </is>
      </c>
      <c r="G990" s="8">
        <f>IFERROR(VLOOKUP(A990,Flete!$A:$E,5,0),"")</f>
        <v/>
      </c>
      <c r="H990" s="7">
        <f>IFERROR(VLOOKUP(F990,TRAOPE!$AA:$AB,2,0),"")</f>
        <v/>
      </c>
      <c r="I990" s="7" t="n">
        <v>10000357</v>
      </c>
      <c r="J990" s="7">
        <f>IFERROR(VLOOKUP(I990,Materiales!$A:$H,8,0),"")</f>
        <v/>
      </c>
      <c r="K990" s="9">
        <f>IFERROR(VLOOKUP(I990,Materiales!$A:$G,7,0),"")</f>
        <v/>
      </c>
      <c r="L990" s="8" t="inlineStr">
        <is>
          <t>20250701</t>
        </is>
      </c>
      <c r="M990" s="8" t="inlineStr">
        <is>
          <t>99991231</t>
        </is>
      </c>
      <c r="N990" s="10" t="n">
        <v>398.19</v>
      </c>
      <c r="O990" s="10">
        <f>IFERROR(VLOOKUP(A990,Flete!$A:$J,10,0),"")</f>
        <v/>
      </c>
      <c r="P990" s="8" t="inlineStr">
        <is>
          <t>TN</t>
        </is>
      </c>
      <c r="Q990" s="10">
        <f>IFERROR(IFERROR(VLOOKUP(A990,TRAOPE!$A:$U,21,0),VLOOKUP(B990,TRAOPE!$A:$U,21,0)),"")</f>
        <v/>
      </c>
      <c r="R990" s="8">
        <f>IFERROR(IFERROR(VLOOKUP(A990,TRAOPE!$A:$W,23,0),VLOOKUP(B990,TRAOPE!$A:$W,23,0)),"")</f>
        <v/>
      </c>
      <c r="S990" s="10">
        <f>IF(AND(P990="TN",R990="TN"),N990+N(O990),IF(G990&amp;""="1",N(K990)*N990,(N990+N(O990))*N(K990)))</f>
        <v/>
      </c>
      <c r="T990" s="10">
        <f>IF(Q990="","",Q990-S990)</f>
        <v/>
      </c>
    </row>
    <row r="991">
      <c r="A991" s="7">
        <f>CONCATENATE(C991,E991,F991,I991)</f>
        <v/>
      </c>
      <c r="B991" s="7">
        <f>CONCATENATE(C991,E991,I991)</f>
        <v/>
      </c>
      <c r="C991" s="8" t="n">
        <v>900005730</v>
      </c>
      <c r="D991" s="7">
        <f>IFERROR(VLOOKUP(C991,TRAOPE!$G:$H,2,0),"")</f>
        <v/>
      </c>
      <c r="E991" s="8" t="inlineStr">
        <is>
          <t>DW70</t>
        </is>
      </c>
      <c r="F991" s="8" t="inlineStr">
        <is>
          <t>ENDC</t>
        </is>
      </c>
      <c r="G991" s="8">
        <f>IFERROR(VLOOKUP(A991,Flete!$A:$E,5,0),"")</f>
        <v/>
      </c>
      <c r="H991" s="7">
        <f>IFERROR(VLOOKUP(F991,TRAOPE!$AA:$AB,2,0),"")</f>
        <v/>
      </c>
      <c r="I991" s="7" t="n">
        <v>10000357</v>
      </c>
      <c r="J991" s="7">
        <f>IFERROR(VLOOKUP(I991,Materiales!$A:$H,8,0),"")</f>
        <v/>
      </c>
      <c r="K991" s="9">
        <f>IFERROR(VLOOKUP(I991,Materiales!$A:$G,7,0),"")</f>
        <v/>
      </c>
      <c r="L991" s="8" t="inlineStr">
        <is>
          <t>20260507</t>
        </is>
      </c>
      <c r="M991" s="8" t="inlineStr">
        <is>
          <t>99991231</t>
        </is>
      </c>
      <c r="N991" s="10" t="n">
        <v>186.61</v>
      </c>
      <c r="O991" s="10">
        <f>IFERROR(VLOOKUP(A991,Flete!$A:$J,10,0),"")</f>
        <v/>
      </c>
      <c r="P991" s="8" t="inlineStr">
        <is>
          <t>TN</t>
        </is>
      </c>
      <c r="Q991" s="10">
        <f>IFERROR(IFERROR(VLOOKUP(A991,TRAOPE!$A:$U,21,0),VLOOKUP(B991,TRAOPE!$A:$U,21,0)),"")</f>
        <v/>
      </c>
      <c r="R991" s="8">
        <f>IFERROR(IFERROR(VLOOKUP(A991,TRAOPE!$A:$W,23,0),VLOOKUP(B991,TRAOPE!$A:$W,23,0)),"")</f>
        <v/>
      </c>
      <c r="S991" s="10">
        <f>IF(AND(P991="TN",R991="TN"),N991+N(O991),IF(G991&amp;""="1",N(K991)*N991,(N991+N(O991))*N(K991)))</f>
        <v/>
      </c>
      <c r="T991" s="10">
        <f>IF(Q991="","",Q991-S991)</f>
        <v/>
      </c>
    </row>
    <row r="992">
      <c r="A992" s="7">
        <f>CONCATENATE(C992,E992,F992,I992)</f>
        <v/>
      </c>
      <c r="B992" s="7">
        <f>CONCATENATE(C992,E992,I992)</f>
        <v/>
      </c>
      <c r="C992" s="8" t="n">
        <v>900005730</v>
      </c>
      <c r="D992" s="7">
        <f>IFERROR(VLOOKUP(C992,TRAOPE!$G:$H,2,0),"")</f>
        <v/>
      </c>
      <c r="E992" s="8" t="inlineStr">
        <is>
          <t>DW70</t>
        </is>
      </c>
      <c r="F992" s="8" t="inlineStr">
        <is>
          <t>ENDC</t>
        </is>
      </c>
      <c r="G992" s="8">
        <f>IFERROR(VLOOKUP(A992,Flete!$A:$E,5,0),"")</f>
        <v/>
      </c>
      <c r="H992" s="7">
        <f>IFERROR(VLOOKUP(F992,TRAOPE!$AA:$AB,2,0),"")</f>
        <v/>
      </c>
      <c r="I992" s="7" t="n">
        <v>10185476</v>
      </c>
      <c r="J992" s="7">
        <f>IFERROR(VLOOKUP(I992,Materiales!$A:$H,8,0),"")</f>
        <v/>
      </c>
      <c r="K992" s="9">
        <f>IFERROR(VLOOKUP(I992,Materiales!$A:$G,7,0),"")</f>
        <v/>
      </c>
      <c r="L992" s="8" t="inlineStr">
        <is>
          <t>20250701</t>
        </is>
      </c>
      <c r="M992" s="8" t="inlineStr">
        <is>
          <t>99991231</t>
        </is>
      </c>
      <c r="N992" s="10" t="n">
        <v>143.2</v>
      </c>
      <c r="O992" s="10">
        <f>IFERROR(VLOOKUP(A992,Flete!$A:$J,10,0),"")</f>
        <v/>
      </c>
      <c r="P992" s="8" t="inlineStr">
        <is>
          <t>TN</t>
        </is>
      </c>
      <c r="Q992" s="10">
        <f>IFERROR(IFERROR(VLOOKUP(A992,TRAOPE!$A:$U,21,0),VLOOKUP(B992,TRAOPE!$A:$U,21,0)),"")</f>
        <v/>
      </c>
      <c r="R992" s="8">
        <f>IFERROR(IFERROR(VLOOKUP(A992,TRAOPE!$A:$W,23,0),VLOOKUP(B992,TRAOPE!$A:$W,23,0)),"")</f>
        <v/>
      </c>
      <c r="S992" s="10">
        <f>IF(AND(P992="TN",R992="TN"),N992+N(O992),IF(G992&amp;""="1",N(K992)*N992,(N992+N(O992))*N(K992)))</f>
        <v/>
      </c>
      <c r="T992" s="10">
        <f>IF(Q992="","",Q992-S992)</f>
        <v/>
      </c>
    </row>
    <row r="993">
      <c r="A993" s="7">
        <f>CONCATENATE(C993,E993,F993,I993)</f>
        <v/>
      </c>
      <c r="B993" s="7">
        <f>CONCATENATE(C993,E993,I993)</f>
        <v/>
      </c>
      <c r="C993" s="8" t="n">
        <v>900005730</v>
      </c>
      <c r="D993" s="7">
        <f>IFERROR(VLOOKUP(C993,TRAOPE!$G:$H,2,0),"")</f>
        <v/>
      </c>
      <c r="E993" s="8" t="inlineStr">
        <is>
          <t>DW70</t>
        </is>
      </c>
      <c r="F993" s="8" t="inlineStr">
        <is>
          <t>ENDC</t>
        </is>
      </c>
      <c r="G993" s="8">
        <f>IFERROR(VLOOKUP(A993,Flete!$A:$E,5,0),"")</f>
        <v/>
      </c>
      <c r="H993" s="7">
        <f>IFERROR(VLOOKUP(F993,TRAOPE!$AA:$AB,2,0),"")</f>
        <v/>
      </c>
      <c r="I993" s="7" t="n">
        <v>10191177</v>
      </c>
      <c r="J993" s="7">
        <f>IFERROR(VLOOKUP(I993,Materiales!$A:$H,8,0),"")</f>
        <v/>
      </c>
      <c r="K993" s="9">
        <f>IFERROR(VLOOKUP(I993,Materiales!$A:$G,7,0),"")</f>
        <v/>
      </c>
      <c r="L993" s="8" t="inlineStr">
        <is>
          <t>20260623</t>
        </is>
      </c>
      <c r="M993" s="8" t="inlineStr">
        <is>
          <t>99991231</t>
        </is>
      </c>
      <c r="N993" s="10" t="n">
        <v>353.85</v>
      </c>
      <c r="O993" s="10">
        <f>IFERROR(VLOOKUP(A993,Flete!$A:$J,10,0),"")</f>
        <v/>
      </c>
      <c r="P993" s="8" t="inlineStr">
        <is>
          <t>TN</t>
        </is>
      </c>
      <c r="Q993" s="10">
        <f>IFERROR(IFERROR(VLOOKUP(A993,TRAOPE!$A:$U,21,0),VLOOKUP(B993,TRAOPE!$A:$U,21,0)),"")</f>
        <v/>
      </c>
      <c r="R993" s="8">
        <f>IFERROR(IFERROR(VLOOKUP(A993,TRAOPE!$A:$W,23,0),VLOOKUP(B993,TRAOPE!$A:$W,23,0)),"")</f>
        <v/>
      </c>
      <c r="S993" s="10">
        <f>IF(AND(P993="TN",R993="TN"),N993+N(O993),IF(G993&amp;""="1",N(K993)*N993,(N993+N(O993))*N(K993)))</f>
        <v/>
      </c>
      <c r="T993" s="10">
        <f>IF(Q993="","",Q993-S993)</f>
        <v/>
      </c>
    </row>
    <row r="994">
      <c r="A994" s="7">
        <f>CONCATENATE(C994,E994,F994,I994)</f>
        <v/>
      </c>
      <c r="B994" s="7">
        <f>CONCATENATE(C994,E994,I994)</f>
        <v/>
      </c>
      <c r="C994" s="8" t="n">
        <v>900005730</v>
      </c>
      <c r="D994" s="7">
        <f>IFERROR(VLOOKUP(C994,TRAOPE!$G:$H,2,0),"")</f>
        <v/>
      </c>
      <c r="E994" s="8" t="inlineStr">
        <is>
          <t>DW70</t>
        </is>
      </c>
      <c r="F994" s="8" t="inlineStr">
        <is>
          <t>ENDC</t>
        </is>
      </c>
      <c r="G994" s="8">
        <f>IFERROR(VLOOKUP(A994,Flete!$A:$E,5,0),"")</f>
        <v/>
      </c>
      <c r="H994" s="7">
        <f>IFERROR(VLOOKUP(F994,TRAOPE!$AA:$AB,2,0),"")</f>
        <v/>
      </c>
      <c r="I994" s="7" t="n">
        <v>10217649</v>
      </c>
      <c r="J994" s="7">
        <f>IFERROR(VLOOKUP(I994,Materiales!$A:$H,8,0),"")</f>
        <v/>
      </c>
      <c r="K994" s="9">
        <f>IFERROR(VLOOKUP(I994,Materiales!$A:$G,7,0),"")</f>
        <v/>
      </c>
      <c r="L994" s="8" t="inlineStr">
        <is>
          <t>20260623</t>
        </is>
      </c>
      <c r="M994" s="8" t="inlineStr">
        <is>
          <t>99991231</t>
        </is>
      </c>
      <c r="N994" s="10" t="n">
        <v>411.54</v>
      </c>
      <c r="O994" s="10">
        <f>IFERROR(VLOOKUP(A994,Flete!$A:$J,10,0),"")</f>
        <v/>
      </c>
      <c r="P994" s="8" t="inlineStr">
        <is>
          <t>TN</t>
        </is>
      </c>
      <c r="Q994" s="10">
        <f>IFERROR(IFERROR(VLOOKUP(A994,TRAOPE!$A:$U,21,0),VLOOKUP(B994,TRAOPE!$A:$U,21,0)),"")</f>
        <v/>
      </c>
      <c r="R994" s="8">
        <f>IFERROR(IFERROR(VLOOKUP(A994,TRAOPE!$A:$W,23,0),VLOOKUP(B994,TRAOPE!$A:$W,23,0)),"")</f>
        <v/>
      </c>
      <c r="S994" s="10">
        <f>IF(AND(P994="TN",R994="TN"),N994+N(O994),IF(G994&amp;""="1",N(K994)*N994,(N994+N(O994))*N(K994)))</f>
        <v/>
      </c>
      <c r="T994" s="10">
        <f>IF(Q994="","",Q994-S994)</f>
        <v/>
      </c>
    </row>
    <row r="995">
      <c r="A995" s="7">
        <f>CONCATENATE(C995,E995,F995,I995)</f>
        <v/>
      </c>
      <c r="B995" s="7">
        <f>CONCATENATE(C995,E995,I995)</f>
        <v/>
      </c>
      <c r="C995" s="8" t="n">
        <v>900005730</v>
      </c>
      <c r="D995" s="7">
        <f>IFERROR(VLOOKUP(C995,TRAOPE!$G:$H,2,0),"")</f>
        <v/>
      </c>
      <c r="E995" s="8" t="inlineStr">
        <is>
          <t>DW70</t>
        </is>
      </c>
      <c r="F995" s="8" t="inlineStr">
        <is>
          <t>ENXF</t>
        </is>
      </c>
      <c r="G995" s="8">
        <f>IFERROR(VLOOKUP(A995,Flete!$A:$E,5,0),"")</f>
        <v/>
      </c>
      <c r="H995" s="7">
        <f>IFERROR(VLOOKUP(F995,TRAOPE!$AA:$AB,2,0),"")</f>
        <v/>
      </c>
      <c r="I995" s="7" t="n">
        <v>10000133</v>
      </c>
      <c r="J995" s="7">
        <f>IFERROR(VLOOKUP(I995,Materiales!$A:$H,8,0),"")</f>
        <v/>
      </c>
      <c r="K995" s="9">
        <f>IFERROR(VLOOKUP(I995,Materiales!$A:$G,7,0),"")</f>
        <v/>
      </c>
      <c r="L995" s="8" t="inlineStr">
        <is>
          <t>20260305</t>
        </is>
      </c>
      <c r="M995" s="8" t="inlineStr">
        <is>
          <t>20260319</t>
        </is>
      </c>
      <c r="N995" s="10" t="n">
        <v>187.67</v>
      </c>
      <c r="O995" s="10">
        <f>IFERROR(VLOOKUP(A995,Flete!$A:$J,10,0),"")</f>
        <v/>
      </c>
      <c r="P995" s="8" t="inlineStr">
        <is>
          <t>TN</t>
        </is>
      </c>
      <c r="Q995" s="10">
        <f>IFERROR(IFERROR(VLOOKUP(A995,TRAOPE!$A:$U,21,0),VLOOKUP(B995,TRAOPE!$A:$U,21,0)),"")</f>
        <v/>
      </c>
      <c r="R995" s="8">
        <f>IFERROR(IFERROR(VLOOKUP(A995,TRAOPE!$A:$W,23,0),VLOOKUP(B995,TRAOPE!$A:$W,23,0)),"")</f>
        <v/>
      </c>
      <c r="S995" s="10">
        <f>IF(AND(P995="TN",R995="TN"),N995+N(O995),IF(G995&amp;""="1",N(K995)*N995,(N995+N(O995))*N(K995)))</f>
        <v/>
      </c>
      <c r="T995" s="10">
        <f>IF(Q995="","",Q995-S995)</f>
        <v/>
      </c>
    </row>
    <row r="996">
      <c r="A996" s="7">
        <f>CONCATENATE(C996,E996,F996,I996)</f>
        <v/>
      </c>
      <c r="B996" s="7">
        <f>CONCATENATE(C996,E996,I996)</f>
        <v/>
      </c>
      <c r="C996" s="8" t="n">
        <v>900005730</v>
      </c>
      <c r="D996" s="7">
        <f>IFERROR(VLOOKUP(C996,TRAOPE!$G:$H,2,0),"")</f>
        <v/>
      </c>
      <c r="E996" s="8" t="inlineStr">
        <is>
          <t>DW70</t>
        </is>
      </c>
      <c r="F996" s="8" t="inlineStr">
        <is>
          <t>ENXF</t>
        </is>
      </c>
      <c r="G996" s="8">
        <f>IFERROR(VLOOKUP(A996,Flete!$A:$E,5,0),"")</f>
        <v/>
      </c>
      <c r="H996" s="7">
        <f>IFERROR(VLOOKUP(F996,TRAOPE!$AA:$AB,2,0),"")</f>
        <v/>
      </c>
      <c r="I996" s="7" t="n">
        <v>10000160</v>
      </c>
      <c r="J996" s="7">
        <f>IFERROR(VLOOKUP(I996,Materiales!$A:$H,8,0),"")</f>
        <v/>
      </c>
      <c r="K996" s="9">
        <f>IFERROR(VLOOKUP(I996,Materiales!$A:$G,7,0),"")</f>
        <v/>
      </c>
      <c r="L996" s="8" t="inlineStr">
        <is>
          <t>20260305</t>
        </is>
      </c>
      <c r="M996" s="8" t="inlineStr">
        <is>
          <t>99991231</t>
        </is>
      </c>
      <c r="N996" s="10" t="n">
        <v>170.33</v>
      </c>
      <c r="O996" s="10">
        <f>IFERROR(VLOOKUP(A996,Flete!$A:$J,10,0),"")</f>
        <v/>
      </c>
      <c r="P996" s="8" t="inlineStr">
        <is>
          <t>TN</t>
        </is>
      </c>
      <c r="Q996" s="10">
        <f>IFERROR(IFERROR(VLOOKUP(A996,TRAOPE!$A:$U,21,0),VLOOKUP(B996,TRAOPE!$A:$U,21,0)),"")</f>
        <v/>
      </c>
      <c r="R996" s="8">
        <f>IFERROR(IFERROR(VLOOKUP(A996,TRAOPE!$A:$W,23,0),VLOOKUP(B996,TRAOPE!$A:$W,23,0)),"")</f>
        <v/>
      </c>
      <c r="S996" s="10">
        <f>IF(AND(P996="TN",R996="TN"),N996+N(O996),IF(G996&amp;""="1",N(K996)*N996,(N996+N(O996))*N(K996)))</f>
        <v/>
      </c>
      <c r="T996" s="10">
        <f>IF(Q996="","",Q996-S996)</f>
        <v/>
      </c>
    </row>
    <row r="997">
      <c r="A997" s="7">
        <f>CONCATENATE(C997,E997,F997,I997)</f>
        <v/>
      </c>
      <c r="B997" s="7">
        <f>CONCATENATE(C997,E997,I997)</f>
        <v/>
      </c>
      <c r="C997" s="8" t="n">
        <v>900005730</v>
      </c>
      <c r="D997" s="7">
        <f>IFERROR(VLOOKUP(C997,TRAOPE!$G:$H,2,0),"")</f>
        <v/>
      </c>
      <c r="E997" s="8" t="inlineStr">
        <is>
          <t>DW70</t>
        </is>
      </c>
      <c r="F997" s="8" t="inlineStr">
        <is>
          <t>ENXF</t>
        </is>
      </c>
      <c r="G997" s="8">
        <f>IFERROR(VLOOKUP(A997,Flete!$A:$E,5,0),"")</f>
        <v/>
      </c>
      <c r="H997" s="7">
        <f>IFERROR(VLOOKUP(F997,TRAOPE!$AA:$AB,2,0),"")</f>
        <v/>
      </c>
      <c r="I997" s="7" t="n">
        <v>10000357</v>
      </c>
      <c r="J997" s="7">
        <f>IFERROR(VLOOKUP(I997,Materiales!$A:$H,8,0),"")</f>
        <v/>
      </c>
      <c r="K997" s="9">
        <f>IFERROR(VLOOKUP(I997,Materiales!$A:$G,7,0),"")</f>
        <v/>
      </c>
      <c r="L997" s="8" t="inlineStr">
        <is>
          <t>20260319</t>
        </is>
      </c>
      <c r="M997" s="8" t="inlineStr">
        <is>
          <t>99991231</t>
        </is>
      </c>
      <c r="N997" s="10" t="n">
        <v>206.64</v>
      </c>
      <c r="O997" s="10">
        <f>IFERROR(VLOOKUP(A997,Flete!$A:$J,10,0),"")</f>
        <v/>
      </c>
      <c r="P997" s="8" t="inlineStr">
        <is>
          <t>TN</t>
        </is>
      </c>
      <c r="Q997" s="10">
        <f>IFERROR(IFERROR(VLOOKUP(A997,TRAOPE!$A:$U,21,0),VLOOKUP(B997,TRAOPE!$A:$U,21,0)),"")</f>
        <v/>
      </c>
      <c r="R997" s="8">
        <f>IFERROR(IFERROR(VLOOKUP(A997,TRAOPE!$A:$W,23,0),VLOOKUP(B997,TRAOPE!$A:$W,23,0)),"")</f>
        <v/>
      </c>
      <c r="S997" s="10">
        <f>IF(AND(P997="TN",R997="TN"),N997+N(O997),IF(G997&amp;""="1",N(K997)*N997,(N997+N(O997))*N(K997)))</f>
        <v/>
      </c>
      <c r="T997" s="10">
        <f>IF(Q997="","",Q997-S997)</f>
        <v/>
      </c>
    </row>
    <row r="998">
      <c r="A998" s="7">
        <f>CONCATENATE(C998,E998,F998,I998)</f>
        <v/>
      </c>
      <c r="B998" s="7">
        <f>CONCATENATE(C998,E998,I998)</f>
        <v/>
      </c>
      <c r="C998" s="8" t="n">
        <v>900005730</v>
      </c>
      <c r="D998" s="7">
        <f>IFERROR(VLOOKUP(C998,TRAOPE!$G:$H,2,0),"")</f>
        <v/>
      </c>
      <c r="E998" s="8" t="inlineStr">
        <is>
          <t>DW70</t>
        </is>
      </c>
      <c r="F998" s="8" t="inlineStr">
        <is>
          <t>ENXF</t>
        </is>
      </c>
      <c r="G998" s="8">
        <f>IFERROR(VLOOKUP(A998,Flete!$A:$E,5,0),"")</f>
        <v/>
      </c>
      <c r="H998" s="7">
        <f>IFERROR(VLOOKUP(F998,TRAOPE!$AA:$AB,2,0),"")</f>
        <v/>
      </c>
      <c r="I998" s="7" t="n">
        <v>10000593</v>
      </c>
      <c r="J998" s="7">
        <f>IFERROR(VLOOKUP(I998,Materiales!$A:$H,8,0),"")</f>
        <v/>
      </c>
      <c r="K998" s="9">
        <f>IFERROR(VLOOKUP(I998,Materiales!$A:$G,7,0),"")</f>
        <v/>
      </c>
      <c r="L998" s="8" t="inlineStr">
        <is>
          <t>20260305</t>
        </is>
      </c>
      <c r="M998" s="8" t="inlineStr">
        <is>
          <t>99991231</t>
        </is>
      </c>
      <c r="N998" s="10" t="n">
        <v>171.43</v>
      </c>
      <c r="O998" s="10">
        <f>IFERROR(VLOOKUP(A998,Flete!$A:$J,10,0),"")</f>
        <v/>
      </c>
      <c r="P998" s="8" t="inlineStr">
        <is>
          <t>TN</t>
        </is>
      </c>
      <c r="Q998" s="10">
        <f>IFERROR(IFERROR(VLOOKUP(A998,TRAOPE!$A:$U,21,0),VLOOKUP(B998,TRAOPE!$A:$U,21,0)),"")</f>
        <v/>
      </c>
      <c r="R998" s="8">
        <f>IFERROR(IFERROR(VLOOKUP(A998,TRAOPE!$A:$W,23,0),VLOOKUP(B998,TRAOPE!$A:$W,23,0)),"")</f>
        <v/>
      </c>
      <c r="S998" s="10">
        <f>IF(AND(P998="TN",R998="TN"),N998+N(O998),IF(G998&amp;""="1",N(K998)*N998,(N998+N(O998))*N(K998)))</f>
        <v/>
      </c>
      <c r="T998" s="10">
        <f>IF(Q998="","",Q998-S998)</f>
        <v/>
      </c>
    </row>
    <row r="999">
      <c r="A999" s="7">
        <f>CONCATENATE(C999,E999,F999,I999)</f>
        <v/>
      </c>
      <c r="B999" s="7">
        <f>CONCATENATE(C999,E999,I999)</f>
        <v/>
      </c>
      <c r="C999" s="8" t="n">
        <v>900005730</v>
      </c>
      <c r="D999" s="7">
        <f>IFERROR(VLOOKUP(C999,TRAOPE!$G:$H,2,0),"")</f>
        <v/>
      </c>
      <c r="E999" s="8" t="inlineStr">
        <is>
          <t>DW70</t>
        </is>
      </c>
      <c r="F999" s="8" t="inlineStr">
        <is>
          <t>ENXF</t>
        </is>
      </c>
      <c r="G999" s="8">
        <f>IFERROR(VLOOKUP(A999,Flete!$A:$E,5,0),"")</f>
        <v/>
      </c>
      <c r="H999" s="7">
        <f>IFERROR(VLOOKUP(F999,TRAOPE!$AA:$AB,2,0),"")</f>
        <v/>
      </c>
      <c r="I999" s="7" t="n">
        <v>10146801</v>
      </c>
      <c r="J999" s="7">
        <f>IFERROR(VLOOKUP(I999,Materiales!$A:$H,8,0),"")</f>
        <v/>
      </c>
      <c r="K999" s="9">
        <f>IFERROR(VLOOKUP(I999,Materiales!$A:$G,7,0),"")</f>
        <v/>
      </c>
      <c r="L999" s="8" t="inlineStr">
        <is>
          <t>20260319</t>
        </is>
      </c>
      <c r="M999" s="8" t="inlineStr">
        <is>
          <t>99991231</t>
        </is>
      </c>
      <c r="N999" s="10" t="n">
        <v>204.17</v>
      </c>
      <c r="O999" s="10">
        <f>IFERROR(VLOOKUP(A999,Flete!$A:$J,10,0),"")</f>
        <v/>
      </c>
      <c r="P999" s="8" t="inlineStr">
        <is>
          <t>TN</t>
        </is>
      </c>
      <c r="Q999" s="10">
        <f>IFERROR(IFERROR(VLOOKUP(A999,TRAOPE!$A:$U,21,0),VLOOKUP(B999,TRAOPE!$A:$U,21,0)),"")</f>
        <v/>
      </c>
      <c r="R999" s="8">
        <f>IFERROR(IFERROR(VLOOKUP(A999,TRAOPE!$A:$W,23,0),VLOOKUP(B999,TRAOPE!$A:$W,23,0)),"")</f>
        <v/>
      </c>
      <c r="S999" s="10">
        <f>IF(AND(P999="TN",R999="TN"),N999+N(O999),IF(G999&amp;""="1",N(K999)*N999,(N999+N(O999))*N(K999)))</f>
        <v/>
      </c>
      <c r="T999" s="10">
        <f>IF(Q999="","",Q999-S999)</f>
        <v/>
      </c>
    </row>
    <row r="1000">
      <c r="A1000" s="7">
        <f>CONCATENATE(C1000,E1000,F1000,I1000)</f>
        <v/>
      </c>
      <c r="B1000" s="7">
        <f>CONCATENATE(C1000,E1000,I1000)</f>
        <v/>
      </c>
      <c r="C1000" s="8" t="n">
        <v>900005730</v>
      </c>
      <c r="D1000" s="7">
        <f>IFERROR(VLOOKUP(C1000,TRAOPE!$G:$H,2,0),"")</f>
        <v/>
      </c>
      <c r="E1000" s="8" t="inlineStr">
        <is>
          <t>DW70</t>
        </is>
      </c>
      <c r="F1000" s="8" t="inlineStr">
        <is>
          <t>ENXF</t>
        </is>
      </c>
      <c r="G1000" s="8">
        <f>IFERROR(VLOOKUP(A1000,Flete!$A:$E,5,0),"")</f>
        <v/>
      </c>
      <c r="H1000" s="7">
        <f>IFERROR(VLOOKUP(F1000,TRAOPE!$AA:$AB,2,0),"")</f>
        <v/>
      </c>
      <c r="I1000" s="7" t="n">
        <v>10268435</v>
      </c>
      <c r="J1000" s="7">
        <f>IFERROR(VLOOKUP(I1000,Materiales!$A:$H,8,0),"")</f>
        <v/>
      </c>
      <c r="K1000" s="9">
        <f>IFERROR(VLOOKUP(I1000,Materiales!$A:$G,7,0),"")</f>
        <v/>
      </c>
      <c r="L1000" s="8" t="inlineStr">
        <is>
          <t>20260305</t>
        </is>
      </c>
      <c r="M1000" s="8" t="inlineStr">
        <is>
          <t>20260319</t>
        </is>
      </c>
      <c r="N1000" s="10" t="n">
        <v>195.71</v>
      </c>
      <c r="O1000" s="10">
        <f>IFERROR(VLOOKUP(A1000,Flete!$A:$J,10,0),"")</f>
        <v/>
      </c>
      <c r="P1000" s="8" t="inlineStr">
        <is>
          <t>TN</t>
        </is>
      </c>
      <c r="Q1000" s="10">
        <f>IFERROR(IFERROR(VLOOKUP(A1000,TRAOPE!$A:$U,21,0),VLOOKUP(B1000,TRAOPE!$A:$U,21,0)),"")</f>
        <v/>
      </c>
      <c r="R1000" s="8">
        <f>IFERROR(IFERROR(VLOOKUP(A1000,TRAOPE!$A:$W,23,0),VLOOKUP(B1000,TRAOPE!$A:$W,23,0)),"")</f>
        <v/>
      </c>
      <c r="S1000" s="10">
        <f>IF(AND(P1000="TN",R1000="TN"),N1000+N(O1000),IF(G1000&amp;""="1",N(K1000)*N1000,(N1000+N(O1000))*N(K1000)))</f>
        <v/>
      </c>
      <c r="T1000" s="10">
        <f>IF(Q1000="","",Q1000-S1000)</f>
        <v/>
      </c>
    </row>
    <row r="1001">
      <c r="A1001" s="7">
        <f>CONCATENATE(C1001,E1001,F1001,I1001)</f>
        <v/>
      </c>
      <c r="B1001" s="7">
        <f>CONCATENATE(C1001,E1001,I1001)</f>
        <v/>
      </c>
      <c r="C1001" s="8" t="n">
        <v>900005784</v>
      </c>
      <c r="D1001" s="7">
        <f>IFERROR(VLOOKUP(C1001,TRAOPE!$G:$H,2,0),"")</f>
        <v/>
      </c>
      <c r="E1001" s="8" t="inlineStr">
        <is>
          <t>DW70</t>
        </is>
      </c>
      <c r="F1001" s="8" t="inlineStr">
        <is>
          <t>D077</t>
        </is>
      </c>
      <c r="G1001" s="8">
        <f>IFERROR(VLOOKUP(A1001,Flete!$A:$E,5,0),"")</f>
        <v/>
      </c>
      <c r="H1001" s="7">
        <f>IFERROR(VLOOKUP(F1001,TRAOPE!$AA:$AB,2,0),"")</f>
        <v/>
      </c>
      <c r="I1001" s="7" t="n">
        <v>10159431</v>
      </c>
      <c r="J1001" s="7">
        <f>IFERROR(VLOOKUP(I1001,Materiales!$A:$H,8,0),"")</f>
        <v/>
      </c>
      <c r="K1001" s="9">
        <f>IFERROR(VLOOKUP(I1001,Materiales!$A:$G,7,0),"")</f>
        <v/>
      </c>
      <c r="L1001" s="8" t="inlineStr">
        <is>
          <t>20230501</t>
        </is>
      </c>
      <c r="M1001" s="8" t="inlineStr">
        <is>
          <t>20250131</t>
        </is>
      </c>
      <c r="N1001" s="10" t="n">
        <v>141.94</v>
      </c>
      <c r="O1001" s="10">
        <f>IFERROR(VLOOKUP(A1001,Flete!$A:$J,10,0),"")</f>
        <v/>
      </c>
      <c r="P1001" s="8" t="inlineStr">
        <is>
          <t>TN</t>
        </is>
      </c>
      <c r="Q1001" s="10">
        <f>IFERROR(IFERROR(VLOOKUP(A1001,TRAOPE!$A:$U,21,0),VLOOKUP(B1001,TRAOPE!$A:$U,21,0)),"")</f>
        <v/>
      </c>
      <c r="R1001" s="8">
        <f>IFERROR(IFERROR(VLOOKUP(A1001,TRAOPE!$A:$W,23,0),VLOOKUP(B1001,TRAOPE!$A:$W,23,0)),"")</f>
        <v/>
      </c>
      <c r="S1001" s="10">
        <f>IF(AND(P1001="TN",R1001="TN"),N1001+N(O1001),IF(G1001&amp;""="1",N(K1001)*N1001,(N1001+N(O1001))*N(K1001)))</f>
        <v/>
      </c>
      <c r="T1001" s="10">
        <f>IF(Q1001="","",Q1001-S1001)</f>
        <v/>
      </c>
    </row>
    <row r="1002">
      <c r="A1002" s="7">
        <f>CONCATENATE(C1002,E1002,F1002,I1002)</f>
        <v/>
      </c>
      <c r="B1002" s="7">
        <f>CONCATENATE(C1002,E1002,I1002)</f>
        <v/>
      </c>
      <c r="C1002" s="8" t="n">
        <v>900005784</v>
      </c>
      <c r="D1002" s="7">
        <f>IFERROR(VLOOKUP(C1002,TRAOPE!$G:$H,2,0),"")</f>
        <v/>
      </c>
      <c r="E1002" s="8" t="inlineStr">
        <is>
          <t>DW70</t>
        </is>
      </c>
      <c r="F1002" s="8" t="inlineStr">
        <is>
          <t>D077</t>
        </is>
      </c>
      <c r="G1002" s="8">
        <f>IFERROR(VLOOKUP(A1002,Flete!$A:$E,5,0),"")</f>
        <v/>
      </c>
      <c r="H1002" s="7">
        <f>IFERROR(VLOOKUP(F1002,TRAOPE!$AA:$AB,2,0),"")</f>
        <v/>
      </c>
      <c r="I1002" s="7" t="n">
        <v>10159500</v>
      </c>
      <c r="J1002" s="7">
        <f>IFERROR(VLOOKUP(I1002,Materiales!$A:$H,8,0),"")</f>
        <v/>
      </c>
      <c r="K1002" s="9">
        <f>IFERROR(VLOOKUP(I1002,Materiales!$A:$G,7,0),"")</f>
        <v/>
      </c>
      <c r="L1002" s="8" t="inlineStr">
        <is>
          <t>20230501</t>
        </is>
      </c>
      <c r="M1002" s="8" t="inlineStr">
        <is>
          <t>20250131</t>
        </is>
      </c>
      <c r="N1002" s="10" t="n">
        <v>149.45</v>
      </c>
      <c r="O1002" s="10">
        <f>IFERROR(VLOOKUP(A1002,Flete!$A:$J,10,0),"")</f>
        <v/>
      </c>
      <c r="P1002" s="8" t="inlineStr">
        <is>
          <t>TN</t>
        </is>
      </c>
      <c r="Q1002" s="10">
        <f>IFERROR(IFERROR(VLOOKUP(A1002,TRAOPE!$A:$U,21,0),VLOOKUP(B1002,TRAOPE!$A:$U,21,0)),"")</f>
        <v/>
      </c>
      <c r="R1002" s="8">
        <f>IFERROR(IFERROR(VLOOKUP(A1002,TRAOPE!$A:$W,23,0),VLOOKUP(B1002,TRAOPE!$A:$W,23,0)),"")</f>
        <v/>
      </c>
      <c r="S1002" s="10">
        <f>IF(AND(P1002="TN",R1002="TN"),N1002+N(O1002),IF(G1002&amp;""="1",N(K1002)*N1002,(N1002+N(O1002))*N(K1002)))</f>
        <v/>
      </c>
      <c r="T1002" s="10">
        <f>IF(Q1002="","",Q1002-S1002)</f>
        <v/>
      </c>
    </row>
    <row r="1003">
      <c r="A1003" s="7">
        <f>CONCATENATE(C1003,E1003,F1003,I1003)</f>
        <v/>
      </c>
      <c r="B1003" s="7">
        <f>CONCATENATE(C1003,E1003,I1003)</f>
        <v/>
      </c>
      <c r="C1003" s="8" t="n">
        <v>900005784</v>
      </c>
      <c r="D1003" s="7">
        <f>IFERROR(VLOOKUP(C1003,TRAOPE!$G:$H,2,0),"")</f>
        <v/>
      </c>
      <c r="E1003" s="8" t="inlineStr">
        <is>
          <t>DW70</t>
        </is>
      </c>
      <c r="F1003" s="8" t="inlineStr">
        <is>
          <t>D085</t>
        </is>
      </c>
      <c r="G1003" s="8">
        <f>IFERROR(VLOOKUP(A1003,Flete!$A:$E,5,0),"")</f>
        <v/>
      </c>
      <c r="H1003" s="7">
        <f>IFERROR(VLOOKUP(F1003,TRAOPE!$AA:$AB,2,0),"")</f>
        <v/>
      </c>
      <c r="I1003" s="7" t="n">
        <v>10159431</v>
      </c>
      <c r="J1003" s="7">
        <f>IFERROR(VLOOKUP(I1003,Materiales!$A:$H,8,0),"")</f>
        <v/>
      </c>
      <c r="K1003" s="9">
        <f>IFERROR(VLOOKUP(I1003,Materiales!$A:$G,7,0),"")</f>
        <v/>
      </c>
      <c r="L1003" s="8" t="inlineStr">
        <is>
          <t>20230501</t>
        </is>
      </c>
      <c r="M1003" s="8" t="inlineStr">
        <is>
          <t>20250131</t>
        </is>
      </c>
      <c r="N1003" s="10" t="n">
        <v>141.94</v>
      </c>
      <c r="O1003" s="10">
        <f>IFERROR(VLOOKUP(A1003,Flete!$A:$J,10,0),"")</f>
        <v/>
      </c>
      <c r="P1003" s="8" t="inlineStr">
        <is>
          <t>TN</t>
        </is>
      </c>
      <c r="Q1003" s="10">
        <f>IFERROR(IFERROR(VLOOKUP(A1003,TRAOPE!$A:$U,21,0),VLOOKUP(B1003,TRAOPE!$A:$U,21,0)),"")</f>
        <v/>
      </c>
      <c r="R1003" s="8">
        <f>IFERROR(IFERROR(VLOOKUP(A1003,TRAOPE!$A:$W,23,0),VLOOKUP(B1003,TRAOPE!$A:$W,23,0)),"")</f>
        <v/>
      </c>
      <c r="S1003" s="10">
        <f>IF(AND(P1003="TN",R1003="TN"),N1003+N(O1003),IF(G1003&amp;""="1",N(K1003)*N1003,(N1003+N(O1003))*N(K1003)))</f>
        <v/>
      </c>
      <c r="T1003" s="10">
        <f>IF(Q1003="","",Q1003-S1003)</f>
        <v/>
      </c>
    </row>
    <row r="1004">
      <c r="A1004" s="7">
        <f>CONCATENATE(C1004,E1004,F1004,I1004)</f>
        <v/>
      </c>
      <c r="B1004" s="7">
        <f>CONCATENATE(C1004,E1004,I1004)</f>
        <v/>
      </c>
      <c r="C1004" s="8" t="n">
        <v>900005784</v>
      </c>
      <c r="D1004" s="7">
        <f>IFERROR(VLOOKUP(C1004,TRAOPE!$G:$H,2,0),"")</f>
        <v/>
      </c>
      <c r="E1004" s="8" t="inlineStr">
        <is>
          <t>DW70</t>
        </is>
      </c>
      <c r="F1004" s="8" t="inlineStr">
        <is>
          <t>D085</t>
        </is>
      </c>
      <c r="G1004" s="8">
        <f>IFERROR(VLOOKUP(A1004,Flete!$A:$E,5,0),"")</f>
        <v/>
      </c>
      <c r="H1004" s="7">
        <f>IFERROR(VLOOKUP(F1004,TRAOPE!$AA:$AB,2,0),"")</f>
        <v/>
      </c>
      <c r="I1004" s="7" t="n">
        <v>10159500</v>
      </c>
      <c r="J1004" s="7">
        <f>IFERROR(VLOOKUP(I1004,Materiales!$A:$H,8,0),"")</f>
        <v/>
      </c>
      <c r="K1004" s="9">
        <f>IFERROR(VLOOKUP(I1004,Materiales!$A:$G,7,0),"")</f>
        <v/>
      </c>
      <c r="L1004" s="8" t="inlineStr">
        <is>
          <t>20230501</t>
        </is>
      </c>
      <c r="M1004" s="8" t="inlineStr">
        <is>
          <t>20250131</t>
        </is>
      </c>
      <c r="N1004" s="10" t="n">
        <v>149.45</v>
      </c>
      <c r="O1004" s="10">
        <f>IFERROR(VLOOKUP(A1004,Flete!$A:$J,10,0),"")</f>
        <v/>
      </c>
      <c r="P1004" s="8" t="inlineStr">
        <is>
          <t>TN</t>
        </is>
      </c>
      <c r="Q1004" s="10">
        <f>IFERROR(IFERROR(VLOOKUP(A1004,TRAOPE!$A:$U,21,0),VLOOKUP(B1004,TRAOPE!$A:$U,21,0)),"")</f>
        <v/>
      </c>
      <c r="R1004" s="8">
        <f>IFERROR(IFERROR(VLOOKUP(A1004,TRAOPE!$A:$W,23,0),VLOOKUP(B1004,TRAOPE!$A:$W,23,0)),"")</f>
        <v/>
      </c>
      <c r="S1004" s="10">
        <f>IF(AND(P1004="TN",R1004="TN"),N1004+N(O1004),IF(G1004&amp;""="1",N(K1004)*N1004,(N1004+N(O1004))*N(K1004)))</f>
        <v/>
      </c>
      <c r="T1004" s="10">
        <f>IF(Q1004="","",Q1004-S1004)</f>
        <v/>
      </c>
    </row>
    <row r="1005">
      <c r="A1005" s="7">
        <f>CONCATENATE(C1005,E1005,F1005,I1005)</f>
        <v/>
      </c>
      <c r="B1005" s="7">
        <f>CONCATENATE(C1005,E1005,I1005)</f>
        <v/>
      </c>
      <c r="C1005" s="8" t="n">
        <v>900005974</v>
      </c>
      <c r="D1005" s="7">
        <f>IFERROR(VLOOKUP(C1005,TRAOPE!$G:$H,2,0),"")</f>
        <v/>
      </c>
      <c r="E1005" s="8" t="inlineStr">
        <is>
          <t>DW70</t>
        </is>
      </c>
      <c r="F1005" s="8" t="inlineStr">
        <is>
          <t>D074</t>
        </is>
      </c>
      <c r="G1005" s="8">
        <f>IFERROR(VLOOKUP(A1005,Flete!$A:$E,5,0),"")</f>
        <v/>
      </c>
      <c r="H1005" s="7">
        <f>IFERROR(VLOOKUP(F1005,TRAOPE!$AA:$AB,2,0),"")</f>
        <v/>
      </c>
      <c r="I1005" s="7" t="n">
        <v>10000160</v>
      </c>
      <c r="J1005" s="7">
        <f>IFERROR(VLOOKUP(I1005,Materiales!$A:$H,8,0),"")</f>
        <v/>
      </c>
      <c r="K1005" s="9">
        <f>IFERROR(VLOOKUP(I1005,Materiales!$A:$G,7,0),"")</f>
        <v/>
      </c>
      <c r="L1005" s="8" t="inlineStr">
        <is>
          <t>20260413</t>
        </is>
      </c>
      <c r="M1005" s="8" t="inlineStr">
        <is>
          <t>99991231</t>
        </is>
      </c>
      <c r="N1005" s="10" t="n">
        <v>106.46</v>
      </c>
      <c r="O1005" s="10">
        <f>IFERROR(VLOOKUP(A1005,Flete!$A:$J,10,0),"")</f>
        <v/>
      </c>
      <c r="P1005" s="8" t="inlineStr">
        <is>
          <t>TN</t>
        </is>
      </c>
      <c r="Q1005" s="10">
        <f>IFERROR(IFERROR(VLOOKUP(A1005,TRAOPE!$A:$U,21,0),VLOOKUP(B1005,TRAOPE!$A:$U,21,0)),"")</f>
        <v/>
      </c>
      <c r="R1005" s="8">
        <f>IFERROR(IFERROR(VLOOKUP(A1005,TRAOPE!$A:$W,23,0),VLOOKUP(B1005,TRAOPE!$A:$W,23,0)),"")</f>
        <v/>
      </c>
      <c r="S1005" s="10">
        <f>IF(AND(P1005="TN",R1005="TN"),N1005+N(O1005),IF(G1005&amp;""="1",N(K1005)*N1005,(N1005+N(O1005))*N(K1005)))</f>
        <v/>
      </c>
      <c r="T1005" s="10">
        <f>IF(Q1005="","",Q1005-S1005)</f>
        <v/>
      </c>
    </row>
    <row r="1006">
      <c r="A1006" s="7">
        <f>CONCATENATE(C1006,E1006,F1006,I1006)</f>
        <v/>
      </c>
      <c r="B1006" s="7">
        <f>CONCATENATE(C1006,E1006,I1006)</f>
        <v/>
      </c>
      <c r="C1006" s="8" t="n">
        <v>900005974</v>
      </c>
      <c r="D1006" s="7">
        <f>IFERROR(VLOOKUP(C1006,TRAOPE!$G:$H,2,0),"")</f>
        <v/>
      </c>
      <c r="E1006" s="8" t="inlineStr">
        <is>
          <t>DW70</t>
        </is>
      </c>
      <c r="F1006" s="8" t="inlineStr">
        <is>
          <t>D074</t>
        </is>
      </c>
      <c r="G1006" s="8">
        <f>IFERROR(VLOOKUP(A1006,Flete!$A:$E,5,0),"")</f>
        <v/>
      </c>
      <c r="H1006" s="7">
        <f>IFERROR(VLOOKUP(F1006,TRAOPE!$AA:$AB,2,0),"")</f>
        <v/>
      </c>
      <c r="I1006" s="7" t="n">
        <v>10000357</v>
      </c>
      <c r="J1006" s="7">
        <f>IFERROR(VLOOKUP(I1006,Materiales!$A:$H,8,0),"")</f>
        <v/>
      </c>
      <c r="K1006" s="9">
        <f>IFERROR(VLOOKUP(I1006,Materiales!$A:$G,7,0),"")</f>
        <v/>
      </c>
      <c r="L1006" s="8" t="inlineStr">
        <is>
          <t>20260413</t>
        </is>
      </c>
      <c r="M1006" s="8" t="inlineStr">
        <is>
          <t>99991231</t>
        </is>
      </c>
      <c r="N1006" s="10" t="n">
        <v>109.35</v>
      </c>
      <c r="O1006" s="10">
        <f>IFERROR(VLOOKUP(A1006,Flete!$A:$J,10,0),"")</f>
        <v/>
      </c>
      <c r="P1006" s="8" t="inlineStr">
        <is>
          <t>TN</t>
        </is>
      </c>
      <c r="Q1006" s="10">
        <f>IFERROR(IFERROR(VLOOKUP(A1006,TRAOPE!$A:$U,21,0),VLOOKUP(B1006,TRAOPE!$A:$U,21,0)),"")</f>
        <v/>
      </c>
      <c r="R1006" s="8">
        <f>IFERROR(IFERROR(VLOOKUP(A1006,TRAOPE!$A:$W,23,0),VLOOKUP(B1006,TRAOPE!$A:$W,23,0)),"")</f>
        <v/>
      </c>
      <c r="S1006" s="10">
        <f>IF(AND(P1006="TN",R1006="TN"),N1006+N(O1006),IF(G1006&amp;""="1",N(K1006)*N1006,(N1006+N(O1006))*N(K1006)))</f>
        <v/>
      </c>
      <c r="T1006" s="10">
        <f>IF(Q1006="","",Q1006-S1006)</f>
        <v/>
      </c>
    </row>
    <row r="1007">
      <c r="A1007" s="7">
        <f>CONCATENATE(C1007,E1007,F1007,I1007)</f>
        <v/>
      </c>
      <c r="B1007" s="7">
        <f>CONCATENATE(C1007,E1007,I1007)</f>
        <v/>
      </c>
      <c r="C1007" s="8" t="n">
        <v>900005974</v>
      </c>
      <c r="D1007" s="7">
        <f>IFERROR(VLOOKUP(C1007,TRAOPE!$G:$H,2,0),"")</f>
        <v/>
      </c>
      <c r="E1007" s="8" t="inlineStr">
        <is>
          <t>DW70</t>
        </is>
      </c>
      <c r="F1007" s="8" t="inlineStr">
        <is>
          <t>D075</t>
        </is>
      </c>
      <c r="G1007" s="8">
        <f>IFERROR(VLOOKUP(A1007,Flete!$A:$E,5,0),"")</f>
        <v/>
      </c>
      <c r="H1007" s="7">
        <f>IFERROR(VLOOKUP(F1007,TRAOPE!$AA:$AB,2,0),"")</f>
        <v/>
      </c>
      <c r="I1007" s="7" t="n">
        <v>10000160</v>
      </c>
      <c r="J1007" s="7">
        <f>IFERROR(VLOOKUP(I1007,Materiales!$A:$H,8,0),"")</f>
        <v/>
      </c>
      <c r="K1007" s="9">
        <f>IFERROR(VLOOKUP(I1007,Materiales!$A:$G,7,0),"")</f>
        <v/>
      </c>
      <c r="L1007" s="8" t="inlineStr">
        <is>
          <t>20260413</t>
        </is>
      </c>
      <c r="M1007" s="8" t="inlineStr">
        <is>
          <t>99991231</t>
        </is>
      </c>
      <c r="N1007" s="10" t="n">
        <v>106.46</v>
      </c>
      <c r="O1007" s="10">
        <f>IFERROR(VLOOKUP(A1007,Flete!$A:$J,10,0),"")</f>
        <v/>
      </c>
      <c r="P1007" s="8" t="inlineStr">
        <is>
          <t>TN</t>
        </is>
      </c>
      <c r="Q1007" s="10">
        <f>IFERROR(IFERROR(VLOOKUP(A1007,TRAOPE!$A:$U,21,0),VLOOKUP(B1007,TRAOPE!$A:$U,21,0)),"")</f>
        <v/>
      </c>
      <c r="R1007" s="8">
        <f>IFERROR(IFERROR(VLOOKUP(A1007,TRAOPE!$A:$W,23,0),VLOOKUP(B1007,TRAOPE!$A:$W,23,0)),"")</f>
        <v/>
      </c>
      <c r="S1007" s="10">
        <f>IF(AND(P1007="TN",R1007="TN"),N1007+N(O1007),IF(G1007&amp;""="1",N(K1007)*N1007,(N1007+N(O1007))*N(K1007)))</f>
        <v/>
      </c>
      <c r="T1007" s="10">
        <f>IF(Q1007="","",Q1007-S1007)</f>
        <v/>
      </c>
    </row>
    <row r="1008">
      <c r="A1008" s="7">
        <f>CONCATENATE(C1008,E1008,F1008,I1008)</f>
        <v/>
      </c>
      <c r="B1008" s="7">
        <f>CONCATENATE(C1008,E1008,I1008)</f>
        <v/>
      </c>
      <c r="C1008" s="8" t="n">
        <v>900005974</v>
      </c>
      <c r="D1008" s="7">
        <f>IFERROR(VLOOKUP(C1008,TRAOPE!$G:$H,2,0),"")</f>
        <v/>
      </c>
      <c r="E1008" s="8" t="inlineStr">
        <is>
          <t>DW70</t>
        </is>
      </c>
      <c r="F1008" s="8" t="inlineStr">
        <is>
          <t>D075</t>
        </is>
      </c>
      <c r="G1008" s="8">
        <f>IFERROR(VLOOKUP(A1008,Flete!$A:$E,5,0),"")</f>
        <v/>
      </c>
      <c r="H1008" s="7">
        <f>IFERROR(VLOOKUP(F1008,TRAOPE!$AA:$AB,2,0),"")</f>
        <v/>
      </c>
      <c r="I1008" s="7" t="n">
        <v>10000357</v>
      </c>
      <c r="J1008" s="7">
        <f>IFERROR(VLOOKUP(I1008,Materiales!$A:$H,8,0),"")</f>
        <v/>
      </c>
      <c r="K1008" s="9">
        <f>IFERROR(VLOOKUP(I1008,Materiales!$A:$G,7,0),"")</f>
        <v/>
      </c>
      <c r="L1008" s="8" t="inlineStr">
        <is>
          <t>20260413</t>
        </is>
      </c>
      <c r="M1008" s="8" t="inlineStr">
        <is>
          <t>99991231</t>
        </is>
      </c>
      <c r="N1008" s="10" t="n">
        <v>109.35</v>
      </c>
      <c r="O1008" s="10">
        <f>IFERROR(VLOOKUP(A1008,Flete!$A:$J,10,0),"")</f>
        <v/>
      </c>
      <c r="P1008" s="8" t="inlineStr">
        <is>
          <t>TN</t>
        </is>
      </c>
      <c r="Q1008" s="10">
        <f>IFERROR(IFERROR(VLOOKUP(A1008,TRAOPE!$A:$U,21,0),VLOOKUP(B1008,TRAOPE!$A:$U,21,0)),"")</f>
        <v/>
      </c>
      <c r="R1008" s="8">
        <f>IFERROR(IFERROR(VLOOKUP(A1008,TRAOPE!$A:$W,23,0),VLOOKUP(B1008,TRAOPE!$A:$W,23,0)),"")</f>
        <v/>
      </c>
      <c r="S1008" s="10">
        <f>IF(AND(P1008="TN",R1008="TN"),N1008+N(O1008),IF(G1008&amp;""="1",N(K1008)*N1008,(N1008+N(O1008))*N(K1008)))</f>
        <v/>
      </c>
      <c r="T1008" s="10">
        <f>IF(Q1008="","",Q1008-S1008)</f>
        <v/>
      </c>
    </row>
    <row r="1009">
      <c r="A1009" s="7">
        <f>CONCATENATE(C1009,E1009,F1009,I1009)</f>
        <v/>
      </c>
      <c r="B1009" s="7">
        <f>CONCATENATE(C1009,E1009,I1009)</f>
        <v/>
      </c>
      <c r="C1009" s="8" t="n">
        <v>900005974</v>
      </c>
      <c r="D1009" s="7">
        <f>IFERROR(VLOOKUP(C1009,TRAOPE!$G:$H,2,0),"")</f>
        <v/>
      </c>
      <c r="E1009" s="8" t="inlineStr">
        <is>
          <t>DW70</t>
        </is>
      </c>
      <c r="F1009" s="8" t="inlineStr">
        <is>
          <t>D077</t>
        </is>
      </c>
      <c r="G1009" s="8">
        <f>IFERROR(VLOOKUP(A1009,Flete!$A:$E,5,0),"")</f>
        <v/>
      </c>
      <c r="H1009" s="7">
        <f>IFERROR(VLOOKUP(F1009,TRAOPE!$AA:$AB,2,0),"")</f>
        <v/>
      </c>
      <c r="I1009" s="7" t="n">
        <v>10000160</v>
      </c>
      <c r="J1009" s="7">
        <f>IFERROR(VLOOKUP(I1009,Materiales!$A:$H,8,0),"")</f>
        <v/>
      </c>
      <c r="K1009" s="9">
        <f>IFERROR(VLOOKUP(I1009,Materiales!$A:$G,7,0),"")</f>
        <v/>
      </c>
      <c r="L1009" s="8" t="inlineStr">
        <is>
          <t>20260413</t>
        </is>
      </c>
      <c r="M1009" s="8" t="inlineStr">
        <is>
          <t>99991231</t>
        </is>
      </c>
      <c r="N1009" s="10" t="n">
        <v>106.46</v>
      </c>
      <c r="O1009" s="10">
        <f>IFERROR(VLOOKUP(A1009,Flete!$A:$J,10,0),"")</f>
        <v/>
      </c>
      <c r="P1009" s="8" t="inlineStr">
        <is>
          <t>TN</t>
        </is>
      </c>
      <c r="Q1009" s="10">
        <f>IFERROR(IFERROR(VLOOKUP(A1009,TRAOPE!$A:$U,21,0),VLOOKUP(B1009,TRAOPE!$A:$U,21,0)),"")</f>
        <v/>
      </c>
      <c r="R1009" s="8">
        <f>IFERROR(IFERROR(VLOOKUP(A1009,TRAOPE!$A:$W,23,0),VLOOKUP(B1009,TRAOPE!$A:$W,23,0)),"")</f>
        <v/>
      </c>
      <c r="S1009" s="10">
        <f>IF(AND(P1009="TN",R1009="TN"),N1009+N(O1009),IF(G1009&amp;""="1",N(K1009)*N1009,(N1009+N(O1009))*N(K1009)))</f>
        <v/>
      </c>
      <c r="T1009" s="10">
        <f>IF(Q1009="","",Q1009-S1009)</f>
        <v/>
      </c>
    </row>
    <row r="1010">
      <c r="A1010" s="7">
        <f>CONCATENATE(C1010,E1010,F1010,I1010)</f>
        <v/>
      </c>
      <c r="B1010" s="7">
        <f>CONCATENATE(C1010,E1010,I1010)</f>
        <v/>
      </c>
      <c r="C1010" s="8" t="n">
        <v>900005974</v>
      </c>
      <c r="D1010" s="7">
        <f>IFERROR(VLOOKUP(C1010,TRAOPE!$G:$H,2,0),"")</f>
        <v/>
      </c>
      <c r="E1010" s="8" t="inlineStr">
        <is>
          <t>DW70</t>
        </is>
      </c>
      <c r="F1010" s="8" t="inlineStr">
        <is>
          <t>D077</t>
        </is>
      </c>
      <c r="G1010" s="8">
        <f>IFERROR(VLOOKUP(A1010,Flete!$A:$E,5,0),"")</f>
        <v/>
      </c>
      <c r="H1010" s="7">
        <f>IFERROR(VLOOKUP(F1010,TRAOPE!$AA:$AB,2,0),"")</f>
        <v/>
      </c>
      <c r="I1010" s="7" t="n">
        <v>10000357</v>
      </c>
      <c r="J1010" s="7">
        <f>IFERROR(VLOOKUP(I1010,Materiales!$A:$H,8,0),"")</f>
        <v/>
      </c>
      <c r="K1010" s="9">
        <f>IFERROR(VLOOKUP(I1010,Materiales!$A:$G,7,0),"")</f>
        <v/>
      </c>
      <c r="L1010" s="8" t="inlineStr">
        <is>
          <t>20260413</t>
        </is>
      </c>
      <c r="M1010" s="8" t="inlineStr">
        <is>
          <t>99991231</t>
        </is>
      </c>
      <c r="N1010" s="10" t="n">
        <v>109.35</v>
      </c>
      <c r="O1010" s="10">
        <f>IFERROR(VLOOKUP(A1010,Flete!$A:$J,10,0),"")</f>
        <v/>
      </c>
      <c r="P1010" s="8" t="inlineStr">
        <is>
          <t>TN</t>
        </is>
      </c>
      <c r="Q1010" s="10">
        <f>IFERROR(IFERROR(VLOOKUP(A1010,TRAOPE!$A:$U,21,0),VLOOKUP(B1010,TRAOPE!$A:$U,21,0)),"")</f>
        <v/>
      </c>
      <c r="R1010" s="8">
        <f>IFERROR(IFERROR(VLOOKUP(A1010,TRAOPE!$A:$W,23,0),VLOOKUP(B1010,TRAOPE!$A:$W,23,0)),"")</f>
        <v/>
      </c>
      <c r="S1010" s="10">
        <f>IF(AND(P1010="TN",R1010="TN"),N1010+N(O1010),IF(G1010&amp;""="1",N(K1010)*N1010,(N1010+N(O1010))*N(K1010)))</f>
        <v/>
      </c>
      <c r="T1010" s="10">
        <f>IF(Q1010="","",Q1010-S1010)</f>
        <v/>
      </c>
    </row>
    <row r="1011">
      <c r="A1011" s="7">
        <f>CONCATENATE(C1011,E1011,F1011,I1011)</f>
        <v/>
      </c>
      <c r="B1011" s="7">
        <f>CONCATENATE(C1011,E1011,I1011)</f>
        <v/>
      </c>
      <c r="C1011" s="8" t="n">
        <v>900005974</v>
      </c>
      <c r="D1011" s="7">
        <f>IFERROR(VLOOKUP(C1011,TRAOPE!$G:$H,2,0),"")</f>
        <v/>
      </c>
      <c r="E1011" s="8" t="inlineStr">
        <is>
          <t>DW70</t>
        </is>
      </c>
      <c r="F1011" s="8" t="inlineStr">
        <is>
          <t>D079</t>
        </is>
      </c>
      <c r="G1011" s="8">
        <f>IFERROR(VLOOKUP(A1011,Flete!$A:$E,5,0),"")</f>
        <v/>
      </c>
      <c r="H1011" s="7">
        <f>IFERROR(VLOOKUP(F1011,TRAOPE!$AA:$AB,2,0),"")</f>
        <v/>
      </c>
      <c r="I1011" s="7" t="n">
        <v>10000160</v>
      </c>
      <c r="J1011" s="7">
        <f>IFERROR(VLOOKUP(I1011,Materiales!$A:$H,8,0),"")</f>
        <v/>
      </c>
      <c r="K1011" s="9">
        <f>IFERROR(VLOOKUP(I1011,Materiales!$A:$G,7,0),"")</f>
        <v/>
      </c>
      <c r="L1011" s="8" t="inlineStr">
        <is>
          <t>20260413</t>
        </is>
      </c>
      <c r="M1011" s="8" t="inlineStr">
        <is>
          <t>99991231</t>
        </is>
      </c>
      <c r="N1011" s="10" t="n">
        <v>106.46</v>
      </c>
      <c r="O1011" s="10">
        <f>IFERROR(VLOOKUP(A1011,Flete!$A:$J,10,0),"")</f>
        <v/>
      </c>
      <c r="P1011" s="8" t="inlineStr">
        <is>
          <t>TN</t>
        </is>
      </c>
      <c r="Q1011" s="10">
        <f>IFERROR(IFERROR(VLOOKUP(A1011,TRAOPE!$A:$U,21,0),VLOOKUP(B1011,TRAOPE!$A:$U,21,0)),"")</f>
        <v/>
      </c>
      <c r="R1011" s="8">
        <f>IFERROR(IFERROR(VLOOKUP(A1011,TRAOPE!$A:$W,23,0),VLOOKUP(B1011,TRAOPE!$A:$W,23,0)),"")</f>
        <v/>
      </c>
      <c r="S1011" s="10">
        <f>IF(AND(P1011="TN",R1011="TN"),N1011+N(O1011),IF(G1011&amp;""="1",N(K1011)*N1011,(N1011+N(O1011))*N(K1011)))</f>
        <v/>
      </c>
      <c r="T1011" s="10">
        <f>IF(Q1011="","",Q1011-S1011)</f>
        <v/>
      </c>
    </row>
    <row r="1012">
      <c r="A1012" s="7">
        <f>CONCATENATE(C1012,E1012,F1012,I1012)</f>
        <v/>
      </c>
      <c r="B1012" s="7">
        <f>CONCATENATE(C1012,E1012,I1012)</f>
        <v/>
      </c>
      <c r="C1012" s="8" t="n">
        <v>900005974</v>
      </c>
      <c r="D1012" s="7">
        <f>IFERROR(VLOOKUP(C1012,TRAOPE!$G:$H,2,0),"")</f>
        <v/>
      </c>
      <c r="E1012" s="8" t="inlineStr">
        <is>
          <t>DW70</t>
        </is>
      </c>
      <c r="F1012" s="8" t="inlineStr">
        <is>
          <t>D079</t>
        </is>
      </c>
      <c r="G1012" s="8">
        <f>IFERROR(VLOOKUP(A1012,Flete!$A:$E,5,0),"")</f>
        <v/>
      </c>
      <c r="H1012" s="7">
        <f>IFERROR(VLOOKUP(F1012,TRAOPE!$AA:$AB,2,0),"")</f>
        <v/>
      </c>
      <c r="I1012" s="7" t="n">
        <v>10000357</v>
      </c>
      <c r="J1012" s="7">
        <f>IFERROR(VLOOKUP(I1012,Materiales!$A:$H,8,0),"")</f>
        <v/>
      </c>
      <c r="K1012" s="9">
        <f>IFERROR(VLOOKUP(I1012,Materiales!$A:$G,7,0),"")</f>
        <v/>
      </c>
      <c r="L1012" s="8" t="inlineStr">
        <is>
          <t>20260413</t>
        </is>
      </c>
      <c r="M1012" s="8" t="inlineStr">
        <is>
          <t>99991231</t>
        </is>
      </c>
      <c r="N1012" s="10" t="n">
        <v>109.35</v>
      </c>
      <c r="O1012" s="10">
        <f>IFERROR(VLOOKUP(A1012,Flete!$A:$J,10,0),"")</f>
        <v/>
      </c>
      <c r="P1012" s="8" t="inlineStr">
        <is>
          <t>TN</t>
        </is>
      </c>
      <c r="Q1012" s="10">
        <f>IFERROR(IFERROR(VLOOKUP(A1012,TRAOPE!$A:$U,21,0),VLOOKUP(B1012,TRAOPE!$A:$U,21,0)),"")</f>
        <v/>
      </c>
      <c r="R1012" s="8">
        <f>IFERROR(IFERROR(VLOOKUP(A1012,TRAOPE!$A:$W,23,0),VLOOKUP(B1012,TRAOPE!$A:$W,23,0)),"")</f>
        <v/>
      </c>
      <c r="S1012" s="10">
        <f>IF(AND(P1012="TN",R1012="TN"),N1012+N(O1012),IF(G1012&amp;""="1",N(K1012)*N1012,(N1012+N(O1012))*N(K1012)))</f>
        <v/>
      </c>
      <c r="T1012" s="10">
        <f>IF(Q1012="","",Q1012-S1012)</f>
        <v/>
      </c>
    </row>
    <row r="1013">
      <c r="A1013" s="7">
        <f>CONCATENATE(C1013,E1013,F1013,I1013)</f>
        <v/>
      </c>
      <c r="B1013" s="7">
        <f>CONCATENATE(C1013,E1013,I1013)</f>
        <v/>
      </c>
      <c r="C1013" s="8" t="n">
        <v>900005974</v>
      </c>
      <c r="D1013" s="7">
        <f>IFERROR(VLOOKUP(C1013,TRAOPE!$G:$H,2,0),"")</f>
        <v/>
      </c>
      <c r="E1013" s="8" t="inlineStr">
        <is>
          <t>DW70</t>
        </is>
      </c>
      <c r="F1013" s="8" t="inlineStr">
        <is>
          <t>D080</t>
        </is>
      </c>
      <c r="G1013" s="8">
        <f>IFERROR(VLOOKUP(A1013,Flete!$A:$E,5,0),"")</f>
        <v/>
      </c>
      <c r="H1013" s="7">
        <f>IFERROR(VLOOKUP(F1013,TRAOPE!$AA:$AB,2,0),"")</f>
        <v/>
      </c>
      <c r="I1013" s="7" t="n">
        <v>10000160</v>
      </c>
      <c r="J1013" s="7">
        <f>IFERROR(VLOOKUP(I1013,Materiales!$A:$H,8,0),"")</f>
        <v/>
      </c>
      <c r="K1013" s="9">
        <f>IFERROR(VLOOKUP(I1013,Materiales!$A:$G,7,0),"")</f>
        <v/>
      </c>
      <c r="L1013" s="8" t="inlineStr">
        <is>
          <t>20260413</t>
        </is>
      </c>
      <c r="M1013" s="8" t="inlineStr">
        <is>
          <t>99991231</t>
        </is>
      </c>
      <c r="N1013" s="10" t="n">
        <v>106.46</v>
      </c>
      <c r="O1013" s="10">
        <f>IFERROR(VLOOKUP(A1013,Flete!$A:$J,10,0),"")</f>
        <v/>
      </c>
      <c r="P1013" s="8" t="inlineStr">
        <is>
          <t>TN</t>
        </is>
      </c>
      <c r="Q1013" s="10">
        <f>IFERROR(IFERROR(VLOOKUP(A1013,TRAOPE!$A:$U,21,0),VLOOKUP(B1013,TRAOPE!$A:$U,21,0)),"")</f>
        <v/>
      </c>
      <c r="R1013" s="8">
        <f>IFERROR(IFERROR(VLOOKUP(A1013,TRAOPE!$A:$W,23,0),VLOOKUP(B1013,TRAOPE!$A:$W,23,0)),"")</f>
        <v/>
      </c>
      <c r="S1013" s="10">
        <f>IF(AND(P1013="TN",R1013="TN"),N1013+N(O1013),IF(G1013&amp;""="1",N(K1013)*N1013,(N1013+N(O1013))*N(K1013)))</f>
        <v/>
      </c>
      <c r="T1013" s="10">
        <f>IF(Q1013="","",Q1013-S1013)</f>
        <v/>
      </c>
    </row>
    <row r="1014">
      <c r="A1014" s="7">
        <f>CONCATENATE(C1014,E1014,F1014,I1014)</f>
        <v/>
      </c>
      <c r="B1014" s="7">
        <f>CONCATENATE(C1014,E1014,I1014)</f>
        <v/>
      </c>
      <c r="C1014" s="8" t="n">
        <v>900005974</v>
      </c>
      <c r="D1014" s="7">
        <f>IFERROR(VLOOKUP(C1014,TRAOPE!$G:$H,2,0),"")</f>
        <v/>
      </c>
      <c r="E1014" s="8" t="inlineStr">
        <is>
          <t>DW70</t>
        </is>
      </c>
      <c r="F1014" s="8" t="inlineStr">
        <is>
          <t>D080</t>
        </is>
      </c>
      <c r="G1014" s="8">
        <f>IFERROR(VLOOKUP(A1014,Flete!$A:$E,5,0),"")</f>
        <v/>
      </c>
      <c r="H1014" s="7">
        <f>IFERROR(VLOOKUP(F1014,TRAOPE!$AA:$AB,2,0),"")</f>
        <v/>
      </c>
      <c r="I1014" s="7" t="n">
        <v>10000357</v>
      </c>
      <c r="J1014" s="7">
        <f>IFERROR(VLOOKUP(I1014,Materiales!$A:$H,8,0),"")</f>
        <v/>
      </c>
      <c r="K1014" s="9">
        <f>IFERROR(VLOOKUP(I1014,Materiales!$A:$G,7,0),"")</f>
        <v/>
      </c>
      <c r="L1014" s="8" t="inlineStr">
        <is>
          <t>20260413</t>
        </is>
      </c>
      <c r="M1014" s="8" t="inlineStr">
        <is>
          <t>99991231</t>
        </is>
      </c>
      <c r="N1014" s="10" t="n">
        <v>109.35</v>
      </c>
      <c r="O1014" s="10">
        <f>IFERROR(VLOOKUP(A1014,Flete!$A:$J,10,0),"")</f>
        <v/>
      </c>
      <c r="P1014" s="8" t="inlineStr">
        <is>
          <t>TN</t>
        </is>
      </c>
      <c r="Q1014" s="10">
        <f>IFERROR(IFERROR(VLOOKUP(A1014,TRAOPE!$A:$U,21,0),VLOOKUP(B1014,TRAOPE!$A:$U,21,0)),"")</f>
        <v/>
      </c>
      <c r="R1014" s="8">
        <f>IFERROR(IFERROR(VLOOKUP(A1014,TRAOPE!$A:$W,23,0),VLOOKUP(B1014,TRAOPE!$A:$W,23,0)),"")</f>
        <v/>
      </c>
      <c r="S1014" s="10">
        <f>IF(AND(P1014="TN",R1014="TN"),N1014+N(O1014),IF(G1014&amp;""="1",N(K1014)*N1014,(N1014+N(O1014))*N(K1014)))</f>
        <v/>
      </c>
      <c r="T1014" s="10">
        <f>IF(Q1014="","",Q1014-S1014)</f>
        <v/>
      </c>
    </row>
    <row r="1015">
      <c r="A1015" s="7">
        <f>CONCATENATE(C1015,E1015,F1015,I1015)</f>
        <v/>
      </c>
      <c r="B1015" s="7">
        <f>CONCATENATE(C1015,E1015,I1015)</f>
        <v/>
      </c>
      <c r="C1015" s="8" t="n">
        <v>900005974</v>
      </c>
      <c r="D1015" s="7">
        <f>IFERROR(VLOOKUP(C1015,TRAOPE!$G:$H,2,0),"")</f>
        <v/>
      </c>
      <c r="E1015" s="8" t="inlineStr">
        <is>
          <t>DW70</t>
        </is>
      </c>
      <c r="F1015" s="8" t="inlineStr">
        <is>
          <t>D081</t>
        </is>
      </c>
      <c r="G1015" s="8">
        <f>IFERROR(VLOOKUP(A1015,Flete!$A:$E,5,0),"")</f>
        <v/>
      </c>
      <c r="H1015" s="7">
        <f>IFERROR(VLOOKUP(F1015,TRAOPE!$AA:$AB,2,0),"")</f>
        <v/>
      </c>
      <c r="I1015" s="7" t="n">
        <v>10000160</v>
      </c>
      <c r="J1015" s="7">
        <f>IFERROR(VLOOKUP(I1015,Materiales!$A:$H,8,0),"")</f>
        <v/>
      </c>
      <c r="K1015" s="9">
        <f>IFERROR(VLOOKUP(I1015,Materiales!$A:$G,7,0),"")</f>
        <v/>
      </c>
      <c r="L1015" s="8" t="inlineStr">
        <is>
          <t>20260413</t>
        </is>
      </c>
      <c r="M1015" s="8" t="inlineStr">
        <is>
          <t>99991231</t>
        </is>
      </c>
      <c r="N1015" s="10" t="n">
        <v>106.46</v>
      </c>
      <c r="O1015" s="10">
        <f>IFERROR(VLOOKUP(A1015,Flete!$A:$J,10,0),"")</f>
        <v/>
      </c>
      <c r="P1015" s="8" t="inlineStr">
        <is>
          <t>TN</t>
        </is>
      </c>
      <c r="Q1015" s="10">
        <f>IFERROR(IFERROR(VLOOKUP(A1015,TRAOPE!$A:$U,21,0),VLOOKUP(B1015,TRAOPE!$A:$U,21,0)),"")</f>
        <v/>
      </c>
      <c r="R1015" s="8">
        <f>IFERROR(IFERROR(VLOOKUP(A1015,TRAOPE!$A:$W,23,0),VLOOKUP(B1015,TRAOPE!$A:$W,23,0)),"")</f>
        <v/>
      </c>
      <c r="S1015" s="10">
        <f>IF(AND(P1015="TN",R1015="TN"),N1015+N(O1015),IF(G1015&amp;""="1",N(K1015)*N1015,(N1015+N(O1015))*N(K1015)))</f>
        <v/>
      </c>
      <c r="T1015" s="10">
        <f>IF(Q1015="","",Q1015-S1015)</f>
        <v/>
      </c>
    </row>
    <row r="1016">
      <c r="A1016" s="7">
        <f>CONCATENATE(C1016,E1016,F1016,I1016)</f>
        <v/>
      </c>
      <c r="B1016" s="7">
        <f>CONCATENATE(C1016,E1016,I1016)</f>
        <v/>
      </c>
      <c r="C1016" s="8" t="n">
        <v>900005974</v>
      </c>
      <c r="D1016" s="7">
        <f>IFERROR(VLOOKUP(C1016,TRAOPE!$G:$H,2,0),"")</f>
        <v/>
      </c>
      <c r="E1016" s="8" t="inlineStr">
        <is>
          <t>DW70</t>
        </is>
      </c>
      <c r="F1016" s="8" t="inlineStr">
        <is>
          <t>D081</t>
        </is>
      </c>
      <c r="G1016" s="8">
        <f>IFERROR(VLOOKUP(A1016,Flete!$A:$E,5,0),"")</f>
        <v/>
      </c>
      <c r="H1016" s="7">
        <f>IFERROR(VLOOKUP(F1016,TRAOPE!$AA:$AB,2,0),"")</f>
        <v/>
      </c>
      <c r="I1016" s="7" t="n">
        <v>10000357</v>
      </c>
      <c r="J1016" s="7">
        <f>IFERROR(VLOOKUP(I1016,Materiales!$A:$H,8,0),"")</f>
        <v/>
      </c>
      <c r="K1016" s="9">
        <f>IFERROR(VLOOKUP(I1016,Materiales!$A:$G,7,0),"")</f>
        <v/>
      </c>
      <c r="L1016" s="8" t="inlineStr">
        <is>
          <t>20260413</t>
        </is>
      </c>
      <c r="M1016" s="8" t="inlineStr">
        <is>
          <t>99991231</t>
        </is>
      </c>
      <c r="N1016" s="10" t="n">
        <v>109.35</v>
      </c>
      <c r="O1016" s="10">
        <f>IFERROR(VLOOKUP(A1016,Flete!$A:$J,10,0),"")</f>
        <v/>
      </c>
      <c r="P1016" s="8" t="inlineStr">
        <is>
          <t>TN</t>
        </is>
      </c>
      <c r="Q1016" s="10">
        <f>IFERROR(IFERROR(VLOOKUP(A1016,TRAOPE!$A:$U,21,0),VLOOKUP(B1016,TRAOPE!$A:$U,21,0)),"")</f>
        <v/>
      </c>
      <c r="R1016" s="8">
        <f>IFERROR(IFERROR(VLOOKUP(A1016,TRAOPE!$A:$W,23,0),VLOOKUP(B1016,TRAOPE!$A:$W,23,0)),"")</f>
        <v/>
      </c>
      <c r="S1016" s="10">
        <f>IF(AND(P1016="TN",R1016="TN"),N1016+N(O1016),IF(G1016&amp;""="1",N(K1016)*N1016,(N1016+N(O1016))*N(K1016)))</f>
        <v/>
      </c>
      <c r="T1016" s="10">
        <f>IF(Q1016="","",Q1016-S1016)</f>
        <v/>
      </c>
    </row>
    <row r="1017">
      <c r="A1017" s="7">
        <f>CONCATENATE(C1017,E1017,F1017,I1017)</f>
        <v/>
      </c>
      <c r="B1017" s="7">
        <f>CONCATENATE(C1017,E1017,I1017)</f>
        <v/>
      </c>
      <c r="C1017" s="8" t="n">
        <v>900005974</v>
      </c>
      <c r="D1017" s="7">
        <f>IFERROR(VLOOKUP(C1017,TRAOPE!$G:$H,2,0),"")</f>
        <v/>
      </c>
      <c r="E1017" s="8" t="inlineStr">
        <is>
          <t>DW70</t>
        </is>
      </c>
      <c r="F1017" s="8" t="inlineStr">
        <is>
          <t>D083</t>
        </is>
      </c>
      <c r="G1017" s="8">
        <f>IFERROR(VLOOKUP(A1017,Flete!$A:$E,5,0),"")</f>
        <v/>
      </c>
      <c r="H1017" s="7">
        <f>IFERROR(VLOOKUP(F1017,TRAOPE!$AA:$AB,2,0),"")</f>
        <v/>
      </c>
      <c r="I1017" s="7" t="n">
        <v>10000160</v>
      </c>
      <c r="J1017" s="7">
        <f>IFERROR(VLOOKUP(I1017,Materiales!$A:$H,8,0),"")</f>
        <v/>
      </c>
      <c r="K1017" s="9">
        <f>IFERROR(VLOOKUP(I1017,Materiales!$A:$G,7,0),"")</f>
        <v/>
      </c>
      <c r="L1017" s="8" t="inlineStr">
        <is>
          <t>20260413</t>
        </is>
      </c>
      <c r="M1017" s="8" t="inlineStr">
        <is>
          <t>99991231</t>
        </is>
      </c>
      <c r="N1017" s="10" t="n">
        <v>106.46</v>
      </c>
      <c r="O1017" s="10">
        <f>IFERROR(VLOOKUP(A1017,Flete!$A:$J,10,0),"")</f>
        <v/>
      </c>
      <c r="P1017" s="8" t="inlineStr">
        <is>
          <t>TN</t>
        </is>
      </c>
      <c r="Q1017" s="10">
        <f>IFERROR(IFERROR(VLOOKUP(A1017,TRAOPE!$A:$U,21,0),VLOOKUP(B1017,TRAOPE!$A:$U,21,0)),"")</f>
        <v/>
      </c>
      <c r="R1017" s="8">
        <f>IFERROR(IFERROR(VLOOKUP(A1017,TRAOPE!$A:$W,23,0),VLOOKUP(B1017,TRAOPE!$A:$W,23,0)),"")</f>
        <v/>
      </c>
      <c r="S1017" s="10">
        <f>IF(AND(P1017="TN",R1017="TN"),N1017+N(O1017),IF(G1017&amp;""="1",N(K1017)*N1017,(N1017+N(O1017))*N(K1017)))</f>
        <v/>
      </c>
      <c r="T1017" s="10">
        <f>IF(Q1017="","",Q1017-S1017)</f>
        <v/>
      </c>
    </row>
    <row r="1018">
      <c r="A1018" s="7">
        <f>CONCATENATE(C1018,E1018,F1018,I1018)</f>
        <v/>
      </c>
      <c r="B1018" s="7">
        <f>CONCATENATE(C1018,E1018,I1018)</f>
        <v/>
      </c>
      <c r="C1018" s="8" t="n">
        <v>900005974</v>
      </c>
      <c r="D1018" s="7">
        <f>IFERROR(VLOOKUP(C1018,TRAOPE!$G:$H,2,0),"")</f>
        <v/>
      </c>
      <c r="E1018" s="8" t="inlineStr">
        <is>
          <t>DW70</t>
        </is>
      </c>
      <c r="F1018" s="8" t="inlineStr">
        <is>
          <t>D083</t>
        </is>
      </c>
      <c r="G1018" s="8">
        <f>IFERROR(VLOOKUP(A1018,Flete!$A:$E,5,0),"")</f>
        <v/>
      </c>
      <c r="H1018" s="7">
        <f>IFERROR(VLOOKUP(F1018,TRAOPE!$AA:$AB,2,0),"")</f>
        <v/>
      </c>
      <c r="I1018" s="7" t="n">
        <v>10000357</v>
      </c>
      <c r="J1018" s="7">
        <f>IFERROR(VLOOKUP(I1018,Materiales!$A:$H,8,0),"")</f>
        <v/>
      </c>
      <c r="K1018" s="9">
        <f>IFERROR(VLOOKUP(I1018,Materiales!$A:$G,7,0),"")</f>
        <v/>
      </c>
      <c r="L1018" s="8" t="inlineStr">
        <is>
          <t>20260413</t>
        </is>
      </c>
      <c r="M1018" s="8" t="inlineStr">
        <is>
          <t>99991231</t>
        </is>
      </c>
      <c r="N1018" s="10" t="n">
        <v>109.35</v>
      </c>
      <c r="O1018" s="10">
        <f>IFERROR(VLOOKUP(A1018,Flete!$A:$J,10,0),"")</f>
        <v/>
      </c>
      <c r="P1018" s="8" t="inlineStr">
        <is>
          <t>TN</t>
        </is>
      </c>
      <c r="Q1018" s="10">
        <f>IFERROR(IFERROR(VLOOKUP(A1018,TRAOPE!$A:$U,21,0),VLOOKUP(B1018,TRAOPE!$A:$U,21,0)),"")</f>
        <v/>
      </c>
      <c r="R1018" s="8">
        <f>IFERROR(IFERROR(VLOOKUP(A1018,TRAOPE!$A:$W,23,0),VLOOKUP(B1018,TRAOPE!$A:$W,23,0)),"")</f>
        <v/>
      </c>
      <c r="S1018" s="10">
        <f>IF(AND(P1018="TN",R1018="TN"),N1018+N(O1018),IF(G1018&amp;""="1",N(K1018)*N1018,(N1018+N(O1018))*N(K1018)))</f>
        <v/>
      </c>
      <c r="T1018" s="10">
        <f>IF(Q1018="","",Q1018-S1018)</f>
        <v/>
      </c>
    </row>
    <row r="1019">
      <c r="A1019" s="7">
        <f>CONCATENATE(C1019,E1019,F1019,I1019)</f>
        <v/>
      </c>
      <c r="B1019" s="7">
        <f>CONCATENATE(C1019,E1019,I1019)</f>
        <v/>
      </c>
      <c r="C1019" s="8" t="n">
        <v>900005974</v>
      </c>
      <c r="D1019" s="7">
        <f>IFERROR(VLOOKUP(C1019,TRAOPE!$G:$H,2,0),"")</f>
        <v/>
      </c>
      <c r="E1019" s="8" t="inlineStr">
        <is>
          <t>DW70</t>
        </is>
      </c>
      <c r="F1019" s="8" t="inlineStr">
        <is>
          <t>D084</t>
        </is>
      </c>
      <c r="G1019" s="8">
        <f>IFERROR(VLOOKUP(A1019,Flete!$A:$E,5,0),"")</f>
        <v/>
      </c>
      <c r="H1019" s="7">
        <f>IFERROR(VLOOKUP(F1019,TRAOPE!$AA:$AB,2,0),"")</f>
        <v/>
      </c>
      <c r="I1019" s="7" t="n">
        <v>10000160</v>
      </c>
      <c r="J1019" s="7">
        <f>IFERROR(VLOOKUP(I1019,Materiales!$A:$H,8,0),"")</f>
        <v/>
      </c>
      <c r="K1019" s="9">
        <f>IFERROR(VLOOKUP(I1019,Materiales!$A:$G,7,0),"")</f>
        <v/>
      </c>
      <c r="L1019" s="8" t="inlineStr">
        <is>
          <t>20260413</t>
        </is>
      </c>
      <c r="M1019" s="8" t="inlineStr">
        <is>
          <t>99991231</t>
        </is>
      </c>
      <c r="N1019" s="10" t="n">
        <v>106.46</v>
      </c>
      <c r="O1019" s="10">
        <f>IFERROR(VLOOKUP(A1019,Flete!$A:$J,10,0),"")</f>
        <v/>
      </c>
      <c r="P1019" s="8" t="inlineStr">
        <is>
          <t>TN</t>
        </is>
      </c>
      <c r="Q1019" s="10">
        <f>IFERROR(IFERROR(VLOOKUP(A1019,TRAOPE!$A:$U,21,0),VLOOKUP(B1019,TRAOPE!$A:$U,21,0)),"")</f>
        <v/>
      </c>
      <c r="R1019" s="8">
        <f>IFERROR(IFERROR(VLOOKUP(A1019,TRAOPE!$A:$W,23,0),VLOOKUP(B1019,TRAOPE!$A:$W,23,0)),"")</f>
        <v/>
      </c>
      <c r="S1019" s="10">
        <f>IF(AND(P1019="TN",R1019="TN"),N1019+N(O1019),IF(G1019&amp;""="1",N(K1019)*N1019,(N1019+N(O1019))*N(K1019)))</f>
        <v/>
      </c>
      <c r="T1019" s="10">
        <f>IF(Q1019="","",Q1019-S1019)</f>
        <v/>
      </c>
    </row>
    <row r="1020">
      <c r="A1020" s="7">
        <f>CONCATENATE(C1020,E1020,F1020,I1020)</f>
        <v/>
      </c>
      <c r="B1020" s="7">
        <f>CONCATENATE(C1020,E1020,I1020)</f>
        <v/>
      </c>
      <c r="C1020" s="8" t="n">
        <v>900005974</v>
      </c>
      <c r="D1020" s="7">
        <f>IFERROR(VLOOKUP(C1020,TRAOPE!$G:$H,2,0),"")</f>
        <v/>
      </c>
      <c r="E1020" s="8" t="inlineStr">
        <is>
          <t>DW70</t>
        </is>
      </c>
      <c r="F1020" s="8" t="inlineStr">
        <is>
          <t>D084</t>
        </is>
      </c>
      <c r="G1020" s="8">
        <f>IFERROR(VLOOKUP(A1020,Flete!$A:$E,5,0),"")</f>
        <v/>
      </c>
      <c r="H1020" s="7">
        <f>IFERROR(VLOOKUP(F1020,TRAOPE!$AA:$AB,2,0),"")</f>
        <v/>
      </c>
      <c r="I1020" s="7" t="n">
        <v>10000357</v>
      </c>
      <c r="J1020" s="7">
        <f>IFERROR(VLOOKUP(I1020,Materiales!$A:$H,8,0),"")</f>
        <v/>
      </c>
      <c r="K1020" s="9">
        <f>IFERROR(VLOOKUP(I1020,Materiales!$A:$G,7,0),"")</f>
        <v/>
      </c>
      <c r="L1020" s="8" t="inlineStr">
        <is>
          <t>20260413</t>
        </is>
      </c>
      <c r="M1020" s="8" t="inlineStr">
        <is>
          <t>99991231</t>
        </is>
      </c>
      <c r="N1020" s="10" t="n">
        <v>109.35</v>
      </c>
      <c r="O1020" s="10">
        <f>IFERROR(VLOOKUP(A1020,Flete!$A:$J,10,0),"")</f>
        <v/>
      </c>
      <c r="P1020" s="8" t="inlineStr">
        <is>
          <t>TN</t>
        </is>
      </c>
      <c r="Q1020" s="10">
        <f>IFERROR(IFERROR(VLOOKUP(A1020,TRAOPE!$A:$U,21,0),VLOOKUP(B1020,TRAOPE!$A:$U,21,0)),"")</f>
        <v/>
      </c>
      <c r="R1020" s="8">
        <f>IFERROR(IFERROR(VLOOKUP(A1020,TRAOPE!$A:$W,23,0),VLOOKUP(B1020,TRAOPE!$A:$W,23,0)),"")</f>
        <v/>
      </c>
      <c r="S1020" s="10">
        <f>IF(AND(P1020="TN",R1020="TN"),N1020+N(O1020),IF(G1020&amp;""="1",N(K1020)*N1020,(N1020+N(O1020))*N(K1020)))</f>
        <v/>
      </c>
      <c r="T1020" s="10">
        <f>IF(Q1020="","",Q1020-S1020)</f>
        <v/>
      </c>
    </row>
    <row r="1021">
      <c r="A1021" s="7">
        <f>CONCATENATE(C1021,E1021,F1021,I1021)</f>
        <v/>
      </c>
      <c r="B1021" s="7">
        <f>CONCATENATE(C1021,E1021,I1021)</f>
        <v/>
      </c>
      <c r="C1021" s="8" t="n">
        <v>900005974</v>
      </c>
      <c r="D1021" s="7">
        <f>IFERROR(VLOOKUP(C1021,TRAOPE!$G:$H,2,0),"")</f>
        <v/>
      </c>
      <c r="E1021" s="8" t="inlineStr">
        <is>
          <t>DW70</t>
        </is>
      </c>
      <c r="F1021" s="8" t="inlineStr">
        <is>
          <t>D085</t>
        </is>
      </c>
      <c r="G1021" s="8">
        <f>IFERROR(VLOOKUP(A1021,Flete!$A:$E,5,0),"")</f>
        <v/>
      </c>
      <c r="H1021" s="7">
        <f>IFERROR(VLOOKUP(F1021,TRAOPE!$AA:$AB,2,0),"")</f>
        <v/>
      </c>
      <c r="I1021" s="7" t="n">
        <v>10000160</v>
      </c>
      <c r="J1021" s="7">
        <f>IFERROR(VLOOKUP(I1021,Materiales!$A:$H,8,0),"")</f>
        <v/>
      </c>
      <c r="K1021" s="9">
        <f>IFERROR(VLOOKUP(I1021,Materiales!$A:$G,7,0),"")</f>
        <v/>
      </c>
      <c r="L1021" s="8" t="inlineStr">
        <is>
          <t>20260413</t>
        </is>
      </c>
      <c r="M1021" s="8" t="inlineStr">
        <is>
          <t>99991231</t>
        </is>
      </c>
      <c r="N1021" s="10" t="n">
        <v>106.46</v>
      </c>
      <c r="O1021" s="10">
        <f>IFERROR(VLOOKUP(A1021,Flete!$A:$J,10,0),"")</f>
        <v/>
      </c>
      <c r="P1021" s="8" t="inlineStr">
        <is>
          <t>TN</t>
        </is>
      </c>
      <c r="Q1021" s="10">
        <f>IFERROR(IFERROR(VLOOKUP(A1021,TRAOPE!$A:$U,21,0),VLOOKUP(B1021,TRAOPE!$A:$U,21,0)),"")</f>
        <v/>
      </c>
      <c r="R1021" s="8">
        <f>IFERROR(IFERROR(VLOOKUP(A1021,TRAOPE!$A:$W,23,0),VLOOKUP(B1021,TRAOPE!$A:$W,23,0)),"")</f>
        <v/>
      </c>
      <c r="S1021" s="10">
        <f>IF(AND(P1021="TN",R1021="TN"),N1021+N(O1021),IF(G1021&amp;""="1",N(K1021)*N1021,(N1021+N(O1021))*N(K1021)))</f>
        <v/>
      </c>
      <c r="T1021" s="10">
        <f>IF(Q1021="","",Q1021-S1021)</f>
        <v/>
      </c>
    </row>
    <row r="1022">
      <c r="A1022" s="7">
        <f>CONCATENATE(C1022,E1022,F1022,I1022)</f>
        <v/>
      </c>
      <c r="B1022" s="7">
        <f>CONCATENATE(C1022,E1022,I1022)</f>
        <v/>
      </c>
      <c r="C1022" s="8" t="n">
        <v>900005974</v>
      </c>
      <c r="D1022" s="7">
        <f>IFERROR(VLOOKUP(C1022,TRAOPE!$G:$H,2,0),"")</f>
        <v/>
      </c>
      <c r="E1022" s="8" t="inlineStr">
        <is>
          <t>DW70</t>
        </is>
      </c>
      <c r="F1022" s="8" t="inlineStr">
        <is>
          <t>D085</t>
        </is>
      </c>
      <c r="G1022" s="8">
        <f>IFERROR(VLOOKUP(A1022,Flete!$A:$E,5,0),"")</f>
        <v/>
      </c>
      <c r="H1022" s="7">
        <f>IFERROR(VLOOKUP(F1022,TRAOPE!$AA:$AB,2,0),"")</f>
        <v/>
      </c>
      <c r="I1022" s="7" t="n">
        <v>10000357</v>
      </c>
      <c r="J1022" s="7">
        <f>IFERROR(VLOOKUP(I1022,Materiales!$A:$H,8,0),"")</f>
        <v/>
      </c>
      <c r="K1022" s="9">
        <f>IFERROR(VLOOKUP(I1022,Materiales!$A:$G,7,0),"")</f>
        <v/>
      </c>
      <c r="L1022" s="8" t="inlineStr">
        <is>
          <t>20260413</t>
        </is>
      </c>
      <c r="M1022" s="8" t="inlineStr">
        <is>
          <t>99991231</t>
        </is>
      </c>
      <c r="N1022" s="10" t="n">
        <v>109.35</v>
      </c>
      <c r="O1022" s="10">
        <f>IFERROR(VLOOKUP(A1022,Flete!$A:$J,10,0),"")</f>
        <v/>
      </c>
      <c r="P1022" s="8" t="inlineStr">
        <is>
          <t>TN</t>
        </is>
      </c>
      <c r="Q1022" s="10">
        <f>IFERROR(IFERROR(VLOOKUP(A1022,TRAOPE!$A:$U,21,0),VLOOKUP(B1022,TRAOPE!$A:$U,21,0)),"")</f>
        <v/>
      </c>
      <c r="R1022" s="8">
        <f>IFERROR(IFERROR(VLOOKUP(A1022,TRAOPE!$A:$W,23,0),VLOOKUP(B1022,TRAOPE!$A:$W,23,0)),"")</f>
        <v/>
      </c>
      <c r="S1022" s="10">
        <f>IF(AND(P1022="TN",R1022="TN"),N1022+N(O1022),IF(G1022&amp;""="1",N(K1022)*N1022,(N1022+N(O1022))*N(K1022)))</f>
        <v/>
      </c>
      <c r="T1022" s="10">
        <f>IF(Q1022="","",Q1022-S1022)</f>
        <v/>
      </c>
    </row>
    <row r="1023">
      <c r="A1023" s="7">
        <f>CONCATENATE(C1023,E1023,F1023,I1023)</f>
        <v/>
      </c>
      <c r="B1023" s="7">
        <f>CONCATENATE(C1023,E1023,I1023)</f>
        <v/>
      </c>
      <c r="C1023" s="8" t="n">
        <v>900005974</v>
      </c>
      <c r="D1023" s="7">
        <f>IFERROR(VLOOKUP(C1023,TRAOPE!$G:$H,2,0),"")</f>
        <v/>
      </c>
      <c r="E1023" s="8" t="inlineStr">
        <is>
          <t>DW70</t>
        </is>
      </c>
      <c r="F1023" s="8" t="inlineStr">
        <is>
          <t>D086</t>
        </is>
      </c>
      <c r="G1023" s="8">
        <f>IFERROR(VLOOKUP(A1023,Flete!$A:$E,5,0),"")</f>
        <v/>
      </c>
      <c r="H1023" s="7">
        <f>IFERROR(VLOOKUP(F1023,TRAOPE!$AA:$AB,2,0),"")</f>
        <v/>
      </c>
      <c r="I1023" s="7" t="n">
        <v>10000160</v>
      </c>
      <c r="J1023" s="7">
        <f>IFERROR(VLOOKUP(I1023,Materiales!$A:$H,8,0),"")</f>
        <v/>
      </c>
      <c r="K1023" s="9">
        <f>IFERROR(VLOOKUP(I1023,Materiales!$A:$G,7,0),"")</f>
        <v/>
      </c>
      <c r="L1023" s="8" t="inlineStr">
        <is>
          <t>20260413</t>
        </is>
      </c>
      <c r="M1023" s="8" t="inlineStr">
        <is>
          <t>99991231</t>
        </is>
      </c>
      <c r="N1023" s="10" t="n">
        <v>106.46</v>
      </c>
      <c r="O1023" s="10">
        <f>IFERROR(VLOOKUP(A1023,Flete!$A:$J,10,0),"")</f>
        <v/>
      </c>
      <c r="P1023" s="8" t="inlineStr">
        <is>
          <t>TN</t>
        </is>
      </c>
      <c r="Q1023" s="10">
        <f>IFERROR(IFERROR(VLOOKUP(A1023,TRAOPE!$A:$U,21,0),VLOOKUP(B1023,TRAOPE!$A:$U,21,0)),"")</f>
        <v/>
      </c>
      <c r="R1023" s="8">
        <f>IFERROR(IFERROR(VLOOKUP(A1023,TRAOPE!$A:$W,23,0),VLOOKUP(B1023,TRAOPE!$A:$W,23,0)),"")</f>
        <v/>
      </c>
      <c r="S1023" s="10">
        <f>IF(AND(P1023="TN",R1023="TN"),N1023+N(O1023),IF(G1023&amp;""="1",N(K1023)*N1023,(N1023+N(O1023))*N(K1023)))</f>
        <v/>
      </c>
      <c r="T1023" s="10">
        <f>IF(Q1023="","",Q1023-S1023)</f>
        <v/>
      </c>
    </row>
    <row r="1024">
      <c r="A1024" s="7">
        <f>CONCATENATE(C1024,E1024,F1024,I1024)</f>
        <v/>
      </c>
      <c r="B1024" s="7">
        <f>CONCATENATE(C1024,E1024,I1024)</f>
        <v/>
      </c>
      <c r="C1024" s="8" t="n">
        <v>900005974</v>
      </c>
      <c r="D1024" s="7">
        <f>IFERROR(VLOOKUP(C1024,TRAOPE!$G:$H,2,0),"")</f>
        <v/>
      </c>
      <c r="E1024" s="8" t="inlineStr">
        <is>
          <t>DW70</t>
        </is>
      </c>
      <c r="F1024" s="8" t="inlineStr">
        <is>
          <t>D086</t>
        </is>
      </c>
      <c r="G1024" s="8">
        <f>IFERROR(VLOOKUP(A1024,Flete!$A:$E,5,0),"")</f>
        <v/>
      </c>
      <c r="H1024" s="7">
        <f>IFERROR(VLOOKUP(F1024,TRAOPE!$AA:$AB,2,0),"")</f>
        <v/>
      </c>
      <c r="I1024" s="7" t="n">
        <v>10000357</v>
      </c>
      <c r="J1024" s="7">
        <f>IFERROR(VLOOKUP(I1024,Materiales!$A:$H,8,0),"")</f>
        <v/>
      </c>
      <c r="K1024" s="9">
        <f>IFERROR(VLOOKUP(I1024,Materiales!$A:$G,7,0),"")</f>
        <v/>
      </c>
      <c r="L1024" s="8" t="inlineStr">
        <is>
          <t>20260413</t>
        </is>
      </c>
      <c r="M1024" s="8" t="inlineStr">
        <is>
          <t>99991231</t>
        </is>
      </c>
      <c r="N1024" s="10" t="n">
        <v>109.35</v>
      </c>
      <c r="O1024" s="10">
        <f>IFERROR(VLOOKUP(A1024,Flete!$A:$J,10,0),"")</f>
        <v/>
      </c>
      <c r="P1024" s="8" t="inlineStr">
        <is>
          <t>TN</t>
        </is>
      </c>
      <c r="Q1024" s="10">
        <f>IFERROR(IFERROR(VLOOKUP(A1024,TRAOPE!$A:$U,21,0),VLOOKUP(B1024,TRAOPE!$A:$U,21,0)),"")</f>
        <v/>
      </c>
      <c r="R1024" s="8">
        <f>IFERROR(IFERROR(VLOOKUP(A1024,TRAOPE!$A:$W,23,0),VLOOKUP(B1024,TRAOPE!$A:$W,23,0)),"")</f>
        <v/>
      </c>
      <c r="S1024" s="10">
        <f>IF(AND(P1024="TN",R1024="TN"),N1024+N(O1024),IF(G1024&amp;""="1",N(K1024)*N1024,(N1024+N(O1024))*N(K1024)))</f>
        <v/>
      </c>
      <c r="T1024" s="10">
        <f>IF(Q1024="","",Q1024-S1024)</f>
        <v/>
      </c>
    </row>
    <row r="1025">
      <c r="A1025" s="7">
        <f>CONCATENATE(C1025,E1025,F1025,I1025)</f>
        <v/>
      </c>
      <c r="B1025" s="7">
        <f>CONCATENATE(C1025,E1025,I1025)</f>
        <v/>
      </c>
      <c r="C1025" s="8" t="n">
        <v>900005974</v>
      </c>
      <c r="D1025" s="7">
        <f>IFERROR(VLOOKUP(C1025,TRAOPE!$G:$H,2,0),"")</f>
        <v/>
      </c>
      <c r="E1025" s="8" t="inlineStr">
        <is>
          <t>DW70</t>
        </is>
      </c>
      <c r="F1025" s="8" t="inlineStr">
        <is>
          <t>D093</t>
        </is>
      </c>
      <c r="G1025" s="8">
        <f>IFERROR(VLOOKUP(A1025,Flete!$A:$E,5,0),"")</f>
        <v/>
      </c>
      <c r="H1025" s="7">
        <f>IFERROR(VLOOKUP(F1025,TRAOPE!$AA:$AB,2,0),"")</f>
        <v/>
      </c>
      <c r="I1025" s="7" t="n">
        <v>10000160</v>
      </c>
      <c r="J1025" s="7">
        <f>IFERROR(VLOOKUP(I1025,Materiales!$A:$H,8,0),"")</f>
        <v/>
      </c>
      <c r="K1025" s="9">
        <f>IFERROR(VLOOKUP(I1025,Materiales!$A:$G,7,0),"")</f>
        <v/>
      </c>
      <c r="L1025" s="8" t="inlineStr">
        <is>
          <t>20260413</t>
        </is>
      </c>
      <c r="M1025" s="8" t="inlineStr">
        <is>
          <t>99991231</t>
        </is>
      </c>
      <c r="N1025" s="10" t="n">
        <v>106.46</v>
      </c>
      <c r="O1025" s="10">
        <f>IFERROR(VLOOKUP(A1025,Flete!$A:$J,10,0),"")</f>
        <v/>
      </c>
      <c r="P1025" s="8" t="inlineStr">
        <is>
          <t>TN</t>
        </is>
      </c>
      <c r="Q1025" s="10">
        <f>IFERROR(IFERROR(VLOOKUP(A1025,TRAOPE!$A:$U,21,0),VLOOKUP(B1025,TRAOPE!$A:$U,21,0)),"")</f>
        <v/>
      </c>
      <c r="R1025" s="8">
        <f>IFERROR(IFERROR(VLOOKUP(A1025,TRAOPE!$A:$W,23,0),VLOOKUP(B1025,TRAOPE!$A:$W,23,0)),"")</f>
        <v/>
      </c>
      <c r="S1025" s="10">
        <f>IF(AND(P1025="TN",R1025="TN"),N1025+N(O1025),IF(G1025&amp;""="1",N(K1025)*N1025,(N1025+N(O1025))*N(K1025)))</f>
        <v/>
      </c>
      <c r="T1025" s="10">
        <f>IF(Q1025="","",Q1025-S1025)</f>
        <v/>
      </c>
    </row>
    <row r="1026">
      <c r="A1026" s="7">
        <f>CONCATENATE(C1026,E1026,F1026,I1026)</f>
        <v/>
      </c>
      <c r="B1026" s="7">
        <f>CONCATENATE(C1026,E1026,I1026)</f>
        <v/>
      </c>
      <c r="C1026" s="8" t="n">
        <v>900005974</v>
      </c>
      <c r="D1026" s="7">
        <f>IFERROR(VLOOKUP(C1026,TRAOPE!$G:$H,2,0),"")</f>
        <v/>
      </c>
      <c r="E1026" s="8" t="inlineStr">
        <is>
          <t>DW70</t>
        </is>
      </c>
      <c r="F1026" s="8" t="inlineStr">
        <is>
          <t>D093</t>
        </is>
      </c>
      <c r="G1026" s="8">
        <f>IFERROR(VLOOKUP(A1026,Flete!$A:$E,5,0),"")</f>
        <v/>
      </c>
      <c r="H1026" s="7">
        <f>IFERROR(VLOOKUP(F1026,TRAOPE!$AA:$AB,2,0),"")</f>
        <v/>
      </c>
      <c r="I1026" s="7" t="n">
        <v>10000357</v>
      </c>
      <c r="J1026" s="7">
        <f>IFERROR(VLOOKUP(I1026,Materiales!$A:$H,8,0),"")</f>
        <v/>
      </c>
      <c r="K1026" s="9">
        <f>IFERROR(VLOOKUP(I1026,Materiales!$A:$G,7,0),"")</f>
        <v/>
      </c>
      <c r="L1026" s="8" t="inlineStr">
        <is>
          <t>20260413</t>
        </is>
      </c>
      <c r="M1026" s="8" t="inlineStr">
        <is>
          <t>99991231</t>
        </is>
      </c>
      <c r="N1026" s="10" t="n">
        <v>109.35</v>
      </c>
      <c r="O1026" s="10">
        <f>IFERROR(VLOOKUP(A1026,Flete!$A:$J,10,0),"")</f>
        <v/>
      </c>
      <c r="P1026" s="8" t="inlineStr">
        <is>
          <t>TN</t>
        </is>
      </c>
      <c r="Q1026" s="10">
        <f>IFERROR(IFERROR(VLOOKUP(A1026,TRAOPE!$A:$U,21,0),VLOOKUP(B1026,TRAOPE!$A:$U,21,0)),"")</f>
        <v/>
      </c>
      <c r="R1026" s="8">
        <f>IFERROR(IFERROR(VLOOKUP(A1026,TRAOPE!$A:$W,23,0),VLOOKUP(B1026,TRAOPE!$A:$W,23,0)),"")</f>
        <v/>
      </c>
      <c r="S1026" s="10">
        <f>IF(AND(P1026="TN",R1026="TN"),N1026+N(O1026),IF(G1026&amp;""="1",N(K1026)*N1026,(N1026+N(O1026))*N(K1026)))</f>
        <v/>
      </c>
      <c r="T1026" s="10">
        <f>IF(Q1026="","",Q1026-S1026)</f>
        <v/>
      </c>
    </row>
    <row r="1027">
      <c r="A1027" s="7">
        <f>CONCATENATE(C1027,E1027,F1027,I1027)</f>
        <v/>
      </c>
      <c r="B1027" s="7">
        <f>CONCATENATE(C1027,E1027,I1027)</f>
        <v/>
      </c>
      <c r="C1027" s="8" t="n">
        <v>900005974</v>
      </c>
      <c r="D1027" s="7">
        <f>IFERROR(VLOOKUP(C1027,TRAOPE!$G:$H,2,0),"")</f>
        <v/>
      </c>
      <c r="E1027" s="8" t="inlineStr">
        <is>
          <t>DW70</t>
        </is>
      </c>
      <c r="F1027" s="8" t="inlineStr">
        <is>
          <t>D098</t>
        </is>
      </c>
      <c r="G1027" s="8">
        <f>IFERROR(VLOOKUP(A1027,Flete!$A:$E,5,0),"")</f>
        <v/>
      </c>
      <c r="H1027" s="7">
        <f>IFERROR(VLOOKUP(F1027,TRAOPE!$AA:$AB,2,0),"")</f>
        <v/>
      </c>
      <c r="I1027" s="7" t="n">
        <v>10000160</v>
      </c>
      <c r="J1027" s="7">
        <f>IFERROR(VLOOKUP(I1027,Materiales!$A:$H,8,0),"")</f>
        <v/>
      </c>
      <c r="K1027" s="9">
        <f>IFERROR(VLOOKUP(I1027,Materiales!$A:$G,7,0),"")</f>
        <v/>
      </c>
      <c r="L1027" s="8" t="inlineStr">
        <is>
          <t>20260413</t>
        </is>
      </c>
      <c r="M1027" s="8" t="inlineStr">
        <is>
          <t>99991231</t>
        </is>
      </c>
      <c r="N1027" s="10" t="n">
        <v>106.46</v>
      </c>
      <c r="O1027" s="10">
        <f>IFERROR(VLOOKUP(A1027,Flete!$A:$J,10,0),"")</f>
        <v/>
      </c>
      <c r="P1027" s="8" t="inlineStr">
        <is>
          <t>TN</t>
        </is>
      </c>
      <c r="Q1027" s="10">
        <f>IFERROR(IFERROR(VLOOKUP(A1027,TRAOPE!$A:$U,21,0),VLOOKUP(B1027,TRAOPE!$A:$U,21,0)),"")</f>
        <v/>
      </c>
      <c r="R1027" s="8">
        <f>IFERROR(IFERROR(VLOOKUP(A1027,TRAOPE!$A:$W,23,0),VLOOKUP(B1027,TRAOPE!$A:$W,23,0)),"")</f>
        <v/>
      </c>
      <c r="S1027" s="10">
        <f>IF(AND(P1027="TN",R1027="TN"),N1027+N(O1027),IF(G1027&amp;""="1",N(K1027)*N1027,(N1027+N(O1027))*N(K1027)))</f>
        <v/>
      </c>
      <c r="T1027" s="10">
        <f>IF(Q1027="","",Q1027-S1027)</f>
        <v/>
      </c>
    </row>
    <row r="1028">
      <c r="A1028" s="7">
        <f>CONCATENATE(C1028,E1028,F1028,I1028)</f>
        <v/>
      </c>
      <c r="B1028" s="7">
        <f>CONCATENATE(C1028,E1028,I1028)</f>
        <v/>
      </c>
      <c r="C1028" s="8" t="n">
        <v>900005974</v>
      </c>
      <c r="D1028" s="7">
        <f>IFERROR(VLOOKUP(C1028,TRAOPE!$G:$H,2,0),"")</f>
        <v/>
      </c>
      <c r="E1028" s="8" t="inlineStr">
        <is>
          <t>DW70</t>
        </is>
      </c>
      <c r="F1028" s="8" t="inlineStr">
        <is>
          <t>D098</t>
        </is>
      </c>
      <c r="G1028" s="8">
        <f>IFERROR(VLOOKUP(A1028,Flete!$A:$E,5,0),"")</f>
        <v/>
      </c>
      <c r="H1028" s="7">
        <f>IFERROR(VLOOKUP(F1028,TRAOPE!$AA:$AB,2,0),"")</f>
        <v/>
      </c>
      <c r="I1028" s="7" t="n">
        <v>10000357</v>
      </c>
      <c r="J1028" s="7">
        <f>IFERROR(VLOOKUP(I1028,Materiales!$A:$H,8,0),"")</f>
        <v/>
      </c>
      <c r="K1028" s="9">
        <f>IFERROR(VLOOKUP(I1028,Materiales!$A:$G,7,0),"")</f>
        <v/>
      </c>
      <c r="L1028" s="8" t="inlineStr">
        <is>
          <t>20260413</t>
        </is>
      </c>
      <c r="M1028" s="8" t="inlineStr">
        <is>
          <t>99991231</t>
        </is>
      </c>
      <c r="N1028" s="10" t="n">
        <v>109.35</v>
      </c>
      <c r="O1028" s="10">
        <f>IFERROR(VLOOKUP(A1028,Flete!$A:$J,10,0),"")</f>
        <v/>
      </c>
      <c r="P1028" s="8" t="inlineStr">
        <is>
          <t>TN</t>
        </is>
      </c>
      <c r="Q1028" s="10">
        <f>IFERROR(IFERROR(VLOOKUP(A1028,TRAOPE!$A:$U,21,0),VLOOKUP(B1028,TRAOPE!$A:$U,21,0)),"")</f>
        <v/>
      </c>
      <c r="R1028" s="8">
        <f>IFERROR(IFERROR(VLOOKUP(A1028,TRAOPE!$A:$W,23,0),VLOOKUP(B1028,TRAOPE!$A:$W,23,0)),"")</f>
        <v/>
      </c>
      <c r="S1028" s="10">
        <f>IF(AND(P1028="TN",R1028="TN"),N1028+N(O1028),IF(G1028&amp;""="1",N(K1028)*N1028,(N1028+N(O1028))*N(K1028)))</f>
        <v/>
      </c>
      <c r="T1028" s="10">
        <f>IF(Q1028="","",Q1028-S1028)</f>
        <v/>
      </c>
    </row>
    <row r="1029">
      <c r="A1029" s="7">
        <f>CONCATENATE(C1029,E1029,F1029,I1029)</f>
        <v/>
      </c>
      <c r="B1029" s="7">
        <f>CONCATENATE(C1029,E1029,I1029)</f>
        <v/>
      </c>
      <c r="C1029" s="8" t="n">
        <v>900005974</v>
      </c>
      <c r="D1029" s="7">
        <f>IFERROR(VLOOKUP(C1029,TRAOPE!$G:$H,2,0),"")</f>
        <v/>
      </c>
      <c r="E1029" s="8" t="inlineStr">
        <is>
          <t>DW70</t>
        </is>
      </c>
      <c r="F1029" s="8" t="inlineStr">
        <is>
          <t>D105</t>
        </is>
      </c>
      <c r="G1029" s="8">
        <f>IFERROR(VLOOKUP(A1029,Flete!$A:$E,5,0),"")</f>
        <v/>
      </c>
      <c r="H1029" s="7">
        <f>IFERROR(VLOOKUP(F1029,TRAOPE!$AA:$AB,2,0),"")</f>
        <v/>
      </c>
      <c r="I1029" s="7" t="n">
        <v>10000160</v>
      </c>
      <c r="J1029" s="7">
        <f>IFERROR(VLOOKUP(I1029,Materiales!$A:$H,8,0),"")</f>
        <v/>
      </c>
      <c r="K1029" s="9">
        <f>IFERROR(VLOOKUP(I1029,Materiales!$A:$G,7,0),"")</f>
        <v/>
      </c>
      <c r="L1029" s="8" t="inlineStr">
        <is>
          <t>20260413</t>
        </is>
      </c>
      <c r="M1029" s="8" t="inlineStr">
        <is>
          <t>99991231</t>
        </is>
      </c>
      <c r="N1029" s="10" t="n">
        <v>106.46</v>
      </c>
      <c r="O1029" s="10">
        <f>IFERROR(VLOOKUP(A1029,Flete!$A:$J,10,0),"")</f>
        <v/>
      </c>
      <c r="P1029" s="8" t="inlineStr">
        <is>
          <t>TN</t>
        </is>
      </c>
      <c r="Q1029" s="10">
        <f>IFERROR(IFERROR(VLOOKUP(A1029,TRAOPE!$A:$U,21,0),VLOOKUP(B1029,TRAOPE!$A:$U,21,0)),"")</f>
        <v/>
      </c>
      <c r="R1029" s="8">
        <f>IFERROR(IFERROR(VLOOKUP(A1029,TRAOPE!$A:$W,23,0),VLOOKUP(B1029,TRAOPE!$A:$W,23,0)),"")</f>
        <v/>
      </c>
      <c r="S1029" s="10">
        <f>IF(AND(P1029="TN",R1029="TN"),N1029+N(O1029),IF(G1029&amp;""="1",N(K1029)*N1029,(N1029+N(O1029))*N(K1029)))</f>
        <v/>
      </c>
      <c r="T1029" s="10">
        <f>IF(Q1029="","",Q1029-S1029)</f>
        <v/>
      </c>
    </row>
    <row r="1030">
      <c r="A1030" s="7">
        <f>CONCATENATE(C1030,E1030,F1030,I1030)</f>
        <v/>
      </c>
      <c r="B1030" s="7">
        <f>CONCATENATE(C1030,E1030,I1030)</f>
        <v/>
      </c>
      <c r="C1030" s="8" t="n">
        <v>900005974</v>
      </c>
      <c r="D1030" s="7">
        <f>IFERROR(VLOOKUP(C1030,TRAOPE!$G:$H,2,0),"")</f>
        <v/>
      </c>
      <c r="E1030" s="8" t="inlineStr">
        <is>
          <t>DW70</t>
        </is>
      </c>
      <c r="F1030" s="8" t="inlineStr">
        <is>
          <t>D105</t>
        </is>
      </c>
      <c r="G1030" s="8">
        <f>IFERROR(VLOOKUP(A1030,Flete!$A:$E,5,0),"")</f>
        <v/>
      </c>
      <c r="H1030" s="7">
        <f>IFERROR(VLOOKUP(F1030,TRAOPE!$AA:$AB,2,0),"")</f>
        <v/>
      </c>
      <c r="I1030" s="7" t="n">
        <v>10000357</v>
      </c>
      <c r="J1030" s="7">
        <f>IFERROR(VLOOKUP(I1030,Materiales!$A:$H,8,0),"")</f>
        <v/>
      </c>
      <c r="K1030" s="9">
        <f>IFERROR(VLOOKUP(I1030,Materiales!$A:$G,7,0),"")</f>
        <v/>
      </c>
      <c r="L1030" s="8" t="inlineStr">
        <is>
          <t>20260413</t>
        </is>
      </c>
      <c r="M1030" s="8" t="inlineStr">
        <is>
          <t>99991231</t>
        </is>
      </c>
      <c r="N1030" s="10" t="n">
        <v>109.35</v>
      </c>
      <c r="O1030" s="10">
        <f>IFERROR(VLOOKUP(A1030,Flete!$A:$J,10,0),"")</f>
        <v/>
      </c>
      <c r="P1030" s="8" t="inlineStr">
        <is>
          <t>TN</t>
        </is>
      </c>
      <c r="Q1030" s="10">
        <f>IFERROR(IFERROR(VLOOKUP(A1030,TRAOPE!$A:$U,21,0),VLOOKUP(B1030,TRAOPE!$A:$U,21,0)),"")</f>
        <v/>
      </c>
      <c r="R1030" s="8">
        <f>IFERROR(IFERROR(VLOOKUP(A1030,TRAOPE!$A:$W,23,0),VLOOKUP(B1030,TRAOPE!$A:$W,23,0)),"")</f>
        <v/>
      </c>
      <c r="S1030" s="10">
        <f>IF(AND(P1030="TN",R1030="TN"),N1030+N(O1030),IF(G1030&amp;""="1",N(K1030)*N1030,(N1030+N(O1030))*N(K1030)))</f>
        <v/>
      </c>
      <c r="T1030" s="10">
        <f>IF(Q1030="","",Q1030-S1030)</f>
        <v/>
      </c>
    </row>
    <row r="1031">
      <c r="A1031" s="7">
        <f>CONCATENATE(C1031,E1031,F1031,I1031)</f>
        <v/>
      </c>
      <c r="B1031" s="7">
        <f>CONCATENATE(C1031,E1031,I1031)</f>
        <v/>
      </c>
      <c r="C1031" s="8" t="n">
        <v>900005974</v>
      </c>
      <c r="D1031" s="7">
        <f>IFERROR(VLOOKUP(C1031,TRAOPE!$G:$H,2,0),"")</f>
        <v/>
      </c>
      <c r="E1031" s="8" t="inlineStr">
        <is>
          <t>DW70</t>
        </is>
      </c>
      <c r="F1031" s="8" t="inlineStr">
        <is>
          <t>D136</t>
        </is>
      </c>
      <c r="G1031" s="8">
        <f>IFERROR(VLOOKUP(A1031,Flete!$A:$E,5,0),"")</f>
        <v/>
      </c>
      <c r="H1031" s="7">
        <f>IFERROR(VLOOKUP(F1031,TRAOPE!$AA:$AB,2,0),"")</f>
        <v/>
      </c>
      <c r="I1031" s="7" t="n">
        <v>10000160</v>
      </c>
      <c r="J1031" s="7">
        <f>IFERROR(VLOOKUP(I1031,Materiales!$A:$H,8,0),"")</f>
        <v/>
      </c>
      <c r="K1031" s="9">
        <f>IFERROR(VLOOKUP(I1031,Materiales!$A:$G,7,0),"")</f>
        <v/>
      </c>
      <c r="L1031" s="8" t="inlineStr">
        <is>
          <t>20260413</t>
        </is>
      </c>
      <c r="M1031" s="8" t="inlineStr">
        <is>
          <t>99991231</t>
        </is>
      </c>
      <c r="N1031" s="10" t="n">
        <v>106.46</v>
      </c>
      <c r="O1031" s="10">
        <f>IFERROR(VLOOKUP(A1031,Flete!$A:$J,10,0),"")</f>
        <v/>
      </c>
      <c r="P1031" s="8" t="inlineStr">
        <is>
          <t>TN</t>
        </is>
      </c>
      <c r="Q1031" s="10">
        <f>IFERROR(IFERROR(VLOOKUP(A1031,TRAOPE!$A:$U,21,0),VLOOKUP(B1031,TRAOPE!$A:$U,21,0)),"")</f>
        <v/>
      </c>
      <c r="R1031" s="8">
        <f>IFERROR(IFERROR(VLOOKUP(A1031,TRAOPE!$A:$W,23,0),VLOOKUP(B1031,TRAOPE!$A:$W,23,0)),"")</f>
        <v/>
      </c>
      <c r="S1031" s="10">
        <f>IF(AND(P1031="TN",R1031="TN"),N1031+N(O1031),IF(G1031&amp;""="1",N(K1031)*N1031,(N1031+N(O1031))*N(K1031)))</f>
        <v/>
      </c>
      <c r="T1031" s="10">
        <f>IF(Q1031="","",Q1031-S1031)</f>
        <v/>
      </c>
    </row>
    <row r="1032">
      <c r="A1032" s="7">
        <f>CONCATENATE(C1032,E1032,F1032,I1032)</f>
        <v/>
      </c>
      <c r="B1032" s="7">
        <f>CONCATENATE(C1032,E1032,I1032)</f>
        <v/>
      </c>
      <c r="C1032" s="8" t="n">
        <v>900005974</v>
      </c>
      <c r="D1032" s="7">
        <f>IFERROR(VLOOKUP(C1032,TRAOPE!$G:$H,2,0),"")</f>
        <v/>
      </c>
      <c r="E1032" s="8" t="inlineStr">
        <is>
          <t>DW70</t>
        </is>
      </c>
      <c r="F1032" s="8" t="inlineStr">
        <is>
          <t>D136</t>
        </is>
      </c>
      <c r="G1032" s="8">
        <f>IFERROR(VLOOKUP(A1032,Flete!$A:$E,5,0),"")</f>
        <v/>
      </c>
      <c r="H1032" s="7">
        <f>IFERROR(VLOOKUP(F1032,TRAOPE!$AA:$AB,2,0),"")</f>
        <v/>
      </c>
      <c r="I1032" s="7" t="n">
        <v>10000357</v>
      </c>
      <c r="J1032" s="7">
        <f>IFERROR(VLOOKUP(I1032,Materiales!$A:$H,8,0),"")</f>
        <v/>
      </c>
      <c r="K1032" s="9">
        <f>IFERROR(VLOOKUP(I1032,Materiales!$A:$G,7,0),"")</f>
        <v/>
      </c>
      <c r="L1032" s="8" t="inlineStr">
        <is>
          <t>20260413</t>
        </is>
      </c>
      <c r="M1032" s="8" t="inlineStr">
        <is>
          <t>99991231</t>
        </is>
      </c>
      <c r="N1032" s="10" t="n">
        <v>109.35</v>
      </c>
      <c r="O1032" s="10">
        <f>IFERROR(VLOOKUP(A1032,Flete!$A:$J,10,0),"")</f>
        <v/>
      </c>
      <c r="P1032" s="8" t="inlineStr">
        <is>
          <t>TN</t>
        </is>
      </c>
      <c r="Q1032" s="10">
        <f>IFERROR(IFERROR(VLOOKUP(A1032,TRAOPE!$A:$U,21,0),VLOOKUP(B1032,TRAOPE!$A:$U,21,0)),"")</f>
        <v/>
      </c>
      <c r="R1032" s="8">
        <f>IFERROR(IFERROR(VLOOKUP(A1032,TRAOPE!$A:$W,23,0),VLOOKUP(B1032,TRAOPE!$A:$W,23,0)),"")</f>
        <v/>
      </c>
      <c r="S1032" s="10">
        <f>IF(AND(P1032="TN",R1032="TN"),N1032+N(O1032),IF(G1032&amp;""="1",N(K1032)*N1032,(N1032+N(O1032))*N(K1032)))</f>
        <v/>
      </c>
      <c r="T1032" s="10">
        <f>IF(Q1032="","",Q1032-S1032)</f>
        <v/>
      </c>
    </row>
    <row r="1033">
      <c r="A1033" s="7">
        <f>CONCATENATE(C1033,E1033,F1033,I1033)</f>
        <v/>
      </c>
      <c r="B1033" s="7">
        <f>CONCATENATE(C1033,E1033,I1033)</f>
        <v/>
      </c>
      <c r="C1033" s="8" t="n">
        <v>900005974</v>
      </c>
      <c r="D1033" s="7">
        <f>IFERROR(VLOOKUP(C1033,TRAOPE!$G:$H,2,0),"")</f>
        <v/>
      </c>
      <c r="E1033" s="8" t="inlineStr">
        <is>
          <t>DW70</t>
        </is>
      </c>
      <c r="F1033" s="8" t="inlineStr">
        <is>
          <t>D145</t>
        </is>
      </c>
      <c r="G1033" s="8">
        <f>IFERROR(VLOOKUP(A1033,Flete!$A:$E,5,0),"")</f>
        <v/>
      </c>
      <c r="H1033" s="7">
        <f>IFERROR(VLOOKUP(F1033,TRAOPE!$AA:$AB,2,0),"")</f>
        <v/>
      </c>
      <c r="I1033" s="7" t="n">
        <v>10000160</v>
      </c>
      <c r="J1033" s="7">
        <f>IFERROR(VLOOKUP(I1033,Materiales!$A:$H,8,0),"")</f>
        <v/>
      </c>
      <c r="K1033" s="9">
        <f>IFERROR(VLOOKUP(I1033,Materiales!$A:$G,7,0),"")</f>
        <v/>
      </c>
      <c r="L1033" s="8" t="inlineStr">
        <is>
          <t>20260413</t>
        </is>
      </c>
      <c r="M1033" s="8" t="inlineStr">
        <is>
          <t>99991231</t>
        </is>
      </c>
      <c r="N1033" s="10" t="n">
        <v>106.46</v>
      </c>
      <c r="O1033" s="10">
        <f>IFERROR(VLOOKUP(A1033,Flete!$A:$J,10,0),"")</f>
        <v/>
      </c>
      <c r="P1033" s="8" t="inlineStr">
        <is>
          <t>TN</t>
        </is>
      </c>
      <c r="Q1033" s="10">
        <f>IFERROR(IFERROR(VLOOKUP(A1033,TRAOPE!$A:$U,21,0),VLOOKUP(B1033,TRAOPE!$A:$U,21,0)),"")</f>
        <v/>
      </c>
      <c r="R1033" s="8">
        <f>IFERROR(IFERROR(VLOOKUP(A1033,TRAOPE!$A:$W,23,0),VLOOKUP(B1033,TRAOPE!$A:$W,23,0)),"")</f>
        <v/>
      </c>
      <c r="S1033" s="10">
        <f>IF(AND(P1033="TN",R1033="TN"),N1033+N(O1033),IF(G1033&amp;""="1",N(K1033)*N1033,(N1033+N(O1033))*N(K1033)))</f>
        <v/>
      </c>
      <c r="T1033" s="10">
        <f>IF(Q1033="","",Q1033-S1033)</f>
        <v/>
      </c>
    </row>
    <row r="1034">
      <c r="A1034" s="7">
        <f>CONCATENATE(C1034,E1034,F1034,I1034)</f>
        <v/>
      </c>
      <c r="B1034" s="7">
        <f>CONCATENATE(C1034,E1034,I1034)</f>
        <v/>
      </c>
      <c r="C1034" s="8" t="n">
        <v>900005974</v>
      </c>
      <c r="D1034" s="7">
        <f>IFERROR(VLOOKUP(C1034,TRAOPE!$G:$H,2,0),"")</f>
        <v/>
      </c>
      <c r="E1034" s="8" t="inlineStr">
        <is>
          <t>DW70</t>
        </is>
      </c>
      <c r="F1034" s="8" t="inlineStr">
        <is>
          <t>D145</t>
        </is>
      </c>
      <c r="G1034" s="8">
        <f>IFERROR(VLOOKUP(A1034,Flete!$A:$E,5,0),"")</f>
        <v/>
      </c>
      <c r="H1034" s="7">
        <f>IFERROR(VLOOKUP(F1034,TRAOPE!$AA:$AB,2,0),"")</f>
        <v/>
      </c>
      <c r="I1034" s="7" t="n">
        <v>10000357</v>
      </c>
      <c r="J1034" s="7">
        <f>IFERROR(VLOOKUP(I1034,Materiales!$A:$H,8,0),"")</f>
        <v/>
      </c>
      <c r="K1034" s="9">
        <f>IFERROR(VLOOKUP(I1034,Materiales!$A:$G,7,0),"")</f>
        <v/>
      </c>
      <c r="L1034" s="8" t="inlineStr">
        <is>
          <t>20260413</t>
        </is>
      </c>
      <c r="M1034" s="8" t="inlineStr">
        <is>
          <t>99991231</t>
        </is>
      </c>
      <c r="N1034" s="10" t="n">
        <v>109.35</v>
      </c>
      <c r="O1034" s="10">
        <f>IFERROR(VLOOKUP(A1034,Flete!$A:$J,10,0),"")</f>
        <v/>
      </c>
      <c r="P1034" s="8" t="inlineStr">
        <is>
          <t>TN</t>
        </is>
      </c>
      <c r="Q1034" s="10">
        <f>IFERROR(IFERROR(VLOOKUP(A1034,TRAOPE!$A:$U,21,0),VLOOKUP(B1034,TRAOPE!$A:$U,21,0)),"")</f>
        <v/>
      </c>
      <c r="R1034" s="8">
        <f>IFERROR(IFERROR(VLOOKUP(A1034,TRAOPE!$A:$W,23,0),VLOOKUP(B1034,TRAOPE!$A:$W,23,0)),"")</f>
        <v/>
      </c>
      <c r="S1034" s="10">
        <f>IF(AND(P1034="TN",R1034="TN"),N1034+N(O1034),IF(G1034&amp;""="1",N(K1034)*N1034,(N1034+N(O1034))*N(K1034)))</f>
        <v/>
      </c>
      <c r="T1034" s="10">
        <f>IF(Q1034="","",Q1034-S1034)</f>
        <v/>
      </c>
    </row>
    <row r="1035">
      <c r="A1035" s="7">
        <f>CONCATENATE(C1035,E1035,F1035,I1035)</f>
        <v/>
      </c>
      <c r="B1035" s="7">
        <f>CONCATENATE(C1035,E1035,I1035)</f>
        <v/>
      </c>
      <c r="C1035" s="8" t="n">
        <v>900005974</v>
      </c>
      <c r="D1035" s="7">
        <f>IFERROR(VLOOKUP(C1035,TRAOPE!$G:$H,2,0),"")</f>
        <v/>
      </c>
      <c r="E1035" s="8" t="inlineStr">
        <is>
          <t>DW70</t>
        </is>
      </c>
      <c r="F1035" s="8" t="inlineStr">
        <is>
          <t>D681</t>
        </is>
      </c>
      <c r="G1035" s="8">
        <f>IFERROR(VLOOKUP(A1035,Flete!$A:$E,5,0),"")</f>
        <v/>
      </c>
      <c r="H1035" s="7">
        <f>IFERROR(VLOOKUP(F1035,TRAOPE!$AA:$AB,2,0),"")</f>
        <v/>
      </c>
      <c r="I1035" s="7" t="n">
        <v>10000160</v>
      </c>
      <c r="J1035" s="7">
        <f>IFERROR(VLOOKUP(I1035,Materiales!$A:$H,8,0),"")</f>
        <v/>
      </c>
      <c r="K1035" s="9">
        <f>IFERROR(VLOOKUP(I1035,Materiales!$A:$G,7,0),"")</f>
        <v/>
      </c>
      <c r="L1035" s="8" t="inlineStr">
        <is>
          <t>20260413</t>
        </is>
      </c>
      <c r="M1035" s="8" t="inlineStr">
        <is>
          <t>99991231</t>
        </is>
      </c>
      <c r="N1035" s="10" t="n">
        <v>106.46</v>
      </c>
      <c r="O1035" s="10">
        <f>IFERROR(VLOOKUP(A1035,Flete!$A:$J,10,0),"")</f>
        <v/>
      </c>
      <c r="P1035" s="8" t="inlineStr">
        <is>
          <t>TN</t>
        </is>
      </c>
      <c r="Q1035" s="10">
        <f>IFERROR(IFERROR(VLOOKUP(A1035,TRAOPE!$A:$U,21,0),VLOOKUP(B1035,TRAOPE!$A:$U,21,0)),"")</f>
        <v/>
      </c>
      <c r="R1035" s="8">
        <f>IFERROR(IFERROR(VLOOKUP(A1035,TRAOPE!$A:$W,23,0),VLOOKUP(B1035,TRAOPE!$A:$W,23,0)),"")</f>
        <v/>
      </c>
      <c r="S1035" s="10">
        <f>IF(AND(P1035="TN",R1035="TN"),N1035+N(O1035),IF(G1035&amp;""="1",N(K1035)*N1035,(N1035+N(O1035))*N(K1035)))</f>
        <v/>
      </c>
      <c r="T1035" s="10">
        <f>IF(Q1035="","",Q1035-S1035)</f>
        <v/>
      </c>
    </row>
    <row r="1036">
      <c r="A1036" s="7">
        <f>CONCATENATE(C1036,E1036,F1036,I1036)</f>
        <v/>
      </c>
      <c r="B1036" s="7">
        <f>CONCATENATE(C1036,E1036,I1036)</f>
        <v/>
      </c>
      <c r="C1036" s="8" t="n">
        <v>900005974</v>
      </c>
      <c r="D1036" s="7">
        <f>IFERROR(VLOOKUP(C1036,TRAOPE!$G:$H,2,0),"")</f>
        <v/>
      </c>
      <c r="E1036" s="8" t="inlineStr">
        <is>
          <t>DW70</t>
        </is>
      </c>
      <c r="F1036" s="8" t="inlineStr">
        <is>
          <t>D681</t>
        </is>
      </c>
      <c r="G1036" s="8">
        <f>IFERROR(VLOOKUP(A1036,Flete!$A:$E,5,0),"")</f>
        <v/>
      </c>
      <c r="H1036" s="7">
        <f>IFERROR(VLOOKUP(F1036,TRAOPE!$AA:$AB,2,0),"")</f>
        <v/>
      </c>
      <c r="I1036" s="7" t="n">
        <v>10000357</v>
      </c>
      <c r="J1036" s="7">
        <f>IFERROR(VLOOKUP(I1036,Materiales!$A:$H,8,0),"")</f>
        <v/>
      </c>
      <c r="K1036" s="9">
        <f>IFERROR(VLOOKUP(I1036,Materiales!$A:$G,7,0),"")</f>
        <v/>
      </c>
      <c r="L1036" s="8" t="inlineStr">
        <is>
          <t>20260413</t>
        </is>
      </c>
      <c r="M1036" s="8" t="inlineStr">
        <is>
          <t>99991231</t>
        </is>
      </c>
      <c r="N1036" s="10" t="n">
        <v>109.35</v>
      </c>
      <c r="O1036" s="10">
        <f>IFERROR(VLOOKUP(A1036,Flete!$A:$J,10,0),"")</f>
        <v/>
      </c>
      <c r="P1036" s="8" t="inlineStr">
        <is>
          <t>TN</t>
        </is>
      </c>
      <c r="Q1036" s="10">
        <f>IFERROR(IFERROR(VLOOKUP(A1036,TRAOPE!$A:$U,21,0),VLOOKUP(B1036,TRAOPE!$A:$U,21,0)),"")</f>
        <v/>
      </c>
      <c r="R1036" s="8">
        <f>IFERROR(IFERROR(VLOOKUP(A1036,TRAOPE!$A:$W,23,0),VLOOKUP(B1036,TRAOPE!$A:$W,23,0)),"")</f>
        <v/>
      </c>
      <c r="S1036" s="10">
        <f>IF(AND(P1036="TN",R1036="TN"),N1036+N(O1036),IF(G1036&amp;""="1",N(K1036)*N1036,(N1036+N(O1036))*N(K1036)))</f>
        <v/>
      </c>
      <c r="T1036" s="10">
        <f>IF(Q1036="","",Q1036-S1036)</f>
        <v/>
      </c>
    </row>
    <row r="1037">
      <c r="A1037" s="7">
        <f>CONCATENATE(C1037,E1037,F1037,I1037)</f>
        <v/>
      </c>
      <c r="B1037" s="7">
        <f>CONCATENATE(C1037,E1037,I1037)</f>
        <v/>
      </c>
      <c r="C1037" s="8" t="n">
        <v>900006140</v>
      </c>
      <c r="D1037" s="7">
        <f>IFERROR(VLOOKUP(C1037,TRAOPE!$G:$H,2,0),"")</f>
        <v/>
      </c>
      <c r="E1037" s="8" t="inlineStr">
        <is>
          <t>DW70</t>
        </is>
      </c>
      <c r="F1037" s="8" t="inlineStr">
        <is>
          <t>D111</t>
        </is>
      </c>
      <c r="G1037" s="8">
        <f>IFERROR(VLOOKUP(A1037,Flete!$A:$E,5,0),"")</f>
        <v/>
      </c>
      <c r="H1037" s="7">
        <f>IFERROR(VLOOKUP(F1037,TRAOPE!$AA:$AB,2,0),"")</f>
        <v/>
      </c>
      <c r="I1037" s="7" t="n">
        <v>10000811</v>
      </c>
      <c r="J1037" s="7">
        <f>IFERROR(VLOOKUP(I1037,Materiales!$A:$H,8,0),"")</f>
        <v/>
      </c>
      <c r="K1037" s="9">
        <f>IFERROR(VLOOKUP(I1037,Materiales!$A:$G,7,0),"")</f>
        <v/>
      </c>
      <c r="L1037" s="8" t="inlineStr">
        <is>
          <t>20230501</t>
        </is>
      </c>
      <c r="M1037" s="8" t="inlineStr">
        <is>
          <t>20250131</t>
        </is>
      </c>
      <c r="N1037" s="10" t="n">
        <v>252.37</v>
      </c>
      <c r="O1037" s="10">
        <f>IFERROR(VLOOKUP(A1037,Flete!$A:$J,10,0),"")</f>
        <v/>
      </c>
      <c r="P1037" s="8" t="inlineStr">
        <is>
          <t>TN</t>
        </is>
      </c>
      <c r="Q1037" s="10">
        <f>IFERROR(IFERROR(VLOOKUP(A1037,TRAOPE!$A:$U,21,0),VLOOKUP(B1037,TRAOPE!$A:$U,21,0)),"")</f>
        <v/>
      </c>
      <c r="R1037" s="8">
        <f>IFERROR(IFERROR(VLOOKUP(A1037,TRAOPE!$A:$W,23,0),VLOOKUP(B1037,TRAOPE!$A:$W,23,0)),"")</f>
        <v/>
      </c>
      <c r="S1037" s="10">
        <f>IF(AND(P1037="TN",R1037="TN"),N1037+N(O1037),IF(G1037&amp;""="1",N(K1037)*N1037,(N1037+N(O1037))*N(K1037)))</f>
        <v/>
      </c>
      <c r="T1037" s="10">
        <f>IF(Q1037="","",Q1037-S1037)</f>
        <v/>
      </c>
    </row>
    <row r="1038">
      <c r="A1038" s="7">
        <f>CONCATENATE(C1038,E1038,F1038,I1038)</f>
        <v/>
      </c>
      <c r="B1038" s="7">
        <f>CONCATENATE(C1038,E1038,I1038)</f>
        <v/>
      </c>
      <c r="C1038" s="8" t="n">
        <v>900006140</v>
      </c>
      <c r="D1038" s="7">
        <f>IFERROR(VLOOKUP(C1038,TRAOPE!$G:$H,2,0),"")</f>
        <v/>
      </c>
      <c r="E1038" s="8" t="inlineStr">
        <is>
          <t>DW70</t>
        </is>
      </c>
      <c r="F1038" s="8" t="inlineStr">
        <is>
          <t>D111</t>
        </is>
      </c>
      <c r="G1038" s="8">
        <f>IFERROR(VLOOKUP(A1038,Flete!$A:$E,5,0),"")</f>
        <v/>
      </c>
      <c r="H1038" s="7">
        <f>IFERROR(VLOOKUP(F1038,TRAOPE!$AA:$AB,2,0),"")</f>
        <v/>
      </c>
      <c r="I1038" s="7" t="n">
        <v>10161192</v>
      </c>
      <c r="J1038" s="7">
        <f>IFERROR(VLOOKUP(I1038,Materiales!$A:$H,8,0),"")</f>
        <v/>
      </c>
      <c r="K1038" s="9">
        <f>IFERROR(VLOOKUP(I1038,Materiales!$A:$G,7,0),"")</f>
        <v/>
      </c>
      <c r="L1038" s="8" t="inlineStr">
        <is>
          <t>20230501</t>
        </is>
      </c>
      <c r="M1038" s="8" t="inlineStr">
        <is>
          <t>20250131</t>
        </is>
      </c>
      <c r="N1038" s="10" t="n">
        <v>295.64</v>
      </c>
      <c r="O1038" s="10">
        <f>IFERROR(VLOOKUP(A1038,Flete!$A:$J,10,0),"")</f>
        <v/>
      </c>
      <c r="P1038" s="8" t="inlineStr">
        <is>
          <t>TN</t>
        </is>
      </c>
      <c r="Q1038" s="10">
        <f>IFERROR(IFERROR(VLOOKUP(A1038,TRAOPE!$A:$U,21,0),VLOOKUP(B1038,TRAOPE!$A:$U,21,0)),"")</f>
        <v/>
      </c>
      <c r="R1038" s="8">
        <f>IFERROR(IFERROR(VLOOKUP(A1038,TRAOPE!$A:$W,23,0),VLOOKUP(B1038,TRAOPE!$A:$W,23,0)),"")</f>
        <v/>
      </c>
      <c r="S1038" s="10">
        <f>IF(AND(P1038="TN",R1038="TN"),N1038+N(O1038),IF(G1038&amp;""="1",N(K1038)*N1038,(N1038+N(O1038))*N(K1038)))</f>
        <v/>
      </c>
      <c r="T1038" s="10">
        <f>IF(Q1038="","",Q1038-S1038)</f>
        <v/>
      </c>
    </row>
    <row r="1039">
      <c r="A1039" s="7">
        <f>CONCATENATE(C1039,E1039,F1039,I1039)</f>
        <v/>
      </c>
      <c r="B1039" s="7">
        <f>CONCATENATE(C1039,E1039,I1039)</f>
        <v/>
      </c>
      <c r="C1039" s="8" t="n">
        <v>900006140</v>
      </c>
      <c r="D1039" s="7">
        <f>IFERROR(VLOOKUP(C1039,TRAOPE!$G:$H,2,0),"")</f>
        <v/>
      </c>
      <c r="E1039" s="8" t="inlineStr">
        <is>
          <t>DW70</t>
        </is>
      </c>
      <c r="F1039" s="8" t="inlineStr">
        <is>
          <t>D111</t>
        </is>
      </c>
      <c r="G1039" s="8">
        <f>IFERROR(VLOOKUP(A1039,Flete!$A:$E,5,0),"")</f>
        <v/>
      </c>
      <c r="H1039" s="7">
        <f>IFERROR(VLOOKUP(F1039,TRAOPE!$AA:$AB,2,0),"")</f>
        <v/>
      </c>
      <c r="I1039" s="7" t="n">
        <v>10161492</v>
      </c>
      <c r="J1039" s="7">
        <f>IFERROR(VLOOKUP(I1039,Materiales!$A:$H,8,0),"")</f>
        <v/>
      </c>
      <c r="K1039" s="9">
        <f>IFERROR(VLOOKUP(I1039,Materiales!$A:$G,7,0),"")</f>
        <v/>
      </c>
      <c r="L1039" s="8" t="inlineStr">
        <is>
          <t>20230501</t>
        </is>
      </c>
      <c r="M1039" s="8" t="inlineStr">
        <is>
          <t>20250131</t>
        </is>
      </c>
      <c r="N1039" s="10" t="n">
        <v>184.72</v>
      </c>
      <c r="O1039" s="10">
        <f>IFERROR(VLOOKUP(A1039,Flete!$A:$J,10,0),"")</f>
        <v/>
      </c>
      <c r="P1039" s="8" t="inlineStr">
        <is>
          <t>TN</t>
        </is>
      </c>
      <c r="Q1039" s="10">
        <f>IFERROR(IFERROR(VLOOKUP(A1039,TRAOPE!$A:$U,21,0),VLOOKUP(B1039,TRAOPE!$A:$U,21,0)),"")</f>
        <v/>
      </c>
      <c r="R1039" s="8">
        <f>IFERROR(IFERROR(VLOOKUP(A1039,TRAOPE!$A:$W,23,0),VLOOKUP(B1039,TRAOPE!$A:$W,23,0)),"")</f>
        <v/>
      </c>
      <c r="S1039" s="10">
        <f>IF(AND(P1039="TN",R1039="TN"),N1039+N(O1039),IF(G1039&amp;""="1",N(K1039)*N1039,(N1039+N(O1039))*N(K1039)))</f>
        <v/>
      </c>
      <c r="T1039" s="10">
        <f>IF(Q1039="","",Q1039-S1039)</f>
        <v/>
      </c>
    </row>
    <row r="1040">
      <c r="A1040" s="7">
        <f>CONCATENATE(C1040,E1040,F1040,I1040)</f>
        <v/>
      </c>
      <c r="B1040" s="7">
        <f>CONCATENATE(C1040,E1040,I1040)</f>
        <v/>
      </c>
      <c r="C1040" s="8" t="n">
        <v>900006140</v>
      </c>
      <c r="D1040" s="7">
        <f>IFERROR(VLOOKUP(C1040,TRAOPE!$G:$H,2,0),"")</f>
        <v/>
      </c>
      <c r="E1040" s="8" t="inlineStr">
        <is>
          <t>DW70</t>
        </is>
      </c>
      <c r="F1040" s="8" t="inlineStr">
        <is>
          <t>D111</t>
        </is>
      </c>
      <c r="G1040" s="8">
        <f>IFERROR(VLOOKUP(A1040,Flete!$A:$E,5,0),"")</f>
        <v/>
      </c>
      <c r="H1040" s="7">
        <f>IFERROR(VLOOKUP(F1040,TRAOPE!$AA:$AB,2,0),"")</f>
        <v/>
      </c>
      <c r="I1040" s="7" t="n">
        <v>10165760</v>
      </c>
      <c r="J1040" s="7">
        <f>IFERROR(VLOOKUP(I1040,Materiales!$A:$H,8,0),"")</f>
        <v/>
      </c>
      <c r="K1040" s="9">
        <f>IFERROR(VLOOKUP(I1040,Materiales!$A:$G,7,0),"")</f>
        <v/>
      </c>
      <c r="L1040" s="8" t="inlineStr">
        <is>
          <t>20230501</t>
        </is>
      </c>
      <c r="M1040" s="8" t="inlineStr">
        <is>
          <t>20250131</t>
        </is>
      </c>
      <c r="N1040" s="10" t="n">
        <v>151.52</v>
      </c>
      <c r="O1040" s="10">
        <f>IFERROR(VLOOKUP(A1040,Flete!$A:$J,10,0),"")</f>
        <v/>
      </c>
      <c r="P1040" s="8" t="inlineStr">
        <is>
          <t>TN</t>
        </is>
      </c>
      <c r="Q1040" s="10">
        <f>IFERROR(IFERROR(VLOOKUP(A1040,TRAOPE!$A:$U,21,0),VLOOKUP(B1040,TRAOPE!$A:$U,21,0)),"")</f>
        <v/>
      </c>
      <c r="R1040" s="8">
        <f>IFERROR(IFERROR(VLOOKUP(A1040,TRAOPE!$A:$W,23,0),VLOOKUP(B1040,TRAOPE!$A:$W,23,0)),"")</f>
        <v/>
      </c>
      <c r="S1040" s="10">
        <f>IF(AND(P1040="TN",R1040="TN"),N1040+N(O1040),IF(G1040&amp;""="1",N(K1040)*N1040,(N1040+N(O1040))*N(K1040)))</f>
        <v/>
      </c>
      <c r="T1040" s="10">
        <f>IF(Q1040="","",Q1040-S1040)</f>
        <v/>
      </c>
    </row>
    <row r="1041">
      <c r="A1041" s="7">
        <f>CONCATENATE(C1041,E1041,F1041,I1041)</f>
        <v/>
      </c>
      <c r="B1041" s="7">
        <f>CONCATENATE(C1041,E1041,I1041)</f>
        <v/>
      </c>
      <c r="C1041" s="8" t="n">
        <v>900006140</v>
      </c>
      <c r="D1041" s="7">
        <f>IFERROR(VLOOKUP(C1041,TRAOPE!$G:$H,2,0),"")</f>
        <v/>
      </c>
      <c r="E1041" s="8" t="inlineStr">
        <is>
          <t>DW70</t>
        </is>
      </c>
      <c r="F1041" s="8" t="inlineStr">
        <is>
          <t>D111</t>
        </is>
      </c>
      <c r="G1041" s="8">
        <f>IFERROR(VLOOKUP(A1041,Flete!$A:$E,5,0),"")</f>
        <v/>
      </c>
      <c r="H1041" s="7">
        <f>IFERROR(VLOOKUP(F1041,TRAOPE!$AA:$AB,2,0),"")</f>
        <v/>
      </c>
      <c r="I1041" s="7" t="n">
        <v>10165990</v>
      </c>
      <c r="J1041" s="7">
        <f>IFERROR(VLOOKUP(I1041,Materiales!$A:$H,8,0),"")</f>
        <v/>
      </c>
      <c r="K1041" s="9">
        <f>IFERROR(VLOOKUP(I1041,Materiales!$A:$G,7,0),"")</f>
        <v/>
      </c>
      <c r="L1041" s="8" t="inlineStr">
        <is>
          <t>20230501</t>
        </is>
      </c>
      <c r="M1041" s="8" t="inlineStr">
        <is>
          <t>20250131</t>
        </is>
      </c>
      <c r="N1041" s="10" t="n">
        <v>227.27</v>
      </c>
      <c r="O1041" s="10">
        <f>IFERROR(VLOOKUP(A1041,Flete!$A:$J,10,0),"")</f>
        <v/>
      </c>
      <c r="P1041" s="8" t="inlineStr">
        <is>
          <t>TN</t>
        </is>
      </c>
      <c r="Q1041" s="10">
        <f>IFERROR(IFERROR(VLOOKUP(A1041,TRAOPE!$A:$U,21,0),VLOOKUP(B1041,TRAOPE!$A:$U,21,0)),"")</f>
        <v/>
      </c>
      <c r="R1041" s="8">
        <f>IFERROR(IFERROR(VLOOKUP(A1041,TRAOPE!$A:$W,23,0),VLOOKUP(B1041,TRAOPE!$A:$W,23,0)),"")</f>
        <v/>
      </c>
      <c r="S1041" s="10">
        <f>IF(AND(P1041="TN",R1041="TN"),N1041+N(O1041),IF(G1041&amp;""="1",N(K1041)*N1041,(N1041+N(O1041))*N(K1041)))</f>
        <v/>
      </c>
      <c r="T1041" s="10">
        <f>IF(Q1041="","",Q1041-S1041)</f>
        <v/>
      </c>
    </row>
    <row r="1042">
      <c r="A1042" s="7">
        <f>CONCATENATE(C1042,E1042,F1042,I1042)</f>
        <v/>
      </c>
      <c r="B1042" s="7">
        <f>CONCATENATE(C1042,E1042,I1042)</f>
        <v/>
      </c>
      <c r="C1042" s="8" t="n">
        <v>900006140</v>
      </c>
      <c r="D1042" s="7">
        <f>IFERROR(VLOOKUP(C1042,TRAOPE!$G:$H,2,0),"")</f>
        <v/>
      </c>
      <c r="E1042" s="8" t="inlineStr">
        <is>
          <t>DW70</t>
        </is>
      </c>
      <c r="F1042" s="8" t="inlineStr">
        <is>
          <t>D111</t>
        </is>
      </c>
      <c r="G1042" s="8">
        <f>IFERROR(VLOOKUP(A1042,Flete!$A:$E,5,0),"")</f>
        <v/>
      </c>
      <c r="H1042" s="7">
        <f>IFERROR(VLOOKUP(F1042,TRAOPE!$AA:$AB,2,0),"")</f>
        <v/>
      </c>
      <c r="I1042" s="7" t="n">
        <v>10169677</v>
      </c>
      <c r="J1042" s="7">
        <f>IFERROR(VLOOKUP(I1042,Materiales!$A:$H,8,0),"")</f>
        <v/>
      </c>
      <c r="K1042" s="9">
        <f>IFERROR(VLOOKUP(I1042,Materiales!$A:$G,7,0),"")</f>
        <v/>
      </c>
      <c r="L1042" s="8" t="inlineStr">
        <is>
          <t>20230501</t>
        </is>
      </c>
      <c r="M1042" s="8" t="inlineStr">
        <is>
          <t>20250131</t>
        </is>
      </c>
      <c r="N1042" s="10" t="n">
        <v>156.25</v>
      </c>
      <c r="O1042" s="10">
        <f>IFERROR(VLOOKUP(A1042,Flete!$A:$J,10,0),"")</f>
        <v/>
      </c>
      <c r="P1042" s="8" t="inlineStr">
        <is>
          <t>TN</t>
        </is>
      </c>
      <c r="Q1042" s="10">
        <f>IFERROR(IFERROR(VLOOKUP(A1042,TRAOPE!$A:$U,21,0),VLOOKUP(B1042,TRAOPE!$A:$U,21,0)),"")</f>
        <v/>
      </c>
      <c r="R1042" s="8">
        <f>IFERROR(IFERROR(VLOOKUP(A1042,TRAOPE!$A:$W,23,0),VLOOKUP(B1042,TRAOPE!$A:$W,23,0)),"")</f>
        <v/>
      </c>
      <c r="S1042" s="10">
        <f>IF(AND(P1042="TN",R1042="TN"),N1042+N(O1042),IF(G1042&amp;""="1",N(K1042)*N1042,(N1042+N(O1042))*N(K1042)))</f>
        <v/>
      </c>
      <c r="T1042" s="10">
        <f>IF(Q1042="","",Q1042-S1042)</f>
        <v/>
      </c>
    </row>
    <row r="1043">
      <c r="A1043" s="7">
        <f>CONCATENATE(C1043,E1043,F1043,I1043)</f>
        <v/>
      </c>
      <c r="B1043" s="7">
        <f>CONCATENATE(C1043,E1043,I1043)</f>
        <v/>
      </c>
      <c r="C1043" s="8" t="n">
        <v>900006172</v>
      </c>
      <c r="D1043" s="7">
        <f>IFERROR(VLOOKUP(C1043,TRAOPE!$G:$H,2,0),"")</f>
        <v/>
      </c>
      <c r="E1043" s="8" t="inlineStr">
        <is>
          <t>DW70</t>
        </is>
      </c>
      <c r="F1043" s="8" t="inlineStr">
        <is>
          <t>D074</t>
        </is>
      </c>
      <c r="G1043" s="8">
        <f>IFERROR(VLOOKUP(A1043,Flete!$A:$E,5,0),"")</f>
        <v/>
      </c>
      <c r="H1043" s="7">
        <f>IFERROR(VLOOKUP(F1043,TRAOPE!$AA:$AB,2,0),"")</f>
        <v/>
      </c>
      <c r="I1043" s="7" t="n">
        <v>10000811</v>
      </c>
      <c r="J1043" s="7">
        <f>IFERROR(VLOOKUP(I1043,Materiales!$A:$H,8,0),"")</f>
        <v/>
      </c>
      <c r="K1043" s="9">
        <f>IFERROR(VLOOKUP(I1043,Materiales!$A:$G,7,0),"")</f>
        <v/>
      </c>
      <c r="L1043" s="8" t="inlineStr">
        <is>
          <t>20260805</t>
        </is>
      </c>
      <c r="M1043" s="8" t="inlineStr">
        <is>
          <t>99991231</t>
        </is>
      </c>
      <c r="N1043" s="10" t="n">
        <v>107.81</v>
      </c>
      <c r="O1043" s="10">
        <f>IFERROR(VLOOKUP(A1043,Flete!$A:$J,10,0),"")</f>
        <v/>
      </c>
      <c r="P1043" s="8" t="inlineStr">
        <is>
          <t>TN</t>
        </is>
      </c>
      <c r="Q1043" s="10">
        <f>IFERROR(IFERROR(VLOOKUP(A1043,TRAOPE!$A:$U,21,0),VLOOKUP(B1043,TRAOPE!$A:$U,21,0)),"")</f>
        <v/>
      </c>
      <c r="R1043" s="8">
        <f>IFERROR(IFERROR(VLOOKUP(A1043,TRAOPE!$A:$W,23,0),VLOOKUP(B1043,TRAOPE!$A:$W,23,0)),"")</f>
        <v/>
      </c>
      <c r="S1043" s="10">
        <f>IF(AND(P1043="TN",R1043="TN"),N1043+N(O1043),IF(G1043&amp;""="1",N(K1043)*N1043,(N1043+N(O1043))*N(K1043)))</f>
        <v/>
      </c>
      <c r="T1043" s="10">
        <f>IF(Q1043="","",Q1043-S1043)</f>
        <v/>
      </c>
    </row>
    <row r="1044">
      <c r="A1044" s="7">
        <f>CONCATENATE(C1044,E1044,F1044,I1044)</f>
        <v/>
      </c>
      <c r="B1044" s="7">
        <f>CONCATENATE(C1044,E1044,I1044)</f>
        <v/>
      </c>
      <c r="C1044" s="8" t="n">
        <v>900006172</v>
      </c>
      <c r="D1044" s="7">
        <f>IFERROR(VLOOKUP(C1044,TRAOPE!$G:$H,2,0),"")</f>
        <v/>
      </c>
      <c r="E1044" s="8" t="inlineStr">
        <is>
          <t>DW70</t>
        </is>
      </c>
      <c r="F1044" s="8" t="inlineStr">
        <is>
          <t>D074</t>
        </is>
      </c>
      <c r="G1044" s="8">
        <f>IFERROR(VLOOKUP(A1044,Flete!$A:$E,5,0),"")</f>
        <v/>
      </c>
      <c r="H1044" s="7">
        <f>IFERROR(VLOOKUP(F1044,TRAOPE!$AA:$AB,2,0),"")</f>
        <v/>
      </c>
      <c r="I1044" s="7" t="n">
        <v>10233033</v>
      </c>
      <c r="J1044" s="7">
        <f>IFERROR(VLOOKUP(I1044,Materiales!$A:$H,8,0),"")</f>
        <v/>
      </c>
      <c r="K1044" s="9">
        <f>IFERROR(VLOOKUP(I1044,Materiales!$A:$G,7,0),"")</f>
        <v/>
      </c>
      <c r="L1044" s="8" t="inlineStr">
        <is>
          <t>20260616</t>
        </is>
      </c>
      <c r="M1044" s="8" t="inlineStr">
        <is>
          <t>99991231</t>
        </is>
      </c>
      <c r="N1044" s="10" t="n">
        <v>111.43</v>
      </c>
      <c r="O1044" s="10">
        <f>IFERROR(VLOOKUP(A1044,Flete!$A:$J,10,0),"")</f>
        <v/>
      </c>
      <c r="P1044" s="8" t="inlineStr">
        <is>
          <t>TN</t>
        </is>
      </c>
      <c r="Q1044" s="10">
        <f>IFERROR(IFERROR(VLOOKUP(A1044,TRAOPE!$A:$U,21,0),VLOOKUP(B1044,TRAOPE!$A:$U,21,0)),"")</f>
        <v/>
      </c>
      <c r="R1044" s="8">
        <f>IFERROR(IFERROR(VLOOKUP(A1044,TRAOPE!$A:$W,23,0),VLOOKUP(B1044,TRAOPE!$A:$W,23,0)),"")</f>
        <v/>
      </c>
      <c r="S1044" s="10">
        <f>IF(AND(P1044="TN",R1044="TN"),N1044+N(O1044),IF(G1044&amp;""="1",N(K1044)*N1044,(N1044+N(O1044))*N(K1044)))</f>
        <v/>
      </c>
      <c r="T1044" s="10">
        <f>IF(Q1044="","",Q1044-S1044)</f>
        <v/>
      </c>
    </row>
    <row r="1045">
      <c r="A1045" s="7">
        <f>CONCATENATE(C1045,E1045,F1045,I1045)</f>
        <v/>
      </c>
      <c r="B1045" s="7">
        <f>CONCATENATE(C1045,E1045,I1045)</f>
        <v/>
      </c>
      <c r="C1045" s="8" t="n">
        <v>900006172</v>
      </c>
      <c r="D1045" s="7">
        <f>IFERROR(VLOOKUP(C1045,TRAOPE!$G:$H,2,0),"")</f>
        <v/>
      </c>
      <c r="E1045" s="8" t="inlineStr">
        <is>
          <t>DW70</t>
        </is>
      </c>
      <c r="F1045" s="8" t="inlineStr">
        <is>
          <t>D075</t>
        </is>
      </c>
      <c r="G1045" s="8">
        <f>IFERROR(VLOOKUP(A1045,Flete!$A:$E,5,0),"")</f>
        <v/>
      </c>
      <c r="H1045" s="7">
        <f>IFERROR(VLOOKUP(F1045,TRAOPE!$AA:$AB,2,0),"")</f>
        <v/>
      </c>
      <c r="I1045" s="7" t="n">
        <v>10000811</v>
      </c>
      <c r="J1045" s="7">
        <f>IFERROR(VLOOKUP(I1045,Materiales!$A:$H,8,0),"")</f>
        <v/>
      </c>
      <c r="K1045" s="9">
        <f>IFERROR(VLOOKUP(I1045,Materiales!$A:$G,7,0),"")</f>
        <v/>
      </c>
      <c r="L1045" s="8" t="inlineStr">
        <is>
          <t>20260805</t>
        </is>
      </c>
      <c r="M1045" s="8" t="inlineStr">
        <is>
          <t>99991231</t>
        </is>
      </c>
      <c r="N1045" s="10" t="n">
        <v>107.81</v>
      </c>
      <c r="O1045" s="10">
        <f>IFERROR(VLOOKUP(A1045,Flete!$A:$J,10,0),"")</f>
        <v/>
      </c>
      <c r="P1045" s="8" t="inlineStr">
        <is>
          <t>TN</t>
        </is>
      </c>
      <c r="Q1045" s="10">
        <f>IFERROR(IFERROR(VLOOKUP(A1045,TRAOPE!$A:$U,21,0),VLOOKUP(B1045,TRAOPE!$A:$U,21,0)),"")</f>
        <v/>
      </c>
      <c r="R1045" s="8">
        <f>IFERROR(IFERROR(VLOOKUP(A1045,TRAOPE!$A:$W,23,0),VLOOKUP(B1045,TRAOPE!$A:$W,23,0)),"")</f>
        <v/>
      </c>
      <c r="S1045" s="10">
        <f>IF(AND(P1045="TN",R1045="TN"),N1045+N(O1045),IF(G1045&amp;""="1",N(K1045)*N1045,(N1045+N(O1045))*N(K1045)))</f>
        <v/>
      </c>
      <c r="T1045" s="10">
        <f>IF(Q1045="","",Q1045-S1045)</f>
        <v/>
      </c>
    </row>
    <row r="1046">
      <c r="A1046" s="7">
        <f>CONCATENATE(C1046,E1046,F1046,I1046)</f>
        <v/>
      </c>
      <c r="B1046" s="7">
        <f>CONCATENATE(C1046,E1046,I1046)</f>
        <v/>
      </c>
      <c r="C1046" s="8" t="n">
        <v>900006172</v>
      </c>
      <c r="D1046" s="7">
        <f>IFERROR(VLOOKUP(C1046,TRAOPE!$G:$H,2,0),"")</f>
        <v/>
      </c>
      <c r="E1046" s="8" t="inlineStr">
        <is>
          <t>DW70</t>
        </is>
      </c>
      <c r="F1046" s="8" t="inlineStr">
        <is>
          <t>D075</t>
        </is>
      </c>
      <c r="G1046" s="8">
        <f>IFERROR(VLOOKUP(A1046,Flete!$A:$E,5,0),"")</f>
        <v/>
      </c>
      <c r="H1046" s="7">
        <f>IFERROR(VLOOKUP(F1046,TRAOPE!$AA:$AB,2,0),"")</f>
        <v/>
      </c>
      <c r="I1046" s="7" t="n">
        <v>10233033</v>
      </c>
      <c r="J1046" s="7">
        <f>IFERROR(VLOOKUP(I1046,Materiales!$A:$H,8,0),"")</f>
        <v/>
      </c>
      <c r="K1046" s="9">
        <f>IFERROR(VLOOKUP(I1046,Materiales!$A:$G,7,0),"")</f>
        <v/>
      </c>
      <c r="L1046" s="8" t="inlineStr">
        <is>
          <t>20260616</t>
        </is>
      </c>
      <c r="M1046" s="8" t="inlineStr">
        <is>
          <t>99991231</t>
        </is>
      </c>
      <c r="N1046" s="10" t="n">
        <v>111.43</v>
      </c>
      <c r="O1046" s="10">
        <f>IFERROR(VLOOKUP(A1046,Flete!$A:$J,10,0),"")</f>
        <v/>
      </c>
      <c r="P1046" s="8" t="inlineStr">
        <is>
          <t>TN</t>
        </is>
      </c>
      <c r="Q1046" s="10">
        <f>IFERROR(IFERROR(VLOOKUP(A1046,TRAOPE!$A:$U,21,0),VLOOKUP(B1046,TRAOPE!$A:$U,21,0)),"")</f>
        <v/>
      </c>
      <c r="R1046" s="8">
        <f>IFERROR(IFERROR(VLOOKUP(A1046,TRAOPE!$A:$W,23,0),VLOOKUP(B1046,TRAOPE!$A:$W,23,0)),"")</f>
        <v/>
      </c>
      <c r="S1046" s="10">
        <f>IF(AND(P1046="TN",R1046="TN"),N1046+N(O1046),IF(G1046&amp;""="1",N(K1046)*N1046,(N1046+N(O1046))*N(K1046)))</f>
        <v/>
      </c>
      <c r="T1046" s="10">
        <f>IF(Q1046="","",Q1046-S1046)</f>
        <v/>
      </c>
    </row>
    <row r="1047">
      <c r="A1047" s="7">
        <f>CONCATENATE(C1047,E1047,F1047,I1047)</f>
        <v/>
      </c>
      <c r="B1047" s="7">
        <f>CONCATENATE(C1047,E1047,I1047)</f>
        <v/>
      </c>
      <c r="C1047" s="8" t="n">
        <v>900006172</v>
      </c>
      <c r="D1047" s="7">
        <f>IFERROR(VLOOKUP(C1047,TRAOPE!$G:$H,2,0),"")</f>
        <v/>
      </c>
      <c r="E1047" s="8" t="inlineStr">
        <is>
          <t>DW70</t>
        </is>
      </c>
      <c r="F1047" s="8" t="inlineStr">
        <is>
          <t>D077</t>
        </is>
      </c>
      <c r="G1047" s="8">
        <f>IFERROR(VLOOKUP(A1047,Flete!$A:$E,5,0),"")</f>
        <v/>
      </c>
      <c r="H1047" s="7">
        <f>IFERROR(VLOOKUP(F1047,TRAOPE!$AA:$AB,2,0),"")</f>
        <v/>
      </c>
      <c r="I1047" s="7" t="n">
        <v>10000811</v>
      </c>
      <c r="J1047" s="7">
        <f>IFERROR(VLOOKUP(I1047,Materiales!$A:$H,8,0),"")</f>
        <v/>
      </c>
      <c r="K1047" s="9">
        <f>IFERROR(VLOOKUP(I1047,Materiales!$A:$G,7,0),"")</f>
        <v/>
      </c>
      <c r="L1047" s="8" t="inlineStr">
        <is>
          <t>20260805</t>
        </is>
      </c>
      <c r="M1047" s="8" t="inlineStr">
        <is>
          <t>99991231</t>
        </is>
      </c>
      <c r="N1047" s="10" t="n">
        <v>107.81</v>
      </c>
      <c r="O1047" s="10">
        <f>IFERROR(VLOOKUP(A1047,Flete!$A:$J,10,0),"")</f>
        <v/>
      </c>
      <c r="P1047" s="8" t="inlineStr">
        <is>
          <t>TN</t>
        </is>
      </c>
      <c r="Q1047" s="10">
        <f>IFERROR(IFERROR(VLOOKUP(A1047,TRAOPE!$A:$U,21,0),VLOOKUP(B1047,TRAOPE!$A:$U,21,0)),"")</f>
        <v/>
      </c>
      <c r="R1047" s="8">
        <f>IFERROR(IFERROR(VLOOKUP(A1047,TRAOPE!$A:$W,23,0),VLOOKUP(B1047,TRAOPE!$A:$W,23,0)),"")</f>
        <v/>
      </c>
      <c r="S1047" s="10">
        <f>IF(AND(P1047="TN",R1047="TN"),N1047+N(O1047),IF(G1047&amp;""="1",N(K1047)*N1047,(N1047+N(O1047))*N(K1047)))</f>
        <v/>
      </c>
      <c r="T1047" s="10">
        <f>IF(Q1047="","",Q1047-S1047)</f>
        <v/>
      </c>
    </row>
    <row r="1048">
      <c r="A1048" s="7">
        <f>CONCATENATE(C1048,E1048,F1048,I1048)</f>
        <v/>
      </c>
      <c r="B1048" s="7">
        <f>CONCATENATE(C1048,E1048,I1048)</f>
        <v/>
      </c>
      <c r="C1048" s="8" t="n">
        <v>900006172</v>
      </c>
      <c r="D1048" s="7">
        <f>IFERROR(VLOOKUP(C1048,TRAOPE!$G:$H,2,0),"")</f>
        <v/>
      </c>
      <c r="E1048" s="8" t="inlineStr">
        <is>
          <t>DW70</t>
        </is>
      </c>
      <c r="F1048" s="8" t="inlineStr">
        <is>
          <t>D077</t>
        </is>
      </c>
      <c r="G1048" s="8">
        <f>IFERROR(VLOOKUP(A1048,Flete!$A:$E,5,0),"")</f>
        <v/>
      </c>
      <c r="H1048" s="7">
        <f>IFERROR(VLOOKUP(F1048,TRAOPE!$AA:$AB,2,0),"")</f>
        <v/>
      </c>
      <c r="I1048" s="7" t="n">
        <v>10233033</v>
      </c>
      <c r="J1048" s="7">
        <f>IFERROR(VLOOKUP(I1048,Materiales!$A:$H,8,0),"")</f>
        <v/>
      </c>
      <c r="K1048" s="9">
        <f>IFERROR(VLOOKUP(I1048,Materiales!$A:$G,7,0),"")</f>
        <v/>
      </c>
      <c r="L1048" s="8" t="inlineStr">
        <is>
          <t>20260616</t>
        </is>
      </c>
      <c r="M1048" s="8" t="inlineStr">
        <is>
          <t>99991231</t>
        </is>
      </c>
      <c r="N1048" s="10" t="n">
        <v>111.43</v>
      </c>
      <c r="O1048" s="10">
        <f>IFERROR(VLOOKUP(A1048,Flete!$A:$J,10,0),"")</f>
        <v/>
      </c>
      <c r="P1048" s="8" t="inlineStr">
        <is>
          <t>TN</t>
        </is>
      </c>
      <c r="Q1048" s="10">
        <f>IFERROR(IFERROR(VLOOKUP(A1048,TRAOPE!$A:$U,21,0),VLOOKUP(B1048,TRAOPE!$A:$U,21,0)),"")</f>
        <v/>
      </c>
      <c r="R1048" s="8">
        <f>IFERROR(IFERROR(VLOOKUP(A1048,TRAOPE!$A:$W,23,0),VLOOKUP(B1048,TRAOPE!$A:$W,23,0)),"")</f>
        <v/>
      </c>
      <c r="S1048" s="10">
        <f>IF(AND(P1048="TN",R1048="TN"),N1048+N(O1048),IF(G1048&amp;""="1",N(K1048)*N1048,(N1048+N(O1048))*N(K1048)))</f>
        <v/>
      </c>
      <c r="T1048" s="10">
        <f>IF(Q1048="","",Q1048-S1048)</f>
        <v/>
      </c>
    </row>
    <row r="1049">
      <c r="A1049" s="7">
        <f>CONCATENATE(C1049,E1049,F1049,I1049)</f>
        <v/>
      </c>
      <c r="B1049" s="7">
        <f>CONCATENATE(C1049,E1049,I1049)</f>
        <v/>
      </c>
      <c r="C1049" s="8" t="n">
        <v>900006172</v>
      </c>
      <c r="D1049" s="7">
        <f>IFERROR(VLOOKUP(C1049,TRAOPE!$G:$H,2,0),"")</f>
        <v/>
      </c>
      <c r="E1049" s="8" t="inlineStr">
        <is>
          <t>DW70</t>
        </is>
      </c>
      <c r="F1049" s="8" t="inlineStr">
        <is>
          <t>D079</t>
        </is>
      </c>
      <c r="G1049" s="8">
        <f>IFERROR(VLOOKUP(A1049,Flete!$A:$E,5,0),"")</f>
        <v/>
      </c>
      <c r="H1049" s="7">
        <f>IFERROR(VLOOKUP(F1049,TRAOPE!$AA:$AB,2,0),"")</f>
        <v/>
      </c>
      <c r="I1049" s="7" t="n">
        <v>10000811</v>
      </c>
      <c r="J1049" s="7">
        <f>IFERROR(VLOOKUP(I1049,Materiales!$A:$H,8,0),"")</f>
        <v/>
      </c>
      <c r="K1049" s="9">
        <f>IFERROR(VLOOKUP(I1049,Materiales!$A:$G,7,0),"")</f>
        <v/>
      </c>
      <c r="L1049" s="8" t="inlineStr">
        <is>
          <t>20260805</t>
        </is>
      </c>
      <c r="M1049" s="8" t="inlineStr">
        <is>
          <t>99991231</t>
        </is>
      </c>
      <c r="N1049" s="10" t="n">
        <v>107.81</v>
      </c>
      <c r="O1049" s="10">
        <f>IFERROR(VLOOKUP(A1049,Flete!$A:$J,10,0),"")</f>
        <v/>
      </c>
      <c r="P1049" s="8" t="inlineStr">
        <is>
          <t>TN</t>
        </is>
      </c>
      <c r="Q1049" s="10">
        <f>IFERROR(IFERROR(VLOOKUP(A1049,TRAOPE!$A:$U,21,0),VLOOKUP(B1049,TRAOPE!$A:$U,21,0)),"")</f>
        <v/>
      </c>
      <c r="R1049" s="8">
        <f>IFERROR(IFERROR(VLOOKUP(A1049,TRAOPE!$A:$W,23,0),VLOOKUP(B1049,TRAOPE!$A:$W,23,0)),"")</f>
        <v/>
      </c>
      <c r="S1049" s="10">
        <f>IF(AND(P1049="TN",R1049="TN"),N1049+N(O1049),IF(G1049&amp;""="1",N(K1049)*N1049,(N1049+N(O1049))*N(K1049)))</f>
        <v/>
      </c>
      <c r="T1049" s="10">
        <f>IF(Q1049="","",Q1049-S1049)</f>
        <v/>
      </c>
    </row>
    <row r="1050">
      <c r="A1050" s="7">
        <f>CONCATENATE(C1050,E1050,F1050,I1050)</f>
        <v/>
      </c>
      <c r="B1050" s="7">
        <f>CONCATENATE(C1050,E1050,I1050)</f>
        <v/>
      </c>
      <c r="C1050" s="8" t="n">
        <v>900006172</v>
      </c>
      <c r="D1050" s="7">
        <f>IFERROR(VLOOKUP(C1050,TRAOPE!$G:$H,2,0),"")</f>
        <v/>
      </c>
      <c r="E1050" s="8" t="inlineStr">
        <is>
          <t>DW70</t>
        </is>
      </c>
      <c r="F1050" s="8" t="inlineStr">
        <is>
          <t>D079</t>
        </is>
      </c>
      <c r="G1050" s="8">
        <f>IFERROR(VLOOKUP(A1050,Flete!$A:$E,5,0),"")</f>
        <v/>
      </c>
      <c r="H1050" s="7">
        <f>IFERROR(VLOOKUP(F1050,TRAOPE!$AA:$AB,2,0),"")</f>
        <v/>
      </c>
      <c r="I1050" s="7" t="n">
        <v>10233033</v>
      </c>
      <c r="J1050" s="7">
        <f>IFERROR(VLOOKUP(I1050,Materiales!$A:$H,8,0),"")</f>
        <v/>
      </c>
      <c r="K1050" s="9">
        <f>IFERROR(VLOOKUP(I1050,Materiales!$A:$G,7,0),"")</f>
        <v/>
      </c>
      <c r="L1050" s="8" t="inlineStr">
        <is>
          <t>20260616</t>
        </is>
      </c>
      <c r="M1050" s="8" t="inlineStr">
        <is>
          <t>99991231</t>
        </is>
      </c>
      <c r="N1050" s="10" t="n">
        <v>111.43</v>
      </c>
      <c r="O1050" s="10">
        <f>IFERROR(VLOOKUP(A1050,Flete!$A:$J,10,0),"")</f>
        <v/>
      </c>
      <c r="P1050" s="8" t="inlineStr">
        <is>
          <t>TN</t>
        </is>
      </c>
      <c r="Q1050" s="10">
        <f>IFERROR(IFERROR(VLOOKUP(A1050,TRAOPE!$A:$U,21,0),VLOOKUP(B1050,TRAOPE!$A:$U,21,0)),"")</f>
        <v/>
      </c>
      <c r="R1050" s="8">
        <f>IFERROR(IFERROR(VLOOKUP(A1050,TRAOPE!$A:$W,23,0),VLOOKUP(B1050,TRAOPE!$A:$W,23,0)),"")</f>
        <v/>
      </c>
      <c r="S1050" s="10">
        <f>IF(AND(P1050="TN",R1050="TN"),N1050+N(O1050),IF(G1050&amp;""="1",N(K1050)*N1050,(N1050+N(O1050))*N(K1050)))</f>
        <v/>
      </c>
      <c r="T1050" s="10">
        <f>IF(Q1050="","",Q1050-S1050)</f>
        <v/>
      </c>
    </row>
    <row r="1051">
      <c r="A1051" s="7">
        <f>CONCATENATE(C1051,E1051,F1051,I1051)</f>
        <v/>
      </c>
      <c r="B1051" s="7">
        <f>CONCATENATE(C1051,E1051,I1051)</f>
        <v/>
      </c>
      <c r="C1051" s="8" t="n">
        <v>900006172</v>
      </c>
      <c r="D1051" s="7">
        <f>IFERROR(VLOOKUP(C1051,TRAOPE!$G:$H,2,0),"")</f>
        <v/>
      </c>
      <c r="E1051" s="8" t="inlineStr">
        <is>
          <t>DW70</t>
        </is>
      </c>
      <c r="F1051" s="8" t="inlineStr">
        <is>
          <t>D080</t>
        </is>
      </c>
      <c r="G1051" s="8">
        <f>IFERROR(VLOOKUP(A1051,Flete!$A:$E,5,0),"")</f>
        <v/>
      </c>
      <c r="H1051" s="7">
        <f>IFERROR(VLOOKUP(F1051,TRAOPE!$AA:$AB,2,0),"")</f>
        <v/>
      </c>
      <c r="I1051" s="7" t="n">
        <v>10233033</v>
      </c>
      <c r="J1051" s="7">
        <f>IFERROR(VLOOKUP(I1051,Materiales!$A:$H,8,0),"")</f>
        <v/>
      </c>
      <c r="K1051" s="9">
        <f>IFERROR(VLOOKUP(I1051,Materiales!$A:$G,7,0),"")</f>
        <v/>
      </c>
      <c r="L1051" s="8" t="inlineStr">
        <is>
          <t>20260616</t>
        </is>
      </c>
      <c r="M1051" s="8" t="inlineStr">
        <is>
          <t>99991231</t>
        </is>
      </c>
      <c r="N1051" s="10" t="n">
        <v>111.43</v>
      </c>
      <c r="O1051" s="10">
        <f>IFERROR(VLOOKUP(A1051,Flete!$A:$J,10,0),"")</f>
        <v/>
      </c>
      <c r="P1051" s="8" t="inlineStr">
        <is>
          <t>TN</t>
        </is>
      </c>
      <c r="Q1051" s="10">
        <f>IFERROR(IFERROR(VLOOKUP(A1051,TRAOPE!$A:$U,21,0),VLOOKUP(B1051,TRAOPE!$A:$U,21,0)),"")</f>
        <v/>
      </c>
      <c r="R1051" s="8">
        <f>IFERROR(IFERROR(VLOOKUP(A1051,TRAOPE!$A:$W,23,0),VLOOKUP(B1051,TRAOPE!$A:$W,23,0)),"")</f>
        <v/>
      </c>
      <c r="S1051" s="10">
        <f>IF(AND(P1051="TN",R1051="TN"),N1051+N(O1051),IF(G1051&amp;""="1",N(K1051)*N1051,(N1051+N(O1051))*N(K1051)))</f>
        <v/>
      </c>
      <c r="T1051" s="10">
        <f>IF(Q1051="","",Q1051-S1051)</f>
        <v/>
      </c>
    </row>
    <row r="1052">
      <c r="A1052" s="7">
        <f>CONCATENATE(C1052,E1052,F1052,I1052)</f>
        <v/>
      </c>
      <c r="B1052" s="7">
        <f>CONCATENATE(C1052,E1052,I1052)</f>
        <v/>
      </c>
      <c r="C1052" s="8" t="n">
        <v>900006172</v>
      </c>
      <c r="D1052" s="7">
        <f>IFERROR(VLOOKUP(C1052,TRAOPE!$G:$H,2,0),"")</f>
        <v/>
      </c>
      <c r="E1052" s="8" t="inlineStr">
        <is>
          <t>DW70</t>
        </is>
      </c>
      <c r="F1052" s="8" t="inlineStr">
        <is>
          <t>D081</t>
        </is>
      </c>
      <c r="G1052" s="8">
        <f>IFERROR(VLOOKUP(A1052,Flete!$A:$E,5,0),"")</f>
        <v/>
      </c>
      <c r="H1052" s="7">
        <f>IFERROR(VLOOKUP(F1052,TRAOPE!$AA:$AB,2,0),"")</f>
        <v/>
      </c>
      <c r="I1052" s="7" t="n">
        <v>10000811</v>
      </c>
      <c r="J1052" s="7">
        <f>IFERROR(VLOOKUP(I1052,Materiales!$A:$H,8,0),"")</f>
        <v/>
      </c>
      <c r="K1052" s="9">
        <f>IFERROR(VLOOKUP(I1052,Materiales!$A:$G,7,0),"")</f>
        <v/>
      </c>
      <c r="L1052" s="8" t="inlineStr">
        <is>
          <t>20260805</t>
        </is>
      </c>
      <c r="M1052" s="8" t="inlineStr">
        <is>
          <t>99991231</t>
        </is>
      </c>
      <c r="N1052" s="10" t="n">
        <v>107.81</v>
      </c>
      <c r="O1052" s="10">
        <f>IFERROR(VLOOKUP(A1052,Flete!$A:$J,10,0),"")</f>
        <v/>
      </c>
      <c r="P1052" s="8" t="inlineStr">
        <is>
          <t>TN</t>
        </is>
      </c>
      <c r="Q1052" s="10">
        <f>IFERROR(IFERROR(VLOOKUP(A1052,TRAOPE!$A:$U,21,0),VLOOKUP(B1052,TRAOPE!$A:$U,21,0)),"")</f>
        <v/>
      </c>
      <c r="R1052" s="8">
        <f>IFERROR(IFERROR(VLOOKUP(A1052,TRAOPE!$A:$W,23,0),VLOOKUP(B1052,TRAOPE!$A:$W,23,0)),"")</f>
        <v/>
      </c>
      <c r="S1052" s="10">
        <f>IF(AND(P1052="TN",R1052="TN"),N1052+N(O1052),IF(G1052&amp;""="1",N(K1052)*N1052,(N1052+N(O1052))*N(K1052)))</f>
        <v/>
      </c>
      <c r="T1052" s="10">
        <f>IF(Q1052="","",Q1052-S1052)</f>
        <v/>
      </c>
    </row>
    <row r="1053">
      <c r="A1053" s="7">
        <f>CONCATENATE(C1053,E1053,F1053,I1053)</f>
        <v/>
      </c>
      <c r="B1053" s="7">
        <f>CONCATENATE(C1053,E1053,I1053)</f>
        <v/>
      </c>
      <c r="C1053" s="8" t="n">
        <v>900006172</v>
      </c>
      <c r="D1053" s="7">
        <f>IFERROR(VLOOKUP(C1053,TRAOPE!$G:$H,2,0),"")</f>
        <v/>
      </c>
      <c r="E1053" s="8" t="inlineStr">
        <is>
          <t>DW70</t>
        </is>
      </c>
      <c r="F1053" s="8" t="inlineStr">
        <is>
          <t>D081</t>
        </is>
      </c>
      <c r="G1053" s="8">
        <f>IFERROR(VLOOKUP(A1053,Flete!$A:$E,5,0),"")</f>
        <v/>
      </c>
      <c r="H1053" s="7">
        <f>IFERROR(VLOOKUP(F1053,TRAOPE!$AA:$AB,2,0),"")</f>
        <v/>
      </c>
      <c r="I1053" s="7" t="n">
        <v>10233033</v>
      </c>
      <c r="J1053" s="7">
        <f>IFERROR(VLOOKUP(I1053,Materiales!$A:$H,8,0),"")</f>
        <v/>
      </c>
      <c r="K1053" s="9">
        <f>IFERROR(VLOOKUP(I1053,Materiales!$A:$G,7,0),"")</f>
        <v/>
      </c>
      <c r="L1053" s="8" t="inlineStr">
        <is>
          <t>20260616</t>
        </is>
      </c>
      <c r="M1053" s="8" t="inlineStr">
        <is>
          <t>99991231</t>
        </is>
      </c>
      <c r="N1053" s="10" t="n">
        <v>111.43</v>
      </c>
      <c r="O1053" s="10">
        <f>IFERROR(VLOOKUP(A1053,Flete!$A:$J,10,0),"")</f>
        <v/>
      </c>
      <c r="P1053" s="8" t="inlineStr">
        <is>
          <t>TN</t>
        </is>
      </c>
      <c r="Q1053" s="10">
        <f>IFERROR(IFERROR(VLOOKUP(A1053,TRAOPE!$A:$U,21,0),VLOOKUP(B1053,TRAOPE!$A:$U,21,0)),"")</f>
        <v/>
      </c>
      <c r="R1053" s="8">
        <f>IFERROR(IFERROR(VLOOKUP(A1053,TRAOPE!$A:$W,23,0),VLOOKUP(B1053,TRAOPE!$A:$W,23,0)),"")</f>
        <v/>
      </c>
      <c r="S1053" s="10">
        <f>IF(AND(P1053="TN",R1053="TN"),N1053+N(O1053),IF(G1053&amp;""="1",N(K1053)*N1053,(N1053+N(O1053))*N(K1053)))</f>
        <v/>
      </c>
      <c r="T1053" s="10">
        <f>IF(Q1053="","",Q1053-S1053)</f>
        <v/>
      </c>
    </row>
    <row r="1054">
      <c r="A1054" s="7">
        <f>CONCATENATE(C1054,E1054,F1054,I1054)</f>
        <v/>
      </c>
      <c r="B1054" s="7">
        <f>CONCATENATE(C1054,E1054,I1054)</f>
        <v/>
      </c>
      <c r="C1054" s="8" t="n">
        <v>900006172</v>
      </c>
      <c r="D1054" s="7">
        <f>IFERROR(VLOOKUP(C1054,TRAOPE!$G:$H,2,0),"")</f>
        <v/>
      </c>
      <c r="E1054" s="8" t="inlineStr">
        <is>
          <t>DW70</t>
        </is>
      </c>
      <c r="F1054" s="8" t="inlineStr">
        <is>
          <t>D083</t>
        </is>
      </c>
      <c r="G1054" s="8">
        <f>IFERROR(VLOOKUP(A1054,Flete!$A:$E,5,0),"")</f>
        <v/>
      </c>
      <c r="H1054" s="7">
        <f>IFERROR(VLOOKUP(F1054,TRAOPE!$AA:$AB,2,0),"")</f>
        <v/>
      </c>
      <c r="I1054" s="7" t="n">
        <v>10000811</v>
      </c>
      <c r="J1054" s="7">
        <f>IFERROR(VLOOKUP(I1054,Materiales!$A:$H,8,0),"")</f>
        <v/>
      </c>
      <c r="K1054" s="9">
        <f>IFERROR(VLOOKUP(I1054,Materiales!$A:$G,7,0),"")</f>
        <v/>
      </c>
      <c r="L1054" s="8" t="inlineStr">
        <is>
          <t>20260805</t>
        </is>
      </c>
      <c r="M1054" s="8" t="inlineStr">
        <is>
          <t>99991231</t>
        </is>
      </c>
      <c r="N1054" s="10" t="n">
        <v>107.81</v>
      </c>
      <c r="O1054" s="10">
        <f>IFERROR(VLOOKUP(A1054,Flete!$A:$J,10,0),"")</f>
        <v/>
      </c>
      <c r="P1054" s="8" t="inlineStr">
        <is>
          <t>TN</t>
        </is>
      </c>
      <c r="Q1054" s="10">
        <f>IFERROR(IFERROR(VLOOKUP(A1054,TRAOPE!$A:$U,21,0),VLOOKUP(B1054,TRAOPE!$A:$U,21,0)),"")</f>
        <v/>
      </c>
      <c r="R1054" s="8">
        <f>IFERROR(IFERROR(VLOOKUP(A1054,TRAOPE!$A:$W,23,0),VLOOKUP(B1054,TRAOPE!$A:$W,23,0)),"")</f>
        <v/>
      </c>
      <c r="S1054" s="10">
        <f>IF(AND(P1054="TN",R1054="TN"),N1054+N(O1054),IF(G1054&amp;""="1",N(K1054)*N1054,(N1054+N(O1054))*N(K1054)))</f>
        <v/>
      </c>
      <c r="T1054" s="10">
        <f>IF(Q1054="","",Q1054-S1054)</f>
        <v/>
      </c>
    </row>
    <row r="1055">
      <c r="A1055" s="7">
        <f>CONCATENATE(C1055,E1055,F1055,I1055)</f>
        <v/>
      </c>
      <c r="B1055" s="7">
        <f>CONCATENATE(C1055,E1055,I1055)</f>
        <v/>
      </c>
      <c r="C1055" s="8" t="n">
        <v>900006172</v>
      </c>
      <c r="D1055" s="7">
        <f>IFERROR(VLOOKUP(C1055,TRAOPE!$G:$H,2,0),"")</f>
        <v/>
      </c>
      <c r="E1055" s="8" t="inlineStr">
        <is>
          <t>DW70</t>
        </is>
      </c>
      <c r="F1055" s="8" t="inlineStr">
        <is>
          <t>D083</t>
        </is>
      </c>
      <c r="G1055" s="8">
        <f>IFERROR(VLOOKUP(A1055,Flete!$A:$E,5,0),"")</f>
        <v/>
      </c>
      <c r="H1055" s="7">
        <f>IFERROR(VLOOKUP(F1055,TRAOPE!$AA:$AB,2,0),"")</f>
        <v/>
      </c>
      <c r="I1055" s="7" t="n">
        <v>10233033</v>
      </c>
      <c r="J1055" s="7">
        <f>IFERROR(VLOOKUP(I1055,Materiales!$A:$H,8,0),"")</f>
        <v/>
      </c>
      <c r="K1055" s="9">
        <f>IFERROR(VLOOKUP(I1055,Materiales!$A:$G,7,0),"")</f>
        <v/>
      </c>
      <c r="L1055" s="8" t="inlineStr">
        <is>
          <t>20260616</t>
        </is>
      </c>
      <c r="M1055" s="8" t="inlineStr">
        <is>
          <t>99991231</t>
        </is>
      </c>
      <c r="N1055" s="10" t="n">
        <v>111.43</v>
      </c>
      <c r="O1055" s="10">
        <f>IFERROR(VLOOKUP(A1055,Flete!$A:$J,10,0),"")</f>
        <v/>
      </c>
      <c r="P1055" s="8" t="inlineStr">
        <is>
          <t>TN</t>
        </is>
      </c>
      <c r="Q1055" s="10">
        <f>IFERROR(IFERROR(VLOOKUP(A1055,TRAOPE!$A:$U,21,0),VLOOKUP(B1055,TRAOPE!$A:$U,21,0)),"")</f>
        <v/>
      </c>
      <c r="R1055" s="8">
        <f>IFERROR(IFERROR(VLOOKUP(A1055,TRAOPE!$A:$W,23,0),VLOOKUP(B1055,TRAOPE!$A:$W,23,0)),"")</f>
        <v/>
      </c>
      <c r="S1055" s="10">
        <f>IF(AND(P1055="TN",R1055="TN"),N1055+N(O1055),IF(G1055&amp;""="1",N(K1055)*N1055,(N1055+N(O1055))*N(K1055)))</f>
        <v/>
      </c>
      <c r="T1055" s="10">
        <f>IF(Q1055="","",Q1055-S1055)</f>
        <v/>
      </c>
    </row>
    <row r="1056">
      <c r="A1056" s="7">
        <f>CONCATENATE(C1056,E1056,F1056,I1056)</f>
        <v/>
      </c>
      <c r="B1056" s="7">
        <f>CONCATENATE(C1056,E1056,I1056)</f>
        <v/>
      </c>
      <c r="C1056" s="8" t="n">
        <v>900006172</v>
      </c>
      <c r="D1056" s="7">
        <f>IFERROR(VLOOKUP(C1056,TRAOPE!$G:$H,2,0),"")</f>
        <v/>
      </c>
      <c r="E1056" s="8" t="inlineStr">
        <is>
          <t>DW70</t>
        </is>
      </c>
      <c r="F1056" s="8" t="inlineStr">
        <is>
          <t>D084</t>
        </is>
      </c>
      <c r="G1056" s="8">
        <f>IFERROR(VLOOKUP(A1056,Flete!$A:$E,5,0),"")</f>
        <v/>
      </c>
      <c r="H1056" s="7">
        <f>IFERROR(VLOOKUP(F1056,TRAOPE!$AA:$AB,2,0),"")</f>
        <v/>
      </c>
      <c r="I1056" s="7" t="n">
        <v>10000811</v>
      </c>
      <c r="J1056" s="7">
        <f>IFERROR(VLOOKUP(I1056,Materiales!$A:$H,8,0),"")</f>
        <v/>
      </c>
      <c r="K1056" s="9">
        <f>IFERROR(VLOOKUP(I1056,Materiales!$A:$G,7,0),"")</f>
        <v/>
      </c>
      <c r="L1056" s="8" t="inlineStr">
        <is>
          <t>20260805</t>
        </is>
      </c>
      <c r="M1056" s="8" t="inlineStr">
        <is>
          <t>99991231</t>
        </is>
      </c>
      <c r="N1056" s="10" t="n">
        <v>107.81</v>
      </c>
      <c r="O1056" s="10">
        <f>IFERROR(VLOOKUP(A1056,Flete!$A:$J,10,0),"")</f>
        <v/>
      </c>
      <c r="P1056" s="8" t="inlineStr">
        <is>
          <t>TN</t>
        </is>
      </c>
      <c r="Q1056" s="10">
        <f>IFERROR(IFERROR(VLOOKUP(A1056,TRAOPE!$A:$U,21,0),VLOOKUP(B1056,TRAOPE!$A:$U,21,0)),"")</f>
        <v/>
      </c>
      <c r="R1056" s="8">
        <f>IFERROR(IFERROR(VLOOKUP(A1056,TRAOPE!$A:$W,23,0),VLOOKUP(B1056,TRAOPE!$A:$W,23,0)),"")</f>
        <v/>
      </c>
      <c r="S1056" s="10">
        <f>IF(AND(P1056="TN",R1056="TN"),N1056+N(O1056),IF(G1056&amp;""="1",N(K1056)*N1056,(N1056+N(O1056))*N(K1056)))</f>
        <v/>
      </c>
      <c r="T1056" s="10">
        <f>IF(Q1056="","",Q1056-S1056)</f>
        <v/>
      </c>
    </row>
    <row r="1057">
      <c r="A1057" s="7">
        <f>CONCATENATE(C1057,E1057,F1057,I1057)</f>
        <v/>
      </c>
      <c r="B1057" s="7">
        <f>CONCATENATE(C1057,E1057,I1057)</f>
        <v/>
      </c>
      <c r="C1057" s="8" t="n">
        <v>900006172</v>
      </c>
      <c r="D1057" s="7">
        <f>IFERROR(VLOOKUP(C1057,TRAOPE!$G:$H,2,0),"")</f>
        <v/>
      </c>
      <c r="E1057" s="8" t="inlineStr">
        <is>
          <t>DW70</t>
        </is>
      </c>
      <c r="F1057" s="8" t="inlineStr">
        <is>
          <t>D084</t>
        </is>
      </c>
      <c r="G1057" s="8">
        <f>IFERROR(VLOOKUP(A1057,Flete!$A:$E,5,0),"")</f>
        <v/>
      </c>
      <c r="H1057" s="7">
        <f>IFERROR(VLOOKUP(F1057,TRAOPE!$AA:$AB,2,0),"")</f>
        <v/>
      </c>
      <c r="I1057" s="7" t="n">
        <v>10233033</v>
      </c>
      <c r="J1057" s="7">
        <f>IFERROR(VLOOKUP(I1057,Materiales!$A:$H,8,0),"")</f>
        <v/>
      </c>
      <c r="K1057" s="9">
        <f>IFERROR(VLOOKUP(I1057,Materiales!$A:$G,7,0),"")</f>
        <v/>
      </c>
      <c r="L1057" s="8" t="inlineStr">
        <is>
          <t>20260616</t>
        </is>
      </c>
      <c r="M1057" s="8" t="inlineStr">
        <is>
          <t>99991231</t>
        </is>
      </c>
      <c r="N1057" s="10" t="n">
        <v>111.43</v>
      </c>
      <c r="O1057" s="10">
        <f>IFERROR(VLOOKUP(A1057,Flete!$A:$J,10,0),"")</f>
        <v/>
      </c>
      <c r="P1057" s="8" t="inlineStr">
        <is>
          <t>TN</t>
        </is>
      </c>
      <c r="Q1057" s="10">
        <f>IFERROR(IFERROR(VLOOKUP(A1057,TRAOPE!$A:$U,21,0),VLOOKUP(B1057,TRAOPE!$A:$U,21,0)),"")</f>
        <v/>
      </c>
      <c r="R1057" s="8">
        <f>IFERROR(IFERROR(VLOOKUP(A1057,TRAOPE!$A:$W,23,0),VLOOKUP(B1057,TRAOPE!$A:$W,23,0)),"")</f>
        <v/>
      </c>
      <c r="S1057" s="10">
        <f>IF(AND(P1057="TN",R1057="TN"),N1057+N(O1057),IF(G1057&amp;""="1",N(K1057)*N1057,(N1057+N(O1057))*N(K1057)))</f>
        <v/>
      </c>
      <c r="T1057" s="10">
        <f>IF(Q1057="","",Q1057-S1057)</f>
        <v/>
      </c>
    </row>
    <row r="1058">
      <c r="A1058" s="7">
        <f>CONCATENATE(C1058,E1058,F1058,I1058)</f>
        <v/>
      </c>
      <c r="B1058" s="7">
        <f>CONCATENATE(C1058,E1058,I1058)</f>
        <v/>
      </c>
      <c r="C1058" s="8" t="n">
        <v>900006172</v>
      </c>
      <c r="D1058" s="7">
        <f>IFERROR(VLOOKUP(C1058,TRAOPE!$G:$H,2,0),"")</f>
        <v/>
      </c>
      <c r="E1058" s="8" t="inlineStr">
        <is>
          <t>DW70</t>
        </is>
      </c>
      <c r="F1058" s="8" t="inlineStr">
        <is>
          <t>D085</t>
        </is>
      </c>
      <c r="G1058" s="8">
        <f>IFERROR(VLOOKUP(A1058,Flete!$A:$E,5,0),"")</f>
        <v/>
      </c>
      <c r="H1058" s="7">
        <f>IFERROR(VLOOKUP(F1058,TRAOPE!$AA:$AB,2,0),"")</f>
        <v/>
      </c>
      <c r="I1058" s="7" t="n">
        <v>10000811</v>
      </c>
      <c r="J1058" s="7">
        <f>IFERROR(VLOOKUP(I1058,Materiales!$A:$H,8,0),"")</f>
        <v/>
      </c>
      <c r="K1058" s="9">
        <f>IFERROR(VLOOKUP(I1058,Materiales!$A:$G,7,0),"")</f>
        <v/>
      </c>
      <c r="L1058" s="8" t="inlineStr">
        <is>
          <t>20260805</t>
        </is>
      </c>
      <c r="M1058" s="8" t="inlineStr">
        <is>
          <t>99991231</t>
        </is>
      </c>
      <c r="N1058" s="10" t="n">
        <v>107.81</v>
      </c>
      <c r="O1058" s="10">
        <f>IFERROR(VLOOKUP(A1058,Flete!$A:$J,10,0),"")</f>
        <v/>
      </c>
      <c r="P1058" s="8" t="inlineStr">
        <is>
          <t>TN</t>
        </is>
      </c>
      <c r="Q1058" s="10">
        <f>IFERROR(IFERROR(VLOOKUP(A1058,TRAOPE!$A:$U,21,0),VLOOKUP(B1058,TRAOPE!$A:$U,21,0)),"")</f>
        <v/>
      </c>
      <c r="R1058" s="8">
        <f>IFERROR(IFERROR(VLOOKUP(A1058,TRAOPE!$A:$W,23,0),VLOOKUP(B1058,TRAOPE!$A:$W,23,0)),"")</f>
        <v/>
      </c>
      <c r="S1058" s="10">
        <f>IF(AND(P1058="TN",R1058="TN"),N1058+N(O1058),IF(G1058&amp;""="1",N(K1058)*N1058,(N1058+N(O1058))*N(K1058)))</f>
        <v/>
      </c>
      <c r="T1058" s="10">
        <f>IF(Q1058="","",Q1058-S1058)</f>
        <v/>
      </c>
    </row>
    <row r="1059">
      <c r="A1059" s="7">
        <f>CONCATENATE(C1059,E1059,F1059,I1059)</f>
        <v/>
      </c>
      <c r="B1059" s="7">
        <f>CONCATENATE(C1059,E1059,I1059)</f>
        <v/>
      </c>
      <c r="C1059" s="8" t="n">
        <v>900006172</v>
      </c>
      <c r="D1059" s="7">
        <f>IFERROR(VLOOKUP(C1059,TRAOPE!$G:$H,2,0),"")</f>
        <v/>
      </c>
      <c r="E1059" s="8" t="inlineStr">
        <is>
          <t>DW70</t>
        </is>
      </c>
      <c r="F1059" s="8" t="inlineStr">
        <is>
          <t>D085</t>
        </is>
      </c>
      <c r="G1059" s="8">
        <f>IFERROR(VLOOKUP(A1059,Flete!$A:$E,5,0),"")</f>
        <v/>
      </c>
      <c r="H1059" s="7">
        <f>IFERROR(VLOOKUP(F1059,TRAOPE!$AA:$AB,2,0),"")</f>
        <v/>
      </c>
      <c r="I1059" s="7" t="n">
        <v>10233033</v>
      </c>
      <c r="J1059" s="7">
        <f>IFERROR(VLOOKUP(I1059,Materiales!$A:$H,8,0),"")</f>
        <v/>
      </c>
      <c r="K1059" s="9">
        <f>IFERROR(VLOOKUP(I1059,Materiales!$A:$G,7,0),"")</f>
        <v/>
      </c>
      <c r="L1059" s="8" t="inlineStr">
        <is>
          <t>20260616</t>
        </is>
      </c>
      <c r="M1059" s="8" t="inlineStr">
        <is>
          <t>99991231</t>
        </is>
      </c>
      <c r="N1059" s="10" t="n">
        <v>111.43</v>
      </c>
      <c r="O1059" s="10">
        <f>IFERROR(VLOOKUP(A1059,Flete!$A:$J,10,0),"")</f>
        <v/>
      </c>
      <c r="P1059" s="8" t="inlineStr">
        <is>
          <t>TN</t>
        </is>
      </c>
      <c r="Q1059" s="10">
        <f>IFERROR(IFERROR(VLOOKUP(A1059,TRAOPE!$A:$U,21,0),VLOOKUP(B1059,TRAOPE!$A:$U,21,0)),"")</f>
        <v/>
      </c>
      <c r="R1059" s="8">
        <f>IFERROR(IFERROR(VLOOKUP(A1059,TRAOPE!$A:$W,23,0),VLOOKUP(B1059,TRAOPE!$A:$W,23,0)),"")</f>
        <v/>
      </c>
      <c r="S1059" s="10">
        <f>IF(AND(P1059="TN",R1059="TN"),N1059+N(O1059),IF(G1059&amp;""="1",N(K1059)*N1059,(N1059+N(O1059))*N(K1059)))</f>
        <v/>
      </c>
      <c r="T1059" s="10">
        <f>IF(Q1059="","",Q1059-S1059)</f>
        <v/>
      </c>
    </row>
    <row r="1060">
      <c r="A1060" s="7">
        <f>CONCATENATE(C1060,E1060,F1060,I1060)</f>
        <v/>
      </c>
      <c r="B1060" s="7">
        <f>CONCATENATE(C1060,E1060,I1060)</f>
        <v/>
      </c>
      <c r="C1060" s="8" t="n">
        <v>900006172</v>
      </c>
      <c r="D1060" s="7">
        <f>IFERROR(VLOOKUP(C1060,TRAOPE!$G:$H,2,0),"")</f>
        <v/>
      </c>
      <c r="E1060" s="8" t="inlineStr">
        <is>
          <t>DW70</t>
        </is>
      </c>
      <c r="F1060" s="8" t="inlineStr">
        <is>
          <t>D093</t>
        </is>
      </c>
      <c r="G1060" s="8">
        <f>IFERROR(VLOOKUP(A1060,Flete!$A:$E,5,0),"")</f>
        <v/>
      </c>
      <c r="H1060" s="7">
        <f>IFERROR(VLOOKUP(F1060,TRAOPE!$AA:$AB,2,0),"")</f>
        <v/>
      </c>
      <c r="I1060" s="7" t="n">
        <v>10000811</v>
      </c>
      <c r="J1060" s="7">
        <f>IFERROR(VLOOKUP(I1060,Materiales!$A:$H,8,0),"")</f>
        <v/>
      </c>
      <c r="K1060" s="9">
        <f>IFERROR(VLOOKUP(I1060,Materiales!$A:$G,7,0),"")</f>
        <v/>
      </c>
      <c r="L1060" s="8" t="inlineStr">
        <is>
          <t>20260805</t>
        </is>
      </c>
      <c r="M1060" s="8" t="inlineStr">
        <is>
          <t>99991231</t>
        </is>
      </c>
      <c r="N1060" s="10" t="n">
        <v>107.81</v>
      </c>
      <c r="O1060" s="10">
        <f>IFERROR(VLOOKUP(A1060,Flete!$A:$J,10,0),"")</f>
        <v/>
      </c>
      <c r="P1060" s="8" t="inlineStr">
        <is>
          <t>TN</t>
        </is>
      </c>
      <c r="Q1060" s="10">
        <f>IFERROR(IFERROR(VLOOKUP(A1060,TRAOPE!$A:$U,21,0),VLOOKUP(B1060,TRAOPE!$A:$U,21,0)),"")</f>
        <v/>
      </c>
      <c r="R1060" s="8">
        <f>IFERROR(IFERROR(VLOOKUP(A1060,TRAOPE!$A:$W,23,0),VLOOKUP(B1060,TRAOPE!$A:$W,23,0)),"")</f>
        <v/>
      </c>
      <c r="S1060" s="10">
        <f>IF(AND(P1060="TN",R1060="TN"),N1060+N(O1060),IF(G1060&amp;""="1",N(K1060)*N1060,(N1060+N(O1060))*N(K1060)))</f>
        <v/>
      </c>
      <c r="T1060" s="10">
        <f>IF(Q1060="","",Q1060-S1060)</f>
        <v/>
      </c>
    </row>
    <row r="1061">
      <c r="A1061" s="7">
        <f>CONCATENATE(C1061,E1061,F1061,I1061)</f>
        <v/>
      </c>
      <c r="B1061" s="7">
        <f>CONCATENATE(C1061,E1061,I1061)</f>
        <v/>
      </c>
      <c r="C1061" s="8" t="n">
        <v>900006172</v>
      </c>
      <c r="D1061" s="7">
        <f>IFERROR(VLOOKUP(C1061,TRAOPE!$G:$H,2,0),"")</f>
        <v/>
      </c>
      <c r="E1061" s="8" t="inlineStr">
        <is>
          <t>DW70</t>
        </is>
      </c>
      <c r="F1061" s="8" t="inlineStr">
        <is>
          <t>D093</t>
        </is>
      </c>
      <c r="G1061" s="8">
        <f>IFERROR(VLOOKUP(A1061,Flete!$A:$E,5,0),"")</f>
        <v/>
      </c>
      <c r="H1061" s="7">
        <f>IFERROR(VLOOKUP(F1061,TRAOPE!$AA:$AB,2,0),"")</f>
        <v/>
      </c>
      <c r="I1061" s="7" t="n">
        <v>10233033</v>
      </c>
      <c r="J1061" s="7">
        <f>IFERROR(VLOOKUP(I1061,Materiales!$A:$H,8,0),"")</f>
        <v/>
      </c>
      <c r="K1061" s="9">
        <f>IFERROR(VLOOKUP(I1061,Materiales!$A:$G,7,0),"")</f>
        <v/>
      </c>
      <c r="L1061" s="8" t="inlineStr">
        <is>
          <t>20260616</t>
        </is>
      </c>
      <c r="M1061" s="8" t="inlineStr">
        <is>
          <t>99991231</t>
        </is>
      </c>
      <c r="N1061" s="10" t="n">
        <v>111.43</v>
      </c>
      <c r="O1061" s="10">
        <f>IFERROR(VLOOKUP(A1061,Flete!$A:$J,10,0),"")</f>
        <v/>
      </c>
      <c r="P1061" s="8" t="inlineStr">
        <is>
          <t>TN</t>
        </is>
      </c>
      <c r="Q1061" s="10">
        <f>IFERROR(IFERROR(VLOOKUP(A1061,TRAOPE!$A:$U,21,0),VLOOKUP(B1061,TRAOPE!$A:$U,21,0)),"")</f>
        <v/>
      </c>
      <c r="R1061" s="8">
        <f>IFERROR(IFERROR(VLOOKUP(A1061,TRAOPE!$A:$W,23,0),VLOOKUP(B1061,TRAOPE!$A:$W,23,0)),"")</f>
        <v/>
      </c>
      <c r="S1061" s="10">
        <f>IF(AND(P1061="TN",R1061="TN"),N1061+N(O1061),IF(G1061&amp;""="1",N(K1061)*N1061,(N1061+N(O1061))*N(K1061)))</f>
        <v/>
      </c>
      <c r="T1061" s="10">
        <f>IF(Q1061="","",Q1061-S1061)</f>
        <v/>
      </c>
    </row>
    <row r="1062">
      <c r="A1062" s="7">
        <f>CONCATENATE(C1062,E1062,F1062,I1062)</f>
        <v/>
      </c>
      <c r="B1062" s="7">
        <f>CONCATENATE(C1062,E1062,I1062)</f>
        <v/>
      </c>
      <c r="C1062" s="8" t="n">
        <v>900006172</v>
      </c>
      <c r="D1062" s="7">
        <f>IFERROR(VLOOKUP(C1062,TRAOPE!$G:$H,2,0),"")</f>
        <v/>
      </c>
      <c r="E1062" s="8" t="inlineStr">
        <is>
          <t>DW70</t>
        </is>
      </c>
      <c r="F1062" s="8" t="inlineStr">
        <is>
          <t>D098</t>
        </is>
      </c>
      <c r="G1062" s="8">
        <f>IFERROR(VLOOKUP(A1062,Flete!$A:$E,5,0),"")</f>
        <v/>
      </c>
      <c r="H1062" s="7">
        <f>IFERROR(VLOOKUP(F1062,TRAOPE!$AA:$AB,2,0),"")</f>
        <v/>
      </c>
      <c r="I1062" s="7" t="n">
        <v>10000811</v>
      </c>
      <c r="J1062" s="7">
        <f>IFERROR(VLOOKUP(I1062,Materiales!$A:$H,8,0),"")</f>
        <v/>
      </c>
      <c r="K1062" s="9">
        <f>IFERROR(VLOOKUP(I1062,Materiales!$A:$G,7,0),"")</f>
        <v/>
      </c>
      <c r="L1062" s="8" t="inlineStr">
        <is>
          <t>20260805</t>
        </is>
      </c>
      <c r="M1062" s="8" t="inlineStr">
        <is>
          <t>99991231</t>
        </is>
      </c>
      <c r="N1062" s="10" t="n">
        <v>107.81</v>
      </c>
      <c r="O1062" s="10">
        <f>IFERROR(VLOOKUP(A1062,Flete!$A:$J,10,0),"")</f>
        <v/>
      </c>
      <c r="P1062" s="8" t="inlineStr">
        <is>
          <t>TN</t>
        </is>
      </c>
      <c r="Q1062" s="10">
        <f>IFERROR(IFERROR(VLOOKUP(A1062,TRAOPE!$A:$U,21,0),VLOOKUP(B1062,TRAOPE!$A:$U,21,0)),"")</f>
        <v/>
      </c>
      <c r="R1062" s="8">
        <f>IFERROR(IFERROR(VLOOKUP(A1062,TRAOPE!$A:$W,23,0),VLOOKUP(B1062,TRAOPE!$A:$W,23,0)),"")</f>
        <v/>
      </c>
      <c r="S1062" s="10">
        <f>IF(AND(P1062="TN",R1062="TN"),N1062+N(O1062),IF(G1062&amp;""="1",N(K1062)*N1062,(N1062+N(O1062))*N(K1062)))</f>
        <v/>
      </c>
      <c r="T1062" s="10">
        <f>IF(Q1062="","",Q1062-S1062)</f>
        <v/>
      </c>
    </row>
    <row r="1063">
      <c r="A1063" s="7">
        <f>CONCATENATE(C1063,E1063,F1063,I1063)</f>
        <v/>
      </c>
      <c r="B1063" s="7">
        <f>CONCATENATE(C1063,E1063,I1063)</f>
        <v/>
      </c>
      <c r="C1063" s="8" t="n">
        <v>900006172</v>
      </c>
      <c r="D1063" s="7">
        <f>IFERROR(VLOOKUP(C1063,TRAOPE!$G:$H,2,0),"")</f>
        <v/>
      </c>
      <c r="E1063" s="8" t="inlineStr">
        <is>
          <t>DW70</t>
        </is>
      </c>
      <c r="F1063" s="8" t="inlineStr">
        <is>
          <t>D098</t>
        </is>
      </c>
      <c r="G1063" s="8">
        <f>IFERROR(VLOOKUP(A1063,Flete!$A:$E,5,0),"")</f>
        <v/>
      </c>
      <c r="H1063" s="7">
        <f>IFERROR(VLOOKUP(F1063,TRAOPE!$AA:$AB,2,0),"")</f>
        <v/>
      </c>
      <c r="I1063" s="7" t="n">
        <v>10233033</v>
      </c>
      <c r="J1063" s="7">
        <f>IFERROR(VLOOKUP(I1063,Materiales!$A:$H,8,0),"")</f>
        <v/>
      </c>
      <c r="K1063" s="9">
        <f>IFERROR(VLOOKUP(I1063,Materiales!$A:$G,7,0),"")</f>
        <v/>
      </c>
      <c r="L1063" s="8" t="inlineStr">
        <is>
          <t>20260616</t>
        </is>
      </c>
      <c r="M1063" s="8" t="inlineStr">
        <is>
          <t>99991231</t>
        </is>
      </c>
      <c r="N1063" s="10" t="n">
        <v>111.43</v>
      </c>
      <c r="O1063" s="10">
        <f>IFERROR(VLOOKUP(A1063,Flete!$A:$J,10,0),"")</f>
        <v/>
      </c>
      <c r="P1063" s="8" t="inlineStr">
        <is>
          <t>TN</t>
        </is>
      </c>
      <c r="Q1063" s="10">
        <f>IFERROR(IFERROR(VLOOKUP(A1063,TRAOPE!$A:$U,21,0),VLOOKUP(B1063,TRAOPE!$A:$U,21,0)),"")</f>
        <v/>
      </c>
      <c r="R1063" s="8">
        <f>IFERROR(IFERROR(VLOOKUP(A1063,TRAOPE!$A:$W,23,0),VLOOKUP(B1063,TRAOPE!$A:$W,23,0)),"")</f>
        <v/>
      </c>
      <c r="S1063" s="10">
        <f>IF(AND(P1063="TN",R1063="TN"),N1063+N(O1063),IF(G1063&amp;""="1",N(K1063)*N1063,(N1063+N(O1063))*N(K1063)))</f>
        <v/>
      </c>
      <c r="T1063" s="10">
        <f>IF(Q1063="","",Q1063-S1063)</f>
        <v/>
      </c>
    </row>
    <row r="1064">
      <c r="A1064" s="7">
        <f>CONCATENATE(C1064,E1064,F1064,I1064)</f>
        <v/>
      </c>
      <c r="B1064" s="7">
        <f>CONCATENATE(C1064,E1064,I1064)</f>
        <v/>
      </c>
      <c r="C1064" s="8" t="n">
        <v>900006172</v>
      </c>
      <c r="D1064" s="7">
        <f>IFERROR(VLOOKUP(C1064,TRAOPE!$G:$H,2,0),"")</f>
        <v/>
      </c>
      <c r="E1064" s="8" t="inlineStr">
        <is>
          <t>DW70</t>
        </is>
      </c>
      <c r="F1064" s="8" t="inlineStr">
        <is>
          <t>D105</t>
        </is>
      </c>
      <c r="G1064" s="8">
        <f>IFERROR(VLOOKUP(A1064,Flete!$A:$E,5,0),"")</f>
        <v/>
      </c>
      <c r="H1064" s="7">
        <f>IFERROR(VLOOKUP(F1064,TRAOPE!$AA:$AB,2,0),"")</f>
        <v/>
      </c>
      <c r="I1064" s="7" t="n">
        <v>10000811</v>
      </c>
      <c r="J1064" s="7">
        <f>IFERROR(VLOOKUP(I1064,Materiales!$A:$H,8,0),"")</f>
        <v/>
      </c>
      <c r="K1064" s="9">
        <f>IFERROR(VLOOKUP(I1064,Materiales!$A:$G,7,0),"")</f>
        <v/>
      </c>
      <c r="L1064" s="8" t="inlineStr">
        <is>
          <t>20260805</t>
        </is>
      </c>
      <c r="M1064" s="8" t="inlineStr">
        <is>
          <t>99991231</t>
        </is>
      </c>
      <c r="N1064" s="10" t="n">
        <v>107.81</v>
      </c>
      <c r="O1064" s="10">
        <f>IFERROR(VLOOKUP(A1064,Flete!$A:$J,10,0),"")</f>
        <v/>
      </c>
      <c r="P1064" s="8" t="inlineStr">
        <is>
          <t>TN</t>
        </is>
      </c>
      <c r="Q1064" s="10">
        <f>IFERROR(IFERROR(VLOOKUP(A1064,TRAOPE!$A:$U,21,0),VLOOKUP(B1064,TRAOPE!$A:$U,21,0)),"")</f>
        <v/>
      </c>
      <c r="R1064" s="8">
        <f>IFERROR(IFERROR(VLOOKUP(A1064,TRAOPE!$A:$W,23,0),VLOOKUP(B1064,TRAOPE!$A:$W,23,0)),"")</f>
        <v/>
      </c>
      <c r="S1064" s="10">
        <f>IF(AND(P1064="TN",R1064="TN"),N1064+N(O1064),IF(G1064&amp;""="1",N(K1064)*N1064,(N1064+N(O1064))*N(K1064)))</f>
        <v/>
      </c>
      <c r="T1064" s="10">
        <f>IF(Q1064="","",Q1064-S1064)</f>
        <v/>
      </c>
    </row>
    <row r="1065">
      <c r="A1065" s="7">
        <f>CONCATENATE(C1065,E1065,F1065,I1065)</f>
        <v/>
      </c>
      <c r="B1065" s="7">
        <f>CONCATENATE(C1065,E1065,I1065)</f>
        <v/>
      </c>
      <c r="C1065" s="8" t="n">
        <v>900006172</v>
      </c>
      <c r="D1065" s="7">
        <f>IFERROR(VLOOKUP(C1065,TRAOPE!$G:$H,2,0),"")</f>
        <v/>
      </c>
      <c r="E1065" s="8" t="inlineStr">
        <is>
          <t>DW70</t>
        </is>
      </c>
      <c r="F1065" s="8" t="inlineStr">
        <is>
          <t>D105</t>
        </is>
      </c>
      <c r="G1065" s="8">
        <f>IFERROR(VLOOKUP(A1065,Flete!$A:$E,5,0),"")</f>
        <v/>
      </c>
      <c r="H1065" s="7">
        <f>IFERROR(VLOOKUP(F1065,TRAOPE!$AA:$AB,2,0),"")</f>
        <v/>
      </c>
      <c r="I1065" s="7" t="n">
        <v>10233033</v>
      </c>
      <c r="J1065" s="7">
        <f>IFERROR(VLOOKUP(I1065,Materiales!$A:$H,8,0),"")</f>
        <v/>
      </c>
      <c r="K1065" s="9">
        <f>IFERROR(VLOOKUP(I1065,Materiales!$A:$G,7,0),"")</f>
        <v/>
      </c>
      <c r="L1065" s="8" t="inlineStr">
        <is>
          <t>20260616</t>
        </is>
      </c>
      <c r="M1065" s="8" t="inlineStr">
        <is>
          <t>99991231</t>
        </is>
      </c>
      <c r="N1065" s="10" t="n">
        <v>111.43</v>
      </c>
      <c r="O1065" s="10">
        <f>IFERROR(VLOOKUP(A1065,Flete!$A:$J,10,0),"")</f>
        <v/>
      </c>
      <c r="P1065" s="8" t="inlineStr">
        <is>
          <t>TN</t>
        </is>
      </c>
      <c r="Q1065" s="10">
        <f>IFERROR(IFERROR(VLOOKUP(A1065,TRAOPE!$A:$U,21,0),VLOOKUP(B1065,TRAOPE!$A:$U,21,0)),"")</f>
        <v/>
      </c>
      <c r="R1065" s="8">
        <f>IFERROR(IFERROR(VLOOKUP(A1065,TRAOPE!$A:$W,23,0),VLOOKUP(B1065,TRAOPE!$A:$W,23,0)),"")</f>
        <v/>
      </c>
      <c r="S1065" s="10">
        <f>IF(AND(P1065="TN",R1065="TN"),N1065+N(O1065),IF(G1065&amp;""="1",N(K1065)*N1065,(N1065+N(O1065))*N(K1065)))</f>
        <v/>
      </c>
      <c r="T1065" s="10">
        <f>IF(Q1065="","",Q1065-S1065)</f>
        <v/>
      </c>
    </row>
    <row r="1066">
      <c r="A1066" s="7">
        <f>CONCATENATE(C1066,E1066,F1066,I1066)</f>
        <v/>
      </c>
      <c r="B1066" s="7">
        <f>CONCATENATE(C1066,E1066,I1066)</f>
        <v/>
      </c>
      <c r="C1066" s="8" t="n">
        <v>900006172</v>
      </c>
      <c r="D1066" s="7">
        <f>IFERROR(VLOOKUP(C1066,TRAOPE!$G:$H,2,0),"")</f>
        <v/>
      </c>
      <c r="E1066" s="8" t="inlineStr">
        <is>
          <t>DW70</t>
        </is>
      </c>
      <c r="F1066" s="8" t="inlineStr">
        <is>
          <t>D136</t>
        </is>
      </c>
      <c r="G1066" s="8">
        <f>IFERROR(VLOOKUP(A1066,Flete!$A:$E,5,0),"")</f>
        <v/>
      </c>
      <c r="H1066" s="7">
        <f>IFERROR(VLOOKUP(F1066,TRAOPE!$AA:$AB,2,0),"")</f>
        <v/>
      </c>
      <c r="I1066" s="7" t="n">
        <v>10000811</v>
      </c>
      <c r="J1066" s="7">
        <f>IFERROR(VLOOKUP(I1066,Materiales!$A:$H,8,0),"")</f>
        <v/>
      </c>
      <c r="K1066" s="9">
        <f>IFERROR(VLOOKUP(I1066,Materiales!$A:$G,7,0),"")</f>
        <v/>
      </c>
      <c r="L1066" s="8" t="inlineStr">
        <is>
          <t>20260805</t>
        </is>
      </c>
      <c r="M1066" s="8" t="inlineStr">
        <is>
          <t>99991231</t>
        </is>
      </c>
      <c r="N1066" s="10" t="n">
        <v>107.81</v>
      </c>
      <c r="O1066" s="10">
        <f>IFERROR(VLOOKUP(A1066,Flete!$A:$J,10,0),"")</f>
        <v/>
      </c>
      <c r="P1066" s="8" t="inlineStr">
        <is>
          <t>TN</t>
        </is>
      </c>
      <c r="Q1066" s="10">
        <f>IFERROR(IFERROR(VLOOKUP(A1066,TRAOPE!$A:$U,21,0),VLOOKUP(B1066,TRAOPE!$A:$U,21,0)),"")</f>
        <v/>
      </c>
      <c r="R1066" s="8">
        <f>IFERROR(IFERROR(VLOOKUP(A1066,TRAOPE!$A:$W,23,0),VLOOKUP(B1066,TRAOPE!$A:$W,23,0)),"")</f>
        <v/>
      </c>
      <c r="S1066" s="10">
        <f>IF(AND(P1066="TN",R1066="TN"),N1066+N(O1066),IF(G1066&amp;""="1",N(K1066)*N1066,(N1066+N(O1066))*N(K1066)))</f>
        <v/>
      </c>
      <c r="T1066" s="10">
        <f>IF(Q1066="","",Q1066-S1066)</f>
        <v/>
      </c>
    </row>
    <row r="1067">
      <c r="A1067" s="7">
        <f>CONCATENATE(C1067,E1067,F1067,I1067)</f>
        <v/>
      </c>
      <c r="B1067" s="7">
        <f>CONCATENATE(C1067,E1067,I1067)</f>
        <v/>
      </c>
      <c r="C1067" s="8" t="n">
        <v>900006172</v>
      </c>
      <c r="D1067" s="7">
        <f>IFERROR(VLOOKUP(C1067,TRAOPE!$G:$H,2,0),"")</f>
        <v/>
      </c>
      <c r="E1067" s="8" t="inlineStr">
        <is>
          <t>DW70</t>
        </is>
      </c>
      <c r="F1067" s="8" t="inlineStr">
        <is>
          <t>D136</t>
        </is>
      </c>
      <c r="G1067" s="8">
        <f>IFERROR(VLOOKUP(A1067,Flete!$A:$E,5,0),"")</f>
        <v/>
      </c>
      <c r="H1067" s="7">
        <f>IFERROR(VLOOKUP(F1067,TRAOPE!$AA:$AB,2,0),"")</f>
        <v/>
      </c>
      <c r="I1067" s="7" t="n">
        <v>10233033</v>
      </c>
      <c r="J1067" s="7">
        <f>IFERROR(VLOOKUP(I1067,Materiales!$A:$H,8,0),"")</f>
        <v/>
      </c>
      <c r="K1067" s="9">
        <f>IFERROR(VLOOKUP(I1067,Materiales!$A:$G,7,0),"")</f>
        <v/>
      </c>
      <c r="L1067" s="8" t="inlineStr">
        <is>
          <t>20260616</t>
        </is>
      </c>
      <c r="M1067" s="8" t="inlineStr">
        <is>
          <t>99991231</t>
        </is>
      </c>
      <c r="N1067" s="10" t="n">
        <v>111.43</v>
      </c>
      <c r="O1067" s="10">
        <f>IFERROR(VLOOKUP(A1067,Flete!$A:$J,10,0),"")</f>
        <v/>
      </c>
      <c r="P1067" s="8" t="inlineStr">
        <is>
          <t>TN</t>
        </is>
      </c>
      <c r="Q1067" s="10">
        <f>IFERROR(IFERROR(VLOOKUP(A1067,TRAOPE!$A:$U,21,0),VLOOKUP(B1067,TRAOPE!$A:$U,21,0)),"")</f>
        <v/>
      </c>
      <c r="R1067" s="8">
        <f>IFERROR(IFERROR(VLOOKUP(A1067,TRAOPE!$A:$W,23,0),VLOOKUP(B1067,TRAOPE!$A:$W,23,0)),"")</f>
        <v/>
      </c>
      <c r="S1067" s="10">
        <f>IF(AND(P1067="TN",R1067="TN"),N1067+N(O1067),IF(G1067&amp;""="1",N(K1067)*N1067,(N1067+N(O1067))*N(K1067)))</f>
        <v/>
      </c>
      <c r="T1067" s="10">
        <f>IF(Q1067="","",Q1067-S1067)</f>
        <v/>
      </c>
    </row>
    <row r="1068">
      <c r="A1068" s="7">
        <f>CONCATENATE(C1068,E1068,F1068,I1068)</f>
        <v/>
      </c>
      <c r="B1068" s="7">
        <f>CONCATENATE(C1068,E1068,I1068)</f>
        <v/>
      </c>
      <c r="C1068" s="8" t="n">
        <v>900006172</v>
      </c>
      <c r="D1068" s="7">
        <f>IFERROR(VLOOKUP(C1068,TRAOPE!$G:$H,2,0),"")</f>
        <v/>
      </c>
      <c r="E1068" s="8" t="inlineStr">
        <is>
          <t>DW70</t>
        </is>
      </c>
      <c r="F1068" s="8" t="inlineStr">
        <is>
          <t>D145</t>
        </is>
      </c>
      <c r="G1068" s="8">
        <f>IFERROR(VLOOKUP(A1068,Flete!$A:$E,5,0),"")</f>
        <v/>
      </c>
      <c r="H1068" s="7">
        <f>IFERROR(VLOOKUP(F1068,TRAOPE!$AA:$AB,2,0),"")</f>
        <v/>
      </c>
      <c r="I1068" s="7" t="n">
        <v>10000811</v>
      </c>
      <c r="J1068" s="7">
        <f>IFERROR(VLOOKUP(I1068,Materiales!$A:$H,8,0),"")</f>
        <v/>
      </c>
      <c r="K1068" s="9">
        <f>IFERROR(VLOOKUP(I1068,Materiales!$A:$G,7,0),"")</f>
        <v/>
      </c>
      <c r="L1068" s="8" t="inlineStr">
        <is>
          <t>20260805</t>
        </is>
      </c>
      <c r="M1068" s="8" t="inlineStr">
        <is>
          <t>99991231</t>
        </is>
      </c>
      <c r="N1068" s="10" t="n">
        <v>107.81</v>
      </c>
      <c r="O1068" s="10">
        <f>IFERROR(VLOOKUP(A1068,Flete!$A:$J,10,0),"")</f>
        <v/>
      </c>
      <c r="P1068" s="8" t="inlineStr">
        <is>
          <t>TN</t>
        </is>
      </c>
      <c r="Q1068" s="10">
        <f>IFERROR(IFERROR(VLOOKUP(A1068,TRAOPE!$A:$U,21,0),VLOOKUP(B1068,TRAOPE!$A:$U,21,0)),"")</f>
        <v/>
      </c>
      <c r="R1068" s="8">
        <f>IFERROR(IFERROR(VLOOKUP(A1068,TRAOPE!$A:$W,23,0),VLOOKUP(B1068,TRAOPE!$A:$W,23,0)),"")</f>
        <v/>
      </c>
      <c r="S1068" s="10">
        <f>IF(AND(P1068="TN",R1068="TN"),N1068+N(O1068),IF(G1068&amp;""="1",N(K1068)*N1068,(N1068+N(O1068))*N(K1068)))</f>
        <v/>
      </c>
      <c r="T1068" s="10">
        <f>IF(Q1068="","",Q1068-S1068)</f>
        <v/>
      </c>
    </row>
    <row r="1069">
      <c r="A1069" s="7">
        <f>CONCATENATE(C1069,E1069,F1069,I1069)</f>
        <v/>
      </c>
      <c r="B1069" s="7">
        <f>CONCATENATE(C1069,E1069,I1069)</f>
        <v/>
      </c>
      <c r="C1069" s="8" t="n">
        <v>900006172</v>
      </c>
      <c r="D1069" s="7">
        <f>IFERROR(VLOOKUP(C1069,TRAOPE!$G:$H,2,0),"")</f>
        <v/>
      </c>
      <c r="E1069" s="8" t="inlineStr">
        <is>
          <t>DW70</t>
        </is>
      </c>
      <c r="F1069" s="8" t="inlineStr">
        <is>
          <t>D145</t>
        </is>
      </c>
      <c r="G1069" s="8">
        <f>IFERROR(VLOOKUP(A1069,Flete!$A:$E,5,0),"")</f>
        <v/>
      </c>
      <c r="H1069" s="7">
        <f>IFERROR(VLOOKUP(F1069,TRAOPE!$AA:$AB,2,0),"")</f>
        <v/>
      </c>
      <c r="I1069" s="7" t="n">
        <v>10233033</v>
      </c>
      <c r="J1069" s="7">
        <f>IFERROR(VLOOKUP(I1069,Materiales!$A:$H,8,0),"")</f>
        <v/>
      </c>
      <c r="K1069" s="9">
        <f>IFERROR(VLOOKUP(I1069,Materiales!$A:$G,7,0),"")</f>
        <v/>
      </c>
      <c r="L1069" s="8" t="inlineStr">
        <is>
          <t>20260616</t>
        </is>
      </c>
      <c r="M1069" s="8" t="inlineStr">
        <is>
          <t>99991231</t>
        </is>
      </c>
      <c r="N1069" s="10" t="n">
        <v>111.43</v>
      </c>
      <c r="O1069" s="10">
        <f>IFERROR(VLOOKUP(A1069,Flete!$A:$J,10,0),"")</f>
        <v/>
      </c>
      <c r="P1069" s="8" t="inlineStr">
        <is>
          <t>TN</t>
        </is>
      </c>
      <c r="Q1069" s="10">
        <f>IFERROR(IFERROR(VLOOKUP(A1069,TRAOPE!$A:$U,21,0),VLOOKUP(B1069,TRAOPE!$A:$U,21,0)),"")</f>
        <v/>
      </c>
      <c r="R1069" s="8">
        <f>IFERROR(IFERROR(VLOOKUP(A1069,TRAOPE!$A:$W,23,0),VLOOKUP(B1069,TRAOPE!$A:$W,23,0)),"")</f>
        <v/>
      </c>
      <c r="S1069" s="10">
        <f>IF(AND(P1069="TN",R1069="TN"),N1069+N(O1069),IF(G1069&amp;""="1",N(K1069)*N1069,(N1069+N(O1069))*N(K1069)))</f>
        <v/>
      </c>
      <c r="T1069" s="10">
        <f>IF(Q1069="","",Q1069-S1069)</f>
        <v/>
      </c>
    </row>
    <row r="1070">
      <c r="A1070" s="7">
        <f>CONCATENATE(C1070,E1070,F1070,I1070)</f>
        <v/>
      </c>
      <c r="B1070" s="7">
        <f>CONCATENATE(C1070,E1070,I1070)</f>
        <v/>
      </c>
      <c r="C1070" s="8" t="n">
        <v>900006172</v>
      </c>
      <c r="D1070" s="7">
        <f>IFERROR(VLOOKUP(C1070,TRAOPE!$G:$H,2,0),"")</f>
        <v/>
      </c>
      <c r="E1070" s="8" t="inlineStr">
        <is>
          <t>DW70</t>
        </is>
      </c>
      <c r="F1070" s="8" t="inlineStr">
        <is>
          <t>D681</t>
        </is>
      </c>
      <c r="G1070" s="8">
        <f>IFERROR(VLOOKUP(A1070,Flete!$A:$E,5,0),"")</f>
        <v/>
      </c>
      <c r="H1070" s="7">
        <f>IFERROR(VLOOKUP(F1070,TRAOPE!$AA:$AB,2,0),"")</f>
        <v/>
      </c>
      <c r="I1070" s="7" t="n">
        <v>10000811</v>
      </c>
      <c r="J1070" s="7">
        <f>IFERROR(VLOOKUP(I1070,Materiales!$A:$H,8,0),"")</f>
        <v/>
      </c>
      <c r="K1070" s="9">
        <f>IFERROR(VLOOKUP(I1070,Materiales!$A:$G,7,0),"")</f>
        <v/>
      </c>
      <c r="L1070" s="8" t="inlineStr">
        <is>
          <t>20260805</t>
        </is>
      </c>
      <c r="M1070" s="8" t="inlineStr">
        <is>
          <t>99991231</t>
        </is>
      </c>
      <c r="N1070" s="10" t="n">
        <v>107.81</v>
      </c>
      <c r="O1070" s="10">
        <f>IFERROR(VLOOKUP(A1070,Flete!$A:$J,10,0),"")</f>
        <v/>
      </c>
      <c r="P1070" s="8" t="inlineStr">
        <is>
          <t>TN</t>
        </is>
      </c>
      <c r="Q1070" s="10">
        <f>IFERROR(IFERROR(VLOOKUP(A1070,TRAOPE!$A:$U,21,0),VLOOKUP(B1070,TRAOPE!$A:$U,21,0)),"")</f>
        <v/>
      </c>
      <c r="R1070" s="8">
        <f>IFERROR(IFERROR(VLOOKUP(A1070,TRAOPE!$A:$W,23,0),VLOOKUP(B1070,TRAOPE!$A:$W,23,0)),"")</f>
        <v/>
      </c>
      <c r="S1070" s="10">
        <f>IF(AND(P1070="TN",R1070="TN"),N1070+N(O1070),IF(G1070&amp;""="1",N(K1070)*N1070,(N1070+N(O1070))*N(K1070)))</f>
        <v/>
      </c>
      <c r="T1070" s="10">
        <f>IF(Q1070="","",Q1070-S1070)</f>
        <v/>
      </c>
    </row>
    <row r="1071">
      <c r="A1071" s="7">
        <f>CONCATENATE(C1071,E1071,F1071,I1071)</f>
        <v/>
      </c>
      <c r="B1071" s="7">
        <f>CONCATENATE(C1071,E1071,I1071)</f>
        <v/>
      </c>
      <c r="C1071" s="8" t="n">
        <v>900006172</v>
      </c>
      <c r="D1071" s="7">
        <f>IFERROR(VLOOKUP(C1071,TRAOPE!$G:$H,2,0),"")</f>
        <v/>
      </c>
      <c r="E1071" s="8" t="inlineStr">
        <is>
          <t>DW70</t>
        </is>
      </c>
      <c r="F1071" s="8" t="inlineStr">
        <is>
          <t>D681</t>
        </is>
      </c>
      <c r="G1071" s="8">
        <f>IFERROR(VLOOKUP(A1071,Flete!$A:$E,5,0),"")</f>
        <v/>
      </c>
      <c r="H1071" s="7">
        <f>IFERROR(VLOOKUP(F1071,TRAOPE!$AA:$AB,2,0),"")</f>
        <v/>
      </c>
      <c r="I1071" s="7" t="n">
        <v>10233033</v>
      </c>
      <c r="J1071" s="7">
        <f>IFERROR(VLOOKUP(I1071,Materiales!$A:$H,8,0),"")</f>
        <v/>
      </c>
      <c r="K1071" s="9">
        <f>IFERROR(VLOOKUP(I1071,Materiales!$A:$G,7,0),"")</f>
        <v/>
      </c>
      <c r="L1071" s="8" t="inlineStr">
        <is>
          <t>20260616</t>
        </is>
      </c>
      <c r="M1071" s="8" t="inlineStr">
        <is>
          <t>99991231</t>
        </is>
      </c>
      <c r="N1071" s="10" t="n">
        <v>111.43</v>
      </c>
      <c r="O1071" s="10">
        <f>IFERROR(VLOOKUP(A1071,Flete!$A:$J,10,0),"")</f>
        <v/>
      </c>
      <c r="P1071" s="8" t="inlineStr">
        <is>
          <t>TN</t>
        </is>
      </c>
      <c r="Q1071" s="10">
        <f>IFERROR(IFERROR(VLOOKUP(A1071,TRAOPE!$A:$U,21,0),VLOOKUP(B1071,TRAOPE!$A:$U,21,0)),"")</f>
        <v/>
      </c>
      <c r="R1071" s="8">
        <f>IFERROR(IFERROR(VLOOKUP(A1071,TRAOPE!$A:$W,23,0),VLOOKUP(B1071,TRAOPE!$A:$W,23,0)),"")</f>
        <v/>
      </c>
      <c r="S1071" s="10">
        <f>IF(AND(P1071="TN",R1071="TN"),N1071+N(O1071),IF(G1071&amp;""="1",N(K1071)*N1071,(N1071+N(O1071))*N(K1071)))</f>
        <v/>
      </c>
      <c r="T1071" s="10">
        <f>IF(Q1071="","",Q1071-S1071)</f>
        <v/>
      </c>
    </row>
    <row r="1072">
      <c r="A1072" s="7">
        <f>CONCATENATE(C1072,E1072,F1072,I1072)</f>
        <v/>
      </c>
      <c r="B1072" s="7">
        <f>CONCATENATE(C1072,E1072,I1072)</f>
        <v/>
      </c>
      <c r="C1072" s="8" t="n">
        <v>900006227</v>
      </c>
      <c r="D1072" s="7">
        <f>IFERROR(VLOOKUP(C1072,TRAOPE!$G:$H,2,0),"")</f>
        <v/>
      </c>
      <c r="E1072" s="8" t="inlineStr">
        <is>
          <t>DW70</t>
        </is>
      </c>
      <c r="F1072" s="8" t="inlineStr">
        <is>
          <t>D088</t>
        </is>
      </c>
      <c r="G1072" s="8">
        <f>IFERROR(VLOOKUP(A1072,Flete!$A:$E,5,0),"")</f>
        <v/>
      </c>
      <c r="H1072" s="7">
        <f>IFERROR(VLOOKUP(F1072,TRAOPE!$AA:$AB,2,0),"")</f>
        <v/>
      </c>
      <c r="I1072" s="7" t="n">
        <v>10000624</v>
      </c>
      <c r="J1072" s="7">
        <f>IFERROR(VLOOKUP(I1072,Materiales!$A:$H,8,0),"")</f>
        <v/>
      </c>
      <c r="K1072" s="9">
        <f>IFERROR(VLOOKUP(I1072,Materiales!$A:$G,7,0),"")</f>
        <v/>
      </c>
      <c r="L1072" s="8" t="inlineStr">
        <is>
          <t>20230501</t>
        </is>
      </c>
      <c r="M1072" s="8" t="inlineStr">
        <is>
          <t>20250131</t>
        </is>
      </c>
      <c r="N1072" s="10" t="n">
        <v>93.09999999999999</v>
      </c>
      <c r="O1072" s="10">
        <f>IFERROR(VLOOKUP(A1072,Flete!$A:$J,10,0),"")</f>
        <v/>
      </c>
      <c r="P1072" s="8" t="inlineStr">
        <is>
          <t>TN</t>
        </is>
      </c>
      <c r="Q1072" s="10">
        <f>IFERROR(IFERROR(VLOOKUP(A1072,TRAOPE!$A:$U,21,0),VLOOKUP(B1072,TRAOPE!$A:$U,21,0)),"")</f>
        <v/>
      </c>
      <c r="R1072" s="8">
        <f>IFERROR(IFERROR(VLOOKUP(A1072,TRAOPE!$A:$W,23,0),VLOOKUP(B1072,TRAOPE!$A:$W,23,0)),"")</f>
        <v/>
      </c>
      <c r="S1072" s="10">
        <f>IF(AND(P1072="TN",R1072="TN"),N1072+N(O1072),IF(G1072&amp;""="1",N(K1072)*N1072,(N1072+N(O1072))*N(K1072)))</f>
        <v/>
      </c>
      <c r="T1072" s="10">
        <f>IF(Q1072="","",Q1072-S1072)</f>
        <v/>
      </c>
    </row>
    <row r="1073">
      <c r="A1073" s="7">
        <f>CONCATENATE(C1073,E1073,F1073,I1073)</f>
        <v/>
      </c>
      <c r="B1073" s="7">
        <f>CONCATENATE(C1073,E1073,I1073)</f>
        <v/>
      </c>
      <c r="C1073" s="8" t="n">
        <v>900006227</v>
      </c>
      <c r="D1073" s="7">
        <f>IFERROR(VLOOKUP(C1073,TRAOPE!$G:$H,2,0),"")</f>
        <v/>
      </c>
      <c r="E1073" s="8" t="inlineStr">
        <is>
          <t>DW70</t>
        </is>
      </c>
      <c r="F1073" s="8" t="inlineStr">
        <is>
          <t>D088</t>
        </is>
      </c>
      <c r="G1073" s="8">
        <f>IFERROR(VLOOKUP(A1073,Flete!$A:$E,5,0),"")</f>
        <v/>
      </c>
      <c r="H1073" s="7">
        <f>IFERROR(VLOOKUP(F1073,TRAOPE!$AA:$AB,2,0),"")</f>
        <v/>
      </c>
      <c r="I1073" s="7" t="n">
        <v>10170112</v>
      </c>
      <c r="J1073" s="7">
        <f>IFERROR(VLOOKUP(I1073,Materiales!$A:$H,8,0),"")</f>
        <v/>
      </c>
      <c r="K1073" s="9">
        <f>IFERROR(VLOOKUP(I1073,Materiales!$A:$G,7,0),"")</f>
        <v/>
      </c>
      <c r="L1073" s="8" t="inlineStr">
        <is>
          <t>20230501</t>
        </is>
      </c>
      <c r="M1073" s="8" t="inlineStr">
        <is>
          <t>20250131</t>
        </is>
      </c>
      <c r="N1073" s="10" t="n">
        <v>94.87</v>
      </c>
      <c r="O1073" s="10">
        <f>IFERROR(VLOOKUP(A1073,Flete!$A:$J,10,0),"")</f>
        <v/>
      </c>
      <c r="P1073" s="8" t="inlineStr">
        <is>
          <t>TN</t>
        </is>
      </c>
      <c r="Q1073" s="10">
        <f>IFERROR(IFERROR(VLOOKUP(A1073,TRAOPE!$A:$U,21,0),VLOOKUP(B1073,TRAOPE!$A:$U,21,0)),"")</f>
        <v/>
      </c>
      <c r="R1073" s="8">
        <f>IFERROR(IFERROR(VLOOKUP(A1073,TRAOPE!$A:$W,23,0),VLOOKUP(B1073,TRAOPE!$A:$W,23,0)),"")</f>
        <v/>
      </c>
      <c r="S1073" s="10">
        <f>IF(AND(P1073="TN",R1073="TN"),N1073+N(O1073),IF(G1073&amp;""="1",N(K1073)*N1073,(N1073+N(O1073))*N(K1073)))</f>
        <v/>
      </c>
      <c r="T1073" s="10">
        <f>IF(Q1073="","",Q1073-S1073)</f>
        <v/>
      </c>
    </row>
    <row r="1074">
      <c r="A1074" s="7">
        <f>CONCATENATE(C1074,E1074,F1074,I1074)</f>
        <v/>
      </c>
      <c r="B1074" s="7">
        <f>CONCATENATE(C1074,E1074,I1074)</f>
        <v/>
      </c>
      <c r="C1074" s="8" t="n">
        <v>900006227</v>
      </c>
      <c r="D1074" s="7">
        <f>IFERROR(VLOOKUP(C1074,TRAOPE!$G:$H,2,0),"")</f>
        <v/>
      </c>
      <c r="E1074" s="8" t="inlineStr">
        <is>
          <t>DW70</t>
        </is>
      </c>
      <c r="F1074" s="8" t="inlineStr">
        <is>
          <t>D093</t>
        </is>
      </c>
      <c r="G1074" s="8">
        <f>IFERROR(VLOOKUP(A1074,Flete!$A:$E,5,0),"")</f>
        <v/>
      </c>
      <c r="H1074" s="7">
        <f>IFERROR(VLOOKUP(F1074,TRAOPE!$AA:$AB,2,0),"")</f>
        <v/>
      </c>
      <c r="I1074" s="7" t="n">
        <v>10000624</v>
      </c>
      <c r="J1074" s="7">
        <f>IFERROR(VLOOKUP(I1074,Materiales!$A:$H,8,0),"")</f>
        <v/>
      </c>
      <c r="K1074" s="9">
        <f>IFERROR(VLOOKUP(I1074,Materiales!$A:$G,7,0),"")</f>
        <v/>
      </c>
      <c r="L1074" s="8" t="inlineStr">
        <is>
          <t>20230501</t>
        </is>
      </c>
      <c r="M1074" s="8" t="inlineStr">
        <is>
          <t>20250131</t>
        </is>
      </c>
      <c r="N1074" s="10" t="n">
        <v>93.09999999999999</v>
      </c>
      <c r="O1074" s="10">
        <f>IFERROR(VLOOKUP(A1074,Flete!$A:$J,10,0),"")</f>
        <v/>
      </c>
      <c r="P1074" s="8" t="inlineStr">
        <is>
          <t>TN</t>
        </is>
      </c>
      <c r="Q1074" s="10">
        <f>IFERROR(IFERROR(VLOOKUP(A1074,TRAOPE!$A:$U,21,0),VLOOKUP(B1074,TRAOPE!$A:$U,21,0)),"")</f>
        <v/>
      </c>
      <c r="R1074" s="8">
        <f>IFERROR(IFERROR(VLOOKUP(A1074,TRAOPE!$A:$W,23,0),VLOOKUP(B1074,TRAOPE!$A:$W,23,0)),"")</f>
        <v/>
      </c>
      <c r="S1074" s="10">
        <f>IF(AND(P1074="TN",R1074="TN"),N1074+N(O1074),IF(G1074&amp;""="1",N(K1074)*N1074,(N1074+N(O1074))*N(K1074)))</f>
        <v/>
      </c>
      <c r="T1074" s="10">
        <f>IF(Q1074="","",Q1074-S1074)</f>
        <v/>
      </c>
    </row>
    <row r="1075">
      <c r="A1075" s="7">
        <f>CONCATENATE(C1075,E1075,F1075,I1075)</f>
        <v/>
      </c>
      <c r="B1075" s="7">
        <f>CONCATENATE(C1075,E1075,I1075)</f>
        <v/>
      </c>
      <c r="C1075" s="8" t="n">
        <v>900006227</v>
      </c>
      <c r="D1075" s="7">
        <f>IFERROR(VLOOKUP(C1075,TRAOPE!$G:$H,2,0),"")</f>
        <v/>
      </c>
      <c r="E1075" s="8" t="inlineStr">
        <is>
          <t>DW70</t>
        </is>
      </c>
      <c r="F1075" s="8" t="inlineStr">
        <is>
          <t>D093</t>
        </is>
      </c>
      <c r="G1075" s="8">
        <f>IFERROR(VLOOKUP(A1075,Flete!$A:$E,5,0),"")</f>
        <v/>
      </c>
      <c r="H1075" s="7">
        <f>IFERROR(VLOOKUP(F1075,TRAOPE!$AA:$AB,2,0),"")</f>
        <v/>
      </c>
      <c r="I1075" s="7" t="n">
        <v>10170112</v>
      </c>
      <c r="J1075" s="7">
        <f>IFERROR(VLOOKUP(I1075,Materiales!$A:$H,8,0),"")</f>
        <v/>
      </c>
      <c r="K1075" s="9">
        <f>IFERROR(VLOOKUP(I1075,Materiales!$A:$G,7,0),"")</f>
        <v/>
      </c>
      <c r="L1075" s="8" t="inlineStr">
        <is>
          <t>20230501</t>
        </is>
      </c>
      <c r="M1075" s="8" t="inlineStr">
        <is>
          <t>20250131</t>
        </is>
      </c>
      <c r="N1075" s="10" t="n">
        <v>94.87</v>
      </c>
      <c r="O1075" s="10">
        <f>IFERROR(VLOOKUP(A1075,Flete!$A:$J,10,0),"")</f>
        <v/>
      </c>
      <c r="P1075" s="8" t="inlineStr">
        <is>
          <t>TN</t>
        </is>
      </c>
      <c r="Q1075" s="10">
        <f>IFERROR(IFERROR(VLOOKUP(A1075,TRAOPE!$A:$U,21,0),VLOOKUP(B1075,TRAOPE!$A:$U,21,0)),"")</f>
        <v/>
      </c>
      <c r="R1075" s="8">
        <f>IFERROR(IFERROR(VLOOKUP(A1075,TRAOPE!$A:$W,23,0),VLOOKUP(B1075,TRAOPE!$A:$W,23,0)),"")</f>
        <v/>
      </c>
      <c r="S1075" s="10">
        <f>IF(AND(P1075="TN",R1075="TN"),N1075+N(O1075),IF(G1075&amp;""="1",N(K1075)*N1075,(N1075+N(O1075))*N(K1075)))</f>
        <v/>
      </c>
      <c r="T1075" s="10">
        <f>IF(Q1075="","",Q1075-S1075)</f>
        <v/>
      </c>
    </row>
    <row r="1076">
      <c r="A1076" s="7">
        <f>CONCATENATE(C1076,E1076,F1076,I1076)</f>
        <v/>
      </c>
      <c r="B1076" s="7">
        <f>CONCATENATE(C1076,E1076,I1076)</f>
        <v/>
      </c>
      <c r="C1076" s="8" t="n">
        <v>900006227</v>
      </c>
      <c r="D1076" s="7">
        <f>IFERROR(VLOOKUP(C1076,TRAOPE!$G:$H,2,0),"")</f>
        <v/>
      </c>
      <c r="E1076" s="8" t="inlineStr">
        <is>
          <t>DW70</t>
        </is>
      </c>
      <c r="F1076" s="8" t="inlineStr">
        <is>
          <t>D098</t>
        </is>
      </c>
      <c r="G1076" s="8">
        <f>IFERROR(VLOOKUP(A1076,Flete!$A:$E,5,0),"")</f>
        <v/>
      </c>
      <c r="H1076" s="7">
        <f>IFERROR(VLOOKUP(F1076,TRAOPE!$AA:$AB,2,0),"")</f>
        <v/>
      </c>
      <c r="I1076" s="7" t="n">
        <v>10000624</v>
      </c>
      <c r="J1076" s="7">
        <f>IFERROR(VLOOKUP(I1076,Materiales!$A:$H,8,0),"")</f>
        <v/>
      </c>
      <c r="K1076" s="9">
        <f>IFERROR(VLOOKUP(I1076,Materiales!$A:$G,7,0),"")</f>
        <v/>
      </c>
      <c r="L1076" s="8" t="inlineStr">
        <is>
          <t>20230501</t>
        </is>
      </c>
      <c r="M1076" s="8" t="inlineStr">
        <is>
          <t>20250131</t>
        </is>
      </c>
      <c r="N1076" s="10" t="n">
        <v>93.09999999999999</v>
      </c>
      <c r="O1076" s="10">
        <f>IFERROR(VLOOKUP(A1076,Flete!$A:$J,10,0),"")</f>
        <v/>
      </c>
      <c r="P1076" s="8" t="inlineStr">
        <is>
          <t>TN</t>
        </is>
      </c>
      <c r="Q1076" s="10">
        <f>IFERROR(IFERROR(VLOOKUP(A1076,TRAOPE!$A:$U,21,0),VLOOKUP(B1076,TRAOPE!$A:$U,21,0)),"")</f>
        <v/>
      </c>
      <c r="R1076" s="8">
        <f>IFERROR(IFERROR(VLOOKUP(A1076,TRAOPE!$A:$W,23,0),VLOOKUP(B1076,TRAOPE!$A:$W,23,0)),"")</f>
        <v/>
      </c>
      <c r="S1076" s="10">
        <f>IF(AND(P1076="TN",R1076="TN"),N1076+N(O1076),IF(G1076&amp;""="1",N(K1076)*N1076,(N1076+N(O1076))*N(K1076)))</f>
        <v/>
      </c>
      <c r="T1076" s="10">
        <f>IF(Q1076="","",Q1076-S1076)</f>
        <v/>
      </c>
    </row>
    <row r="1077">
      <c r="A1077" s="7">
        <f>CONCATENATE(C1077,E1077,F1077,I1077)</f>
        <v/>
      </c>
      <c r="B1077" s="7">
        <f>CONCATENATE(C1077,E1077,I1077)</f>
        <v/>
      </c>
      <c r="C1077" s="8" t="n">
        <v>900006227</v>
      </c>
      <c r="D1077" s="7">
        <f>IFERROR(VLOOKUP(C1077,TRAOPE!$G:$H,2,0),"")</f>
        <v/>
      </c>
      <c r="E1077" s="8" t="inlineStr">
        <is>
          <t>DW70</t>
        </is>
      </c>
      <c r="F1077" s="8" t="inlineStr">
        <is>
          <t>D098</t>
        </is>
      </c>
      <c r="G1077" s="8">
        <f>IFERROR(VLOOKUP(A1077,Flete!$A:$E,5,0),"")</f>
        <v/>
      </c>
      <c r="H1077" s="7">
        <f>IFERROR(VLOOKUP(F1077,TRAOPE!$AA:$AB,2,0),"")</f>
        <v/>
      </c>
      <c r="I1077" s="7" t="n">
        <v>10170112</v>
      </c>
      <c r="J1077" s="7">
        <f>IFERROR(VLOOKUP(I1077,Materiales!$A:$H,8,0),"")</f>
        <v/>
      </c>
      <c r="K1077" s="9">
        <f>IFERROR(VLOOKUP(I1077,Materiales!$A:$G,7,0),"")</f>
        <v/>
      </c>
      <c r="L1077" s="8" t="inlineStr">
        <is>
          <t>20230501</t>
        </is>
      </c>
      <c r="M1077" s="8" t="inlineStr">
        <is>
          <t>20250131</t>
        </is>
      </c>
      <c r="N1077" s="10" t="n">
        <v>94.87</v>
      </c>
      <c r="O1077" s="10">
        <f>IFERROR(VLOOKUP(A1077,Flete!$A:$J,10,0),"")</f>
        <v/>
      </c>
      <c r="P1077" s="8" t="inlineStr">
        <is>
          <t>TN</t>
        </is>
      </c>
      <c r="Q1077" s="10">
        <f>IFERROR(IFERROR(VLOOKUP(A1077,TRAOPE!$A:$U,21,0),VLOOKUP(B1077,TRAOPE!$A:$U,21,0)),"")</f>
        <v/>
      </c>
      <c r="R1077" s="8">
        <f>IFERROR(IFERROR(VLOOKUP(A1077,TRAOPE!$A:$W,23,0),VLOOKUP(B1077,TRAOPE!$A:$W,23,0)),"")</f>
        <v/>
      </c>
      <c r="S1077" s="10">
        <f>IF(AND(P1077="TN",R1077="TN"),N1077+N(O1077),IF(G1077&amp;""="1",N(K1077)*N1077,(N1077+N(O1077))*N(K1077)))</f>
        <v/>
      </c>
      <c r="T1077" s="10">
        <f>IF(Q1077="","",Q1077-S1077)</f>
        <v/>
      </c>
    </row>
    <row r="1078">
      <c r="A1078" s="7">
        <f>CONCATENATE(C1078,E1078,F1078,I1078)</f>
        <v/>
      </c>
      <c r="B1078" s="7">
        <f>CONCATENATE(C1078,E1078,I1078)</f>
        <v/>
      </c>
      <c r="C1078" s="8" t="n">
        <v>900006227</v>
      </c>
      <c r="D1078" s="7">
        <f>IFERROR(VLOOKUP(C1078,TRAOPE!$G:$H,2,0),"")</f>
        <v/>
      </c>
      <c r="E1078" s="8" t="inlineStr">
        <is>
          <t>DW70</t>
        </is>
      </c>
      <c r="F1078" s="8" t="inlineStr">
        <is>
          <t>D105</t>
        </is>
      </c>
      <c r="G1078" s="8">
        <f>IFERROR(VLOOKUP(A1078,Flete!$A:$E,5,0),"")</f>
        <v/>
      </c>
      <c r="H1078" s="7">
        <f>IFERROR(VLOOKUP(F1078,TRAOPE!$AA:$AB,2,0),"")</f>
        <v/>
      </c>
      <c r="I1078" s="7" t="n">
        <v>10000624</v>
      </c>
      <c r="J1078" s="7">
        <f>IFERROR(VLOOKUP(I1078,Materiales!$A:$H,8,0),"")</f>
        <v/>
      </c>
      <c r="K1078" s="9">
        <f>IFERROR(VLOOKUP(I1078,Materiales!$A:$G,7,0),"")</f>
        <v/>
      </c>
      <c r="L1078" s="8" t="inlineStr">
        <is>
          <t>20230501</t>
        </is>
      </c>
      <c r="M1078" s="8" t="inlineStr">
        <is>
          <t>20250131</t>
        </is>
      </c>
      <c r="N1078" s="10" t="n">
        <v>93.09999999999999</v>
      </c>
      <c r="O1078" s="10">
        <f>IFERROR(VLOOKUP(A1078,Flete!$A:$J,10,0),"")</f>
        <v/>
      </c>
      <c r="P1078" s="8" t="inlineStr">
        <is>
          <t>TN</t>
        </is>
      </c>
      <c r="Q1078" s="10">
        <f>IFERROR(IFERROR(VLOOKUP(A1078,TRAOPE!$A:$U,21,0),VLOOKUP(B1078,TRAOPE!$A:$U,21,0)),"")</f>
        <v/>
      </c>
      <c r="R1078" s="8">
        <f>IFERROR(IFERROR(VLOOKUP(A1078,TRAOPE!$A:$W,23,0),VLOOKUP(B1078,TRAOPE!$A:$W,23,0)),"")</f>
        <v/>
      </c>
      <c r="S1078" s="10">
        <f>IF(AND(P1078="TN",R1078="TN"),N1078+N(O1078),IF(G1078&amp;""="1",N(K1078)*N1078,(N1078+N(O1078))*N(K1078)))</f>
        <v/>
      </c>
      <c r="T1078" s="10">
        <f>IF(Q1078="","",Q1078-S1078)</f>
        <v/>
      </c>
    </row>
    <row r="1079">
      <c r="A1079" s="7">
        <f>CONCATENATE(C1079,E1079,F1079,I1079)</f>
        <v/>
      </c>
      <c r="B1079" s="7">
        <f>CONCATENATE(C1079,E1079,I1079)</f>
        <v/>
      </c>
      <c r="C1079" s="8" t="n">
        <v>900006227</v>
      </c>
      <c r="D1079" s="7">
        <f>IFERROR(VLOOKUP(C1079,TRAOPE!$G:$H,2,0),"")</f>
        <v/>
      </c>
      <c r="E1079" s="8" t="inlineStr">
        <is>
          <t>DW70</t>
        </is>
      </c>
      <c r="F1079" s="8" t="inlineStr">
        <is>
          <t>D105</t>
        </is>
      </c>
      <c r="G1079" s="8">
        <f>IFERROR(VLOOKUP(A1079,Flete!$A:$E,5,0),"")</f>
        <v/>
      </c>
      <c r="H1079" s="7">
        <f>IFERROR(VLOOKUP(F1079,TRAOPE!$AA:$AB,2,0),"")</f>
        <v/>
      </c>
      <c r="I1079" s="7" t="n">
        <v>10170112</v>
      </c>
      <c r="J1079" s="7">
        <f>IFERROR(VLOOKUP(I1079,Materiales!$A:$H,8,0),"")</f>
        <v/>
      </c>
      <c r="K1079" s="9">
        <f>IFERROR(VLOOKUP(I1079,Materiales!$A:$G,7,0),"")</f>
        <v/>
      </c>
      <c r="L1079" s="8" t="inlineStr">
        <is>
          <t>20230501</t>
        </is>
      </c>
      <c r="M1079" s="8" t="inlineStr">
        <is>
          <t>20250131</t>
        </is>
      </c>
      <c r="N1079" s="10" t="n">
        <v>94.87</v>
      </c>
      <c r="O1079" s="10">
        <f>IFERROR(VLOOKUP(A1079,Flete!$A:$J,10,0),"")</f>
        <v/>
      </c>
      <c r="P1079" s="8" t="inlineStr">
        <is>
          <t>TN</t>
        </is>
      </c>
      <c r="Q1079" s="10">
        <f>IFERROR(IFERROR(VLOOKUP(A1079,TRAOPE!$A:$U,21,0),VLOOKUP(B1079,TRAOPE!$A:$U,21,0)),"")</f>
        <v/>
      </c>
      <c r="R1079" s="8">
        <f>IFERROR(IFERROR(VLOOKUP(A1079,TRAOPE!$A:$W,23,0),VLOOKUP(B1079,TRAOPE!$A:$W,23,0)),"")</f>
        <v/>
      </c>
      <c r="S1079" s="10">
        <f>IF(AND(P1079="TN",R1079="TN"),N1079+N(O1079),IF(G1079&amp;""="1",N(K1079)*N1079,(N1079+N(O1079))*N(K1079)))</f>
        <v/>
      </c>
      <c r="T1079" s="10">
        <f>IF(Q1079="","",Q1079-S1079)</f>
        <v/>
      </c>
    </row>
    <row r="1080">
      <c r="A1080" s="7">
        <f>CONCATENATE(C1080,E1080,F1080,I1080)</f>
        <v/>
      </c>
      <c r="B1080" s="7">
        <f>CONCATENATE(C1080,E1080,I1080)</f>
        <v/>
      </c>
      <c r="C1080" s="8" t="n">
        <v>900006227</v>
      </c>
      <c r="D1080" s="7">
        <f>IFERROR(VLOOKUP(C1080,TRAOPE!$G:$H,2,0),"")</f>
        <v/>
      </c>
      <c r="E1080" s="8" t="inlineStr">
        <is>
          <t>DW70</t>
        </is>
      </c>
      <c r="F1080" s="8" t="inlineStr">
        <is>
          <t>D145</t>
        </is>
      </c>
      <c r="G1080" s="8">
        <f>IFERROR(VLOOKUP(A1080,Flete!$A:$E,5,0),"")</f>
        <v/>
      </c>
      <c r="H1080" s="7">
        <f>IFERROR(VLOOKUP(F1080,TRAOPE!$AA:$AB,2,0),"")</f>
        <v/>
      </c>
      <c r="I1080" s="7" t="n">
        <v>10000624</v>
      </c>
      <c r="J1080" s="7">
        <f>IFERROR(VLOOKUP(I1080,Materiales!$A:$H,8,0),"")</f>
        <v/>
      </c>
      <c r="K1080" s="9">
        <f>IFERROR(VLOOKUP(I1080,Materiales!$A:$G,7,0),"")</f>
        <v/>
      </c>
      <c r="L1080" s="8" t="inlineStr">
        <is>
          <t>20230501</t>
        </is>
      </c>
      <c r="M1080" s="8" t="inlineStr">
        <is>
          <t>20250131</t>
        </is>
      </c>
      <c r="N1080" s="10" t="n">
        <v>93.09999999999999</v>
      </c>
      <c r="O1080" s="10">
        <f>IFERROR(VLOOKUP(A1080,Flete!$A:$J,10,0),"")</f>
        <v/>
      </c>
      <c r="P1080" s="8" t="inlineStr">
        <is>
          <t>TN</t>
        </is>
      </c>
      <c r="Q1080" s="10">
        <f>IFERROR(IFERROR(VLOOKUP(A1080,TRAOPE!$A:$U,21,0),VLOOKUP(B1080,TRAOPE!$A:$U,21,0)),"")</f>
        <v/>
      </c>
      <c r="R1080" s="8">
        <f>IFERROR(IFERROR(VLOOKUP(A1080,TRAOPE!$A:$W,23,0),VLOOKUP(B1080,TRAOPE!$A:$W,23,0)),"")</f>
        <v/>
      </c>
      <c r="S1080" s="10">
        <f>IF(AND(P1080="TN",R1080="TN"),N1080+N(O1080),IF(G1080&amp;""="1",N(K1080)*N1080,(N1080+N(O1080))*N(K1080)))</f>
        <v/>
      </c>
      <c r="T1080" s="10">
        <f>IF(Q1080="","",Q1080-S1080)</f>
        <v/>
      </c>
    </row>
    <row r="1081">
      <c r="A1081" s="7">
        <f>CONCATENATE(C1081,E1081,F1081,I1081)</f>
        <v/>
      </c>
      <c r="B1081" s="7">
        <f>CONCATENATE(C1081,E1081,I1081)</f>
        <v/>
      </c>
      <c r="C1081" s="8" t="n">
        <v>900006227</v>
      </c>
      <c r="D1081" s="7">
        <f>IFERROR(VLOOKUP(C1081,TRAOPE!$G:$H,2,0),"")</f>
        <v/>
      </c>
      <c r="E1081" s="8" t="inlineStr">
        <is>
          <t>DW70</t>
        </is>
      </c>
      <c r="F1081" s="8" t="inlineStr">
        <is>
          <t>D145</t>
        </is>
      </c>
      <c r="G1081" s="8">
        <f>IFERROR(VLOOKUP(A1081,Flete!$A:$E,5,0),"")</f>
        <v/>
      </c>
      <c r="H1081" s="7">
        <f>IFERROR(VLOOKUP(F1081,TRAOPE!$AA:$AB,2,0),"")</f>
        <v/>
      </c>
      <c r="I1081" s="7" t="n">
        <v>10170112</v>
      </c>
      <c r="J1081" s="7">
        <f>IFERROR(VLOOKUP(I1081,Materiales!$A:$H,8,0),"")</f>
        <v/>
      </c>
      <c r="K1081" s="9">
        <f>IFERROR(VLOOKUP(I1081,Materiales!$A:$G,7,0),"")</f>
        <v/>
      </c>
      <c r="L1081" s="8" t="inlineStr">
        <is>
          <t>20230501</t>
        </is>
      </c>
      <c r="M1081" s="8" t="inlineStr">
        <is>
          <t>20250131</t>
        </is>
      </c>
      <c r="N1081" s="10" t="n">
        <v>94.87</v>
      </c>
      <c r="O1081" s="10">
        <f>IFERROR(VLOOKUP(A1081,Flete!$A:$J,10,0),"")</f>
        <v/>
      </c>
      <c r="P1081" s="8" t="inlineStr">
        <is>
          <t>TN</t>
        </is>
      </c>
      <c r="Q1081" s="10">
        <f>IFERROR(IFERROR(VLOOKUP(A1081,TRAOPE!$A:$U,21,0),VLOOKUP(B1081,TRAOPE!$A:$U,21,0)),"")</f>
        <v/>
      </c>
      <c r="R1081" s="8">
        <f>IFERROR(IFERROR(VLOOKUP(A1081,TRAOPE!$A:$W,23,0),VLOOKUP(B1081,TRAOPE!$A:$W,23,0)),"")</f>
        <v/>
      </c>
      <c r="S1081" s="10">
        <f>IF(AND(P1081="TN",R1081="TN"),N1081+N(O1081),IF(G1081&amp;""="1",N(K1081)*N1081,(N1081+N(O1081))*N(K1081)))</f>
        <v/>
      </c>
      <c r="T1081" s="10">
        <f>IF(Q1081="","",Q1081-S1081)</f>
        <v/>
      </c>
    </row>
    <row r="1082">
      <c r="A1082" s="7">
        <f>CONCATENATE(C1082,E1082,F1082,I1082)</f>
        <v/>
      </c>
      <c r="B1082" s="7">
        <f>CONCATENATE(C1082,E1082,I1082)</f>
        <v/>
      </c>
      <c r="C1082" s="8" t="n">
        <v>900006227</v>
      </c>
      <c r="D1082" s="7">
        <f>IFERROR(VLOOKUP(C1082,TRAOPE!$G:$H,2,0),"")</f>
        <v/>
      </c>
      <c r="E1082" s="8" t="inlineStr">
        <is>
          <t>DW70</t>
        </is>
      </c>
      <c r="F1082" s="8" t="inlineStr">
        <is>
          <t>E673</t>
        </is>
      </c>
      <c r="G1082" s="8">
        <f>IFERROR(VLOOKUP(A1082,Flete!$A:$E,5,0),"")</f>
        <v/>
      </c>
      <c r="H1082" s="7">
        <f>IFERROR(VLOOKUP(F1082,TRAOPE!$AA:$AB,2,0),"")</f>
        <v/>
      </c>
      <c r="I1082" s="7" t="n">
        <v>10000624</v>
      </c>
      <c r="J1082" s="7">
        <f>IFERROR(VLOOKUP(I1082,Materiales!$A:$H,8,0),"")</f>
        <v/>
      </c>
      <c r="K1082" s="9">
        <f>IFERROR(VLOOKUP(I1082,Materiales!$A:$G,7,0),"")</f>
        <v/>
      </c>
      <c r="L1082" s="8" t="inlineStr">
        <is>
          <t>20230501</t>
        </is>
      </c>
      <c r="M1082" s="8" t="inlineStr">
        <is>
          <t>20250131</t>
        </is>
      </c>
      <c r="N1082" s="10" t="n">
        <v>98</v>
      </c>
      <c r="O1082" s="10">
        <f>IFERROR(VLOOKUP(A1082,Flete!$A:$J,10,0),"")</f>
        <v/>
      </c>
      <c r="P1082" s="8" t="inlineStr">
        <is>
          <t>TN</t>
        </is>
      </c>
      <c r="Q1082" s="10">
        <f>IFERROR(IFERROR(VLOOKUP(A1082,TRAOPE!$A:$U,21,0),VLOOKUP(B1082,TRAOPE!$A:$U,21,0)),"")</f>
        <v/>
      </c>
      <c r="R1082" s="8">
        <f>IFERROR(IFERROR(VLOOKUP(A1082,TRAOPE!$A:$W,23,0),VLOOKUP(B1082,TRAOPE!$A:$W,23,0)),"")</f>
        <v/>
      </c>
      <c r="S1082" s="10">
        <f>IF(AND(P1082="TN",R1082="TN"),N1082+N(O1082),IF(G1082&amp;""="1",N(K1082)*N1082,(N1082+N(O1082))*N(K1082)))</f>
        <v/>
      </c>
      <c r="T1082" s="10">
        <f>IF(Q1082="","",Q1082-S1082)</f>
        <v/>
      </c>
    </row>
    <row r="1083">
      <c r="A1083" s="7">
        <f>CONCATENATE(C1083,E1083,F1083,I1083)</f>
        <v/>
      </c>
      <c r="B1083" s="7">
        <f>CONCATENATE(C1083,E1083,I1083)</f>
        <v/>
      </c>
      <c r="C1083" s="8" t="n">
        <v>900006227</v>
      </c>
      <c r="D1083" s="7">
        <f>IFERROR(VLOOKUP(C1083,TRAOPE!$G:$H,2,0),"")</f>
        <v/>
      </c>
      <c r="E1083" s="8" t="inlineStr">
        <is>
          <t>DW70</t>
        </is>
      </c>
      <c r="F1083" s="8" t="inlineStr">
        <is>
          <t>E673</t>
        </is>
      </c>
      <c r="G1083" s="8">
        <f>IFERROR(VLOOKUP(A1083,Flete!$A:$E,5,0),"")</f>
        <v/>
      </c>
      <c r="H1083" s="7">
        <f>IFERROR(VLOOKUP(F1083,TRAOPE!$AA:$AB,2,0),"")</f>
        <v/>
      </c>
      <c r="I1083" s="7" t="n">
        <v>10170112</v>
      </c>
      <c r="J1083" s="7">
        <f>IFERROR(VLOOKUP(I1083,Materiales!$A:$H,8,0),"")</f>
        <v/>
      </c>
      <c r="K1083" s="9">
        <f>IFERROR(VLOOKUP(I1083,Materiales!$A:$G,7,0),"")</f>
        <v/>
      </c>
      <c r="L1083" s="8" t="inlineStr">
        <is>
          <t>20230501</t>
        </is>
      </c>
      <c r="M1083" s="8" t="inlineStr">
        <is>
          <t>20250131</t>
        </is>
      </c>
      <c r="N1083" s="10" t="n">
        <v>99.86</v>
      </c>
      <c r="O1083" s="10">
        <f>IFERROR(VLOOKUP(A1083,Flete!$A:$J,10,0),"")</f>
        <v/>
      </c>
      <c r="P1083" s="8" t="inlineStr">
        <is>
          <t>TN</t>
        </is>
      </c>
      <c r="Q1083" s="10">
        <f>IFERROR(IFERROR(VLOOKUP(A1083,TRAOPE!$A:$U,21,0),VLOOKUP(B1083,TRAOPE!$A:$U,21,0)),"")</f>
        <v/>
      </c>
      <c r="R1083" s="8">
        <f>IFERROR(IFERROR(VLOOKUP(A1083,TRAOPE!$A:$W,23,0),VLOOKUP(B1083,TRAOPE!$A:$W,23,0)),"")</f>
        <v/>
      </c>
      <c r="S1083" s="10">
        <f>IF(AND(P1083="TN",R1083="TN"),N1083+N(O1083),IF(G1083&amp;""="1",N(K1083)*N1083,(N1083+N(O1083))*N(K1083)))</f>
        <v/>
      </c>
      <c r="T1083" s="10">
        <f>IF(Q1083="","",Q1083-S1083)</f>
        <v/>
      </c>
    </row>
    <row r="1084">
      <c r="A1084" s="7">
        <f>CONCATENATE(C1084,E1084,F1084,I1084)</f>
        <v/>
      </c>
      <c r="B1084" s="7">
        <f>CONCATENATE(C1084,E1084,I1084)</f>
        <v/>
      </c>
      <c r="C1084" s="8" t="n">
        <v>900006227</v>
      </c>
      <c r="D1084" s="7">
        <f>IFERROR(VLOOKUP(C1084,TRAOPE!$G:$H,2,0),"")</f>
        <v/>
      </c>
      <c r="E1084" s="8" t="inlineStr">
        <is>
          <t>DW70</t>
        </is>
      </c>
      <c r="F1084" s="8" t="inlineStr">
        <is>
          <t>EQ75</t>
        </is>
      </c>
      <c r="G1084" s="8">
        <f>IFERROR(VLOOKUP(A1084,Flete!$A:$E,5,0),"")</f>
        <v/>
      </c>
      <c r="H1084" s="7">
        <f>IFERROR(VLOOKUP(F1084,TRAOPE!$AA:$AB,2,0),"")</f>
        <v/>
      </c>
      <c r="I1084" s="7" t="n">
        <v>10000624</v>
      </c>
      <c r="J1084" s="7">
        <f>IFERROR(VLOOKUP(I1084,Materiales!$A:$H,8,0),"")</f>
        <v/>
      </c>
      <c r="K1084" s="9">
        <f>IFERROR(VLOOKUP(I1084,Materiales!$A:$G,7,0),"")</f>
        <v/>
      </c>
      <c r="L1084" s="8" t="inlineStr">
        <is>
          <t>20230501</t>
        </is>
      </c>
      <c r="M1084" s="8" t="inlineStr">
        <is>
          <t>20250131</t>
        </is>
      </c>
      <c r="N1084" s="10" t="n">
        <v>98</v>
      </c>
      <c r="O1084" s="10">
        <f>IFERROR(VLOOKUP(A1084,Flete!$A:$J,10,0),"")</f>
        <v/>
      </c>
      <c r="P1084" s="8" t="inlineStr">
        <is>
          <t>TN</t>
        </is>
      </c>
      <c r="Q1084" s="10">
        <f>IFERROR(IFERROR(VLOOKUP(A1084,TRAOPE!$A:$U,21,0),VLOOKUP(B1084,TRAOPE!$A:$U,21,0)),"")</f>
        <v/>
      </c>
      <c r="R1084" s="8">
        <f>IFERROR(IFERROR(VLOOKUP(A1084,TRAOPE!$A:$W,23,0),VLOOKUP(B1084,TRAOPE!$A:$W,23,0)),"")</f>
        <v/>
      </c>
      <c r="S1084" s="10">
        <f>IF(AND(P1084="TN",R1084="TN"),N1084+N(O1084),IF(G1084&amp;""="1",N(K1084)*N1084,(N1084+N(O1084))*N(K1084)))</f>
        <v/>
      </c>
      <c r="T1084" s="10">
        <f>IF(Q1084="","",Q1084-S1084)</f>
        <v/>
      </c>
    </row>
    <row r="1085">
      <c r="A1085" s="7">
        <f>CONCATENATE(C1085,E1085,F1085,I1085)</f>
        <v/>
      </c>
      <c r="B1085" s="7">
        <f>CONCATENATE(C1085,E1085,I1085)</f>
        <v/>
      </c>
      <c r="C1085" s="8" t="n">
        <v>900006227</v>
      </c>
      <c r="D1085" s="7">
        <f>IFERROR(VLOOKUP(C1085,TRAOPE!$G:$H,2,0),"")</f>
        <v/>
      </c>
      <c r="E1085" s="8" t="inlineStr">
        <is>
          <t>DW70</t>
        </is>
      </c>
      <c r="F1085" s="8" t="inlineStr">
        <is>
          <t>EQ75</t>
        </is>
      </c>
      <c r="G1085" s="8">
        <f>IFERROR(VLOOKUP(A1085,Flete!$A:$E,5,0),"")</f>
        <v/>
      </c>
      <c r="H1085" s="7">
        <f>IFERROR(VLOOKUP(F1085,TRAOPE!$AA:$AB,2,0),"")</f>
        <v/>
      </c>
      <c r="I1085" s="7" t="n">
        <v>10170112</v>
      </c>
      <c r="J1085" s="7">
        <f>IFERROR(VLOOKUP(I1085,Materiales!$A:$H,8,0),"")</f>
        <v/>
      </c>
      <c r="K1085" s="9">
        <f>IFERROR(VLOOKUP(I1085,Materiales!$A:$G,7,0),"")</f>
        <v/>
      </c>
      <c r="L1085" s="8" t="inlineStr">
        <is>
          <t>20230501</t>
        </is>
      </c>
      <c r="M1085" s="8" t="inlineStr">
        <is>
          <t>20250131</t>
        </is>
      </c>
      <c r="N1085" s="10" t="n">
        <v>99.86</v>
      </c>
      <c r="O1085" s="10">
        <f>IFERROR(VLOOKUP(A1085,Flete!$A:$J,10,0),"")</f>
        <v/>
      </c>
      <c r="P1085" s="8" t="inlineStr">
        <is>
          <t>TN</t>
        </is>
      </c>
      <c r="Q1085" s="10">
        <f>IFERROR(IFERROR(VLOOKUP(A1085,TRAOPE!$A:$U,21,0),VLOOKUP(B1085,TRAOPE!$A:$U,21,0)),"")</f>
        <v/>
      </c>
      <c r="R1085" s="8">
        <f>IFERROR(IFERROR(VLOOKUP(A1085,TRAOPE!$A:$W,23,0),VLOOKUP(B1085,TRAOPE!$A:$W,23,0)),"")</f>
        <v/>
      </c>
      <c r="S1085" s="10">
        <f>IF(AND(P1085="TN",R1085="TN"),N1085+N(O1085),IF(G1085&amp;""="1",N(K1085)*N1085,(N1085+N(O1085))*N(K1085)))</f>
        <v/>
      </c>
      <c r="T1085" s="10">
        <f>IF(Q1085="","",Q1085-S1085)</f>
        <v/>
      </c>
    </row>
    <row r="1086">
      <c r="A1086" s="7">
        <f>CONCATENATE(C1086,E1086,F1086,I1086)</f>
        <v/>
      </c>
      <c r="B1086" s="7">
        <f>CONCATENATE(C1086,E1086,I1086)</f>
        <v/>
      </c>
      <c r="C1086" s="8" t="n">
        <v>900006234</v>
      </c>
      <c r="D1086" s="7">
        <f>IFERROR(VLOOKUP(C1086,TRAOPE!$G:$H,2,0),"")</f>
        <v/>
      </c>
      <c r="E1086" s="8" t="inlineStr">
        <is>
          <t>DW70</t>
        </is>
      </c>
      <c r="F1086" s="8" t="inlineStr">
        <is>
          <t>ENAW</t>
        </is>
      </c>
      <c r="G1086" s="8">
        <f>IFERROR(VLOOKUP(A1086,Flete!$A:$E,5,0),"")</f>
        <v/>
      </c>
      <c r="H1086" s="7">
        <f>IFERROR(VLOOKUP(F1086,TRAOPE!$AA:$AB,2,0),"")</f>
        <v/>
      </c>
      <c r="I1086" s="7" t="n">
        <v>10194058</v>
      </c>
      <c r="J1086" s="7">
        <f>IFERROR(VLOOKUP(I1086,Materiales!$A:$H,8,0),"")</f>
        <v/>
      </c>
      <c r="K1086" s="9">
        <f>IFERROR(VLOOKUP(I1086,Materiales!$A:$G,7,0),"")</f>
        <v/>
      </c>
      <c r="L1086" s="8" t="inlineStr">
        <is>
          <t>20241121</t>
        </is>
      </c>
      <c r="M1086" s="8" t="inlineStr">
        <is>
          <t>20260215</t>
        </is>
      </c>
      <c r="N1086" s="10" t="n">
        <v>127.82</v>
      </c>
      <c r="O1086" s="10">
        <f>IFERROR(VLOOKUP(A1086,Flete!$A:$J,10,0),"")</f>
        <v/>
      </c>
      <c r="P1086" s="8" t="inlineStr">
        <is>
          <t>TN</t>
        </is>
      </c>
      <c r="Q1086" s="10">
        <f>IFERROR(IFERROR(VLOOKUP(A1086,TRAOPE!$A:$U,21,0),VLOOKUP(B1086,TRAOPE!$A:$U,21,0)),"")</f>
        <v/>
      </c>
      <c r="R1086" s="8">
        <f>IFERROR(IFERROR(VLOOKUP(A1086,TRAOPE!$A:$W,23,0),VLOOKUP(B1086,TRAOPE!$A:$W,23,0)),"")</f>
        <v/>
      </c>
      <c r="S1086" s="10">
        <f>IF(AND(P1086="TN",R1086="TN"),N1086+N(O1086),IF(G1086&amp;""="1",N(K1086)*N1086,(N1086+N(O1086))*N(K1086)))</f>
        <v/>
      </c>
      <c r="T1086" s="10">
        <f>IF(Q1086="","",Q1086-S1086)</f>
        <v/>
      </c>
    </row>
    <row r="1087">
      <c r="A1087" s="7">
        <f>CONCATENATE(C1087,E1087,F1087,I1087)</f>
        <v/>
      </c>
      <c r="B1087" s="7">
        <f>CONCATENATE(C1087,E1087,I1087)</f>
        <v/>
      </c>
      <c r="C1087" s="8" t="n">
        <v>900006234</v>
      </c>
      <c r="D1087" s="7">
        <f>IFERROR(VLOOKUP(C1087,TRAOPE!$G:$H,2,0),"")</f>
        <v/>
      </c>
      <c r="E1087" s="8" t="inlineStr">
        <is>
          <t>DW70</t>
        </is>
      </c>
      <c r="F1087" s="8" t="inlineStr">
        <is>
          <t>ENAW</t>
        </is>
      </c>
      <c r="G1087" s="8">
        <f>IFERROR(VLOOKUP(A1087,Flete!$A:$E,5,0),"")</f>
        <v/>
      </c>
      <c r="H1087" s="7">
        <f>IFERROR(VLOOKUP(F1087,TRAOPE!$AA:$AB,2,0),"")</f>
        <v/>
      </c>
      <c r="I1087" s="7" t="n">
        <v>10227694</v>
      </c>
      <c r="J1087" s="7">
        <f>IFERROR(VLOOKUP(I1087,Materiales!$A:$H,8,0),"")</f>
        <v/>
      </c>
      <c r="K1087" s="9">
        <f>IFERROR(VLOOKUP(I1087,Materiales!$A:$G,7,0),"")</f>
        <v/>
      </c>
      <c r="L1087" s="8" t="inlineStr">
        <is>
          <t>20250701</t>
        </is>
      </c>
      <c r="M1087" s="8" t="inlineStr">
        <is>
          <t>20251031</t>
        </is>
      </c>
      <c r="N1087" s="10" t="n">
        <v>113.07</v>
      </c>
      <c r="O1087" s="10">
        <f>IFERROR(VLOOKUP(A1087,Flete!$A:$J,10,0),"")</f>
        <v/>
      </c>
      <c r="P1087" s="8" t="inlineStr">
        <is>
          <t>TN</t>
        </is>
      </c>
      <c r="Q1087" s="10">
        <f>IFERROR(IFERROR(VLOOKUP(A1087,TRAOPE!$A:$U,21,0),VLOOKUP(B1087,TRAOPE!$A:$U,21,0)),"")</f>
        <v/>
      </c>
      <c r="R1087" s="8">
        <f>IFERROR(IFERROR(VLOOKUP(A1087,TRAOPE!$A:$W,23,0),VLOOKUP(B1087,TRAOPE!$A:$W,23,0)),"")</f>
        <v/>
      </c>
      <c r="S1087" s="10">
        <f>IF(AND(P1087="TN",R1087="TN"),N1087+N(O1087),IF(G1087&amp;""="1",N(K1087)*N1087,(N1087+N(O1087))*N(K1087)))</f>
        <v/>
      </c>
      <c r="T1087" s="10">
        <f>IF(Q1087="","",Q1087-S1087)</f>
        <v/>
      </c>
    </row>
    <row r="1088">
      <c r="A1088" s="7">
        <f>CONCATENATE(C1088,E1088,F1088,I1088)</f>
        <v/>
      </c>
      <c r="B1088" s="7">
        <f>CONCATENATE(C1088,E1088,I1088)</f>
        <v/>
      </c>
      <c r="C1088" s="8" t="n">
        <v>900006436</v>
      </c>
      <c r="D1088" s="7">
        <f>IFERROR(VLOOKUP(C1088,TRAOPE!$G:$H,2,0),"")</f>
        <v/>
      </c>
      <c r="E1088" s="8" t="inlineStr">
        <is>
          <t>DW70</t>
        </is>
      </c>
      <c r="F1088" s="8" t="inlineStr">
        <is>
          <t>EQ75</t>
        </is>
      </c>
      <c r="G1088" s="8">
        <f>IFERROR(VLOOKUP(A1088,Flete!$A:$E,5,0),"")</f>
        <v/>
      </c>
      <c r="H1088" s="7">
        <f>IFERROR(VLOOKUP(F1088,TRAOPE!$AA:$AB,2,0),"")</f>
        <v/>
      </c>
      <c r="I1088" s="7" t="n">
        <v>10128743</v>
      </c>
      <c r="J1088" s="7">
        <f>IFERROR(VLOOKUP(I1088,Materiales!$A:$H,8,0),"")</f>
        <v/>
      </c>
      <c r="K1088" s="9">
        <f>IFERROR(VLOOKUP(I1088,Materiales!$A:$G,7,0),"")</f>
        <v/>
      </c>
      <c r="L1088" s="8" t="inlineStr">
        <is>
          <t>20230501</t>
        </is>
      </c>
      <c r="M1088" s="8" t="inlineStr">
        <is>
          <t>20250131</t>
        </is>
      </c>
      <c r="N1088" s="10" t="n">
        <v>166.85</v>
      </c>
      <c r="O1088" s="10">
        <f>IFERROR(VLOOKUP(A1088,Flete!$A:$J,10,0),"")</f>
        <v/>
      </c>
      <c r="P1088" s="8" t="inlineStr">
        <is>
          <t>TN</t>
        </is>
      </c>
      <c r="Q1088" s="10">
        <f>IFERROR(IFERROR(VLOOKUP(A1088,TRAOPE!$A:$U,21,0),VLOOKUP(B1088,TRAOPE!$A:$U,21,0)),"")</f>
        <v/>
      </c>
      <c r="R1088" s="8">
        <f>IFERROR(IFERROR(VLOOKUP(A1088,TRAOPE!$A:$W,23,0),VLOOKUP(B1088,TRAOPE!$A:$W,23,0)),"")</f>
        <v/>
      </c>
      <c r="S1088" s="10">
        <f>IF(AND(P1088="TN",R1088="TN"),N1088+N(O1088),IF(G1088&amp;""="1",N(K1088)*N1088,(N1088+N(O1088))*N(K1088)))</f>
        <v/>
      </c>
      <c r="T1088" s="10">
        <f>IF(Q1088="","",Q1088-S1088)</f>
        <v/>
      </c>
    </row>
    <row r="1089">
      <c r="A1089" s="7">
        <f>CONCATENATE(C1089,E1089,F1089,I1089)</f>
        <v/>
      </c>
      <c r="B1089" s="7">
        <f>CONCATENATE(C1089,E1089,I1089)</f>
        <v/>
      </c>
      <c r="C1089" s="8" t="n">
        <v>900006544</v>
      </c>
      <c r="D1089" s="7">
        <f>IFERROR(VLOOKUP(C1089,TRAOPE!$G:$H,2,0),"")</f>
        <v/>
      </c>
      <c r="E1089" s="8" t="inlineStr">
        <is>
          <t>DW70</t>
        </is>
      </c>
      <c r="F1089" s="8" t="inlineStr">
        <is>
          <t>D074</t>
        </is>
      </c>
      <c r="G1089" s="8">
        <f>IFERROR(VLOOKUP(A1089,Flete!$A:$E,5,0),"")</f>
        <v/>
      </c>
      <c r="H1089" s="7">
        <f>IFERROR(VLOOKUP(F1089,TRAOPE!$AA:$AB,2,0),"")</f>
        <v/>
      </c>
      <c r="I1089" s="7" t="n">
        <v>10185476</v>
      </c>
      <c r="J1089" s="7">
        <f>IFERROR(VLOOKUP(I1089,Materiales!$A:$H,8,0),"")</f>
        <v/>
      </c>
      <c r="K1089" s="9">
        <f>IFERROR(VLOOKUP(I1089,Materiales!$A:$G,7,0),"")</f>
        <v/>
      </c>
      <c r="L1089" s="8" t="inlineStr">
        <is>
          <t>20260225</t>
        </is>
      </c>
      <c r="M1089" s="8" t="inlineStr">
        <is>
          <t>20260306</t>
        </is>
      </c>
      <c r="N1089" s="10" t="n">
        <v>89.5</v>
      </c>
      <c r="O1089" s="10">
        <f>IFERROR(VLOOKUP(A1089,Flete!$A:$J,10,0),"")</f>
        <v/>
      </c>
      <c r="P1089" s="8" t="inlineStr">
        <is>
          <t>TN</t>
        </is>
      </c>
      <c r="Q1089" s="10">
        <f>IFERROR(IFERROR(VLOOKUP(A1089,TRAOPE!$A:$U,21,0),VLOOKUP(B1089,TRAOPE!$A:$U,21,0)),"")</f>
        <v/>
      </c>
      <c r="R1089" s="8">
        <f>IFERROR(IFERROR(VLOOKUP(A1089,TRAOPE!$A:$W,23,0),VLOOKUP(B1089,TRAOPE!$A:$W,23,0)),"")</f>
        <v/>
      </c>
      <c r="S1089" s="10">
        <f>IF(AND(P1089="TN",R1089="TN"),N1089+N(O1089),IF(G1089&amp;""="1",N(K1089)*N1089,(N1089+N(O1089))*N(K1089)))</f>
        <v/>
      </c>
      <c r="T1089" s="10">
        <f>IF(Q1089="","",Q1089-S1089)</f>
        <v/>
      </c>
    </row>
    <row r="1090">
      <c r="A1090" s="7">
        <f>CONCATENATE(C1090,E1090,F1090,I1090)</f>
        <v/>
      </c>
      <c r="B1090" s="7">
        <f>CONCATENATE(C1090,E1090,I1090)</f>
        <v/>
      </c>
      <c r="C1090" s="8" t="n">
        <v>900006544</v>
      </c>
      <c r="D1090" s="7">
        <f>IFERROR(VLOOKUP(C1090,TRAOPE!$G:$H,2,0),"")</f>
        <v/>
      </c>
      <c r="E1090" s="8" t="inlineStr">
        <is>
          <t>DW70</t>
        </is>
      </c>
      <c r="F1090" s="8" t="inlineStr">
        <is>
          <t>D074</t>
        </is>
      </c>
      <c r="G1090" s="8">
        <f>IFERROR(VLOOKUP(A1090,Flete!$A:$E,5,0),"")</f>
        <v/>
      </c>
      <c r="H1090" s="7">
        <f>IFERROR(VLOOKUP(F1090,TRAOPE!$AA:$AB,2,0),"")</f>
        <v/>
      </c>
      <c r="I1090" s="7" t="n">
        <v>10185477</v>
      </c>
      <c r="J1090" s="7">
        <f>IFERROR(VLOOKUP(I1090,Materiales!$A:$H,8,0),"")</f>
        <v/>
      </c>
      <c r="K1090" s="9">
        <f>IFERROR(VLOOKUP(I1090,Materiales!$A:$G,7,0),"")</f>
        <v/>
      </c>
      <c r="L1090" s="8" t="inlineStr">
        <is>
          <t>20260805</t>
        </is>
      </c>
      <c r="M1090" s="8" t="inlineStr">
        <is>
          <t>99991231</t>
        </is>
      </c>
      <c r="N1090" s="10" t="n">
        <v>115.11</v>
      </c>
      <c r="O1090" s="10">
        <f>IFERROR(VLOOKUP(A1090,Flete!$A:$J,10,0),"")</f>
        <v/>
      </c>
      <c r="P1090" s="8" t="inlineStr">
        <is>
          <t>TN</t>
        </is>
      </c>
      <c r="Q1090" s="10">
        <f>IFERROR(IFERROR(VLOOKUP(A1090,TRAOPE!$A:$U,21,0),VLOOKUP(B1090,TRAOPE!$A:$U,21,0)),"")</f>
        <v/>
      </c>
      <c r="R1090" s="8">
        <f>IFERROR(IFERROR(VLOOKUP(A1090,TRAOPE!$A:$W,23,0),VLOOKUP(B1090,TRAOPE!$A:$W,23,0)),"")</f>
        <v/>
      </c>
      <c r="S1090" s="10">
        <f>IF(AND(P1090="TN",R1090="TN"),N1090+N(O1090),IF(G1090&amp;""="1",N(K1090)*N1090,(N1090+N(O1090))*N(K1090)))</f>
        <v/>
      </c>
      <c r="T1090" s="10">
        <f>IF(Q1090="","",Q1090-S1090)</f>
        <v/>
      </c>
    </row>
    <row r="1091">
      <c r="A1091" s="7">
        <f>CONCATENATE(C1091,E1091,F1091,I1091)</f>
        <v/>
      </c>
      <c r="B1091" s="7">
        <f>CONCATENATE(C1091,E1091,I1091)</f>
        <v/>
      </c>
      <c r="C1091" s="8" t="n">
        <v>900006544</v>
      </c>
      <c r="D1091" s="7">
        <f>IFERROR(VLOOKUP(C1091,TRAOPE!$G:$H,2,0),"")</f>
        <v/>
      </c>
      <c r="E1091" s="8" t="inlineStr">
        <is>
          <t>DW70</t>
        </is>
      </c>
      <c r="F1091" s="8" t="inlineStr">
        <is>
          <t>D074</t>
        </is>
      </c>
      <c r="G1091" s="8">
        <f>IFERROR(VLOOKUP(A1091,Flete!$A:$E,5,0),"")</f>
        <v/>
      </c>
      <c r="H1091" s="7">
        <f>IFERROR(VLOOKUP(F1091,TRAOPE!$AA:$AB,2,0),"")</f>
        <v/>
      </c>
      <c r="I1091" s="7" t="n">
        <v>10275113</v>
      </c>
      <c r="J1091" s="7">
        <f>IFERROR(VLOOKUP(I1091,Materiales!$A:$H,8,0),"")</f>
        <v/>
      </c>
      <c r="K1091" s="9">
        <f>IFERROR(VLOOKUP(I1091,Materiales!$A:$G,7,0),"")</f>
        <v/>
      </c>
      <c r="L1091" s="8" t="inlineStr">
        <is>
          <t>20260306</t>
        </is>
      </c>
      <c r="M1091" s="8" t="inlineStr">
        <is>
          <t>99991231</t>
        </is>
      </c>
      <c r="N1091" s="10" t="n">
        <v>106.46</v>
      </c>
      <c r="O1091" s="10">
        <f>IFERROR(VLOOKUP(A1091,Flete!$A:$J,10,0),"")</f>
        <v/>
      </c>
      <c r="P1091" s="8" t="inlineStr">
        <is>
          <t>TN</t>
        </is>
      </c>
      <c r="Q1091" s="10">
        <f>IFERROR(IFERROR(VLOOKUP(A1091,TRAOPE!$A:$U,21,0),VLOOKUP(B1091,TRAOPE!$A:$U,21,0)),"")</f>
        <v/>
      </c>
      <c r="R1091" s="8">
        <f>IFERROR(IFERROR(VLOOKUP(A1091,TRAOPE!$A:$W,23,0),VLOOKUP(B1091,TRAOPE!$A:$W,23,0)),"")</f>
        <v/>
      </c>
      <c r="S1091" s="10">
        <f>IF(AND(P1091="TN",R1091="TN"),N1091+N(O1091),IF(G1091&amp;""="1",N(K1091)*N1091,(N1091+N(O1091))*N(K1091)))</f>
        <v/>
      </c>
      <c r="T1091" s="10">
        <f>IF(Q1091="","",Q1091-S1091)</f>
        <v/>
      </c>
    </row>
    <row r="1092">
      <c r="A1092" s="7">
        <f>CONCATENATE(C1092,E1092,F1092,I1092)</f>
        <v/>
      </c>
      <c r="B1092" s="7">
        <f>CONCATENATE(C1092,E1092,I1092)</f>
        <v/>
      </c>
      <c r="C1092" s="8" t="n">
        <v>900006544</v>
      </c>
      <c r="D1092" s="7">
        <f>IFERROR(VLOOKUP(C1092,TRAOPE!$G:$H,2,0),"")</f>
        <v/>
      </c>
      <c r="E1092" s="8" t="inlineStr">
        <is>
          <t>DW70</t>
        </is>
      </c>
      <c r="F1092" s="8" t="inlineStr">
        <is>
          <t>D075</t>
        </is>
      </c>
      <c r="G1092" s="8">
        <f>IFERROR(VLOOKUP(A1092,Flete!$A:$E,5,0),"")</f>
        <v/>
      </c>
      <c r="H1092" s="7">
        <f>IFERROR(VLOOKUP(F1092,TRAOPE!$AA:$AB,2,0),"")</f>
        <v/>
      </c>
      <c r="I1092" s="7" t="n">
        <v>10185476</v>
      </c>
      <c r="J1092" s="7">
        <f>IFERROR(VLOOKUP(I1092,Materiales!$A:$H,8,0),"")</f>
        <v/>
      </c>
      <c r="K1092" s="9">
        <f>IFERROR(VLOOKUP(I1092,Materiales!$A:$G,7,0),"")</f>
        <v/>
      </c>
      <c r="L1092" s="8" t="inlineStr">
        <is>
          <t>20260225</t>
        </is>
      </c>
      <c r="M1092" s="8" t="inlineStr">
        <is>
          <t>20260306</t>
        </is>
      </c>
      <c r="N1092" s="10" t="n">
        <v>89.5</v>
      </c>
      <c r="O1092" s="10">
        <f>IFERROR(VLOOKUP(A1092,Flete!$A:$J,10,0),"")</f>
        <v/>
      </c>
      <c r="P1092" s="8" t="inlineStr">
        <is>
          <t>TN</t>
        </is>
      </c>
      <c r="Q1092" s="10">
        <f>IFERROR(IFERROR(VLOOKUP(A1092,TRAOPE!$A:$U,21,0),VLOOKUP(B1092,TRAOPE!$A:$U,21,0)),"")</f>
        <v/>
      </c>
      <c r="R1092" s="8">
        <f>IFERROR(IFERROR(VLOOKUP(A1092,TRAOPE!$A:$W,23,0),VLOOKUP(B1092,TRAOPE!$A:$W,23,0)),"")</f>
        <v/>
      </c>
      <c r="S1092" s="10">
        <f>IF(AND(P1092="TN",R1092="TN"),N1092+N(O1092),IF(G1092&amp;""="1",N(K1092)*N1092,(N1092+N(O1092))*N(K1092)))</f>
        <v/>
      </c>
      <c r="T1092" s="10">
        <f>IF(Q1092="","",Q1092-S1092)</f>
        <v/>
      </c>
    </row>
    <row r="1093">
      <c r="A1093" s="7">
        <f>CONCATENATE(C1093,E1093,F1093,I1093)</f>
        <v/>
      </c>
      <c r="B1093" s="7">
        <f>CONCATENATE(C1093,E1093,I1093)</f>
        <v/>
      </c>
      <c r="C1093" s="8" t="n">
        <v>900006544</v>
      </c>
      <c r="D1093" s="7">
        <f>IFERROR(VLOOKUP(C1093,TRAOPE!$G:$H,2,0),"")</f>
        <v/>
      </c>
      <c r="E1093" s="8" t="inlineStr">
        <is>
          <t>DW70</t>
        </is>
      </c>
      <c r="F1093" s="8" t="inlineStr">
        <is>
          <t>D075</t>
        </is>
      </c>
      <c r="G1093" s="8">
        <f>IFERROR(VLOOKUP(A1093,Flete!$A:$E,5,0),"")</f>
        <v/>
      </c>
      <c r="H1093" s="7">
        <f>IFERROR(VLOOKUP(F1093,TRAOPE!$AA:$AB,2,0),"")</f>
        <v/>
      </c>
      <c r="I1093" s="7" t="n">
        <v>10185477</v>
      </c>
      <c r="J1093" s="7">
        <f>IFERROR(VLOOKUP(I1093,Materiales!$A:$H,8,0),"")</f>
        <v/>
      </c>
      <c r="K1093" s="9">
        <f>IFERROR(VLOOKUP(I1093,Materiales!$A:$G,7,0),"")</f>
        <v/>
      </c>
      <c r="L1093" s="8" t="inlineStr">
        <is>
          <t>20260805</t>
        </is>
      </c>
      <c r="M1093" s="8" t="inlineStr">
        <is>
          <t>99991231</t>
        </is>
      </c>
      <c r="N1093" s="10" t="n">
        <v>115.11</v>
      </c>
      <c r="O1093" s="10">
        <f>IFERROR(VLOOKUP(A1093,Flete!$A:$J,10,0),"")</f>
        <v/>
      </c>
      <c r="P1093" s="8" t="inlineStr">
        <is>
          <t>TN</t>
        </is>
      </c>
      <c r="Q1093" s="10">
        <f>IFERROR(IFERROR(VLOOKUP(A1093,TRAOPE!$A:$U,21,0),VLOOKUP(B1093,TRAOPE!$A:$U,21,0)),"")</f>
        <v/>
      </c>
      <c r="R1093" s="8">
        <f>IFERROR(IFERROR(VLOOKUP(A1093,TRAOPE!$A:$W,23,0),VLOOKUP(B1093,TRAOPE!$A:$W,23,0)),"")</f>
        <v/>
      </c>
      <c r="S1093" s="10">
        <f>IF(AND(P1093="TN",R1093="TN"),N1093+N(O1093),IF(G1093&amp;""="1",N(K1093)*N1093,(N1093+N(O1093))*N(K1093)))</f>
        <v/>
      </c>
      <c r="T1093" s="10">
        <f>IF(Q1093="","",Q1093-S1093)</f>
        <v/>
      </c>
    </row>
    <row r="1094">
      <c r="A1094" s="7">
        <f>CONCATENATE(C1094,E1094,F1094,I1094)</f>
        <v/>
      </c>
      <c r="B1094" s="7">
        <f>CONCATENATE(C1094,E1094,I1094)</f>
        <v/>
      </c>
      <c r="C1094" s="8" t="n">
        <v>900006544</v>
      </c>
      <c r="D1094" s="7">
        <f>IFERROR(VLOOKUP(C1094,TRAOPE!$G:$H,2,0),"")</f>
        <v/>
      </c>
      <c r="E1094" s="8" t="inlineStr">
        <is>
          <t>DW70</t>
        </is>
      </c>
      <c r="F1094" s="8" t="inlineStr">
        <is>
          <t>D075</t>
        </is>
      </c>
      <c r="G1094" s="8">
        <f>IFERROR(VLOOKUP(A1094,Flete!$A:$E,5,0),"")</f>
        <v/>
      </c>
      <c r="H1094" s="7">
        <f>IFERROR(VLOOKUP(F1094,TRAOPE!$AA:$AB,2,0),"")</f>
        <v/>
      </c>
      <c r="I1094" s="7" t="n">
        <v>10275113</v>
      </c>
      <c r="J1094" s="7">
        <f>IFERROR(VLOOKUP(I1094,Materiales!$A:$H,8,0),"")</f>
        <v/>
      </c>
      <c r="K1094" s="9">
        <f>IFERROR(VLOOKUP(I1094,Materiales!$A:$G,7,0),"")</f>
        <v/>
      </c>
      <c r="L1094" s="8" t="inlineStr">
        <is>
          <t>20260306</t>
        </is>
      </c>
      <c r="M1094" s="8" t="inlineStr">
        <is>
          <t>99991231</t>
        </is>
      </c>
      <c r="N1094" s="10" t="n">
        <v>106.46</v>
      </c>
      <c r="O1094" s="10">
        <f>IFERROR(VLOOKUP(A1094,Flete!$A:$J,10,0),"")</f>
        <v/>
      </c>
      <c r="P1094" s="8" t="inlineStr">
        <is>
          <t>TN</t>
        </is>
      </c>
      <c r="Q1094" s="10">
        <f>IFERROR(IFERROR(VLOOKUP(A1094,TRAOPE!$A:$U,21,0),VLOOKUP(B1094,TRAOPE!$A:$U,21,0)),"")</f>
        <v/>
      </c>
      <c r="R1094" s="8">
        <f>IFERROR(IFERROR(VLOOKUP(A1094,TRAOPE!$A:$W,23,0),VLOOKUP(B1094,TRAOPE!$A:$W,23,0)),"")</f>
        <v/>
      </c>
      <c r="S1094" s="10">
        <f>IF(AND(P1094="TN",R1094="TN"),N1094+N(O1094),IF(G1094&amp;""="1",N(K1094)*N1094,(N1094+N(O1094))*N(K1094)))</f>
        <v/>
      </c>
      <c r="T1094" s="10">
        <f>IF(Q1094="","",Q1094-S1094)</f>
        <v/>
      </c>
    </row>
    <row r="1095">
      <c r="A1095" s="7">
        <f>CONCATENATE(C1095,E1095,F1095,I1095)</f>
        <v/>
      </c>
      <c r="B1095" s="7">
        <f>CONCATENATE(C1095,E1095,I1095)</f>
        <v/>
      </c>
      <c r="C1095" s="8" t="n">
        <v>900006544</v>
      </c>
      <c r="D1095" s="7">
        <f>IFERROR(VLOOKUP(C1095,TRAOPE!$G:$H,2,0),"")</f>
        <v/>
      </c>
      <c r="E1095" s="8" t="inlineStr">
        <is>
          <t>DW70</t>
        </is>
      </c>
      <c r="F1095" s="8" t="inlineStr">
        <is>
          <t>D077</t>
        </is>
      </c>
      <c r="G1095" s="8">
        <f>IFERROR(VLOOKUP(A1095,Flete!$A:$E,5,0),"")</f>
        <v/>
      </c>
      <c r="H1095" s="7">
        <f>IFERROR(VLOOKUP(F1095,TRAOPE!$AA:$AB,2,0),"")</f>
        <v/>
      </c>
      <c r="I1095" s="7" t="n">
        <v>10185476</v>
      </c>
      <c r="J1095" s="7">
        <f>IFERROR(VLOOKUP(I1095,Materiales!$A:$H,8,0),"")</f>
        <v/>
      </c>
      <c r="K1095" s="9">
        <f>IFERROR(VLOOKUP(I1095,Materiales!$A:$G,7,0),"")</f>
        <v/>
      </c>
      <c r="L1095" s="8" t="inlineStr">
        <is>
          <t>20260225</t>
        </is>
      </c>
      <c r="M1095" s="8" t="inlineStr">
        <is>
          <t>20260306</t>
        </is>
      </c>
      <c r="N1095" s="10" t="n">
        <v>89.5</v>
      </c>
      <c r="O1095" s="10">
        <f>IFERROR(VLOOKUP(A1095,Flete!$A:$J,10,0),"")</f>
        <v/>
      </c>
      <c r="P1095" s="8" t="inlineStr">
        <is>
          <t>TN</t>
        </is>
      </c>
      <c r="Q1095" s="10">
        <f>IFERROR(IFERROR(VLOOKUP(A1095,TRAOPE!$A:$U,21,0),VLOOKUP(B1095,TRAOPE!$A:$U,21,0)),"")</f>
        <v/>
      </c>
      <c r="R1095" s="8">
        <f>IFERROR(IFERROR(VLOOKUP(A1095,TRAOPE!$A:$W,23,0),VLOOKUP(B1095,TRAOPE!$A:$W,23,0)),"")</f>
        <v/>
      </c>
      <c r="S1095" s="10">
        <f>IF(AND(P1095="TN",R1095="TN"),N1095+N(O1095),IF(G1095&amp;""="1",N(K1095)*N1095,(N1095+N(O1095))*N(K1095)))</f>
        <v/>
      </c>
      <c r="T1095" s="10">
        <f>IF(Q1095="","",Q1095-S1095)</f>
        <v/>
      </c>
    </row>
    <row r="1096">
      <c r="A1096" s="7">
        <f>CONCATENATE(C1096,E1096,F1096,I1096)</f>
        <v/>
      </c>
      <c r="B1096" s="7">
        <f>CONCATENATE(C1096,E1096,I1096)</f>
        <v/>
      </c>
      <c r="C1096" s="8" t="n">
        <v>900006544</v>
      </c>
      <c r="D1096" s="7">
        <f>IFERROR(VLOOKUP(C1096,TRAOPE!$G:$H,2,0),"")</f>
        <v/>
      </c>
      <c r="E1096" s="8" t="inlineStr">
        <is>
          <t>DW70</t>
        </is>
      </c>
      <c r="F1096" s="8" t="inlineStr">
        <is>
          <t>D077</t>
        </is>
      </c>
      <c r="G1096" s="8">
        <f>IFERROR(VLOOKUP(A1096,Flete!$A:$E,5,0),"")</f>
        <v/>
      </c>
      <c r="H1096" s="7">
        <f>IFERROR(VLOOKUP(F1096,TRAOPE!$AA:$AB,2,0),"")</f>
        <v/>
      </c>
      <c r="I1096" s="7" t="n">
        <v>10185477</v>
      </c>
      <c r="J1096" s="7">
        <f>IFERROR(VLOOKUP(I1096,Materiales!$A:$H,8,0),"")</f>
        <v/>
      </c>
      <c r="K1096" s="9">
        <f>IFERROR(VLOOKUP(I1096,Materiales!$A:$G,7,0),"")</f>
        <v/>
      </c>
      <c r="L1096" s="8" t="inlineStr">
        <is>
          <t>20260805</t>
        </is>
      </c>
      <c r="M1096" s="8" t="inlineStr">
        <is>
          <t>99991231</t>
        </is>
      </c>
      <c r="N1096" s="10" t="n">
        <v>115.11</v>
      </c>
      <c r="O1096" s="10">
        <f>IFERROR(VLOOKUP(A1096,Flete!$A:$J,10,0),"")</f>
        <v/>
      </c>
      <c r="P1096" s="8" t="inlineStr">
        <is>
          <t>TN</t>
        </is>
      </c>
      <c r="Q1096" s="10">
        <f>IFERROR(IFERROR(VLOOKUP(A1096,TRAOPE!$A:$U,21,0),VLOOKUP(B1096,TRAOPE!$A:$U,21,0)),"")</f>
        <v/>
      </c>
      <c r="R1096" s="8">
        <f>IFERROR(IFERROR(VLOOKUP(A1096,TRAOPE!$A:$W,23,0),VLOOKUP(B1096,TRAOPE!$A:$W,23,0)),"")</f>
        <v/>
      </c>
      <c r="S1096" s="10">
        <f>IF(AND(P1096="TN",R1096="TN"),N1096+N(O1096),IF(G1096&amp;""="1",N(K1096)*N1096,(N1096+N(O1096))*N(K1096)))</f>
        <v/>
      </c>
      <c r="T1096" s="10">
        <f>IF(Q1096="","",Q1096-S1096)</f>
        <v/>
      </c>
    </row>
    <row r="1097">
      <c r="A1097" s="7">
        <f>CONCATENATE(C1097,E1097,F1097,I1097)</f>
        <v/>
      </c>
      <c r="B1097" s="7">
        <f>CONCATENATE(C1097,E1097,I1097)</f>
        <v/>
      </c>
      <c r="C1097" s="8" t="n">
        <v>900006544</v>
      </c>
      <c r="D1097" s="7">
        <f>IFERROR(VLOOKUP(C1097,TRAOPE!$G:$H,2,0),"")</f>
        <v/>
      </c>
      <c r="E1097" s="8" t="inlineStr">
        <is>
          <t>DW70</t>
        </is>
      </c>
      <c r="F1097" s="8" t="inlineStr">
        <is>
          <t>D077</t>
        </is>
      </c>
      <c r="G1097" s="8">
        <f>IFERROR(VLOOKUP(A1097,Flete!$A:$E,5,0),"")</f>
        <v/>
      </c>
      <c r="H1097" s="7">
        <f>IFERROR(VLOOKUP(F1097,TRAOPE!$AA:$AB,2,0),"")</f>
        <v/>
      </c>
      <c r="I1097" s="7" t="n">
        <v>10275113</v>
      </c>
      <c r="J1097" s="7">
        <f>IFERROR(VLOOKUP(I1097,Materiales!$A:$H,8,0),"")</f>
        <v/>
      </c>
      <c r="K1097" s="9">
        <f>IFERROR(VLOOKUP(I1097,Materiales!$A:$G,7,0),"")</f>
        <v/>
      </c>
      <c r="L1097" s="8" t="inlineStr">
        <is>
          <t>20260306</t>
        </is>
      </c>
      <c r="M1097" s="8" t="inlineStr">
        <is>
          <t>99991231</t>
        </is>
      </c>
      <c r="N1097" s="10" t="n">
        <v>106.46</v>
      </c>
      <c r="O1097" s="10">
        <f>IFERROR(VLOOKUP(A1097,Flete!$A:$J,10,0),"")</f>
        <v/>
      </c>
      <c r="P1097" s="8" t="inlineStr">
        <is>
          <t>TN</t>
        </is>
      </c>
      <c r="Q1097" s="10">
        <f>IFERROR(IFERROR(VLOOKUP(A1097,TRAOPE!$A:$U,21,0),VLOOKUP(B1097,TRAOPE!$A:$U,21,0)),"")</f>
        <v/>
      </c>
      <c r="R1097" s="8">
        <f>IFERROR(IFERROR(VLOOKUP(A1097,TRAOPE!$A:$W,23,0),VLOOKUP(B1097,TRAOPE!$A:$W,23,0)),"")</f>
        <v/>
      </c>
      <c r="S1097" s="10">
        <f>IF(AND(P1097="TN",R1097="TN"),N1097+N(O1097),IF(G1097&amp;""="1",N(K1097)*N1097,(N1097+N(O1097))*N(K1097)))</f>
        <v/>
      </c>
      <c r="T1097" s="10">
        <f>IF(Q1097="","",Q1097-S1097)</f>
        <v/>
      </c>
    </row>
    <row r="1098">
      <c r="A1098" s="7">
        <f>CONCATENATE(C1098,E1098,F1098,I1098)</f>
        <v/>
      </c>
      <c r="B1098" s="7">
        <f>CONCATENATE(C1098,E1098,I1098)</f>
        <v/>
      </c>
      <c r="C1098" s="8" t="n">
        <v>900006544</v>
      </c>
      <c r="D1098" s="7">
        <f>IFERROR(VLOOKUP(C1098,TRAOPE!$G:$H,2,0),"")</f>
        <v/>
      </c>
      <c r="E1098" s="8" t="inlineStr">
        <is>
          <t>DW70</t>
        </is>
      </c>
      <c r="F1098" s="8" t="inlineStr">
        <is>
          <t>D079</t>
        </is>
      </c>
      <c r="G1098" s="8">
        <f>IFERROR(VLOOKUP(A1098,Flete!$A:$E,5,0),"")</f>
        <v/>
      </c>
      <c r="H1098" s="7">
        <f>IFERROR(VLOOKUP(F1098,TRAOPE!$AA:$AB,2,0),"")</f>
        <v/>
      </c>
      <c r="I1098" s="7" t="n">
        <v>10185476</v>
      </c>
      <c r="J1098" s="7">
        <f>IFERROR(VLOOKUP(I1098,Materiales!$A:$H,8,0),"")</f>
        <v/>
      </c>
      <c r="K1098" s="9">
        <f>IFERROR(VLOOKUP(I1098,Materiales!$A:$G,7,0),"")</f>
        <v/>
      </c>
      <c r="L1098" s="8" t="inlineStr">
        <is>
          <t>20260225</t>
        </is>
      </c>
      <c r="M1098" s="8" t="inlineStr">
        <is>
          <t>20260306</t>
        </is>
      </c>
      <c r="N1098" s="10" t="n">
        <v>89.5</v>
      </c>
      <c r="O1098" s="10">
        <f>IFERROR(VLOOKUP(A1098,Flete!$A:$J,10,0),"")</f>
        <v/>
      </c>
      <c r="P1098" s="8" t="inlineStr">
        <is>
          <t>TN</t>
        </is>
      </c>
      <c r="Q1098" s="10">
        <f>IFERROR(IFERROR(VLOOKUP(A1098,TRAOPE!$A:$U,21,0),VLOOKUP(B1098,TRAOPE!$A:$U,21,0)),"")</f>
        <v/>
      </c>
      <c r="R1098" s="8">
        <f>IFERROR(IFERROR(VLOOKUP(A1098,TRAOPE!$A:$W,23,0),VLOOKUP(B1098,TRAOPE!$A:$W,23,0)),"")</f>
        <v/>
      </c>
      <c r="S1098" s="10">
        <f>IF(AND(P1098="TN",R1098="TN"),N1098+N(O1098),IF(G1098&amp;""="1",N(K1098)*N1098,(N1098+N(O1098))*N(K1098)))</f>
        <v/>
      </c>
      <c r="T1098" s="10">
        <f>IF(Q1098="","",Q1098-S1098)</f>
        <v/>
      </c>
    </row>
    <row r="1099">
      <c r="A1099" s="7">
        <f>CONCATENATE(C1099,E1099,F1099,I1099)</f>
        <v/>
      </c>
      <c r="B1099" s="7">
        <f>CONCATENATE(C1099,E1099,I1099)</f>
        <v/>
      </c>
      <c r="C1099" s="8" t="n">
        <v>900006544</v>
      </c>
      <c r="D1099" s="7">
        <f>IFERROR(VLOOKUP(C1099,TRAOPE!$G:$H,2,0),"")</f>
        <v/>
      </c>
      <c r="E1099" s="8" t="inlineStr">
        <is>
          <t>DW70</t>
        </is>
      </c>
      <c r="F1099" s="8" t="inlineStr">
        <is>
          <t>D079</t>
        </is>
      </c>
      <c r="G1099" s="8">
        <f>IFERROR(VLOOKUP(A1099,Flete!$A:$E,5,0),"")</f>
        <v/>
      </c>
      <c r="H1099" s="7">
        <f>IFERROR(VLOOKUP(F1099,TRAOPE!$AA:$AB,2,0),"")</f>
        <v/>
      </c>
      <c r="I1099" s="7" t="n">
        <v>10185477</v>
      </c>
      <c r="J1099" s="7">
        <f>IFERROR(VLOOKUP(I1099,Materiales!$A:$H,8,0),"")</f>
        <v/>
      </c>
      <c r="K1099" s="9">
        <f>IFERROR(VLOOKUP(I1099,Materiales!$A:$G,7,0),"")</f>
        <v/>
      </c>
      <c r="L1099" s="8" t="inlineStr">
        <is>
          <t>20260805</t>
        </is>
      </c>
      <c r="M1099" s="8" t="inlineStr">
        <is>
          <t>99991231</t>
        </is>
      </c>
      <c r="N1099" s="10" t="n">
        <v>115.11</v>
      </c>
      <c r="O1099" s="10">
        <f>IFERROR(VLOOKUP(A1099,Flete!$A:$J,10,0),"")</f>
        <v/>
      </c>
      <c r="P1099" s="8" t="inlineStr">
        <is>
          <t>TN</t>
        </is>
      </c>
      <c r="Q1099" s="10">
        <f>IFERROR(IFERROR(VLOOKUP(A1099,TRAOPE!$A:$U,21,0),VLOOKUP(B1099,TRAOPE!$A:$U,21,0)),"")</f>
        <v/>
      </c>
      <c r="R1099" s="8">
        <f>IFERROR(IFERROR(VLOOKUP(A1099,TRAOPE!$A:$W,23,0),VLOOKUP(B1099,TRAOPE!$A:$W,23,0)),"")</f>
        <v/>
      </c>
      <c r="S1099" s="10">
        <f>IF(AND(P1099="TN",R1099="TN"),N1099+N(O1099),IF(G1099&amp;""="1",N(K1099)*N1099,(N1099+N(O1099))*N(K1099)))</f>
        <v/>
      </c>
      <c r="T1099" s="10">
        <f>IF(Q1099="","",Q1099-S1099)</f>
        <v/>
      </c>
    </row>
    <row r="1100">
      <c r="A1100" s="7">
        <f>CONCATENATE(C1100,E1100,F1100,I1100)</f>
        <v/>
      </c>
      <c r="B1100" s="7">
        <f>CONCATENATE(C1100,E1100,I1100)</f>
        <v/>
      </c>
      <c r="C1100" s="8" t="n">
        <v>900006544</v>
      </c>
      <c r="D1100" s="7">
        <f>IFERROR(VLOOKUP(C1100,TRAOPE!$G:$H,2,0),"")</f>
        <v/>
      </c>
      <c r="E1100" s="8" t="inlineStr">
        <is>
          <t>DW70</t>
        </is>
      </c>
      <c r="F1100" s="8" t="inlineStr">
        <is>
          <t>D079</t>
        </is>
      </c>
      <c r="G1100" s="8">
        <f>IFERROR(VLOOKUP(A1100,Flete!$A:$E,5,0),"")</f>
        <v/>
      </c>
      <c r="H1100" s="7">
        <f>IFERROR(VLOOKUP(F1100,TRAOPE!$AA:$AB,2,0),"")</f>
        <v/>
      </c>
      <c r="I1100" s="7" t="n">
        <v>10275113</v>
      </c>
      <c r="J1100" s="7">
        <f>IFERROR(VLOOKUP(I1100,Materiales!$A:$H,8,0),"")</f>
        <v/>
      </c>
      <c r="K1100" s="9">
        <f>IFERROR(VLOOKUP(I1100,Materiales!$A:$G,7,0),"")</f>
        <v/>
      </c>
      <c r="L1100" s="8" t="inlineStr">
        <is>
          <t>20260306</t>
        </is>
      </c>
      <c r="M1100" s="8" t="inlineStr">
        <is>
          <t>99991231</t>
        </is>
      </c>
      <c r="N1100" s="10" t="n">
        <v>106.46</v>
      </c>
      <c r="O1100" s="10">
        <f>IFERROR(VLOOKUP(A1100,Flete!$A:$J,10,0),"")</f>
        <v/>
      </c>
      <c r="P1100" s="8" t="inlineStr">
        <is>
          <t>TN</t>
        </is>
      </c>
      <c r="Q1100" s="10">
        <f>IFERROR(IFERROR(VLOOKUP(A1100,TRAOPE!$A:$U,21,0),VLOOKUP(B1100,TRAOPE!$A:$U,21,0)),"")</f>
        <v/>
      </c>
      <c r="R1100" s="8">
        <f>IFERROR(IFERROR(VLOOKUP(A1100,TRAOPE!$A:$W,23,0),VLOOKUP(B1100,TRAOPE!$A:$W,23,0)),"")</f>
        <v/>
      </c>
      <c r="S1100" s="10">
        <f>IF(AND(P1100="TN",R1100="TN"),N1100+N(O1100),IF(G1100&amp;""="1",N(K1100)*N1100,(N1100+N(O1100))*N(K1100)))</f>
        <v/>
      </c>
      <c r="T1100" s="10">
        <f>IF(Q1100="","",Q1100-S1100)</f>
        <v/>
      </c>
    </row>
    <row r="1101">
      <c r="A1101" s="7">
        <f>CONCATENATE(C1101,E1101,F1101,I1101)</f>
        <v/>
      </c>
      <c r="B1101" s="7">
        <f>CONCATENATE(C1101,E1101,I1101)</f>
        <v/>
      </c>
      <c r="C1101" s="8" t="n">
        <v>900006544</v>
      </c>
      <c r="D1101" s="7">
        <f>IFERROR(VLOOKUP(C1101,TRAOPE!$G:$H,2,0),"")</f>
        <v/>
      </c>
      <c r="E1101" s="8" t="inlineStr">
        <is>
          <t>DW70</t>
        </is>
      </c>
      <c r="F1101" s="8" t="inlineStr">
        <is>
          <t>D080</t>
        </is>
      </c>
      <c r="G1101" s="8">
        <f>IFERROR(VLOOKUP(A1101,Flete!$A:$E,5,0),"")</f>
        <v/>
      </c>
      <c r="H1101" s="7">
        <f>IFERROR(VLOOKUP(F1101,TRAOPE!$AA:$AB,2,0),"")</f>
        <v/>
      </c>
      <c r="I1101" s="7" t="n">
        <v>10185476</v>
      </c>
      <c r="J1101" s="7">
        <f>IFERROR(VLOOKUP(I1101,Materiales!$A:$H,8,0),"")</f>
        <v/>
      </c>
      <c r="K1101" s="9">
        <f>IFERROR(VLOOKUP(I1101,Materiales!$A:$G,7,0),"")</f>
        <v/>
      </c>
      <c r="L1101" s="8" t="inlineStr">
        <is>
          <t>20260225</t>
        </is>
      </c>
      <c r="M1101" s="8" t="inlineStr">
        <is>
          <t>20260306</t>
        </is>
      </c>
      <c r="N1101" s="10" t="n">
        <v>89.5</v>
      </c>
      <c r="O1101" s="10">
        <f>IFERROR(VLOOKUP(A1101,Flete!$A:$J,10,0),"")</f>
        <v/>
      </c>
      <c r="P1101" s="8" t="inlineStr">
        <is>
          <t>TN</t>
        </is>
      </c>
      <c r="Q1101" s="10">
        <f>IFERROR(IFERROR(VLOOKUP(A1101,TRAOPE!$A:$U,21,0),VLOOKUP(B1101,TRAOPE!$A:$U,21,0)),"")</f>
        <v/>
      </c>
      <c r="R1101" s="8">
        <f>IFERROR(IFERROR(VLOOKUP(A1101,TRAOPE!$A:$W,23,0),VLOOKUP(B1101,TRAOPE!$A:$W,23,0)),"")</f>
        <v/>
      </c>
      <c r="S1101" s="10">
        <f>IF(AND(P1101="TN",R1101="TN"),N1101+N(O1101),IF(G1101&amp;""="1",N(K1101)*N1101,(N1101+N(O1101))*N(K1101)))</f>
        <v/>
      </c>
      <c r="T1101" s="10">
        <f>IF(Q1101="","",Q1101-S1101)</f>
        <v/>
      </c>
    </row>
    <row r="1102">
      <c r="A1102" s="7">
        <f>CONCATENATE(C1102,E1102,F1102,I1102)</f>
        <v/>
      </c>
      <c r="B1102" s="7">
        <f>CONCATENATE(C1102,E1102,I1102)</f>
        <v/>
      </c>
      <c r="C1102" s="8" t="n">
        <v>900006544</v>
      </c>
      <c r="D1102" s="7">
        <f>IFERROR(VLOOKUP(C1102,TRAOPE!$G:$H,2,0),"")</f>
        <v/>
      </c>
      <c r="E1102" s="8" t="inlineStr">
        <is>
          <t>DW70</t>
        </is>
      </c>
      <c r="F1102" s="8" t="inlineStr">
        <is>
          <t>D080</t>
        </is>
      </c>
      <c r="G1102" s="8">
        <f>IFERROR(VLOOKUP(A1102,Flete!$A:$E,5,0),"")</f>
        <v/>
      </c>
      <c r="H1102" s="7">
        <f>IFERROR(VLOOKUP(F1102,TRAOPE!$AA:$AB,2,0),"")</f>
        <v/>
      </c>
      <c r="I1102" s="7" t="n">
        <v>10185477</v>
      </c>
      <c r="J1102" s="7">
        <f>IFERROR(VLOOKUP(I1102,Materiales!$A:$H,8,0),"")</f>
        <v/>
      </c>
      <c r="K1102" s="9">
        <f>IFERROR(VLOOKUP(I1102,Materiales!$A:$G,7,0),"")</f>
        <v/>
      </c>
      <c r="L1102" s="8" t="inlineStr">
        <is>
          <t>20260805</t>
        </is>
      </c>
      <c r="M1102" s="8" t="inlineStr">
        <is>
          <t>99991231</t>
        </is>
      </c>
      <c r="N1102" s="10" t="n">
        <v>115.11</v>
      </c>
      <c r="O1102" s="10">
        <f>IFERROR(VLOOKUP(A1102,Flete!$A:$J,10,0),"")</f>
        <v/>
      </c>
      <c r="P1102" s="8" t="inlineStr">
        <is>
          <t>TN</t>
        </is>
      </c>
      <c r="Q1102" s="10">
        <f>IFERROR(IFERROR(VLOOKUP(A1102,TRAOPE!$A:$U,21,0),VLOOKUP(B1102,TRAOPE!$A:$U,21,0)),"")</f>
        <v/>
      </c>
      <c r="R1102" s="8">
        <f>IFERROR(IFERROR(VLOOKUP(A1102,TRAOPE!$A:$W,23,0),VLOOKUP(B1102,TRAOPE!$A:$W,23,0)),"")</f>
        <v/>
      </c>
      <c r="S1102" s="10">
        <f>IF(AND(P1102="TN",R1102="TN"),N1102+N(O1102),IF(G1102&amp;""="1",N(K1102)*N1102,(N1102+N(O1102))*N(K1102)))</f>
        <v/>
      </c>
      <c r="T1102" s="10">
        <f>IF(Q1102="","",Q1102-S1102)</f>
        <v/>
      </c>
    </row>
    <row r="1103">
      <c r="A1103" s="7">
        <f>CONCATENATE(C1103,E1103,F1103,I1103)</f>
        <v/>
      </c>
      <c r="B1103" s="7">
        <f>CONCATENATE(C1103,E1103,I1103)</f>
        <v/>
      </c>
      <c r="C1103" s="8" t="n">
        <v>900006544</v>
      </c>
      <c r="D1103" s="7">
        <f>IFERROR(VLOOKUP(C1103,TRAOPE!$G:$H,2,0),"")</f>
        <v/>
      </c>
      <c r="E1103" s="8" t="inlineStr">
        <is>
          <t>DW70</t>
        </is>
      </c>
      <c r="F1103" s="8" t="inlineStr">
        <is>
          <t>D080</t>
        </is>
      </c>
      <c r="G1103" s="8">
        <f>IFERROR(VLOOKUP(A1103,Flete!$A:$E,5,0),"")</f>
        <v/>
      </c>
      <c r="H1103" s="7">
        <f>IFERROR(VLOOKUP(F1103,TRAOPE!$AA:$AB,2,0),"")</f>
        <v/>
      </c>
      <c r="I1103" s="7" t="n">
        <v>10275113</v>
      </c>
      <c r="J1103" s="7">
        <f>IFERROR(VLOOKUP(I1103,Materiales!$A:$H,8,0),"")</f>
        <v/>
      </c>
      <c r="K1103" s="9">
        <f>IFERROR(VLOOKUP(I1103,Materiales!$A:$G,7,0),"")</f>
        <v/>
      </c>
      <c r="L1103" s="8" t="inlineStr">
        <is>
          <t>20260306</t>
        </is>
      </c>
      <c r="M1103" s="8" t="inlineStr">
        <is>
          <t>99991231</t>
        </is>
      </c>
      <c r="N1103" s="10" t="n">
        <v>106.46</v>
      </c>
      <c r="O1103" s="10">
        <f>IFERROR(VLOOKUP(A1103,Flete!$A:$J,10,0),"")</f>
        <v/>
      </c>
      <c r="P1103" s="8" t="inlineStr">
        <is>
          <t>TN</t>
        </is>
      </c>
      <c r="Q1103" s="10">
        <f>IFERROR(IFERROR(VLOOKUP(A1103,TRAOPE!$A:$U,21,0),VLOOKUP(B1103,TRAOPE!$A:$U,21,0)),"")</f>
        <v/>
      </c>
      <c r="R1103" s="8">
        <f>IFERROR(IFERROR(VLOOKUP(A1103,TRAOPE!$A:$W,23,0),VLOOKUP(B1103,TRAOPE!$A:$W,23,0)),"")</f>
        <v/>
      </c>
      <c r="S1103" s="10">
        <f>IF(AND(P1103="TN",R1103="TN"),N1103+N(O1103),IF(G1103&amp;""="1",N(K1103)*N1103,(N1103+N(O1103))*N(K1103)))</f>
        <v/>
      </c>
      <c r="T1103" s="10">
        <f>IF(Q1103="","",Q1103-S1103)</f>
        <v/>
      </c>
    </row>
    <row r="1104">
      <c r="A1104" s="7">
        <f>CONCATENATE(C1104,E1104,F1104,I1104)</f>
        <v/>
      </c>
      <c r="B1104" s="7">
        <f>CONCATENATE(C1104,E1104,I1104)</f>
        <v/>
      </c>
      <c r="C1104" s="8" t="n">
        <v>900006544</v>
      </c>
      <c r="D1104" s="7">
        <f>IFERROR(VLOOKUP(C1104,TRAOPE!$G:$H,2,0),"")</f>
        <v/>
      </c>
      <c r="E1104" s="8" t="inlineStr">
        <is>
          <t>DW70</t>
        </is>
      </c>
      <c r="F1104" s="8" t="inlineStr">
        <is>
          <t>D081</t>
        </is>
      </c>
      <c r="G1104" s="8">
        <f>IFERROR(VLOOKUP(A1104,Flete!$A:$E,5,0),"")</f>
        <v/>
      </c>
      <c r="H1104" s="7">
        <f>IFERROR(VLOOKUP(F1104,TRAOPE!$AA:$AB,2,0),"")</f>
        <v/>
      </c>
      <c r="I1104" s="7" t="n">
        <v>10185476</v>
      </c>
      <c r="J1104" s="7">
        <f>IFERROR(VLOOKUP(I1104,Materiales!$A:$H,8,0),"")</f>
        <v/>
      </c>
      <c r="K1104" s="9">
        <f>IFERROR(VLOOKUP(I1104,Materiales!$A:$G,7,0),"")</f>
        <v/>
      </c>
      <c r="L1104" s="8" t="inlineStr">
        <is>
          <t>20260225</t>
        </is>
      </c>
      <c r="M1104" s="8" t="inlineStr">
        <is>
          <t>20260306</t>
        </is>
      </c>
      <c r="N1104" s="10" t="n">
        <v>89.5</v>
      </c>
      <c r="O1104" s="10">
        <f>IFERROR(VLOOKUP(A1104,Flete!$A:$J,10,0),"")</f>
        <v/>
      </c>
      <c r="P1104" s="8" t="inlineStr">
        <is>
          <t>TN</t>
        </is>
      </c>
      <c r="Q1104" s="10">
        <f>IFERROR(IFERROR(VLOOKUP(A1104,TRAOPE!$A:$U,21,0),VLOOKUP(B1104,TRAOPE!$A:$U,21,0)),"")</f>
        <v/>
      </c>
      <c r="R1104" s="8">
        <f>IFERROR(IFERROR(VLOOKUP(A1104,TRAOPE!$A:$W,23,0),VLOOKUP(B1104,TRAOPE!$A:$W,23,0)),"")</f>
        <v/>
      </c>
      <c r="S1104" s="10">
        <f>IF(AND(P1104="TN",R1104="TN"),N1104+N(O1104),IF(G1104&amp;""="1",N(K1104)*N1104,(N1104+N(O1104))*N(K1104)))</f>
        <v/>
      </c>
      <c r="T1104" s="10">
        <f>IF(Q1104="","",Q1104-S1104)</f>
        <v/>
      </c>
    </row>
    <row r="1105">
      <c r="A1105" s="7">
        <f>CONCATENATE(C1105,E1105,F1105,I1105)</f>
        <v/>
      </c>
      <c r="B1105" s="7">
        <f>CONCATENATE(C1105,E1105,I1105)</f>
        <v/>
      </c>
      <c r="C1105" s="8" t="n">
        <v>900006544</v>
      </c>
      <c r="D1105" s="7">
        <f>IFERROR(VLOOKUP(C1105,TRAOPE!$G:$H,2,0),"")</f>
        <v/>
      </c>
      <c r="E1105" s="8" t="inlineStr">
        <is>
          <t>DW70</t>
        </is>
      </c>
      <c r="F1105" s="8" t="inlineStr">
        <is>
          <t>D081</t>
        </is>
      </c>
      <c r="G1105" s="8">
        <f>IFERROR(VLOOKUP(A1105,Flete!$A:$E,5,0),"")</f>
        <v/>
      </c>
      <c r="H1105" s="7">
        <f>IFERROR(VLOOKUP(F1105,TRAOPE!$AA:$AB,2,0),"")</f>
        <v/>
      </c>
      <c r="I1105" s="7" t="n">
        <v>10185477</v>
      </c>
      <c r="J1105" s="7">
        <f>IFERROR(VLOOKUP(I1105,Materiales!$A:$H,8,0),"")</f>
        <v/>
      </c>
      <c r="K1105" s="9">
        <f>IFERROR(VLOOKUP(I1105,Materiales!$A:$G,7,0),"")</f>
        <v/>
      </c>
      <c r="L1105" s="8" t="inlineStr">
        <is>
          <t>20260805</t>
        </is>
      </c>
      <c r="M1105" s="8" t="inlineStr">
        <is>
          <t>99991231</t>
        </is>
      </c>
      <c r="N1105" s="10" t="n">
        <v>115.11</v>
      </c>
      <c r="O1105" s="10">
        <f>IFERROR(VLOOKUP(A1105,Flete!$A:$J,10,0),"")</f>
        <v/>
      </c>
      <c r="P1105" s="8" t="inlineStr">
        <is>
          <t>TN</t>
        </is>
      </c>
      <c r="Q1105" s="10">
        <f>IFERROR(IFERROR(VLOOKUP(A1105,TRAOPE!$A:$U,21,0),VLOOKUP(B1105,TRAOPE!$A:$U,21,0)),"")</f>
        <v/>
      </c>
      <c r="R1105" s="8">
        <f>IFERROR(IFERROR(VLOOKUP(A1105,TRAOPE!$A:$W,23,0),VLOOKUP(B1105,TRAOPE!$A:$W,23,0)),"")</f>
        <v/>
      </c>
      <c r="S1105" s="10">
        <f>IF(AND(P1105="TN",R1105="TN"),N1105+N(O1105),IF(G1105&amp;""="1",N(K1105)*N1105,(N1105+N(O1105))*N(K1105)))</f>
        <v/>
      </c>
      <c r="T1105" s="10">
        <f>IF(Q1105="","",Q1105-S1105)</f>
        <v/>
      </c>
    </row>
    <row r="1106">
      <c r="A1106" s="7">
        <f>CONCATENATE(C1106,E1106,F1106,I1106)</f>
        <v/>
      </c>
      <c r="B1106" s="7">
        <f>CONCATENATE(C1106,E1106,I1106)</f>
        <v/>
      </c>
      <c r="C1106" s="8" t="n">
        <v>900006544</v>
      </c>
      <c r="D1106" s="7">
        <f>IFERROR(VLOOKUP(C1106,TRAOPE!$G:$H,2,0),"")</f>
        <v/>
      </c>
      <c r="E1106" s="8" t="inlineStr">
        <is>
          <t>DW70</t>
        </is>
      </c>
      <c r="F1106" s="8" t="inlineStr">
        <is>
          <t>D081</t>
        </is>
      </c>
      <c r="G1106" s="8">
        <f>IFERROR(VLOOKUP(A1106,Flete!$A:$E,5,0),"")</f>
        <v/>
      </c>
      <c r="H1106" s="7">
        <f>IFERROR(VLOOKUP(F1106,TRAOPE!$AA:$AB,2,0),"")</f>
        <v/>
      </c>
      <c r="I1106" s="7" t="n">
        <v>10275113</v>
      </c>
      <c r="J1106" s="7">
        <f>IFERROR(VLOOKUP(I1106,Materiales!$A:$H,8,0),"")</f>
        <v/>
      </c>
      <c r="K1106" s="9">
        <f>IFERROR(VLOOKUP(I1106,Materiales!$A:$G,7,0),"")</f>
        <v/>
      </c>
      <c r="L1106" s="8" t="inlineStr">
        <is>
          <t>20260306</t>
        </is>
      </c>
      <c r="M1106" s="8" t="inlineStr">
        <is>
          <t>99991231</t>
        </is>
      </c>
      <c r="N1106" s="10" t="n">
        <v>106.46</v>
      </c>
      <c r="O1106" s="10">
        <f>IFERROR(VLOOKUP(A1106,Flete!$A:$J,10,0),"")</f>
        <v/>
      </c>
      <c r="P1106" s="8" t="inlineStr">
        <is>
          <t>TN</t>
        </is>
      </c>
      <c r="Q1106" s="10">
        <f>IFERROR(IFERROR(VLOOKUP(A1106,TRAOPE!$A:$U,21,0),VLOOKUP(B1106,TRAOPE!$A:$U,21,0)),"")</f>
        <v/>
      </c>
      <c r="R1106" s="8">
        <f>IFERROR(IFERROR(VLOOKUP(A1106,TRAOPE!$A:$W,23,0),VLOOKUP(B1106,TRAOPE!$A:$W,23,0)),"")</f>
        <v/>
      </c>
      <c r="S1106" s="10">
        <f>IF(AND(P1106="TN",R1106="TN"),N1106+N(O1106),IF(G1106&amp;""="1",N(K1106)*N1106,(N1106+N(O1106))*N(K1106)))</f>
        <v/>
      </c>
      <c r="T1106" s="10">
        <f>IF(Q1106="","",Q1106-S1106)</f>
        <v/>
      </c>
    </row>
    <row r="1107">
      <c r="A1107" s="7">
        <f>CONCATENATE(C1107,E1107,F1107,I1107)</f>
        <v/>
      </c>
      <c r="B1107" s="7">
        <f>CONCATENATE(C1107,E1107,I1107)</f>
        <v/>
      </c>
      <c r="C1107" s="8" t="n">
        <v>900006544</v>
      </c>
      <c r="D1107" s="7">
        <f>IFERROR(VLOOKUP(C1107,TRAOPE!$G:$H,2,0),"")</f>
        <v/>
      </c>
      <c r="E1107" s="8" t="inlineStr">
        <is>
          <t>DW70</t>
        </is>
      </c>
      <c r="F1107" s="8" t="inlineStr">
        <is>
          <t>D083</t>
        </is>
      </c>
      <c r="G1107" s="8">
        <f>IFERROR(VLOOKUP(A1107,Flete!$A:$E,5,0),"")</f>
        <v/>
      </c>
      <c r="H1107" s="7">
        <f>IFERROR(VLOOKUP(F1107,TRAOPE!$AA:$AB,2,0),"")</f>
        <v/>
      </c>
      <c r="I1107" s="7" t="n">
        <v>10185476</v>
      </c>
      <c r="J1107" s="7">
        <f>IFERROR(VLOOKUP(I1107,Materiales!$A:$H,8,0),"")</f>
        <v/>
      </c>
      <c r="K1107" s="9">
        <f>IFERROR(VLOOKUP(I1107,Materiales!$A:$G,7,0),"")</f>
        <v/>
      </c>
      <c r="L1107" s="8" t="inlineStr">
        <is>
          <t>20260225</t>
        </is>
      </c>
      <c r="M1107" s="8" t="inlineStr">
        <is>
          <t>20260306</t>
        </is>
      </c>
      <c r="N1107" s="10" t="n">
        <v>89.5</v>
      </c>
      <c r="O1107" s="10">
        <f>IFERROR(VLOOKUP(A1107,Flete!$A:$J,10,0),"")</f>
        <v/>
      </c>
      <c r="P1107" s="8" t="inlineStr">
        <is>
          <t>TN</t>
        </is>
      </c>
      <c r="Q1107" s="10">
        <f>IFERROR(IFERROR(VLOOKUP(A1107,TRAOPE!$A:$U,21,0),VLOOKUP(B1107,TRAOPE!$A:$U,21,0)),"")</f>
        <v/>
      </c>
      <c r="R1107" s="8">
        <f>IFERROR(IFERROR(VLOOKUP(A1107,TRAOPE!$A:$W,23,0),VLOOKUP(B1107,TRAOPE!$A:$W,23,0)),"")</f>
        <v/>
      </c>
      <c r="S1107" s="10">
        <f>IF(AND(P1107="TN",R1107="TN"),N1107+N(O1107),IF(G1107&amp;""="1",N(K1107)*N1107,(N1107+N(O1107))*N(K1107)))</f>
        <v/>
      </c>
      <c r="T1107" s="10">
        <f>IF(Q1107="","",Q1107-S1107)</f>
        <v/>
      </c>
    </row>
    <row r="1108">
      <c r="A1108" s="7">
        <f>CONCATENATE(C1108,E1108,F1108,I1108)</f>
        <v/>
      </c>
      <c r="B1108" s="7">
        <f>CONCATENATE(C1108,E1108,I1108)</f>
        <v/>
      </c>
      <c r="C1108" s="8" t="n">
        <v>900006544</v>
      </c>
      <c r="D1108" s="7">
        <f>IFERROR(VLOOKUP(C1108,TRAOPE!$G:$H,2,0),"")</f>
        <v/>
      </c>
      <c r="E1108" s="8" t="inlineStr">
        <is>
          <t>DW70</t>
        </is>
      </c>
      <c r="F1108" s="8" t="inlineStr">
        <is>
          <t>D083</t>
        </is>
      </c>
      <c r="G1108" s="8">
        <f>IFERROR(VLOOKUP(A1108,Flete!$A:$E,5,0),"")</f>
        <v/>
      </c>
      <c r="H1108" s="7">
        <f>IFERROR(VLOOKUP(F1108,TRAOPE!$AA:$AB,2,0),"")</f>
        <v/>
      </c>
      <c r="I1108" s="7" t="n">
        <v>10185477</v>
      </c>
      <c r="J1108" s="7">
        <f>IFERROR(VLOOKUP(I1108,Materiales!$A:$H,8,0),"")</f>
        <v/>
      </c>
      <c r="K1108" s="9">
        <f>IFERROR(VLOOKUP(I1108,Materiales!$A:$G,7,0),"")</f>
        <v/>
      </c>
      <c r="L1108" s="8" t="inlineStr">
        <is>
          <t>20260805</t>
        </is>
      </c>
      <c r="M1108" s="8" t="inlineStr">
        <is>
          <t>99991231</t>
        </is>
      </c>
      <c r="N1108" s="10" t="n">
        <v>115.11</v>
      </c>
      <c r="O1108" s="10">
        <f>IFERROR(VLOOKUP(A1108,Flete!$A:$J,10,0),"")</f>
        <v/>
      </c>
      <c r="P1108" s="8" t="inlineStr">
        <is>
          <t>TN</t>
        </is>
      </c>
      <c r="Q1108" s="10">
        <f>IFERROR(IFERROR(VLOOKUP(A1108,TRAOPE!$A:$U,21,0),VLOOKUP(B1108,TRAOPE!$A:$U,21,0)),"")</f>
        <v/>
      </c>
      <c r="R1108" s="8">
        <f>IFERROR(IFERROR(VLOOKUP(A1108,TRAOPE!$A:$W,23,0),VLOOKUP(B1108,TRAOPE!$A:$W,23,0)),"")</f>
        <v/>
      </c>
      <c r="S1108" s="10">
        <f>IF(AND(P1108="TN",R1108="TN"),N1108+N(O1108),IF(G1108&amp;""="1",N(K1108)*N1108,(N1108+N(O1108))*N(K1108)))</f>
        <v/>
      </c>
      <c r="T1108" s="10">
        <f>IF(Q1108="","",Q1108-S1108)</f>
        <v/>
      </c>
    </row>
    <row r="1109">
      <c r="A1109" s="7">
        <f>CONCATENATE(C1109,E1109,F1109,I1109)</f>
        <v/>
      </c>
      <c r="B1109" s="7">
        <f>CONCATENATE(C1109,E1109,I1109)</f>
        <v/>
      </c>
      <c r="C1109" s="8" t="n">
        <v>900006544</v>
      </c>
      <c r="D1109" s="7">
        <f>IFERROR(VLOOKUP(C1109,TRAOPE!$G:$H,2,0),"")</f>
        <v/>
      </c>
      <c r="E1109" s="8" t="inlineStr">
        <is>
          <t>DW70</t>
        </is>
      </c>
      <c r="F1109" s="8" t="inlineStr">
        <is>
          <t>D083</t>
        </is>
      </c>
      <c r="G1109" s="8">
        <f>IFERROR(VLOOKUP(A1109,Flete!$A:$E,5,0),"")</f>
        <v/>
      </c>
      <c r="H1109" s="7">
        <f>IFERROR(VLOOKUP(F1109,TRAOPE!$AA:$AB,2,0),"")</f>
        <v/>
      </c>
      <c r="I1109" s="7" t="n">
        <v>10275113</v>
      </c>
      <c r="J1109" s="7">
        <f>IFERROR(VLOOKUP(I1109,Materiales!$A:$H,8,0),"")</f>
        <v/>
      </c>
      <c r="K1109" s="9">
        <f>IFERROR(VLOOKUP(I1109,Materiales!$A:$G,7,0),"")</f>
        <v/>
      </c>
      <c r="L1109" s="8" t="inlineStr">
        <is>
          <t>20260306</t>
        </is>
      </c>
      <c r="M1109" s="8" t="inlineStr">
        <is>
          <t>99991231</t>
        </is>
      </c>
      <c r="N1109" s="10" t="n">
        <v>106.46</v>
      </c>
      <c r="O1109" s="10">
        <f>IFERROR(VLOOKUP(A1109,Flete!$A:$J,10,0),"")</f>
        <v/>
      </c>
      <c r="P1109" s="8" t="inlineStr">
        <is>
          <t>TN</t>
        </is>
      </c>
      <c r="Q1109" s="10">
        <f>IFERROR(IFERROR(VLOOKUP(A1109,TRAOPE!$A:$U,21,0),VLOOKUP(B1109,TRAOPE!$A:$U,21,0)),"")</f>
        <v/>
      </c>
      <c r="R1109" s="8">
        <f>IFERROR(IFERROR(VLOOKUP(A1109,TRAOPE!$A:$W,23,0),VLOOKUP(B1109,TRAOPE!$A:$W,23,0)),"")</f>
        <v/>
      </c>
      <c r="S1109" s="10">
        <f>IF(AND(P1109="TN",R1109="TN"),N1109+N(O1109),IF(G1109&amp;""="1",N(K1109)*N1109,(N1109+N(O1109))*N(K1109)))</f>
        <v/>
      </c>
      <c r="T1109" s="10">
        <f>IF(Q1109="","",Q1109-S1109)</f>
        <v/>
      </c>
    </row>
    <row r="1110">
      <c r="A1110" s="7">
        <f>CONCATENATE(C1110,E1110,F1110,I1110)</f>
        <v/>
      </c>
      <c r="B1110" s="7">
        <f>CONCATENATE(C1110,E1110,I1110)</f>
        <v/>
      </c>
      <c r="C1110" s="8" t="n">
        <v>900006544</v>
      </c>
      <c r="D1110" s="7">
        <f>IFERROR(VLOOKUP(C1110,TRAOPE!$G:$H,2,0),"")</f>
        <v/>
      </c>
      <c r="E1110" s="8" t="inlineStr">
        <is>
          <t>DW70</t>
        </is>
      </c>
      <c r="F1110" s="8" t="inlineStr">
        <is>
          <t>D084</t>
        </is>
      </c>
      <c r="G1110" s="8">
        <f>IFERROR(VLOOKUP(A1110,Flete!$A:$E,5,0),"")</f>
        <v/>
      </c>
      <c r="H1110" s="7">
        <f>IFERROR(VLOOKUP(F1110,TRAOPE!$AA:$AB,2,0),"")</f>
        <v/>
      </c>
      <c r="I1110" s="7" t="n">
        <v>10185476</v>
      </c>
      <c r="J1110" s="7">
        <f>IFERROR(VLOOKUP(I1110,Materiales!$A:$H,8,0),"")</f>
        <v/>
      </c>
      <c r="K1110" s="9">
        <f>IFERROR(VLOOKUP(I1110,Materiales!$A:$G,7,0),"")</f>
        <v/>
      </c>
      <c r="L1110" s="8" t="inlineStr">
        <is>
          <t>20260225</t>
        </is>
      </c>
      <c r="M1110" s="8" t="inlineStr">
        <is>
          <t>20260306</t>
        </is>
      </c>
      <c r="N1110" s="10" t="n">
        <v>89.5</v>
      </c>
      <c r="O1110" s="10">
        <f>IFERROR(VLOOKUP(A1110,Flete!$A:$J,10,0),"")</f>
        <v/>
      </c>
      <c r="P1110" s="8" t="inlineStr">
        <is>
          <t>TN</t>
        </is>
      </c>
      <c r="Q1110" s="10">
        <f>IFERROR(IFERROR(VLOOKUP(A1110,TRAOPE!$A:$U,21,0),VLOOKUP(B1110,TRAOPE!$A:$U,21,0)),"")</f>
        <v/>
      </c>
      <c r="R1110" s="8">
        <f>IFERROR(IFERROR(VLOOKUP(A1110,TRAOPE!$A:$W,23,0),VLOOKUP(B1110,TRAOPE!$A:$W,23,0)),"")</f>
        <v/>
      </c>
      <c r="S1110" s="10">
        <f>IF(AND(P1110="TN",R1110="TN"),N1110+N(O1110),IF(G1110&amp;""="1",N(K1110)*N1110,(N1110+N(O1110))*N(K1110)))</f>
        <v/>
      </c>
      <c r="T1110" s="10">
        <f>IF(Q1110="","",Q1110-S1110)</f>
        <v/>
      </c>
    </row>
    <row r="1111">
      <c r="A1111" s="7">
        <f>CONCATENATE(C1111,E1111,F1111,I1111)</f>
        <v/>
      </c>
      <c r="B1111" s="7">
        <f>CONCATENATE(C1111,E1111,I1111)</f>
        <v/>
      </c>
      <c r="C1111" s="8" t="n">
        <v>900006544</v>
      </c>
      <c r="D1111" s="7">
        <f>IFERROR(VLOOKUP(C1111,TRAOPE!$G:$H,2,0),"")</f>
        <v/>
      </c>
      <c r="E1111" s="8" t="inlineStr">
        <is>
          <t>DW70</t>
        </is>
      </c>
      <c r="F1111" s="8" t="inlineStr">
        <is>
          <t>D084</t>
        </is>
      </c>
      <c r="G1111" s="8">
        <f>IFERROR(VLOOKUP(A1111,Flete!$A:$E,5,0),"")</f>
        <v/>
      </c>
      <c r="H1111" s="7">
        <f>IFERROR(VLOOKUP(F1111,TRAOPE!$AA:$AB,2,0),"")</f>
        <v/>
      </c>
      <c r="I1111" s="7" t="n">
        <v>10185477</v>
      </c>
      <c r="J1111" s="7">
        <f>IFERROR(VLOOKUP(I1111,Materiales!$A:$H,8,0),"")</f>
        <v/>
      </c>
      <c r="K1111" s="9">
        <f>IFERROR(VLOOKUP(I1111,Materiales!$A:$G,7,0),"")</f>
        <v/>
      </c>
      <c r="L1111" s="8" t="inlineStr">
        <is>
          <t>20230501</t>
        </is>
      </c>
      <c r="M1111" s="8" t="inlineStr">
        <is>
          <t>20250131</t>
        </is>
      </c>
      <c r="N1111" s="10" t="n">
        <v>79.14</v>
      </c>
      <c r="O1111" s="10">
        <f>IFERROR(VLOOKUP(A1111,Flete!$A:$J,10,0),"")</f>
        <v/>
      </c>
      <c r="P1111" s="8" t="inlineStr">
        <is>
          <t>TN</t>
        </is>
      </c>
      <c r="Q1111" s="10">
        <f>IFERROR(IFERROR(VLOOKUP(A1111,TRAOPE!$A:$U,21,0),VLOOKUP(B1111,TRAOPE!$A:$U,21,0)),"")</f>
        <v/>
      </c>
      <c r="R1111" s="8">
        <f>IFERROR(IFERROR(VLOOKUP(A1111,TRAOPE!$A:$W,23,0),VLOOKUP(B1111,TRAOPE!$A:$W,23,0)),"")</f>
        <v/>
      </c>
      <c r="S1111" s="10">
        <f>IF(AND(P1111="TN",R1111="TN"),N1111+N(O1111),IF(G1111&amp;""="1",N(K1111)*N1111,(N1111+N(O1111))*N(K1111)))</f>
        <v/>
      </c>
      <c r="T1111" s="10">
        <f>IF(Q1111="","",Q1111-S1111)</f>
        <v/>
      </c>
    </row>
    <row r="1112">
      <c r="A1112" s="7">
        <f>CONCATENATE(C1112,E1112,F1112,I1112)</f>
        <v/>
      </c>
      <c r="B1112" s="7">
        <f>CONCATENATE(C1112,E1112,I1112)</f>
        <v/>
      </c>
      <c r="C1112" s="8" t="n">
        <v>900006544</v>
      </c>
      <c r="D1112" s="7">
        <f>IFERROR(VLOOKUP(C1112,TRAOPE!$G:$H,2,0),"")</f>
        <v/>
      </c>
      <c r="E1112" s="8" t="inlineStr">
        <is>
          <t>DW70</t>
        </is>
      </c>
      <c r="F1112" s="8" t="inlineStr">
        <is>
          <t>D084</t>
        </is>
      </c>
      <c r="G1112" s="8">
        <f>IFERROR(VLOOKUP(A1112,Flete!$A:$E,5,0),"")</f>
        <v/>
      </c>
      <c r="H1112" s="7">
        <f>IFERROR(VLOOKUP(F1112,TRAOPE!$AA:$AB,2,0),"")</f>
        <v/>
      </c>
      <c r="I1112" s="7" t="n">
        <v>10275113</v>
      </c>
      <c r="J1112" s="7">
        <f>IFERROR(VLOOKUP(I1112,Materiales!$A:$H,8,0),"")</f>
        <v/>
      </c>
      <c r="K1112" s="9">
        <f>IFERROR(VLOOKUP(I1112,Materiales!$A:$G,7,0),"")</f>
        <v/>
      </c>
      <c r="L1112" s="8" t="inlineStr">
        <is>
          <t>20260306</t>
        </is>
      </c>
      <c r="M1112" s="8" t="inlineStr">
        <is>
          <t>99991231</t>
        </is>
      </c>
      <c r="N1112" s="10" t="n">
        <v>106.46</v>
      </c>
      <c r="O1112" s="10">
        <f>IFERROR(VLOOKUP(A1112,Flete!$A:$J,10,0),"")</f>
        <v/>
      </c>
      <c r="P1112" s="8" t="inlineStr">
        <is>
          <t>TN</t>
        </is>
      </c>
      <c r="Q1112" s="10">
        <f>IFERROR(IFERROR(VLOOKUP(A1112,TRAOPE!$A:$U,21,0),VLOOKUP(B1112,TRAOPE!$A:$U,21,0)),"")</f>
        <v/>
      </c>
      <c r="R1112" s="8">
        <f>IFERROR(IFERROR(VLOOKUP(A1112,TRAOPE!$A:$W,23,0),VLOOKUP(B1112,TRAOPE!$A:$W,23,0)),"")</f>
        <v/>
      </c>
      <c r="S1112" s="10">
        <f>IF(AND(P1112="TN",R1112="TN"),N1112+N(O1112),IF(G1112&amp;""="1",N(K1112)*N1112,(N1112+N(O1112))*N(K1112)))</f>
        <v/>
      </c>
      <c r="T1112" s="10">
        <f>IF(Q1112="","",Q1112-S1112)</f>
        <v/>
      </c>
    </row>
    <row r="1113">
      <c r="A1113" s="7">
        <f>CONCATENATE(C1113,E1113,F1113,I1113)</f>
        <v/>
      </c>
      <c r="B1113" s="7">
        <f>CONCATENATE(C1113,E1113,I1113)</f>
        <v/>
      </c>
      <c r="C1113" s="8" t="n">
        <v>900006544</v>
      </c>
      <c r="D1113" s="7">
        <f>IFERROR(VLOOKUP(C1113,TRAOPE!$G:$H,2,0),"")</f>
        <v/>
      </c>
      <c r="E1113" s="8" t="inlineStr">
        <is>
          <t>DW70</t>
        </is>
      </c>
      <c r="F1113" s="8" t="inlineStr">
        <is>
          <t>D085</t>
        </is>
      </c>
      <c r="G1113" s="8">
        <f>IFERROR(VLOOKUP(A1113,Flete!$A:$E,5,0),"")</f>
        <v/>
      </c>
      <c r="H1113" s="7">
        <f>IFERROR(VLOOKUP(F1113,TRAOPE!$AA:$AB,2,0),"")</f>
        <v/>
      </c>
      <c r="I1113" s="7" t="n">
        <v>10185476</v>
      </c>
      <c r="J1113" s="7">
        <f>IFERROR(VLOOKUP(I1113,Materiales!$A:$H,8,0),"")</f>
        <v/>
      </c>
      <c r="K1113" s="9">
        <f>IFERROR(VLOOKUP(I1113,Materiales!$A:$G,7,0),"")</f>
        <v/>
      </c>
      <c r="L1113" s="8" t="inlineStr">
        <is>
          <t>20260225</t>
        </is>
      </c>
      <c r="M1113" s="8" t="inlineStr">
        <is>
          <t>20260306</t>
        </is>
      </c>
      <c r="N1113" s="10" t="n">
        <v>89.5</v>
      </c>
      <c r="O1113" s="10">
        <f>IFERROR(VLOOKUP(A1113,Flete!$A:$J,10,0),"")</f>
        <v/>
      </c>
      <c r="P1113" s="8" t="inlineStr">
        <is>
          <t>TN</t>
        </is>
      </c>
      <c r="Q1113" s="10">
        <f>IFERROR(IFERROR(VLOOKUP(A1113,TRAOPE!$A:$U,21,0),VLOOKUP(B1113,TRAOPE!$A:$U,21,0)),"")</f>
        <v/>
      </c>
      <c r="R1113" s="8">
        <f>IFERROR(IFERROR(VLOOKUP(A1113,TRAOPE!$A:$W,23,0),VLOOKUP(B1113,TRAOPE!$A:$W,23,0)),"")</f>
        <v/>
      </c>
      <c r="S1113" s="10">
        <f>IF(AND(P1113="TN",R1113="TN"),N1113+N(O1113),IF(G1113&amp;""="1",N(K1113)*N1113,(N1113+N(O1113))*N(K1113)))</f>
        <v/>
      </c>
      <c r="T1113" s="10">
        <f>IF(Q1113="","",Q1113-S1113)</f>
        <v/>
      </c>
    </row>
    <row r="1114">
      <c r="A1114" s="7">
        <f>CONCATENATE(C1114,E1114,F1114,I1114)</f>
        <v/>
      </c>
      <c r="B1114" s="7">
        <f>CONCATENATE(C1114,E1114,I1114)</f>
        <v/>
      </c>
      <c r="C1114" s="8" t="n">
        <v>900006544</v>
      </c>
      <c r="D1114" s="7">
        <f>IFERROR(VLOOKUP(C1114,TRAOPE!$G:$H,2,0),"")</f>
        <v/>
      </c>
      <c r="E1114" s="8" t="inlineStr">
        <is>
          <t>DW70</t>
        </is>
      </c>
      <c r="F1114" s="8" t="inlineStr">
        <is>
          <t>D085</t>
        </is>
      </c>
      <c r="G1114" s="8">
        <f>IFERROR(VLOOKUP(A1114,Flete!$A:$E,5,0),"")</f>
        <v/>
      </c>
      <c r="H1114" s="7">
        <f>IFERROR(VLOOKUP(F1114,TRAOPE!$AA:$AB,2,0),"")</f>
        <v/>
      </c>
      <c r="I1114" s="7" t="n">
        <v>10185477</v>
      </c>
      <c r="J1114" s="7">
        <f>IFERROR(VLOOKUP(I1114,Materiales!$A:$H,8,0),"")</f>
        <v/>
      </c>
      <c r="K1114" s="9">
        <f>IFERROR(VLOOKUP(I1114,Materiales!$A:$G,7,0),"")</f>
        <v/>
      </c>
      <c r="L1114" s="8" t="inlineStr">
        <is>
          <t>20260805</t>
        </is>
      </c>
      <c r="M1114" s="8" t="inlineStr">
        <is>
          <t>99991231</t>
        </is>
      </c>
      <c r="N1114" s="10" t="n">
        <v>115.11</v>
      </c>
      <c r="O1114" s="10">
        <f>IFERROR(VLOOKUP(A1114,Flete!$A:$J,10,0),"")</f>
        <v/>
      </c>
      <c r="P1114" s="8" t="inlineStr">
        <is>
          <t>TN</t>
        </is>
      </c>
      <c r="Q1114" s="10">
        <f>IFERROR(IFERROR(VLOOKUP(A1114,TRAOPE!$A:$U,21,0),VLOOKUP(B1114,TRAOPE!$A:$U,21,0)),"")</f>
        <v/>
      </c>
      <c r="R1114" s="8">
        <f>IFERROR(IFERROR(VLOOKUP(A1114,TRAOPE!$A:$W,23,0),VLOOKUP(B1114,TRAOPE!$A:$W,23,0)),"")</f>
        <v/>
      </c>
      <c r="S1114" s="10">
        <f>IF(AND(P1114="TN",R1114="TN"),N1114+N(O1114),IF(G1114&amp;""="1",N(K1114)*N1114,(N1114+N(O1114))*N(K1114)))</f>
        <v/>
      </c>
      <c r="T1114" s="10">
        <f>IF(Q1114="","",Q1114-S1114)</f>
        <v/>
      </c>
    </row>
    <row r="1115">
      <c r="A1115" s="7">
        <f>CONCATENATE(C1115,E1115,F1115,I1115)</f>
        <v/>
      </c>
      <c r="B1115" s="7">
        <f>CONCATENATE(C1115,E1115,I1115)</f>
        <v/>
      </c>
      <c r="C1115" s="8" t="n">
        <v>900006544</v>
      </c>
      <c r="D1115" s="7">
        <f>IFERROR(VLOOKUP(C1115,TRAOPE!$G:$H,2,0),"")</f>
        <v/>
      </c>
      <c r="E1115" s="8" t="inlineStr">
        <is>
          <t>DW70</t>
        </is>
      </c>
      <c r="F1115" s="8" t="inlineStr">
        <is>
          <t>D085</t>
        </is>
      </c>
      <c r="G1115" s="8">
        <f>IFERROR(VLOOKUP(A1115,Flete!$A:$E,5,0),"")</f>
        <v/>
      </c>
      <c r="H1115" s="7">
        <f>IFERROR(VLOOKUP(F1115,TRAOPE!$AA:$AB,2,0),"")</f>
        <v/>
      </c>
      <c r="I1115" s="7" t="n">
        <v>10275113</v>
      </c>
      <c r="J1115" s="7">
        <f>IFERROR(VLOOKUP(I1115,Materiales!$A:$H,8,0),"")</f>
        <v/>
      </c>
      <c r="K1115" s="9">
        <f>IFERROR(VLOOKUP(I1115,Materiales!$A:$G,7,0),"")</f>
        <v/>
      </c>
      <c r="L1115" s="8" t="inlineStr">
        <is>
          <t>20260306</t>
        </is>
      </c>
      <c r="M1115" s="8" t="inlineStr">
        <is>
          <t>99991231</t>
        </is>
      </c>
      <c r="N1115" s="10" t="n">
        <v>106.46</v>
      </c>
      <c r="O1115" s="10">
        <f>IFERROR(VLOOKUP(A1115,Flete!$A:$J,10,0),"")</f>
        <v/>
      </c>
      <c r="P1115" s="8" t="inlineStr">
        <is>
          <t>TN</t>
        </is>
      </c>
      <c r="Q1115" s="10">
        <f>IFERROR(IFERROR(VLOOKUP(A1115,TRAOPE!$A:$U,21,0),VLOOKUP(B1115,TRAOPE!$A:$U,21,0)),"")</f>
        <v/>
      </c>
      <c r="R1115" s="8">
        <f>IFERROR(IFERROR(VLOOKUP(A1115,TRAOPE!$A:$W,23,0),VLOOKUP(B1115,TRAOPE!$A:$W,23,0)),"")</f>
        <v/>
      </c>
      <c r="S1115" s="10">
        <f>IF(AND(P1115="TN",R1115="TN"),N1115+N(O1115),IF(G1115&amp;""="1",N(K1115)*N1115,(N1115+N(O1115))*N(K1115)))</f>
        <v/>
      </c>
      <c r="T1115" s="10">
        <f>IF(Q1115="","",Q1115-S1115)</f>
        <v/>
      </c>
    </row>
    <row r="1116">
      <c r="A1116" s="7">
        <f>CONCATENATE(C1116,E1116,F1116,I1116)</f>
        <v/>
      </c>
      <c r="B1116" s="7">
        <f>CONCATENATE(C1116,E1116,I1116)</f>
        <v/>
      </c>
      <c r="C1116" s="8" t="n">
        <v>900006544</v>
      </c>
      <c r="D1116" s="7">
        <f>IFERROR(VLOOKUP(C1116,TRAOPE!$G:$H,2,0),"")</f>
        <v/>
      </c>
      <c r="E1116" s="8" t="inlineStr">
        <is>
          <t>DW70</t>
        </is>
      </c>
      <c r="F1116" s="8" t="inlineStr">
        <is>
          <t>D086</t>
        </is>
      </c>
      <c r="G1116" s="8">
        <f>IFERROR(VLOOKUP(A1116,Flete!$A:$E,5,0),"")</f>
        <v/>
      </c>
      <c r="H1116" s="7">
        <f>IFERROR(VLOOKUP(F1116,TRAOPE!$AA:$AB,2,0),"")</f>
        <v/>
      </c>
      <c r="I1116" s="7" t="n">
        <v>10185476</v>
      </c>
      <c r="J1116" s="7">
        <f>IFERROR(VLOOKUP(I1116,Materiales!$A:$H,8,0),"")</f>
        <v/>
      </c>
      <c r="K1116" s="9">
        <f>IFERROR(VLOOKUP(I1116,Materiales!$A:$G,7,0),"")</f>
        <v/>
      </c>
      <c r="L1116" s="8" t="inlineStr">
        <is>
          <t>20260225</t>
        </is>
      </c>
      <c r="M1116" s="8" t="inlineStr">
        <is>
          <t>20260306</t>
        </is>
      </c>
      <c r="N1116" s="10" t="n">
        <v>89.5</v>
      </c>
      <c r="O1116" s="10">
        <f>IFERROR(VLOOKUP(A1116,Flete!$A:$J,10,0),"")</f>
        <v/>
      </c>
      <c r="P1116" s="8" t="inlineStr">
        <is>
          <t>TN</t>
        </is>
      </c>
      <c r="Q1116" s="10">
        <f>IFERROR(IFERROR(VLOOKUP(A1116,TRAOPE!$A:$U,21,0),VLOOKUP(B1116,TRAOPE!$A:$U,21,0)),"")</f>
        <v/>
      </c>
      <c r="R1116" s="8">
        <f>IFERROR(IFERROR(VLOOKUP(A1116,TRAOPE!$A:$W,23,0),VLOOKUP(B1116,TRAOPE!$A:$W,23,0)),"")</f>
        <v/>
      </c>
      <c r="S1116" s="10">
        <f>IF(AND(P1116="TN",R1116="TN"),N1116+N(O1116),IF(G1116&amp;""="1",N(K1116)*N1116,(N1116+N(O1116))*N(K1116)))</f>
        <v/>
      </c>
      <c r="T1116" s="10">
        <f>IF(Q1116="","",Q1116-S1116)</f>
        <v/>
      </c>
    </row>
    <row r="1117">
      <c r="A1117" s="7">
        <f>CONCATENATE(C1117,E1117,F1117,I1117)</f>
        <v/>
      </c>
      <c r="B1117" s="7">
        <f>CONCATENATE(C1117,E1117,I1117)</f>
        <v/>
      </c>
      <c r="C1117" s="8" t="n">
        <v>900006544</v>
      </c>
      <c r="D1117" s="7">
        <f>IFERROR(VLOOKUP(C1117,TRAOPE!$G:$H,2,0),"")</f>
        <v/>
      </c>
      <c r="E1117" s="8" t="inlineStr">
        <is>
          <t>DW70</t>
        </is>
      </c>
      <c r="F1117" s="8" t="inlineStr">
        <is>
          <t>D086</t>
        </is>
      </c>
      <c r="G1117" s="8">
        <f>IFERROR(VLOOKUP(A1117,Flete!$A:$E,5,0),"")</f>
        <v/>
      </c>
      <c r="H1117" s="7">
        <f>IFERROR(VLOOKUP(F1117,TRAOPE!$AA:$AB,2,0),"")</f>
        <v/>
      </c>
      <c r="I1117" s="7" t="n">
        <v>10185477</v>
      </c>
      <c r="J1117" s="7">
        <f>IFERROR(VLOOKUP(I1117,Materiales!$A:$H,8,0),"")</f>
        <v/>
      </c>
      <c r="K1117" s="9">
        <f>IFERROR(VLOOKUP(I1117,Materiales!$A:$G,7,0),"")</f>
        <v/>
      </c>
      <c r="L1117" s="8" t="inlineStr">
        <is>
          <t>20260805</t>
        </is>
      </c>
      <c r="M1117" s="8" t="inlineStr">
        <is>
          <t>99991231</t>
        </is>
      </c>
      <c r="N1117" s="10" t="n">
        <v>115.11</v>
      </c>
      <c r="O1117" s="10">
        <f>IFERROR(VLOOKUP(A1117,Flete!$A:$J,10,0),"")</f>
        <v/>
      </c>
      <c r="P1117" s="8" t="inlineStr">
        <is>
          <t>TN</t>
        </is>
      </c>
      <c r="Q1117" s="10">
        <f>IFERROR(IFERROR(VLOOKUP(A1117,TRAOPE!$A:$U,21,0),VLOOKUP(B1117,TRAOPE!$A:$U,21,0)),"")</f>
        <v/>
      </c>
      <c r="R1117" s="8">
        <f>IFERROR(IFERROR(VLOOKUP(A1117,TRAOPE!$A:$W,23,0),VLOOKUP(B1117,TRAOPE!$A:$W,23,0)),"")</f>
        <v/>
      </c>
      <c r="S1117" s="10">
        <f>IF(AND(P1117="TN",R1117="TN"),N1117+N(O1117),IF(G1117&amp;""="1",N(K1117)*N1117,(N1117+N(O1117))*N(K1117)))</f>
        <v/>
      </c>
      <c r="T1117" s="10">
        <f>IF(Q1117="","",Q1117-S1117)</f>
        <v/>
      </c>
    </row>
    <row r="1118">
      <c r="A1118" s="7">
        <f>CONCATENATE(C1118,E1118,F1118,I1118)</f>
        <v/>
      </c>
      <c r="B1118" s="7">
        <f>CONCATENATE(C1118,E1118,I1118)</f>
        <v/>
      </c>
      <c r="C1118" s="8" t="n">
        <v>900006544</v>
      </c>
      <c r="D1118" s="7">
        <f>IFERROR(VLOOKUP(C1118,TRAOPE!$G:$H,2,0),"")</f>
        <v/>
      </c>
      <c r="E1118" s="8" t="inlineStr">
        <is>
          <t>DW70</t>
        </is>
      </c>
      <c r="F1118" s="8" t="inlineStr">
        <is>
          <t>D086</t>
        </is>
      </c>
      <c r="G1118" s="8">
        <f>IFERROR(VLOOKUP(A1118,Flete!$A:$E,5,0),"")</f>
        <v/>
      </c>
      <c r="H1118" s="7">
        <f>IFERROR(VLOOKUP(F1118,TRAOPE!$AA:$AB,2,0),"")</f>
        <v/>
      </c>
      <c r="I1118" s="7" t="n">
        <v>10275113</v>
      </c>
      <c r="J1118" s="7">
        <f>IFERROR(VLOOKUP(I1118,Materiales!$A:$H,8,0),"")</f>
        <v/>
      </c>
      <c r="K1118" s="9">
        <f>IFERROR(VLOOKUP(I1118,Materiales!$A:$G,7,0),"")</f>
        <v/>
      </c>
      <c r="L1118" s="8" t="inlineStr">
        <is>
          <t>20260306</t>
        </is>
      </c>
      <c r="M1118" s="8" t="inlineStr">
        <is>
          <t>99991231</t>
        </is>
      </c>
      <c r="N1118" s="10" t="n">
        <v>106.46</v>
      </c>
      <c r="O1118" s="10">
        <f>IFERROR(VLOOKUP(A1118,Flete!$A:$J,10,0),"")</f>
        <v/>
      </c>
      <c r="P1118" s="8" t="inlineStr">
        <is>
          <t>TN</t>
        </is>
      </c>
      <c r="Q1118" s="10">
        <f>IFERROR(IFERROR(VLOOKUP(A1118,TRAOPE!$A:$U,21,0),VLOOKUP(B1118,TRAOPE!$A:$U,21,0)),"")</f>
        <v/>
      </c>
      <c r="R1118" s="8">
        <f>IFERROR(IFERROR(VLOOKUP(A1118,TRAOPE!$A:$W,23,0),VLOOKUP(B1118,TRAOPE!$A:$W,23,0)),"")</f>
        <v/>
      </c>
      <c r="S1118" s="10">
        <f>IF(AND(P1118="TN",R1118="TN"),N1118+N(O1118),IF(G1118&amp;""="1",N(K1118)*N1118,(N1118+N(O1118))*N(K1118)))</f>
        <v/>
      </c>
      <c r="T1118" s="10">
        <f>IF(Q1118="","",Q1118-S1118)</f>
        <v/>
      </c>
    </row>
    <row r="1119">
      <c r="A1119" s="7">
        <f>CONCATENATE(C1119,E1119,F1119,I1119)</f>
        <v/>
      </c>
      <c r="B1119" s="7">
        <f>CONCATENATE(C1119,E1119,I1119)</f>
        <v/>
      </c>
      <c r="C1119" s="8" t="n">
        <v>900006544</v>
      </c>
      <c r="D1119" s="7">
        <f>IFERROR(VLOOKUP(C1119,TRAOPE!$G:$H,2,0),"")</f>
        <v/>
      </c>
      <c r="E1119" s="8" t="inlineStr">
        <is>
          <t>DW70</t>
        </is>
      </c>
      <c r="F1119" s="8" t="inlineStr">
        <is>
          <t>D088</t>
        </is>
      </c>
      <c r="G1119" s="8">
        <f>IFERROR(VLOOKUP(A1119,Flete!$A:$E,5,0),"")</f>
        <v/>
      </c>
      <c r="H1119" s="7">
        <f>IFERROR(VLOOKUP(F1119,TRAOPE!$AA:$AB,2,0),"")</f>
        <v/>
      </c>
      <c r="I1119" s="7" t="n">
        <v>10000651</v>
      </c>
      <c r="J1119" s="7">
        <f>IFERROR(VLOOKUP(I1119,Materiales!$A:$H,8,0),"")</f>
        <v/>
      </c>
      <c r="K1119" s="9">
        <f>IFERROR(VLOOKUP(I1119,Materiales!$A:$G,7,0),"")</f>
        <v/>
      </c>
      <c r="L1119" s="8" t="inlineStr">
        <is>
          <t>20230501</t>
        </is>
      </c>
      <c r="M1119" s="8" t="inlineStr">
        <is>
          <t>20250131</t>
        </is>
      </c>
      <c r="N1119" s="10" t="n">
        <v>88.89</v>
      </c>
      <c r="O1119" s="10">
        <f>IFERROR(VLOOKUP(A1119,Flete!$A:$J,10,0),"")</f>
        <v/>
      </c>
      <c r="P1119" s="8" t="inlineStr">
        <is>
          <t>TN</t>
        </is>
      </c>
      <c r="Q1119" s="10">
        <f>IFERROR(IFERROR(VLOOKUP(A1119,TRAOPE!$A:$U,21,0),VLOOKUP(B1119,TRAOPE!$A:$U,21,0)),"")</f>
        <v/>
      </c>
      <c r="R1119" s="8">
        <f>IFERROR(IFERROR(VLOOKUP(A1119,TRAOPE!$A:$W,23,0),VLOOKUP(B1119,TRAOPE!$A:$W,23,0)),"")</f>
        <v/>
      </c>
      <c r="S1119" s="10">
        <f>IF(AND(P1119="TN",R1119="TN"),N1119+N(O1119),IF(G1119&amp;""="1",N(K1119)*N1119,(N1119+N(O1119))*N(K1119)))</f>
        <v/>
      </c>
      <c r="T1119" s="10">
        <f>IF(Q1119="","",Q1119-S1119)</f>
        <v/>
      </c>
    </row>
    <row r="1120">
      <c r="A1120" s="7">
        <f>CONCATENATE(C1120,E1120,F1120,I1120)</f>
        <v/>
      </c>
      <c r="B1120" s="7">
        <f>CONCATENATE(C1120,E1120,I1120)</f>
        <v/>
      </c>
      <c r="C1120" s="8" t="n">
        <v>900006544</v>
      </c>
      <c r="D1120" s="7">
        <f>IFERROR(VLOOKUP(C1120,TRAOPE!$G:$H,2,0),"")</f>
        <v/>
      </c>
      <c r="E1120" s="8" t="inlineStr">
        <is>
          <t>DW70</t>
        </is>
      </c>
      <c r="F1120" s="8" t="inlineStr">
        <is>
          <t>D088</t>
        </is>
      </c>
      <c r="G1120" s="8">
        <f>IFERROR(VLOOKUP(A1120,Flete!$A:$E,5,0),"")</f>
        <v/>
      </c>
      <c r="H1120" s="7">
        <f>IFERROR(VLOOKUP(F1120,TRAOPE!$AA:$AB,2,0),"")</f>
        <v/>
      </c>
      <c r="I1120" s="7" t="n">
        <v>10185476</v>
      </c>
      <c r="J1120" s="7">
        <f>IFERROR(VLOOKUP(I1120,Materiales!$A:$H,8,0),"")</f>
        <v/>
      </c>
      <c r="K1120" s="9">
        <f>IFERROR(VLOOKUP(I1120,Materiales!$A:$G,7,0),"")</f>
        <v/>
      </c>
      <c r="L1120" s="8" t="inlineStr">
        <is>
          <t>20250701</t>
        </is>
      </c>
      <c r="M1120" s="8" t="inlineStr">
        <is>
          <t>20251031</t>
        </is>
      </c>
      <c r="N1120" s="10" t="n">
        <v>59.67</v>
      </c>
      <c r="O1120" s="10">
        <f>IFERROR(VLOOKUP(A1120,Flete!$A:$J,10,0),"")</f>
        <v/>
      </c>
      <c r="P1120" s="8" t="inlineStr">
        <is>
          <t>TN</t>
        </is>
      </c>
      <c r="Q1120" s="10">
        <f>IFERROR(IFERROR(VLOOKUP(A1120,TRAOPE!$A:$U,21,0),VLOOKUP(B1120,TRAOPE!$A:$U,21,0)),"")</f>
        <v/>
      </c>
      <c r="R1120" s="8">
        <f>IFERROR(IFERROR(VLOOKUP(A1120,TRAOPE!$A:$W,23,0),VLOOKUP(B1120,TRAOPE!$A:$W,23,0)),"")</f>
        <v/>
      </c>
      <c r="S1120" s="10">
        <f>IF(AND(P1120="TN",R1120="TN"),N1120+N(O1120),IF(G1120&amp;""="1",N(K1120)*N1120,(N1120+N(O1120))*N(K1120)))</f>
        <v/>
      </c>
      <c r="T1120" s="10">
        <f>IF(Q1120="","",Q1120-S1120)</f>
        <v/>
      </c>
    </row>
    <row r="1121">
      <c r="A1121" s="7">
        <f>CONCATENATE(C1121,E1121,F1121,I1121)</f>
        <v/>
      </c>
      <c r="B1121" s="7">
        <f>CONCATENATE(C1121,E1121,I1121)</f>
        <v/>
      </c>
      <c r="C1121" s="8" t="n">
        <v>900006544</v>
      </c>
      <c r="D1121" s="7">
        <f>IFERROR(VLOOKUP(C1121,TRAOPE!$G:$H,2,0),"")</f>
        <v/>
      </c>
      <c r="E1121" s="8" t="inlineStr">
        <is>
          <t>DW70</t>
        </is>
      </c>
      <c r="F1121" s="8" t="inlineStr">
        <is>
          <t>D088</t>
        </is>
      </c>
      <c r="G1121" s="8">
        <f>IFERROR(VLOOKUP(A1121,Flete!$A:$E,5,0),"")</f>
        <v/>
      </c>
      <c r="H1121" s="7">
        <f>IFERROR(VLOOKUP(F1121,TRAOPE!$AA:$AB,2,0),"")</f>
        <v/>
      </c>
      <c r="I1121" s="7" t="n">
        <v>10185477</v>
      </c>
      <c r="J1121" s="7">
        <f>IFERROR(VLOOKUP(I1121,Materiales!$A:$H,8,0),"")</f>
        <v/>
      </c>
      <c r="K1121" s="9">
        <f>IFERROR(VLOOKUP(I1121,Materiales!$A:$G,7,0),"")</f>
        <v/>
      </c>
      <c r="L1121" s="8" t="inlineStr">
        <is>
          <t>20230501</t>
        </is>
      </c>
      <c r="M1121" s="8" t="inlineStr">
        <is>
          <t>20250131</t>
        </is>
      </c>
      <c r="N1121" s="10" t="n">
        <v>79.14</v>
      </c>
      <c r="O1121" s="10">
        <f>IFERROR(VLOOKUP(A1121,Flete!$A:$J,10,0),"")</f>
        <v/>
      </c>
      <c r="P1121" s="8" t="inlineStr">
        <is>
          <t>TN</t>
        </is>
      </c>
      <c r="Q1121" s="10">
        <f>IFERROR(IFERROR(VLOOKUP(A1121,TRAOPE!$A:$U,21,0),VLOOKUP(B1121,TRAOPE!$A:$U,21,0)),"")</f>
        <v/>
      </c>
      <c r="R1121" s="8">
        <f>IFERROR(IFERROR(VLOOKUP(A1121,TRAOPE!$A:$W,23,0),VLOOKUP(B1121,TRAOPE!$A:$W,23,0)),"")</f>
        <v/>
      </c>
      <c r="S1121" s="10">
        <f>IF(AND(P1121="TN",R1121="TN"),N1121+N(O1121),IF(G1121&amp;""="1",N(K1121)*N1121,(N1121+N(O1121))*N(K1121)))</f>
        <v/>
      </c>
      <c r="T1121" s="10">
        <f>IF(Q1121="","",Q1121-S1121)</f>
        <v/>
      </c>
    </row>
    <row r="1122">
      <c r="A1122" s="7">
        <f>CONCATENATE(C1122,E1122,F1122,I1122)</f>
        <v/>
      </c>
      <c r="B1122" s="7">
        <f>CONCATENATE(C1122,E1122,I1122)</f>
        <v/>
      </c>
      <c r="C1122" s="8" t="n">
        <v>900006544</v>
      </c>
      <c r="D1122" s="7">
        <f>IFERROR(VLOOKUP(C1122,TRAOPE!$G:$H,2,0),"")</f>
        <v/>
      </c>
      <c r="E1122" s="8" t="inlineStr">
        <is>
          <t>DW70</t>
        </is>
      </c>
      <c r="F1122" s="8" t="inlineStr">
        <is>
          <t>D093</t>
        </is>
      </c>
      <c r="G1122" s="8">
        <f>IFERROR(VLOOKUP(A1122,Flete!$A:$E,5,0),"")</f>
        <v/>
      </c>
      <c r="H1122" s="7">
        <f>IFERROR(VLOOKUP(F1122,TRAOPE!$AA:$AB,2,0),"")</f>
        <v/>
      </c>
      <c r="I1122" s="7" t="n">
        <v>10000651</v>
      </c>
      <c r="J1122" s="7">
        <f>IFERROR(VLOOKUP(I1122,Materiales!$A:$H,8,0),"")</f>
        <v/>
      </c>
      <c r="K1122" s="9">
        <f>IFERROR(VLOOKUP(I1122,Materiales!$A:$G,7,0),"")</f>
        <v/>
      </c>
      <c r="L1122" s="8" t="inlineStr">
        <is>
          <t>20230501</t>
        </is>
      </c>
      <c r="M1122" s="8" t="inlineStr">
        <is>
          <t>20250131</t>
        </is>
      </c>
      <c r="N1122" s="10" t="n">
        <v>88.89</v>
      </c>
      <c r="O1122" s="10">
        <f>IFERROR(VLOOKUP(A1122,Flete!$A:$J,10,0),"")</f>
        <v/>
      </c>
      <c r="P1122" s="8" t="inlineStr">
        <is>
          <t>TN</t>
        </is>
      </c>
      <c r="Q1122" s="10">
        <f>IFERROR(IFERROR(VLOOKUP(A1122,TRAOPE!$A:$U,21,0),VLOOKUP(B1122,TRAOPE!$A:$U,21,0)),"")</f>
        <v/>
      </c>
      <c r="R1122" s="8">
        <f>IFERROR(IFERROR(VLOOKUP(A1122,TRAOPE!$A:$W,23,0),VLOOKUP(B1122,TRAOPE!$A:$W,23,0)),"")</f>
        <v/>
      </c>
      <c r="S1122" s="10">
        <f>IF(AND(P1122="TN",R1122="TN"),N1122+N(O1122),IF(G1122&amp;""="1",N(K1122)*N1122,(N1122+N(O1122))*N(K1122)))</f>
        <v/>
      </c>
      <c r="T1122" s="10">
        <f>IF(Q1122="","",Q1122-S1122)</f>
        <v/>
      </c>
    </row>
    <row r="1123">
      <c r="A1123" s="7">
        <f>CONCATENATE(C1123,E1123,F1123,I1123)</f>
        <v/>
      </c>
      <c r="B1123" s="7">
        <f>CONCATENATE(C1123,E1123,I1123)</f>
        <v/>
      </c>
      <c r="C1123" s="8" t="n">
        <v>900006544</v>
      </c>
      <c r="D1123" s="7">
        <f>IFERROR(VLOOKUP(C1123,TRAOPE!$G:$H,2,0),"")</f>
        <v/>
      </c>
      <c r="E1123" s="8" t="inlineStr">
        <is>
          <t>DW70</t>
        </is>
      </c>
      <c r="F1123" s="8" t="inlineStr">
        <is>
          <t>D093</t>
        </is>
      </c>
      <c r="G1123" s="8">
        <f>IFERROR(VLOOKUP(A1123,Flete!$A:$E,5,0),"")</f>
        <v/>
      </c>
      <c r="H1123" s="7">
        <f>IFERROR(VLOOKUP(F1123,TRAOPE!$AA:$AB,2,0),"")</f>
        <v/>
      </c>
      <c r="I1123" s="7" t="n">
        <v>10185476</v>
      </c>
      <c r="J1123" s="7">
        <f>IFERROR(VLOOKUP(I1123,Materiales!$A:$H,8,0),"")</f>
        <v/>
      </c>
      <c r="K1123" s="9">
        <f>IFERROR(VLOOKUP(I1123,Materiales!$A:$G,7,0),"")</f>
        <v/>
      </c>
      <c r="L1123" s="8" t="inlineStr">
        <is>
          <t>20260225</t>
        </is>
      </c>
      <c r="M1123" s="8" t="inlineStr">
        <is>
          <t>20260306</t>
        </is>
      </c>
      <c r="N1123" s="10" t="n">
        <v>89.5</v>
      </c>
      <c r="O1123" s="10">
        <f>IFERROR(VLOOKUP(A1123,Flete!$A:$J,10,0),"")</f>
        <v/>
      </c>
      <c r="P1123" s="8" t="inlineStr">
        <is>
          <t>TN</t>
        </is>
      </c>
      <c r="Q1123" s="10">
        <f>IFERROR(IFERROR(VLOOKUP(A1123,TRAOPE!$A:$U,21,0),VLOOKUP(B1123,TRAOPE!$A:$U,21,0)),"")</f>
        <v/>
      </c>
      <c r="R1123" s="8">
        <f>IFERROR(IFERROR(VLOOKUP(A1123,TRAOPE!$A:$W,23,0),VLOOKUP(B1123,TRAOPE!$A:$W,23,0)),"")</f>
        <v/>
      </c>
      <c r="S1123" s="10">
        <f>IF(AND(P1123="TN",R1123="TN"),N1123+N(O1123),IF(G1123&amp;""="1",N(K1123)*N1123,(N1123+N(O1123))*N(K1123)))</f>
        <v/>
      </c>
      <c r="T1123" s="10">
        <f>IF(Q1123="","",Q1123-S1123)</f>
        <v/>
      </c>
    </row>
    <row r="1124">
      <c r="A1124" s="7">
        <f>CONCATENATE(C1124,E1124,F1124,I1124)</f>
        <v/>
      </c>
      <c r="B1124" s="7">
        <f>CONCATENATE(C1124,E1124,I1124)</f>
        <v/>
      </c>
      <c r="C1124" s="8" t="n">
        <v>900006544</v>
      </c>
      <c r="D1124" s="7">
        <f>IFERROR(VLOOKUP(C1124,TRAOPE!$G:$H,2,0),"")</f>
        <v/>
      </c>
      <c r="E1124" s="8" t="inlineStr">
        <is>
          <t>DW70</t>
        </is>
      </c>
      <c r="F1124" s="8" t="inlineStr">
        <is>
          <t>D093</t>
        </is>
      </c>
      <c r="G1124" s="8">
        <f>IFERROR(VLOOKUP(A1124,Flete!$A:$E,5,0),"")</f>
        <v/>
      </c>
      <c r="H1124" s="7">
        <f>IFERROR(VLOOKUP(F1124,TRAOPE!$AA:$AB,2,0),"")</f>
        <v/>
      </c>
      <c r="I1124" s="7" t="n">
        <v>10185477</v>
      </c>
      <c r="J1124" s="7">
        <f>IFERROR(VLOOKUP(I1124,Materiales!$A:$H,8,0),"")</f>
        <v/>
      </c>
      <c r="K1124" s="9">
        <f>IFERROR(VLOOKUP(I1124,Materiales!$A:$G,7,0),"")</f>
        <v/>
      </c>
      <c r="L1124" s="8" t="inlineStr">
        <is>
          <t>20260805</t>
        </is>
      </c>
      <c r="M1124" s="8" t="inlineStr">
        <is>
          <t>99991231</t>
        </is>
      </c>
      <c r="N1124" s="10" t="n">
        <v>115.11</v>
      </c>
      <c r="O1124" s="10">
        <f>IFERROR(VLOOKUP(A1124,Flete!$A:$J,10,0),"")</f>
        <v/>
      </c>
      <c r="P1124" s="8" t="inlineStr">
        <is>
          <t>TN</t>
        </is>
      </c>
      <c r="Q1124" s="10">
        <f>IFERROR(IFERROR(VLOOKUP(A1124,TRAOPE!$A:$U,21,0),VLOOKUP(B1124,TRAOPE!$A:$U,21,0)),"")</f>
        <v/>
      </c>
      <c r="R1124" s="8">
        <f>IFERROR(IFERROR(VLOOKUP(A1124,TRAOPE!$A:$W,23,0),VLOOKUP(B1124,TRAOPE!$A:$W,23,0)),"")</f>
        <v/>
      </c>
      <c r="S1124" s="10">
        <f>IF(AND(P1124="TN",R1124="TN"),N1124+N(O1124),IF(G1124&amp;""="1",N(K1124)*N1124,(N1124+N(O1124))*N(K1124)))</f>
        <v/>
      </c>
      <c r="T1124" s="10">
        <f>IF(Q1124="","",Q1124-S1124)</f>
        <v/>
      </c>
    </row>
    <row r="1125">
      <c r="A1125" s="7">
        <f>CONCATENATE(C1125,E1125,F1125,I1125)</f>
        <v/>
      </c>
      <c r="B1125" s="7">
        <f>CONCATENATE(C1125,E1125,I1125)</f>
        <v/>
      </c>
      <c r="C1125" s="8" t="n">
        <v>900006544</v>
      </c>
      <c r="D1125" s="7">
        <f>IFERROR(VLOOKUP(C1125,TRAOPE!$G:$H,2,0),"")</f>
        <v/>
      </c>
      <c r="E1125" s="8" t="inlineStr">
        <is>
          <t>DW70</t>
        </is>
      </c>
      <c r="F1125" s="8" t="inlineStr">
        <is>
          <t>D093</t>
        </is>
      </c>
      <c r="G1125" s="8">
        <f>IFERROR(VLOOKUP(A1125,Flete!$A:$E,5,0),"")</f>
        <v/>
      </c>
      <c r="H1125" s="7">
        <f>IFERROR(VLOOKUP(F1125,TRAOPE!$AA:$AB,2,0),"")</f>
        <v/>
      </c>
      <c r="I1125" s="7" t="n">
        <v>10275113</v>
      </c>
      <c r="J1125" s="7">
        <f>IFERROR(VLOOKUP(I1125,Materiales!$A:$H,8,0),"")</f>
        <v/>
      </c>
      <c r="K1125" s="9">
        <f>IFERROR(VLOOKUP(I1125,Materiales!$A:$G,7,0),"")</f>
        <v/>
      </c>
      <c r="L1125" s="8" t="inlineStr">
        <is>
          <t>20260306</t>
        </is>
      </c>
      <c r="M1125" s="8" t="inlineStr">
        <is>
          <t>99991231</t>
        </is>
      </c>
      <c r="N1125" s="10" t="n">
        <v>106.46</v>
      </c>
      <c r="O1125" s="10">
        <f>IFERROR(VLOOKUP(A1125,Flete!$A:$J,10,0),"")</f>
        <v/>
      </c>
      <c r="P1125" s="8" t="inlineStr">
        <is>
          <t>TN</t>
        </is>
      </c>
      <c r="Q1125" s="10">
        <f>IFERROR(IFERROR(VLOOKUP(A1125,TRAOPE!$A:$U,21,0),VLOOKUP(B1125,TRAOPE!$A:$U,21,0)),"")</f>
        <v/>
      </c>
      <c r="R1125" s="8">
        <f>IFERROR(IFERROR(VLOOKUP(A1125,TRAOPE!$A:$W,23,0),VLOOKUP(B1125,TRAOPE!$A:$W,23,0)),"")</f>
        <v/>
      </c>
      <c r="S1125" s="10">
        <f>IF(AND(P1125="TN",R1125="TN"),N1125+N(O1125),IF(G1125&amp;""="1",N(K1125)*N1125,(N1125+N(O1125))*N(K1125)))</f>
        <v/>
      </c>
      <c r="T1125" s="10">
        <f>IF(Q1125="","",Q1125-S1125)</f>
        <v/>
      </c>
    </row>
    <row r="1126">
      <c r="A1126" s="7">
        <f>CONCATENATE(C1126,E1126,F1126,I1126)</f>
        <v/>
      </c>
      <c r="B1126" s="7">
        <f>CONCATENATE(C1126,E1126,I1126)</f>
        <v/>
      </c>
      <c r="C1126" s="8" t="n">
        <v>900006544</v>
      </c>
      <c r="D1126" s="7">
        <f>IFERROR(VLOOKUP(C1126,TRAOPE!$G:$H,2,0),"")</f>
        <v/>
      </c>
      <c r="E1126" s="8" t="inlineStr">
        <is>
          <t>DW70</t>
        </is>
      </c>
      <c r="F1126" s="8" t="inlineStr">
        <is>
          <t>D098</t>
        </is>
      </c>
      <c r="G1126" s="8">
        <f>IFERROR(VLOOKUP(A1126,Flete!$A:$E,5,0),"")</f>
        <v/>
      </c>
      <c r="H1126" s="7">
        <f>IFERROR(VLOOKUP(F1126,TRAOPE!$AA:$AB,2,0),"")</f>
        <v/>
      </c>
      <c r="I1126" s="7" t="n">
        <v>10185476</v>
      </c>
      <c r="J1126" s="7">
        <f>IFERROR(VLOOKUP(I1126,Materiales!$A:$H,8,0),"")</f>
        <v/>
      </c>
      <c r="K1126" s="9">
        <f>IFERROR(VLOOKUP(I1126,Materiales!$A:$G,7,0),"")</f>
        <v/>
      </c>
      <c r="L1126" s="8" t="inlineStr">
        <is>
          <t>20260225</t>
        </is>
      </c>
      <c r="M1126" s="8" t="inlineStr">
        <is>
          <t>20260306</t>
        </is>
      </c>
      <c r="N1126" s="10" t="n">
        <v>89.5</v>
      </c>
      <c r="O1126" s="10">
        <f>IFERROR(VLOOKUP(A1126,Flete!$A:$J,10,0),"")</f>
        <v/>
      </c>
      <c r="P1126" s="8" t="inlineStr">
        <is>
          <t>TN</t>
        </is>
      </c>
      <c r="Q1126" s="10">
        <f>IFERROR(IFERROR(VLOOKUP(A1126,TRAOPE!$A:$U,21,0),VLOOKUP(B1126,TRAOPE!$A:$U,21,0)),"")</f>
        <v/>
      </c>
      <c r="R1126" s="8">
        <f>IFERROR(IFERROR(VLOOKUP(A1126,TRAOPE!$A:$W,23,0),VLOOKUP(B1126,TRAOPE!$A:$W,23,0)),"")</f>
        <v/>
      </c>
      <c r="S1126" s="10">
        <f>IF(AND(P1126="TN",R1126="TN"),N1126+N(O1126),IF(G1126&amp;""="1",N(K1126)*N1126,(N1126+N(O1126))*N(K1126)))</f>
        <v/>
      </c>
      <c r="T1126" s="10">
        <f>IF(Q1126="","",Q1126-S1126)</f>
        <v/>
      </c>
    </row>
    <row r="1127">
      <c r="A1127" s="7">
        <f>CONCATENATE(C1127,E1127,F1127,I1127)</f>
        <v/>
      </c>
      <c r="B1127" s="7">
        <f>CONCATENATE(C1127,E1127,I1127)</f>
        <v/>
      </c>
      <c r="C1127" s="8" t="n">
        <v>900006544</v>
      </c>
      <c r="D1127" s="7">
        <f>IFERROR(VLOOKUP(C1127,TRAOPE!$G:$H,2,0),"")</f>
        <v/>
      </c>
      <c r="E1127" s="8" t="inlineStr">
        <is>
          <t>DW70</t>
        </is>
      </c>
      <c r="F1127" s="8" t="inlineStr">
        <is>
          <t>D098</t>
        </is>
      </c>
      <c r="G1127" s="8">
        <f>IFERROR(VLOOKUP(A1127,Flete!$A:$E,5,0),"")</f>
        <v/>
      </c>
      <c r="H1127" s="7">
        <f>IFERROR(VLOOKUP(F1127,TRAOPE!$AA:$AB,2,0),"")</f>
        <v/>
      </c>
      <c r="I1127" s="7" t="n">
        <v>10185477</v>
      </c>
      <c r="J1127" s="7">
        <f>IFERROR(VLOOKUP(I1127,Materiales!$A:$H,8,0),"")</f>
        <v/>
      </c>
      <c r="K1127" s="9">
        <f>IFERROR(VLOOKUP(I1127,Materiales!$A:$G,7,0),"")</f>
        <v/>
      </c>
      <c r="L1127" s="8" t="inlineStr">
        <is>
          <t>20260805</t>
        </is>
      </c>
      <c r="M1127" s="8" t="inlineStr">
        <is>
          <t>99991231</t>
        </is>
      </c>
      <c r="N1127" s="10" t="n">
        <v>115.11</v>
      </c>
      <c r="O1127" s="10">
        <f>IFERROR(VLOOKUP(A1127,Flete!$A:$J,10,0),"")</f>
        <v/>
      </c>
      <c r="P1127" s="8" t="inlineStr">
        <is>
          <t>TN</t>
        </is>
      </c>
      <c r="Q1127" s="10">
        <f>IFERROR(IFERROR(VLOOKUP(A1127,TRAOPE!$A:$U,21,0),VLOOKUP(B1127,TRAOPE!$A:$U,21,0)),"")</f>
        <v/>
      </c>
      <c r="R1127" s="8">
        <f>IFERROR(IFERROR(VLOOKUP(A1127,TRAOPE!$A:$W,23,0),VLOOKUP(B1127,TRAOPE!$A:$W,23,0)),"")</f>
        <v/>
      </c>
      <c r="S1127" s="10">
        <f>IF(AND(P1127="TN",R1127="TN"),N1127+N(O1127),IF(G1127&amp;""="1",N(K1127)*N1127,(N1127+N(O1127))*N(K1127)))</f>
        <v/>
      </c>
      <c r="T1127" s="10">
        <f>IF(Q1127="","",Q1127-S1127)</f>
        <v/>
      </c>
    </row>
    <row r="1128">
      <c r="A1128" s="7">
        <f>CONCATENATE(C1128,E1128,F1128,I1128)</f>
        <v/>
      </c>
      <c r="B1128" s="7">
        <f>CONCATENATE(C1128,E1128,I1128)</f>
        <v/>
      </c>
      <c r="C1128" s="8" t="n">
        <v>900006544</v>
      </c>
      <c r="D1128" s="7">
        <f>IFERROR(VLOOKUP(C1128,TRAOPE!$G:$H,2,0),"")</f>
        <v/>
      </c>
      <c r="E1128" s="8" t="inlineStr">
        <is>
          <t>DW70</t>
        </is>
      </c>
      <c r="F1128" s="8" t="inlineStr">
        <is>
          <t>D098</t>
        </is>
      </c>
      <c r="G1128" s="8">
        <f>IFERROR(VLOOKUP(A1128,Flete!$A:$E,5,0),"")</f>
        <v/>
      </c>
      <c r="H1128" s="7">
        <f>IFERROR(VLOOKUP(F1128,TRAOPE!$AA:$AB,2,0),"")</f>
        <v/>
      </c>
      <c r="I1128" s="7" t="n">
        <v>10275113</v>
      </c>
      <c r="J1128" s="7">
        <f>IFERROR(VLOOKUP(I1128,Materiales!$A:$H,8,0),"")</f>
        <v/>
      </c>
      <c r="K1128" s="9">
        <f>IFERROR(VLOOKUP(I1128,Materiales!$A:$G,7,0),"")</f>
        <v/>
      </c>
      <c r="L1128" s="8" t="inlineStr">
        <is>
          <t>20260306</t>
        </is>
      </c>
      <c r="M1128" s="8" t="inlineStr">
        <is>
          <t>99991231</t>
        </is>
      </c>
      <c r="N1128" s="10" t="n">
        <v>106.46</v>
      </c>
      <c r="O1128" s="10">
        <f>IFERROR(VLOOKUP(A1128,Flete!$A:$J,10,0),"")</f>
        <v/>
      </c>
      <c r="P1128" s="8" t="inlineStr">
        <is>
          <t>TN</t>
        </is>
      </c>
      <c r="Q1128" s="10">
        <f>IFERROR(IFERROR(VLOOKUP(A1128,TRAOPE!$A:$U,21,0),VLOOKUP(B1128,TRAOPE!$A:$U,21,0)),"")</f>
        <v/>
      </c>
      <c r="R1128" s="8">
        <f>IFERROR(IFERROR(VLOOKUP(A1128,TRAOPE!$A:$W,23,0),VLOOKUP(B1128,TRAOPE!$A:$W,23,0)),"")</f>
        <v/>
      </c>
      <c r="S1128" s="10">
        <f>IF(AND(P1128="TN",R1128="TN"),N1128+N(O1128),IF(G1128&amp;""="1",N(K1128)*N1128,(N1128+N(O1128))*N(K1128)))</f>
        <v/>
      </c>
      <c r="T1128" s="10">
        <f>IF(Q1128="","",Q1128-S1128)</f>
        <v/>
      </c>
    </row>
    <row r="1129">
      <c r="A1129" s="7">
        <f>CONCATENATE(C1129,E1129,F1129,I1129)</f>
        <v/>
      </c>
      <c r="B1129" s="7">
        <f>CONCATENATE(C1129,E1129,I1129)</f>
        <v/>
      </c>
      <c r="C1129" s="8" t="n">
        <v>900006544</v>
      </c>
      <c r="D1129" s="7">
        <f>IFERROR(VLOOKUP(C1129,TRAOPE!$G:$H,2,0),"")</f>
        <v/>
      </c>
      <c r="E1129" s="8" t="inlineStr">
        <is>
          <t>DW70</t>
        </is>
      </c>
      <c r="F1129" s="8" t="inlineStr">
        <is>
          <t>D105</t>
        </is>
      </c>
      <c r="G1129" s="8">
        <f>IFERROR(VLOOKUP(A1129,Flete!$A:$E,5,0),"")</f>
        <v/>
      </c>
      <c r="H1129" s="7">
        <f>IFERROR(VLOOKUP(F1129,TRAOPE!$AA:$AB,2,0),"")</f>
        <v/>
      </c>
      <c r="I1129" s="7" t="n">
        <v>10185476</v>
      </c>
      <c r="J1129" s="7">
        <f>IFERROR(VLOOKUP(I1129,Materiales!$A:$H,8,0),"")</f>
        <v/>
      </c>
      <c r="K1129" s="9">
        <f>IFERROR(VLOOKUP(I1129,Materiales!$A:$G,7,0),"")</f>
        <v/>
      </c>
      <c r="L1129" s="8" t="inlineStr">
        <is>
          <t>20260225</t>
        </is>
      </c>
      <c r="M1129" s="8" t="inlineStr">
        <is>
          <t>20260306</t>
        </is>
      </c>
      <c r="N1129" s="10" t="n">
        <v>89.5</v>
      </c>
      <c r="O1129" s="10">
        <f>IFERROR(VLOOKUP(A1129,Flete!$A:$J,10,0),"")</f>
        <v/>
      </c>
      <c r="P1129" s="8" t="inlineStr">
        <is>
          <t>TN</t>
        </is>
      </c>
      <c r="Q1129" s="10">
        <f>IFERROR(IFERROR(VLOOKUP(A1129,TRAOPE!$A:$U,21,0),VLOOKUP(B1129,TRAOPE!$A:$U,21,0)),"")</f>
        <v/>
      </c>
      <c r="R1129" s="8">
        <f>IFERROR(IFERROR(VLOOKUP(A1129,TRAOPE!$A:$W,23,0),VLOOKUP(B1129,TRAOPE!$A:$W,23,0)),"")</f>
        <v/>
      </c>
      <c r="S1129" s="10">
        <f>IF(AND(P1129="TN",R1129="TN"),N1129+N(O1129),IF(G1129&amp;""="1",N(K1129)*N1129,(N1129+N(O1129))*N(K1129)))</f>
        <v/>
      </c>
      <c r="T1129" s="10">
        <f>IF(Q1129="","",Q1129-S1129)</f>
        <v/>
      </c>
    </row>
    <row r="1130">
      <c r="A1130" s="7">
        <f>CONCATENATE(C1130,E1130,F1130,I1130)</f>
        <v/>
      </c>
      <c r="B1130" s="7">
        <f>CONCATENATE(C1130,E1130,I1130)</f>
        <v/>
      </c>
      <c r="C1130" s="8" t="n">
        <v>900006544</v>
      </c>
      <c r="D1130" s="7">
        <f>IFERROR(VLOOKUP(C1130,TRAOPE!$G:$H,2,0),"")</f>
        <v/>
      </c>
      <c r="E1130" s="8" t="inlineStr">
        <is>
          <t>DW70</t>
        </is>
      </c>
      <c r="F1130" s="8" t="inlineStr">
        <is>
          <t>D105</t>
        </is>
      </c>
      <c r="G1130" s="8">
        <f>IFERROR(VLOOKUP(A1130,Flete!$A:$E,5,0),"")</f>
        <v/>
      </c>
      <c r="H1130" s="7">
        <f>IFERROR(VLOOKUP(F1130,TRAOPE!$AA:$AB,2,0),"")</f>
        <v/>
      </c>
      <c r="I1130" s="7" t="n">
        <v>10185477</v>
      </c>
      <c r="J1130" s="7">
        <f>IFERROR(VLOOKUP(I1130,Materiales!$A:$H,8,0),"")</f>
        <v/>
      </c>
      <c r="K1130" s="9">
        <f>IFERROR(VLOOKUP(I1130,Materiales!$A:$G,7,0),"")</f>
        <v/>
      </c>
      <c r="L1130" s="8" t="inlineStr">
        <is>
          <t>20260805</t>
        </is>
      </c>
      <c r="M1130" s="8" t="inlineStr">
        <is>
          <t>99991231</t>
        </is>
      </c>
      <c r="N1130" s="10" t="n">
        <v>115.11</v>
      </c>
      <c r="O1130" s="10">
        <f>IFERROR(VLOOKUP(A1130,Flete!$A:$J,10,0),"")</f>
        <v/>
      </c>
      <c r="P1130" s="8" t="inlineStr">
        <is>
          <t>TN</t>
        </is>
      </c>
      <c r="Q1130" s="10">
        <f>IFERROR(IFERROR(VLOOKUP(A1130,TRAOPE!$A:$U,21,0),VLOOKUP(B1130,TRAOPE!$A:$U,21,0)),"")</f>
        <v/>
      </c>
      <c r="R1130" s="8">
        <f>IFERROR(IFERROR(VLOOKUP(A1130,TRAOPE!$A:$W,23,0),VLOOKUP(B1130,TRAOPE!$A:$W,23,0)),"")</f>
        <v/>
      </c>
      <c r="S1130" s="10">
        <f>IF(AND(P1130="TN",R1130="TN"),N1130+N(O1130),IF(G1130&amp;""="1",N(K1130)*N1130,(N1130+N(O1130))*N(K1130)))</f>
        <v/>
      </c>
      <c r="T1130" s="10">
        <f>IF(Q1130="","",Q1130-S1130)</f>
        <v/>
      </c>
    </row>
    <row r="1131">
      <c r="A1131" s="7">
        <f>CONCATENATE(C1131,E1131,F1131,I1131)</f>
        <v/>
      </c>
      <c r="B1131" s="7">
        <f>CONCATENATE(C1131,E1131,I1131)</f>
        <v/>
      </c>
      <c r="C1131" s="8" t="n">
        <v>900006544</v>
      </c>
      <c r="D1131" s="7">
        <f>IFERROR(VLOOKUP(C1131,TRAOPE!$G:$H,2,0),"")</f>
        <v/>
      </c>
      <c r="E1131" s="8" t="inlineStr">
        <is>
          <t>DW70</t>
        </is>
      </c>
      <c r="F1131" s="8" t="inlineStr">
        <is>
          <t>D105</t>
        </is>
      </c>
      <c r="G1131" s="8">
        <f>IFERROR(VLOOKUP(A1131,Flete!$A:$E,5,0),"")</f>
        <v/>
      </c>
      <c r="H1131" s="7">
        <f>IFERROR(VLOOKUP(F1131,TRAOPE!$AA:$AB,2,0),"")</f>
        <v/>
      </c>
      <c r="I1131" s="7" t="n">
        <v>10275113</v>
      </c>
      <c r="J1131" s="7">
        <f>IFERROR(VLOOKUP(I1131,Materiales!$A:$H,8,0),"")</f>
        <v/>
      </c>
      <c r="K1131" s="9">
        <f>IFERROR(VLOOKUP(I1131,Materiales!$A:$G,7,0),"")</f>
        <v/>
      </c>
      <c r="L1131" s="8" t="inlineStr">
        <is>
          <t>20260306</t>
        </is>
      </c>
      <c r="M1131" s="8" t="inlineStr">
        <is>
          <t>99991231</t>
        </is>
      </c>
      <c r="N1131" s="10" t="n">
        <v>106.46</v>
      </c>
      <c r="O1131" s="10">
        <f>IFERROR(VLOOKUP(A1131,Flete!$A:$J,10,0),"")</f>
        <v/>
      </c>
      <c r="P1131" s="8" t="inlineStr">
        <is>
          <t>TN</t>
        </is>
      </c>
      <c r="Q1131" s="10">
        <f>IFERROR(IFERROR(VLOOKUP(A1131,TRAOPE!$A:$U,21,0),VLOOKUP(B1131,TRAOPE!$A:$U,21,0)),"")</f>
        <v/>
      </c>
      <c r="R1131" s="8">
        <f>IFERROR(IFERROR(VLOOKUP(A1131,TRAOPE!$A:$W,23,0),VLOOKUP(B1131,TRAOPE!$A:$W,23,0)),"")</f>
        <v/>
      </c>
      <c r="S1131" s="10">
        <f>IF(AND(P1131="TN",R1131="TN"),N1131+N(O1131),IF(G1131&amp;""="1",N(K1131)*N1131,(N1131+N(O1131))*N(K1131)))</f>
        <v/>
      </c>
      <c r="T1131" s="10">
        <f>IF(Q1131="","",Q1131-S1131)</f>
        <v/>
      </c>
    </row>
    <row r="1132">
      <c r="A1132" s="7">
        <f>CONCATENATE(C1132,E1132,F1132,I1132)</f>
        <v/>
      </c>
      <c r="B1132" s="7">
        <f>CONCATENATE(C1132,E1132,I1132)</f>
        <v/>
      </c>
      <c r="C1132" s="8" t="n">
        <v>900006544</v>
      </c>
      <c r="D1132" s="7">
        <f>IFERROR(VLOOKUP(C1132,TRAOPE!$G:$H,2,0),"")</f>
        <v/>
      </c>
      <c r="E1132" s="8" t="inlineStr">
        <is>
          <t>DW70</t>
        </is>
      </c>
      <c r="F1132" s="8" t="inlineStr">
        <is>
          <t>D111</t>
        </is>
      </c>
      <c r="G1132" s="8">
        <f>IFERROR(VLOOKUP(A1132,Flete!$A:$E,5,0),"")</f>
        <v/>
      </c>
      <c r="H1132" s="7">
        <f>IFERROR(VLOOKUP(F1132,TRAOPE!$AA:$AB,2,0),"")</f>
        <v/>
      </c>
      <c r="I1132" s="7" t="n">
        <v>10185476</v>
      </c>
      <c r="J1132" s="7">
        <f>IFERROR(VLOOKUP(I1132,Materiales!$A:$H,8,0),"")</f>
        <v/>
      </c>
      <c r="K1132" s="9">
        <f>IFERROR(VLOOKUP(I1132,Materiales!$A:$G,7,0),"")</f>
        <v/>
      </c>
      <c r="L1132" s="8" t="inlineStr">
        <is>
          <t>20260225</t>
        </is>
      </c>
      <c r="M1132" s="8" t="inlineStr">
        <is>
          <t>20260306</t>
        </is>
      </c>
      <c r="N1132" s="10" t="n">
        <v>89.5</v>
      </c>
      <c r="O1132" s="10">
        <f>IFERROR(VLOOKUP(A1132,Flete!$A:$J,10,0),"")</f>
        <v/>
      </c>
      <c r="P1132" s="8" t="inlineStr">
        <is>
          <t>TN</t>
        </is>
      </c>
      <c r="Q1132" s="10">
        <f>IFERROR(IFERROR(VLOOKUP(A1132,TRAOPE!$A:$U,21,0),VLOOKUP(B1132,TRAOPE!$A:$U,21,0)),"")</f>
        <v/>
      </c>
      <c r="R1132" s="8">
        <f>IFERROR(IFERROR(VLOOKUP(A1132,TRAOPE!$A:$W,23,0),VLOOKUP(B1132,TRAOPE!$A:$W,23,0)),"")</f>
        <v/>
      </c>
      <c r="S1132" s="10">
        <f>IF(AND(P1132="TN",R1132="TN"),N1132+N(O1132),IF(G1132&amp;""="1",N(K1132)*N1132,(N1132+N(O1132))*N(K1132)))</f>
        <v/>
      </c>
      <c r="T1132" s="10">
        <f>IF(Q1132="","",Q1132-S1132)</f>
        <v/>
      </c>
    </row>
    <row r="1133">
      <c r="A1133" s="7">
        <f>CONCATENATE(C1133,E1133,F1133,I1133)</f>
        <v/>
      </c>
      <c r="B1133" s="7">
        <f>CONCATENATE(C1133,E1133,I1133)</f>
        <v/>
      </c>
      <c r="C1133" s="8" t="n">
        <v>900006544</v>
      </c>
      <c r="D1133" s="7">
        <f>IFERROR(VLOOKUP(C1133,TRAOPE!$G:$H,2,0),"")</f>
        <v/>
      </c>
      <c r="E1133" s="8" t="inlineStr">
        <is>
          <t>DW70</t>
        </is>
      </c>
      <c r="F1133" s="8" t="inlineStr">
        <is>
          <t>D111</t>
        </is>
      </c>
      <c r="G1133" s="8">
        <f>IFERROR(VLOOKUP(A1133,Flete!$A:$E,5,0),"")</f>
        <v/>
      </c>
      <c r="H1133" s="7">
        <f>IFERROR(VLOOKUP(F1133,TRAOPE!$AA:$AB,2,0),"")</f>
        <v/>
      </c>
      <c r="I1133" s="7" t="n">
        <v>10185477</v>
      </c>
      <c r="J1133" s="7">
        <f>IFERROR(VLOOKUP(I1133,Materiales!$A:$H,8,0),"")</f>
        <v/>
      </c>
      <c r="K1133" s="9">
        <f>IFERROR(VLOOKUP(I1133,Materiales!$A:$G,7,0),"")</f>
        <v/>
      </c>
      <c r="L1133" s="8" t="inlineStr">
        <is>
          <t>20230501</t>
        </is>
      </c>
      <c r="M1133" s="8" t="inlineStr">
        <is>
          <t>20250131</t>
        </is>
      </c>
      <c r="N1133" s="10" t="n">
        <v>79.14</v>
      </c>
      <c r="O1133" s="10">
        <f>IFERROR(VLOOKUP(A1133,Flete!$A:$J,10,0),"")</f>
        <v/>
      </c>
      <c r="P1133" s="8" t="inlineStr">
        <is>
          <t>TN</t>
        </is>
      </c>
      <c r="Q1133" s="10">
        <f>IFERROR(IFERROR(VLOOKUP(A1133,TRAOPE!$A:$U,21,0),VLOOKUP(B1133,TRAOPE!$A:$U,21,0)),"")</f>
        <v/>
      </c>
      <c r="R1133" s="8">
        <f>IFERROR(IFERROR(VLOOKUP(A1133,TRAOPE!$A:$W,23,0),VLOOKUP(B1133,TRAOPE!$A:$W,23,0)),"")</f>
        <v/>
      </c>
      <c r="S1133" s="10">
        <f>IF(AND(P1133="TN",R1133="TN"),N1133+N(O1133),IF(G1133&amp;""="1",N(K1133)*N1133,(N1133+N(O1133))*N(K1133)))</f>
        <v/>
      </c>
      <c r="T1133" s="10">
        <f>IF(Q1133="","",Q1133-S1133)</f>
        <v/>
      </c>
    </row>
    <row r="1134">
      <c r="A1134" s="7">
        <f>CONCATENATE(C1134,E1134,F1134,I1134)</f>
        <v/>
      </c>
      <c r="B1134" s="7">
        <f>CONCATENATE(C1134,E1134,I1134)</f>
        <v/>
      </c>
      <c r="C1134" s="8" t="n">
        <v>900006544</v>
      </c>
      <c r="D1134" s="7">
        <f>IFERROR(VLOOKUP(C1134,TRAOPE!$G:$H,2,0),"")</f>
        <v/>
      </c>
      <c r="E1134" s="8" t="inlineStr">
        <is>
          <t>DW70</t>
        </is>
      </c>
      <c r="F1134" s="8" t="inlineStr">
        <is>
          <t>D111</t>
        </is>
      </c>
      <c r="G1134" s="8">
        <f>IFERROR(VLOOKUP(A1134,Flete!$A:$E,5,0),"")</f>
        <v/>
      </c>
      <c r="H1134" s="7">
        <f>IFERROR(VLOOKUP(F1134,TRAOPE!$AA:$AB,2,0),"")</f>
        <v/>
      </c>
      <c r="I1134" s="7" t="n">
        <v>10275113</v>
      </c>
      <c r="J1134" s="7">
        <f>IFERROR(VLOOKUP(I1134,Materiales!$A:$H,8,0),"")</f>
        <v/>
      </c>
      <c r="K1134" s="9">
        <f>IFERROR(VLOOKUP(I1134,Materiales!$A:$G,7,0),"")</f>
        <v/>
      </c>
      <c r="L1134" s="8" t="inlineStr">
        <is>
          <t>20260306</t>
        </is>
      </c>
      <c r="M1134" s="8" t="inlineStr">
        <is>
          <t>99991231</t>
        </is>
      </c>
      <c r="N1134" s="10" t="n">
        <v>106.46</v>
      </c>
      <c r="O1134" s="10">
        <f>IFERROR(VLOOKUP(A1134,Flete!$A:$J,10,0),"")</f>
        <v/>
      </c>
      <c r="P1134" s="8" t="inlineStr">
        <is>
          <t>TN</t>
        </is>
      </c>
      <c r="Q1134" s="10">
        <f>IFERROR(IFERROR(VLOOKUP(A1134,TRAOPE!$A:$U,21,0),VLOOKUP(B1134,TRAOPE!$A:$U,21,0)),"")</f>
        <v/>
      </c>
      <c r="R1134" s="8">
        <f>IFERROR(IFERROR(VLOOKUP(A1134,TRAOPE!$A:$W,23,0),VLOOKUP(B1134,TRAOPE!$A:$W,23,0)),"")</f>
        <v/>
      </c>
      <c r="S1134" s="10">
        <f>IF(AND(P1134="TN",R1134="TN"),N1134+N(O1134),IF(G1134&amp;""="1",N(K1134)*N1134,(N1134+N(O1134))*N(K1134)))</f>
        <v/>
      </c>
      <c r="T1134" s="10">
        <f>IF(Q1134="","",Q1134-S1134)</f>
        <v/>
      </c>
    </row>
    <row r="1135">
      <c r="A1135" s="7">
        <f>CONCATENATE(C1135,E1135,F1135,I1135)</f>
        <v/>
      </c>
      <c r="B1135" s="7">
        <f>CONCATENATE(C1135,E1135,I1135)</f>
        <v/>
      </c>
      <c r="C1135" s="8" t="n">
        <v>900006544</v>
      </c>
      <c r="D1135" s="7">
        <f>IFERROR(VLOOKUP(C1135,TRAOPE!$G:$H,2,0),"")</f>
        <v/>
      </c>
      <c r="E1135" s="8" t="inlineStr">
        <is>
          <t>DW70</t>
        </is>
      </c>
      <c r="F1135" s="8" t="inlineStr">
        <is>
          <t>D136</t>
        </is>
      </c>
      <c r="G1135" s="8">
        <f>IFERROR(VLOOKUP(A1135,Flete!$A:$E,5,0),"")</f>
        <v/>
      </c>
      <c r="H1135" s="7">
        <f>IFERROR(VLOOKUP(F1135,TRAOPE!$AA:$AB,2,0),"")</f>
        <v/>
      </c>
      <c r="I1135" s="7" t="n">
        <v>10185476</v>
      </c>
      <c r="J1135" s="7">
        <f>IFERROR(VLOOKUP(I1135,Materiales!$A:$H,8,0),"")</f>
        <v/>
      </c>
      <c r="K1135" s="9">
        <f>IFERROR(VLOOKUP(I1135,Materiales!$A:$G,7,0),"")</f>
        <v/>
      </c>
      <c r="L1135" s="8" t="inlineStr">
        <is>
          <t>20260225</t>
        </is>
      </c>
      <c r="M1135" s="8" t="inlineStr">
        <is>
          <t>20260306</t>
        </is>
      </c>
      <c r="N1135" s="10" t="n">
        <v>89.5</v>
      </c>
      <c r="O1135" s="10">
        <f>IFERROR(VLOOKUP(A1135,Flete!$A:$J,10,0),"")</f>
        <v/>
      </c>
      <c r="P1135" s="8" t="inlineStr">
        <is>
          <t>TN</t>
        </is>
      </c>
      <c r="Q1135" s="10">
        <f>IFERROR(IFERROR(VLOOKUP(A1135,TRAOPE!$A:$U,21,0),VLOOKUP(B1135,TRAOPE!$A:$U,21,0)),"")</f>
        <v/>
      </c>
      <c r="R1135" s="8">
        <f>IFERROR(IFERROR(VLOOKUP(A1135,TRAOPE!$A:$W,23,0),VLOOKUP(B1135,TRAOPE!$A:$W,23,0)),"")</f>
        <v/>
      </c>
      <c r="S1135" s="10">
        <f>IF(AND(P1135="TN",R1135="TN"),N1135+N(O1135),IF(G1135&amp;""="1",N(K1135)*N1135,(N1135+N(O1135))*N(K1135)))</f>
        <v/>
      </c>
      <c r="T1135" s="10">
        <f>IF(Q1135="","",Q1135-S1135)</f>
        <v/>
      </c>
    </row>
    <row r="1136">
      <c r="A1136" s="7">
        <f>CONCATENATE(C1136,E1136,F1136,I1136)</f>
        <v/>
      </c>
      <c r="B1136" s="7">
        <f>CONCATENATE(C1136,E1136,I1136)</f>
        <v/>
      </c>
      <c r="C1136" s="8" t="n">
        <v>900006544</v>
      </c>
      <c r="D1136" s="7">
        <f>IFERROR(VLOOKUP(C1136,TRAOPE!$G:$H,2,0),"")</f>
        <v/>
      </c>
      <c r="E1136" s="8" t="inlineStr">
        <is>
          <t>DW70</t>
        </is>
      </c>
      <c r="F1136" s="8" t="inlineStr">
        <is>
          <t>D136</t>
        </is>
      </c>
      <c r="G1136" s="8">
        <f>IFERROR(VLOOKUP(A1136,Flete!$A:$E,5,0),"")</f>
        <v/>
      </c>
      <c r="H1136" s="7">
        <f>IFERROR(VLOOKUP(F1136,TRAOPE!$AA:$AB,2,0),"")</f>
        <v/>
      </c>
      <c r="I1136" s="7" t="n">
        <v>10185477</v>
      </c>
      <c r="J1136" s="7">
        <f>IFERROR(VLOOKUP(I1136,Materiales!$A:$H,8,0),"")</f>
        <v/>
      </c>
      <c r="K1136" s="9">
        <f>IFERROR(VLOOKUP(I1136,Materiales!$A:$G,7,0),"")</f>
        <v/>
      </c>
      <c r="L1136" s="8" t="inlineStr">
        <is>
          <t>20260805</t>
        </is>
      </c>
      <c r="M1136" s="8" t="inlineStr">
        <is>
          <t>99991231</t>
        </is>
      </c>
      <c r="N1136" s="10" t="n">
        <v>115.11</v>
      </c>
      <c r="O1136" s="10">
        <f>IFERROR(VLOOKUP(A1136,Flete!$A:$J,10,0),"")</f>
        <v/>
      </c>
      <c r="P1136" s="8" t="inlineStr">
        <is>
          <t>TN</t>
        </is>
      </c>
      <c r="Q1136" s="10">
        <f>IFERROR(IFERROR(VLOOKUP(A1136,TRAOPE!$A:$U,21,0),VLOOKUP(B1136,TRAOPE!$A:$U,21,0)),"")</f>
        <v/>
      </c>
      <c r="R1136" s="8">
        <f>IFERROR(IFERROR(VLOOKUP(A1136,TRAOPE!$A:$W,23,0),VLOOKUP(B1136,TRAOPE!$A:$W,23,0)),"")</f>
        <v/>
      </c>
      <c r="S1136" s="10">
        <f>IF(AND(P1136="TN",R1136="TN"),N1136+N(O1136),IF(G1136&amp;""="1",N(K1136)*N1136,(N1136+N(O1136))*N(K1136)))</f>
        <v/>
      </c>
      <c r="T1136" s="10">
        <f>IF(Q1136="","",Q1136-S1136)</f>
        <v/>
      </c>
    </row>
    <row r="1137">
      <c r="A1137" s="7">
        <f>CONCATENATE(C1137,E1137,F1137,I1137)</f>
        <v/>
      </c>
      <c r="B1137" s="7">
        <f>CONCATENATE(C1137,E1137,I1137)</f>
        <v/>
      </c>
      <c r="C1137" s="8" t="n">
        <v>900006544</v>
      </c>
      <c r="D1137" s="7">
        <f>IFERROR(VLOOKUP(C1137,TRAOPE!$G:$H,2,0),"")</f>
        <v/>
      </c>
      <c r="E1137" s="8" t="inlineStr">
        <is>
          <t>DW70</t>
        </is>
      </c>
      <c r="F1137" s="8" t="inlineStr">
        <is>
          <t>D136</t>
        </is>
      </c>
      <c r="G1137" s="8">
        <f>IFERROR(VLOOKUP(A1137,Flete!$A:$E,5,0),"")</f>
        <v/>
      </c>
      <c r="H1137" s="7">
        <f>IFERROR(VLOOKUP(F1137,TRAOPE!$AA:$AB,2,0),"")</f>
        <v/>
      </c>
      <c r="I1137" s="7" t="n">
        <v>10275113</v>
      </c>
      <c r="J1137" s="7">
        <f>IFERROR(VLOOKUP(I1137,Materiales!$A:$H,8,0),"")</f>
        <v/>
      </c>
      <c r="K1137" s="9">
        <f>IFERROR(VLOOKUP(I1137,Materiales!$A:$G,7,0),"")</f>
        <v/>
      </c>
      <c r="L1137" s="8" t="inlineStr">
        <is>
          <t>20260306</t>
        </is>
      </c>
      <c r="M1137" s="8" t="inlineStr">
        <is>
          <t>99991231</t>
        </is>
      </c>
      <c r="N1137" s="10" t="n">
        <v>106.46</v>
      </c>
      <c r="O1137" s="10">
        <f>IFERROR(VLOOKUP(A1137,Flete!$A:$J,10,0),"")</f>
        <v/>
      </c>
      <c r="P1137" s="8" t="inlineStr">
        <is>
          <t>TN</t>
        </is>
      </c>
      <c r="Q1137" s="10">
        <f>IFERROR(IFERROR(VLOOKUP(A1137,TRAOPE!$A:$U,21,0),VLOOKUP(B1137,TRAOPE!$A:$U,21,0)),"")</f>
        <v/>
      </c>
      <c r="R1137" s="8">
        <f>IFERROR(IFERROR(VLOOKUP(A1137,TRAOPE!$A:$W,23,0),VLOOKUP(B1137,TRAOPE!$A:$W,23,0)),"")</f>
        <v/>
      </c>
      <c r="S1137" s="10">
        <f>IF(AND(P1137="TN",R1137="TN"),N1137+N(O1137),IF(G1137&amp;""="1",N(K1137)*N1137,(N1137+N(O1137))*N(K1137)))</f>
        <v/>
      </c>
      <c r="T1137" s="10">
        <f>IF(Q1137="","",Q1137-S1137)</f>
        <v/>
      </c>
    </row>
    <row r="1138">
      <c r="A1138" s="7">
        <f>CONCATENATE(C1138,E1138,F1138,I1138)</f>
        <v/>
      </c>
      <c r="B1138" s="7">
        <f>CONCATENATE(C1138,E1138,I1138)</f>
        <v/>
      </c>
      <c r="C1138" s="8" t="n">
        <v>900006544</v>
      </c>
      <c r="D1138" s="7">
        <f>IFERROR(VLOOKUP(C1138,TRAOPE!$G:$H,2,0),"")</f>
        <v/>
      </c>
      <c r="E1138" s="8" t="inlineStr">
        <is>
          <t>DW70</t>
        </is>
      </c>
      <c r="F1138" s="8" t="inlineStr">
        <is>
          <t>D145</t>
        </is>
      </c>
      <c r="G1138" s="8">
        <f>IFERROR(VLOOKUP(A1138,Flete!$A:$E,5,0),"")</f>
        <v/>
      </c>
      <c r="H1138" s="7">
        <f>IFERROR(VLOOKUP(F1138,TRAOPE!$AA:$AB,2,0),"")</f>
        <v/>
      </c>
      <c r="I1138" s="7" t="n">
        <v>10000651</v>
      </c>
      <c r="J1138" s="7">
        <f>IFERROR(VLOOKUP(I1138,Materiales!$A:$H,8,0),"")</f>
        <v/>
      </c>
      <c r="K1138" s="9">
        <f>IFERROR(VLOOKUP(I1138,Materiales!$A:$G,7,0),"")</f>
        <v/>
      </c>
      <c r="L1138" s="8" t="inlineStr">
        <is>
          <t>20230501</t>
        </is>
      </c>
      <c r="M1138" s="8" t="inlineStr">
        <is>
          <t>20250131</t>
        </is>
      </c>
      <c r="N1138" s="10" t="n">
        <v>88.89</v>
      </c>
      <c r="O1138" s="10">
        <f>IFERROR(VLOOKUP(A1138,Flete!$A:$J,10,0),"")</f>
        <v/>
      </c>
      <c r="P1138" s="8" t="inlineStr">
        <is>
          <t>TN</t>
        </is>
      </c>
      <c r="Q1138" s="10">
        <f>IFERROR(IFERROR(VLOOKUP(A1138,TRAOPE!$A:$U,21,0),VLOOKUP(B1138,TRAOPE!$A:$U,21,0)),"")</f>
        <v/>
      </c>
      <c r="R1138" s="8">
        <f>IFERROR(IFERROR(VLOOKUP(A1138,TRAOPE!$A:$W,23,0),VLOOKUP(B1138,TRAOPE!$A:$W,23,0)),"")</f>
        <v/>
      </c>
      <c r="S1138" s="10">
        <f>IF(AND(P1138="TN",R1138="TN"),N1138+N(O1138),IF(G1138&amp;""="1",N(K1138)*N1138,(N1138+N(O1138))*N(K1138)))</f>
        <v/>
      </c>
      <c r="T1138" s="10">
        <f>IF(Q1138="","",Q1138-S1138)</f>
        <v/>
      </c>
    </row>
    <row r="1139">
      <c r="A1139" s="7">
        <f>CONCATENATE(C1139,E1139,F1139,I1139)</f>
        <v/>
      </c>
      <c r="B1139" s="7">
        <f>CONCATENATE(C1139,E1139,I1139)</f>
        <v/>
      </c>
      <c r="C1139" s="8" t="n">
        <v>900006544</v>
      </c>
      <c r="D1139" s="7">
        <f>IFERROR(VLOOKUP(C1139,TRAOPE!$G:$H,2,0),"")</f>
        <v/>
      </c>
      <c r="E1139" s="8" t="inlineStr">
        <is>
          <t>DW70</t>
        </is>
      </c>
      <c r="F1139" s="8" t="inlineStr">
        <is>
          <t>D145</t>
        </is>
      </c>
      <c r="G1139" s="8">
        <f>IFERROR(VLOOKUP(A1139,Flete!$A:$E,5,0),"")</f>
        <v/>
      </c>
      <c r="H1139" s="7">
        <f>IFERROR(VLOOKUP(F1139,TRAOPE!$AA:$AB,2,0),"")</f>
        <v/>
      </c>
      <c r="I1139" s="7" t="n">
        <v>10185476</v>
      </c>
      <c r="J1139" s="7">
        <f>IFERROR(VLOOKUP(I1139,Materiales!$A:$H,8,0),"")</f>
        <v/>
      </c>
      <c r="K1139" s="9">
        <f>IFERROR(VLOOKUP(I1139,Materiales!$A:$G,7,0),"")</f>
        <v/>
      </c>
      <c r="L1139" s="8" t="inlineStr">
        <is>
          <t>20260225</t>
        </is>
      </c>
      <c r="M1139" s="8" t="inlineStr">
        <is>
          <t>20260306</t>
        </is>
      </c>
      <c r="N1139" s="10" t="n">
        <v>89.5</v>
      </c>
      <c r="O1139" s="10">
        <f>IFERROR(VLOOKUP(A1139,Flete!$A:$J,10,0),"")</f>
        <v/>
      </c>
      <c r="P1139" s="8" t="inlineStr">
        <is>
          <t>TN</t>
        </is>
      </c>
      <c r="Q1139" s="10">
        <f>IFERROR(IFERROR(VLOOKUP(A1139,TRAOPE!$A:$U,21,0),VLOOKUP(B1139,TRAOPE!$A:$U,21,0)),"")</f>
        <v/>
      </c>
      <c r="R1139" s="8">
        <f>IFERROR(IFERROR(VLOOKUP(A1139,TRAOPE!$A:$W,23,0),VLOOKUP(B1139,TRAOPE!$A:$W,23,0)),"")</f>
        <v/>
      </c>
      <c r="S1139" s="10">
        <f>IF(AND(P1139="TN",R1139="TN"),N1139+N(O1139),IF(G1139&amp;""="1",N(K1139)*N1139,(N1139+N(O1139))*N(K1139)))</f>
        <v/>
      </c>
      <c r="T1139" s="10">
        <f>IF(Q1139="","",Q1139-S1139)</f>
        <v/>
      </c>
    </row>
    <row r="1140">
      <c r="A1140" s="7">
        <f>CONCATENATE(C1140,E1140,F1140,I1140)</f>
        <v/>
      </c>
      <c r="B1140" s="7">
        <f>CONCATENATE(C1140,E1140,I1140)</f>
        <v/>
      </c>
      <c r="C1140" s="8" t="n">
        <v>900006544</v>
      </c>
      <c r="D1140" s="7">
        <f>IFERROR(VLOOKUP(C1140,TRAOPE!$G:$H,2,0),"")</f>
        <v/>
      </c>
      <c r="E1140" s="8" t="inlineStr">
        <is>
          <t>DW70</t>
        </is>
      </c>
      <c r="F1140" s="8" t="inlineStr">
        <is>
          <t>D145</t>
        </is>
      </c>
      <c r="G1140" s="8">
        <f>IFERROR(VLOOKUP(A1140,Flete!$A:$E,5,0),"")</f>
        <v/>
      </c>
      <c r="H1140" s="7">
        <f>IFERROR(VLOOKUP(F1140,TRAOPE!$AA:$AB,2,0),"")</f>
        <v/>
      </c>
      <c r="I1140" s="7" t="n">
        <v>10185477</v>
      </c>
      <c r="J1140" s="7">
        <f>IFERROR(VLOOKUP(I1140,Materiales!$A:$H,8,0),"")</f>
        <v/>
      </c>
      <c r="K1140" s="9">
        <f>IFERROR(VLOOKUP(I1140,Materiales!$A:$G,7,0),"")</f>
        <v/>
      </c>
      <c r="L1140" s="8" t="inlineStr">
        <is>
          <t>20260805</t>
        </is>
      </c>
      <c r="M1140" s="8" t="inlineStr">
        <is>
          <t>99991231</t>
        </is>
      </c>
      <c r="N1140" s="10" t="n">
        <v>115.11</v>
      </c>
      <c r="O1140" s="10">
        <f>IFERROR(VLOOKUP(A1140,Flete!$A:$J,10,0),"")</f>
        <v/>
      </c>
      <c r="P1140" s="8" t="inlineStr">
        <is>
          <t>TN</t>
        </is>
      </c>
      <c r="Q1140" s="10">
        <f>IFERROR(IFERROR(VLOOKUP(A1140,TRAOPE!$A:$U,21,0),VLOOKUP(B1140,TRAOPE!$A:$U,21,0)),"")</f>
        <v/>
      </c>
      <c r="R1140" s="8">
        <f>IFERROR(IFERROR(VLOOKUP(A1140,TRAOPE!$A:$W,23,0),VLOOKUP(B1140,TRAOPE!$A:$W,23,0)),"")</f>
        <v/>
      </c>
      <c r="S1140" s="10">
        <f>IF(AND(P1140="TN",R1140="TN"),N1140+N(O1140),IF(G1140&amp;""="1",N(K1140)*N1140,(N1140+N(O1140))*N(K1140)))</f>
        <v/>
      </c>
      <c r="T1140" s="10">
        <f>IF(Q1140="","",Q1140-S1140)</f>
        <v/>
      </c>
    </row>
    <row r="1141">
      <c r="A1141" s="7">
        <f>CONCATENATE(C1141,E1141,F1141,I1141)</f>
        <v/>
      </c>
      <c r="B1141" s="7">
        <f>CONCATENATE(C1141,E1141,I1141)</f>
        <v/>
      </c>
      <c r="C1141" s="8" t="n">
        <v>900006544</v>
      </c>
      <c r="D1141" s="7">
        <f>IFERROR(VLOOKUP(C1141,TRAOPE!$G:$H,2,0),"")</f>
        <v/>
      </c>
      <c r="E1141" s="8" t="inlineStr">
        <is>
          <t>DW70</t>
        </is>
      </c>
      <c r="F1141" s="8" t="inlineStr">
        <is>
          <t>D145</t>
        </is>
      </c>
      <c r="G1141" s="8">
        <f>IFERROR(VLOOKUP(A1141,Flete!$A:$E,5,0),"")</f>
        <v/>
      </c>
      <c r="H1141" s="7">
        <f>IFERROR(VLOOKUP(F1141,TRAOPE!$AA:$AB,2,0),"")</f>
        <v/>
      </c>
      <c r="I1141" s="7" t="n">
        <v>10275113</v>
      </c>
      <c r="J1141" s="7">
        <f>IFERROR(VLOOKUP(I1141,Materiales!$A:$H,8,0),"")</f>
        <v/>
      </c>
      <c r="K1141" s="9">
        <f>IFERROR(VLOOKUP(I1141,Materiales!$A:$G,7,0),"")</f>
        <v/>
      </c>
      <c r="L1141" s="8" t="inlineStr">
        <is>
          <t>20260306</t>
        </is>
      </c>
      <c r="M1141" s="8" t="inlineStr">
        <is>
          <t>99991231</t>
        </is>
      </c>
      <c r="N1141" s="10" t="n">
        <v>106.46</v>
      </c>
      <c r="O1141" s="10">
        <f>IFERROR(VLOOKUP(A1141,Flete!$A:$J,10,0),"")</f>
        <v/>
      </c>
      <c r="P1141" s="8" t="inlineStr">
        <is>
          <t>TN</t>
        </is>
      </c>
      <c r="Q1141" s="10">
        <f>IFERROR(IFERROR(VLOOKUP(A1141,TRAOPE!$A:$U,21,0),VLOOKUP(B1141,TRAOPE!$A:$U,21,0)),"")</f>
        <v/>
      </c>
      <c r="R1141" s="8">
        <f>IFERROR(IFERROR(VLOOKUP(A1141,TRAOPE!$A:$W,23,0),VLOOKUP(B1141,TRAOPE!$A:$W,23,0)),"")</f>
        <v/>
      </c>
      <c r="S1141" s="10">
        <f>IF(AND(P1141="TN",R1141="TN"),N1141+N(O1141),IF(G1141&amp;""="1",N(K1141)*N1141,(N1141+N(O1141))*N(K1141)))</f>
        <v/>
      </c>
      <c r="T1141" s="10">
        <f>IF(Q1141="","",Q1141-S1141)</f>
        <v/>
      </c>
    </row>
    <row r="1142">
      <c r="A1142" s="7">
        <f>CONCATENATE(C1142,E1142,F1142,I1142)</f>
        <v/>
      </c>
      <c r="B1142" s="7">
        <f>CONCATENATE(C1142,E1142,I1142)</f>
        <v/>
      </c>
      <c r="C1142" s="8" t="n">
        <v>900006544</v>
      </c>
      <c r="D1142" s="7">
        <f>IFERROR(VLOOKUP(C1142,TRAOPE!$G:$H,2,0),"")</f>
        <v/>
      </c>
      <c r="E1142" s="8" t="inlineStr">
        <is>
          <t>DW70</t>
        </is>
      </c>
      <c r="F1142" s="8" t="inlineStr">
        <is>
          <t>D681</t>
        </is>
      </c>
      <c r="G1142" s="8">
        <f>IFERROR(VLOOKUP(A1142,Flete!$A:$E,5,0),"")</f>
        <v/>
      </c>
      <c r="H1142" s="7">
        <f>IFERROR(VLOOKUP(F1142,TRAOPE!$AA:$AB,2,0),"")</f>
        <v/>
      </c>
      <c r="I1142" s="7" t="n">
        <v>10185476</v>
      </c>
      <c r="J1142" s="7">
        <f>IFERROR(VLOOKUP(I1142,Materiales!$A:$H,8,0),"")</f>
        <v/>
      </c>
      <c r="K1142" s="9">
        <f>IFERROR(VLOOKUP(I1142,Materiales!$A:$G,7,0),"")</f>
        <v/>
      </c>
      <c r="L1142" s="8" t="inlineStr">
        <is>
          <t>20260225</t>
        </is>
      </c>
      <c r="M1142" s="8" t="inlineStr">
        <is>
          <t>20260306</t>
        </is>
      </c>
      <c r="N1142" s="10" t="n">
        <v>89.5</v>
      </c>
      <c r="O1142" s="10">
        <f>IFERROR(VLOOKUP(A1142,Flete!$A:$J,10,0),"")</f>
        <v/>
      </c>
      <c r="P1142" s="8" t="inlineStr">
        <is>
          <t>TN</t>
        </is>
      </c>
      <c r="Q1142" s="10">
        <f>IFERROR(IFERROR(VLOOKUP(A1142,TRAOPE!$A:$U,21,0),VLOOKUP(B1142,TRAOPE!$A:$U,21,0)),"")</f>
        <v/>
      </c>
      <c r="R1142" s="8">
        <f>IFERROR(IFERROR(VLOOKUP(A1142,TRAOPE!$A:$W,23,0),VLOOKUP(B1142,TRAOPE!$A:$W,23,0)),"")</f>
        <v/>
      </c>
      <c r="S1142" s="10">
        <f>IF(AND(P1142="TN",R1142="TN"),N1142+N(O1142),IF(G1142&amp;""="1",N(K1142)*N1142,(N1142+N(O1142))*N(K1142)))</f>
        <v/>
      </c>
      <c r="T1142" s="10">
        <f>IF(Q1142="","",Q1142-S1142)</f>
        <v/>
      </c>
    </row>
    <row r="1143">
      <c r="A1143" s="7">
        <f>CONCATENATE(C1143,E1143,F1143,I1143)</f>
        <v/>
      </c>
      <c r="B1143" s="7">
        <f>CONCATENATE(C1143,E1143,I1143)</f>
        <v/>
      </c>
      <c r="C1143" s="8" t="n">
        <v>900006544</v>
      </c>
      <c r="D1143" s="7">
        <f>IFERROR(VLOOKUP(C1143,TRAOPE!$G:$H,2,0),"")</f>
        <v/>
      </c>
      <c r="E1143" s="8" t="inlineStr">
        <is>
          <t>DW70</t>
        </is>
      </c>
      <c r="F1143" s="8" t="inlineStr">
        <is>
          <t>D681</t>
        </is>
      </c>
      <c r="G1143" s="8">
        <f>IFERROR(VLOOKUP(A1143,Flete!$A:$E,5,0),"")</f>
        <v/>
      </c>
      <c r="H1143" s="7">
        <f>IFERROR(VLOOKUP(F1143,TRAOPE!$AA:$AB,2,0),"")</f>
        <v/>
      </c>
      <c r="I1143" s="7" t="n">
        <v>10185477</v>
      </c>
      <c r="J1143" s="7">
        <f>IFERROR(VLOOKUP(I1143,Materiales!$A:$H,8,0),"")</f>
        <v/>
      </c>
      <c r="K1143" s="9">
        <f>IFERROR(VLOOKUP(I1143,Materiales!$A:$G,7,0),"")</f>
        <v/>
      </c>
      <c r="L1143" s="8" t="inlineStr">
        <is>
          <t>20260805</t>
        </is>
      </c>
      <c r="M1143" s="8" t="inlineStr">
        <is>
          <t>99991231</t>
        </is>
      </c>
      <c r="N1143" s="10" t="n">
        <v>115.11</v>
      </c>
      <c r="O1143" s="10">
        <f>IFERROR(VLOOKUP(A1143,Flete!$A:$J,10,0),"")</f>
        <v/>
      </c>
      <c r="P1143" s="8" t="inlineStr">
        <is>
          <t>TN</t>
        </is>
      </c>
      <c r="Q1143" s="10">
        <f>IFERROR(IFERROR(VLOOKUP(A1143,TRAOPE!$A:$U,21,0),VLOOKUP(B1143,TRAOPE!$A:$U,21,0)),"")</f>
        <v/>
      </c>
      <c r="R1143" s="8">
        <f>IFERROR(IFERROR(VLOOKUP(A1143,TRAOPE!$A:$W,23,0),VLOOKUP(B1143,TRAOPE!$A:$W,23,0)),"")</f>
        <v/>
      </c>
      <c r="S1143" s="10">
        <f>IF(AND(P1143="TN",R1143="TN"),N1143+N(O1143),IF(G1143&amp;""="1",N(K1143)*N1143,(N1143+N(O1143))*N(K1143)))</f>
        <v/>
      </c>
      <c r="T1143" s="10">
        <f>IF(Q1143="","",Q1143-S1143)</f>
        <v/>
      </c>
    </row>
    <row r="1144">
      <c r="A1144" s="7">
        <f>CONCATENATE(C1144,E1144,F1144,I1144)</f>
        <v/>
      </c>
      <c r="B1144" s="7">
        <f>CONCATENATE(C1144,E1144,I1144)</f>
        <v/>
      </c>
      <c r="C1144" s="8" t="n">
        <v>900006544</v>
      </c>
      <c r="D1144" s="7">
        <f>IFERROR(VLOOKUP(C1144,TRAOPE!$G:$H,2,0),"")</f>
        <v/>
      </c>
      <c r="E1144" s="8" t="inlineStr">
        <is>
          <t>DW70</t>
        </is>
      </c>
      <c r="F1144" s="8" t="inlineStr">
        <is>
          <t>D681</t>
        </is>
      </c>
      <c r="G1144" s="8">
        <f>IFERROR(VLOOKUP(A1144,Flete!$A:$E,5,0),"")</f>
        <v/>
      </c>
      <c r="H1144" s="7">
        <f>IFERROR(VLOOKUP(F1144,TRAOPE!$AA:$AB,2,0),"")</f>
        <v/>
      </c>
      <c r="I1144" s="7" t="n">
        <v>10275113</v>
      </c>
      <c r="J1144" s="7">
        <f>IFERROR(VLOOKUP(I1144,Materiales!$A:$H,8,0),"")</f>
        <v/>
      </c>
      <c r="K1144" s="9">
        <f>IFERROR(VLOOKUP(I1144,Materiales!$A:$G,7,0),"")</f>
        <v/>
      </c>
      <c r="L1144" s="8" t="inlineStr">
        <is>
          <t>20260306</t>
        </is>
      </c>
      <c r="M1144" s="8" t="inlineStr">
        <is>
          <t>99991231</t>
        </is>
      </c>
      <c r="N1144" s="10" t="n">
        <v>106.46</v>
      </c>
      <c r="O1144" s="10">
        <f>IFERROR(VLOOKUP(A1144,Flete!$A:$J,10,0),"")</f>
        <v/>
      </c>
      <c r="P1144" s="8" t="inlineStr">
        <is>
          <t>TN</t>
        </is>
      </c>
      <c r="Q1144" s="10">
        <f>IFERROR(IFERROR(VLOOKUP(A1144,TRAOPE!$A:$U,21,0),VLOOKUP(B1144,TRAOPE!$A:$U,21,0)),"")</f>
        <v/>
      </c>
      <c r="R1144" s="8">
        <f>IFERROR(IFERROR(VLOOKUP(A1144,TRAOPE!$A:$W,23,0),VLOOKUP(B1144,TRAOPE!$A:$W,23,0)),"")</f>
        <v/>
      </c>
      <c r="S1144" s="10">
        <f>IF(AND(P1144="TN",R1144="TN"),N1144+N(O1144),IF(G1144&amp;""="1",N(K1144)*N1144,(N1144+N(O1144))*N(K1144)))</f>
        <v/>
      </c>
      <c r="T1144" s="10">
        <f>IF(Q1144="","",Q1144-S1144)</f>
        <v/>
      </c>
    </row>
    <row r="1145">
      <c r="A1145" s="7">
        <f>CONCATENATE(C1145,E1145,F1145,I1145)</f>
        <v/>
      </c>
      <c r="B1145" s="7">
        <f>CONCATENATE(C1145,E1145,I1145)</f>
        <v/>
      </c>
      <c r="C1145" s="8" t="n">
        <v>900006544</v>
      </c>
      <c r="D1145" s="7">
        <f>IFERROR(VLOOKUP(C1145,TRAOPE!$G:$H,2,0),"")</f>
        <v/>
      </c>
      <c r="E1145" s="8" t="inlineStr">
        <is>
          <t>DW70</t>
        </is>
      </c>
      <c r="F1145" s="8" t="inlineStr">
        <is>
          <t>EQ75</t>
        </is>
      </c>
      <c r="G1145" s="8">
        <f>IFERROR(VLOOKUP(A1145,Flete!$A:$E,5,0),"")</f>
        <v/>
      </c>
      <c r="H1145" s="7">
        <f>IFERROR(VLOOKUP(F1145,TRAOPE!$AA:$AB,2,0),"")</f>
        <v/>
      </c>
      <c r="I1145" s="7" t="n">
        <v>10000651</v>
      </c>
      <c r="J1145" s="7">
        <f>IFERROR(VLOOKUP(I1145,Materiales!$A:$H,8,0),"")</f>
        <v/>
      </c>
      <c r="K1145" s="9">
        <f>IFERROR(VLOOKUP(I1145,Materiales!$A:$G,7,0),"")</f>
        <v/>
      </c>
      <c r="L1145" s="8" t="inlineStr">
        <is>
          <t>20230501</t>
        </is>
      </c>
      <c r="M1145" s="8" t="inlineStr">
        <is>
          <t>20250131</t>
        </is>
      </c>
      <c r="N1145" s="10" t="n">
        <v>93.56999999999999</v>
      </c>
      <c r="O1145" s="10">
        <f>IFERROR(VLOOKUP(A1145,Flete!$A:$J,10,0),"")</f>
        <v/>
      </c>
      <c r="P1145" s="8" t="inlineStr">
        <is>
          <t>TN</t>
        </is>
      </c>
      <c r="Q1145" s="10">
        <f>IFERROR(IFERROR(VLOOKUP(A1145,TRAOPE!$A:$U,21,0),VLOOKUP(B1145,TRAOPE!$A:$U,21,0)),"")</f>
        <v/>
      </c>
      <c r="R1145" s="8">
        <f>IFERROR(IFERROR(VLOOKUP(A1145,TRAOPE!$A:$W,23,0),VLOOKUP(B1145,TRAOPE!$A:$W,23,0)),"")</f>
        <v/>
      </c>
      <c r="S1145" s="10">
        <f>IF(AND(P1145="TN",R1145="TN"),N1145+N(O1145),IF(G1145&amp;""="1",N(K1145)*N1145,(N1145+N(O1145))*N(K1145)))</f>
        <v/>
      </c>
      <c r="T1145" s="10">
        <f>IF(Q1145="","",Q1145-S1145)</f>
        <v/>
      </c>
    </row>
    <row r="1146">
      <c r="A1146" s="7">
        <f>CONCATENATE(C1146,E1146,F1146,I1146)</f>
        <v/>
      </c>
      <c r="B1146" s="7">
        <f>CONCATENATE(C1146,E1146,I1146)</f>
        <v/>
      </c>
      <c r="C1146" s="8" t="n">
        <v>900006550</v>
      </c>
      <c r="D1146" s="7">
        <f>IFERROR(VLOOKUP(C1146,TRAOPE!$G:$H,2,0),"")</f>
        <v/>
      </c>
      <c r="E1146" s="8" t="inlineStr">
        <is>
          <t>DW70</t>
        </is>
      </c>
      <c r="F1146" s="8" t="inlineStr">
        <is>
          <t>D083</t>
        </is>
      </c>
      <c r="G1146" s="8">
        <f>IFERROR(VLOOKUP(A1146,Flete!$A:$E,5,0),"")</f>
        <v/>
      </c>
      <c r="H1146" s="7">
        <f>IFERROR(VLOOKUP(F1146,TRAOPE!$AA:$AB,2,0),"")</f>
        <v/>
      </c>
      <c r="I1146" s="7" t="n">
        <v>10198093</v>
      </c>
      <c r="J1146" s="7">
        <f>IFERROR(VLOOKUP(I1146,Materiales!$A:$H,8,0),"")</f>
        <v/>
      </c>
      <c r="K1146" s="9">
        <f>IFERROR(VLOOKUP(I1146,Materiales!$A:$G,7,0),"")</f>
        <v/>
      </c>
      <c r="L1146" s="8" t="inlineStr">
        <is>
          <t>20230501</t>
        </is>
      </c>
      <c r="M1146" s="8" t="inlineStr">
        <is>
          <t>20250131</t>
        </is>
      </c>
      <c r="N1146" s="10" t="n">
        <v>191.39</v>
      </c>
      <c r="O1146" s="10">
        <f>IFERROR(VLOOKUP(A1146,Flete!$A:$J,10,0),"")</f>
        <v/>
      </c>
      <c r="P1146" s="8" t="inlineStr">
        <is>
          <t>TN</t>
        </is>
      </c>
      <c r="Q1146" s="10">
        <f>IFERROR(IFERROR(VLOOKUP(A1146,TRAOPE!$A:$U,21,0),VLOOKUP(B1146,TRAOPE!$A:$U,21,0)),"")</f>
        <v/>
      </c>
      <c r="R1146" s="8">
        <f>IFERROR(IFERROR(VLOOKUP(A1146,TRAOPE!$A:$W,23,0),VLOOKUP(B1146,TRAOPE!$A:$W,23,0)),"")</f>
        <v/>
      </c>
      <c r="S1146" s="10">
        <f>IF(AND(P1146="TN",R1146="TN"),N1146+N(O1146),IF(G1146&amp;""="1",N(K1146)*N1146,(N1146+N(O1146))*N(K1146)))</f>
        <v/>
      </c>
      <c r="T1146" s="10">
        <f>IF(Q1146="","",Q1146-S1146)</f>
        <v/>
      </c>
    </row>
    <row r="1147">
      <c r="A1147" s="7">
        <f>CONCATENATE(C1147,E1147,F1147,I1147)</f>
        <v/>
      </c>
      <c r="B1147" s="7">
        <f>CONCATENATE(C1147,E1147,I1147)</f>
        <v/>
      </c>
      <c r="C1147" s="8" t="n">
        <v>900006715</v>
      </c>
      <c r="D1147" s="7">
        <f>IFERROR(VLOOKUP(C1147,TRAOPE!$G:$H,2,0),"")</f>
        <v/>
      </c>
      <c r="E1147" s="8" t="inlineStr">
        <is>
          <t>DW70</t>
        </is>
      </c>
      <c r="F1147" s="8" t="inlineStr">
        <is>
          <t>D093</t>
        </is>
      </c>
      <c r="G1147" s="8">
        <f>IFERROR(VLOOKUP(A1147,Flete!$A:$E,5,0),"")</f>
        <v/>
      </c>
      <c r="H1147" s="7">
        <f>IFERROR(VLOOKUP(F1147,TRAOPE!$AA:$AB,2,0),"")</f>
        <v/>
      </c>
      <c r="I1147" s="7" t="n">
        <v>10186274</v>
      </c>
      <c r="J1147" s="7">
        <f>IFERROR(VLOOKUP(I1147,Materiales!$A:$H,8,0),"")</f>
        <v/>
      </c>
      <c r="K1147" s="9">
        <f>IFERROR(VLOOKUP(I1147,Materiales!$A:$G,7,0),"")</f>
        <v/>
      </c>
      <c r="L1147" s="8" t="inlineStr">
        <is>
          <t>20230501</t>
        </is>
      </c>
      <c r="M1147" s="8" t="inlineStr">
        <is>
          <t>20250131</t>
        </is>
      </c>
      <c r="N1147" s="10" t="n">
        <v>180.05</v>
      </c>
      <c r="O1147" s="10">
        <f>IFERROR(VLOOKUP(A1147,Flete!$A:$J,10,0),"")</f>
        <v/>
      </c>
      <c r="P1147" s="8" t="inlineStr">
        <is>
          <t>TN</t>
        </is>
      </c>
      <c r="Q1147" s="10">
        <f>IFERROR(IFERROR(VLOOKUP(A1147,TRAOPE!$A:$U,21,0),VLOOKUP(B1147,TRAOPE!$A:$U,21,0)),"")</f>
        <v/>
      </c>
      <c r="R1147" s="8">
        <f>IFERROR(IFERROR(VLOOKUP(A1147,TRAOPE!$A:$W,23,0),VLOOKUP(B1147,TRAOPE!$A:$W,23,0)),"")</f>
        <v/>
      </c>
      <c r="S1147" s="10">
        <f>IF(AND(P1147="TN",R1147="TN"),N1147+N(O1147),IF(G1147&amp;""="1",N(K1147)*N1147,(N1147+N(O1147))*N(K1147)))</f>
        <v/>
      </c>
      <c r="T1147" s="10">
        <f>IF(Q1147="","",Q1147-S1147)</f>
        <v/>
      </c>
    </row>
    <row r="1148">
      <c r="A1148" s="7">
        <f>CONCATENATE(C1148,E1148,F1148,I1148)</f>
        <v/>
      </c>
      <c r="B1148" s="7">
        <f>CONCATENATE(C1148,E1148,I1148)</f>
        <v/>
      </c>
      <c r="C1148" s="8" t="n">
        <v>900006715</v>
      </c>
      <c r="D1148" s="7">
        <f>IFERROR(VLOOKUP(C1148,TRAOPE!$G:$H,2,0),"")</f>
        <v/>
      </c>
      <c r="E1148" s="8" t="inlineStr">
        <is>
          <t>DW70</t>
        </is>
      </c>
      <c r="F1148" s="8" t="inlineStr">
        <is>
          <t>D098</t>
        </is>
      </c>
      <c r="G1148" s="8">
        <f>IFERROR(VLOOKUP(A1148,Flete!$A:$E,5,0),"")</f>
        <v/>
      </c>
      <c r="H1148" s="7">
        <f>IFERROR(VLOOKUP(F1148,TRAOPE!$AA:$AB,2,0),"")</f>
        <v/>
      </c>
      <c r="I1148" s="7" t="n">
        <v>10186274</v>
      </c>
      <c r="J1148" s="7">
        <f>IFERROR(VLOOKUP(I1148,Materiales!$A:$H,8,0),"")</f>
        <v/>
      </c>
      <c r="K1148" s="9">
        <f>IFERROR(VLOOKUP(I1148,Materiales!$A:$G,7,0),"")</f>
        <v/>
      </c>
      <c r="L1148" s="8" t="inlineStr">
        <is>
          <t>20230501</t>
        </is>
      </c>
      <c r="M1148" s="8" t="inlineStr">
        <is>
          <t>20250131</t>
        </is>
      </c>
      <c r="N1148" s="10" t="n">
        <v>180.05</v>
      </c>
      <c r="O1148" s="10">
        <f>IFERROR(VLOOKUP(A1148,Flete!$A:$J,10,0),"")</f>
        <v/>
      </c>
      <c r="P1148" s="8" t="inlineStr">
        <is>
          <t>TN</t>
        </is>
      </c>
      <c r="Q1148" s="10">
        <f>IFERROR(IFERROR(VLOOKUP(A1148,TRAOPE!$A:$U,21,0),VLOOKUP(B1148,TRAOPE!$A:$U,21,0)),"")</f>
        <v/>
      </c>
      <c r="R1148" s="8">
        <f>IFERROR(IFERROR(VLOOKUP(A1148,TRAOPE!$A:$W,23,0),VLOOKUP(B1148,TRAOPE!$A:$W,23,0)),"")</f>
        <v/>
      </c>
      <c r="S1148" s="10">
        <f>IF(AND(P1148="TN",R1148="TN"),N1148+N(O1148),IF(G1148&amp;""="1",N(K1148)*N1148,(N1148+N(O1148))*N(K1148)))</f>
        <v/>
      </c>
      <c r="T1148" s="10">
        <f>IF(Q1148="","",Q1148-S1148)</f>
        <v/>
      </c>
    </row>
    <row r="1149">
      <c r="A1149" s="7">
        <f>CONCATENATE(C1149,E1149,F1149,I1149)</f>
        <v/>
      </c>
      <c r="B1149" s="7">
        <f>CONCATENATE(C1149,E1149,I1149)</f>
        <v/>
      </c>
      <c r="C1149" s="8" t="n">
        <v>900006715</v>
      </c>
      <c r="D1149" s="7">
        <f>IFERROR(VLOOKUP(C1149,TRAOPE!$G:$H,2,0),"")</f>
        <v/>
      </c>
      <c r="E1149" s="8" t="inlineStr">
        <is>
          <t>DW70</t>
        </is>
      </c>
      <c r="F1149" s="8" t="inlineStr">
        <is>
          <t>D681</t>
        </is>
      </c>
      <c r="G1149" s="8">
        <f>IFERROR(VLOOKUP(A1149,Flete!$A:$E,5,0),"")</f>
        <v/>
      </c>
      <c r="H1149" s="7">
        <f>IFERROR(VLOOKUP(F1149,TRAOPE!$AA:$AB,2,0),"")</f>
        <v/>
      </c>
      <c r="I1149" s="7" t="n">
        <v>10186274</v>
      </c>
      <c r="J1149" s="7">
        <f>IFERROR(VLOOKUP(I1149,Materiales!$A:$H,8,0),"")</f>
        <v/>
      </c>
      <c r="K1149" s="9">
        <f>IFERROR(VLOOKUP(I1149,Materiales!$A:$G,7,0),"")</f>
        <v/>
      </c>
      <c r="L1149" s="8" t="inlineStr">
        <is>
          <t>20230501</t>
        </is>
      </c>
      <c r="M1149" s="8" t="inlineStr">
        <is>
          <t>20250131</t>
        </is>
      </c>
      <c r="N1149" s="10" t="n">
        <v>180.05</v>
      </c>
      <c r="O1149" s="10">
        <f>IFERROR(VLOOKUP(A1149,Flete!$A:$J,10,0),"")</f>
        <v/>
      </c>
      <c r="P1149" s="8" t="inlineStr">
        <is>
          <t>TN</t>
        </is>
      </c>
      <c r="Q1149" s="10">
        <f>IFERROR(IFERROR(VLOOKUP(A1149,TRAOPE!$A:$U,21,0),VLOOKUP(B1149,TRAOPE!$A:$U,21,0)),"")</f>
        <v/>
      </c>
      <c r="R1149" s="8">
        <f>IFERROR(IFERROR(VLOOKUP(A1149,TRAOPE!$A:$W,23,0),VLOOKUP(B1149,TRAOPE!$A:$W,23,0)),"")</f>
        <v/>
      </c>
      <c r="S1149" s="10">
        <f>IF(AND(P1149="TN",R1149="TN"),N1149+N(O1149),IF(G1149&amp;""="1",N(K1149)*N1149,(N1149+N(O1149))*N(K1149)))</f>
        <v/>
      </c>
      <c r="T1149" s="10">
        <f>IF(Q1149="","",Q1149-S1149)</f>
        <v/>
      </c>
    </row>
    <row r="1150">
      <c r="A1150" s="7">
        <f>CONCATENATE(C1150,E1150,F1150,I1150)</f>
        <v/>
      </c>
      <c r="B1150" s="7">
        <f>CONCATENATE(C1150,E1150,I1150)</f>
        <v/>
      </c>
      <c r="C1150" s="8" t="n">
        <v>900006765</v>
      </c>
      <c r="D1150" s="7">
        <f>IFERROR(VLOOKUP(C1150,TRAOPE!$G:$H,2,0),"")</f>
        <v/>
      </c>
      <c r="E1150" s="8" t="inlineStr">
        <is>
          <t>DW70</t>
        </is>
      </c>
      <c r="F1150" s="8" t="inlineStr">
        <is>
          <t>D081</t>
        </is>
      </c>
      <c r="G1150" s="8">
        <f>IFERROR(VLOOKUP(A1150,Flete!$A:$E,5,0),"")</f>
        <v/>
      </c>
      <c r="H1150" s="7">
        <f>IFERROR(VLOOKUP(F1150,TRAOPE!$AA:$AB,2,0),"")</f>
        <v/>
      </c>
      <c r="I1150" s="7" t="n">
        <v>10000829</v>
      </c>
      <c r="J1150" s="7">
        <f>IFERROR(VLOOKUP(I1150,Materiales!$A:$H,8,0),"")</f>
        <v/>
      </c>
      <c r="K1150" s="9">
        <f>IFERROR(VLOOKUP(I1150,Materiales!$A:$G,7,0),"")</f>
        <v/>
      </c>
      <c r="L1150" s="8" t="inlineStr">
        <is>
          <t>20230501</t>
        </is>
      </c>
      <c r="M1150" s="8" t="inlineStr">
        <is>
          <t>20250131</t>
        </is>
      </c>
      <c r="N1150" s="10" t="n">
        <v>45.46</v>
      </c>
      <c r="O1150" s="10">
        <f>IFERROR(VLOOKUP(A1150,Flete!$A:$J,10,0),"")</f>
        <v/>
      </c>
      <c r="P1150" s="8" t="inlineStr">
        <is>
          <t>TN</t>
        </is>
      </c>
      <c r="Q1150" s="10">
        <f>IFERROR(IFERROR(VLOOKUP(A1150,TRAOPE!$A:$U,21,0),VLOOKUP(B1150,TRAOPE!$A:$U,21,0)),"")</f>
        <v/>
      </c>
      <c r="R1150" s="8">
        <f>IFERROR(IFERROR(VLOOKUP(A1150,TRAOPE!$A:$W,23,0),VLOOKUP(B1150,TRAOPE!$A:$W,23,0)),"")</f>
        <v/>
      </c>
      <c r="S1150" s="10">
        <f>IF(AND(P1150="TN",R1150="TN"),N1150+N(O1150),IF(G1150&amp;""="1",N(K1150)*N1150,(N1150+N(O1150))*N(K1150)))</f>
        <v/>
      </c>
      <c r="T1150" s="10">
        <f>IF(Q1150="","",Q1150-S1150)</f>
        <v/>
      </c>
    </row>
    <row r="1151">
      <c r="A1151" s="7">
        <f>CONCATENATE(C1151,E1151,F1151,I1151)</f>
        <v/>
      </c>
      <c r="B1151" s="7">
        <f>CONCATENATE(C1151,E1151,I1151)</f>
        <v/>
      </c>
      <c r="C1151" s="8" t="n">
        <v>900006765</v>
      </c>
      <c r="D1151" s="7">
        <f>IFERROR(VLOOKUP(C1151,TRAOPE!$G:$H,2,0),"")</f>
        <v/>
      </c>
      <c r="E1151" s="8" t="inlineStr">
        <is>
          <t>DW70</t>
        </is>
      </c>
      <c r="F1151" s="8" t="inlineStr">
        <is>
          <t>D083</t>
        </is>
      </c>
      <c r="G1151" s="8">
        <f>IFERROR(VLOOKUP(A1151,Flete!$A:$E,5,0),"")</f>
        <v/>
      </c>
      <c r="H1151" s="7">
        <f>IFERROR(VLOOKUP(F1151,TRAOPE!$AA:$AB,2,0),"")</f>
        <v/>
      </c>
      <c r="I1151" s="7" t="n">
        <v>10000829</v>
      </c>
      <c r="J1151" s="7">
        <f>IFERROR(VLOOKUP(I1151,Materiales!$A:$H,8,0),"")</f>
        <v/>
      </c>
      <c r="K1151" s="9">
        <f>IFERROR(VLOOKUP(I1151,Materiales!$A:$G,7,0),"")</f>
        <v/>
      </c>
      <c r="L1151" s="8" t="inlineStr">
        <is>
          <t>20230501</t>
        </is>
      </c>
      <c r="M1151" s="8" t="inlineStr">
        <is>
          <t>20250131</t>
        </is>
      </c>
      <c r="N1151" s="10" t="n">
        <v>45.46</v>
      </c>
      <c r="O1151" s="10">
        <f>IFERROR(VLOOKUP(A1151,Flete!$A:$J,10,0),"")</f>
        <v/>
      </c>
      <c r="P1151" s="8" t="inlineStr">
        <is>
          <t>TN</t>
        </is>
      </c>
      <c r="Q1151" s="10">
        <f>IFERROR(IFERROR(VLOOKUP(A1151,TRAOPE!$A:$U,21,0),VLOOKUP(B1151,TRAOPE!$A:$U,21,0)),"")</f>
        <v/>
      </c>
      <c r="R1151" s="8">
        <f>IFERROR(IFERROR(VLOOKUP(A1151,TRAOPE!$A:$W,23,0),VLOOKUP(B1151,TRAOPE!$A:$W,23,0)),"")</f>
        <v/>
      </c>
      <c r="S1151" s="10">
        <f>IF(AND(P1151="TN",R1151="TN"),N1151+N(O1151),IF(G1151&amp;""="1",N(K1151)*N1151,(N1151+N(O1151))*N(K1151)))</f>
        <v/>
      </c>
      <c r="T1151" s="10">
        <f>IF(Q1151="","",Q1151-S1151)</f>
        <v/>
      </c>
    </row>
    <row r="1152">
      <c r="A1152" s="7">
        <f>CONCATENATE(C1152,E1152,F1152,I1152)</f>
        <v/>
      </c>
      <c r="B1152" s="7">
        <f>CONCATENATE(C1152,E1152,I1152)</f>
        <v/>
      </c>
      <c r="C1152" s="8" t="n">
        <v>900006783</v>
      </c>
      <c r="D1152" s="7">
        <f>IFERROR(VLOOKUP(C1152,TRAOPE!$G:$H,2,0),"")</f>
        <v/>
      </c>
      <c r="E1152" s="8" t="inlineStr">
        <is>
          <t>DW70</t>
        </is>
      </c>
      <c r="F1152" s="8" t="inlineStr">
        <is>
          <t>D081</t>
        </is>
      </c>
      <c r="G1152" s="8">
        <f>IFERROR(VLOOKUP(A1152,Flete!$A:$E,5,0),"")</f>
        <v/>
      </c>
      <c r="H1152" s="7">
        <f>IFERROR(VLOOKUP(F1152,TRAOPE!$AA:$AB,2,0),"")</f>
        <v/>
      </c>
      <c r="I1152" s="7" t="n">
        <v>10186274</v>
      </c>
      <c r="J1152" s="7">
        <f>IFERROR(VLOOKUP(I1152,Materiales!$A:$H,8,0),"")</f>
        <v/>
      </c>
      <c r="K1152" s="9">
        <f>IFERROR(VLOOKUP(I1152,Materiales!$A:$G,7,0),"")</f>
        <v/>
      </c>
      <c r="L1152" s="8" t="inlineStr">
        <is>
          <t>20230501</t>
        </is>
      </c>
      <c r="M1152" s="8" t="inlineStr">
        <is>
          <t>20250131</t>
        </is>
      </c>
      <c r="N1152" s="10" t="n">
        <v>180.06</v>
      </c>
      <c r="O1152" s="10">
        <f>IFERROR(VLOOKUP(A1152,Flete!$A:$J,10,0),"")</f>
        <v/>
      </c>
      <c r="P1152" s="8" t="inlineStr">
        <is>
          <t>TN</t>
        </is>
      </c>
      <c r="Q1152" s="10">
        <f>IFERROR(IFERROR(VLOOKUP(A1152,TRAOPE!$A:$U,21,0),VLOOKUP(B1152,TRAOPE!$A:$U,21,0)),"")</f>
        <v/>
      </c>
      <c r="R1152" s="8">
        <f>IFERROR(IFERROR(VLOOKUP(A1152,TRAOPE!$A:$W,23,0),VLOOKUP(B1152,TRAOPE!$A:$W,23,0)),"")</f>
        <v/>
      </c>
      <c r="S1152" s="10">
        <f>IF(AND(P1152="TN",R1152="TN"),N1152+N(O1152),IF(G1152&amp;""="1",N(K1152)*N1152,(N1152+N(O1152))*N(K1152)))</f>
        <v/>
      </c>
      <c r="T1152" s="10">
        <f>IF(Q1152="","",Q1152-S1152)</f>
        <v/>
      </c>
    </row>
    <row r="1153">
      <c r="A1153" s="7">
        <f>CONCATENATE(C1153,E1153,F1153,I1153)</f>
        <v/>
      </c>
      <c r="B1153" s="7">
        <f>CONCATENATE(C1153,E1153,I1153)</f>
        <v/>
      </c>
      <c r="C1153" s="8" t="n">
        <v>900006783</v>
      </c>
      <c r="D1153" s="7">
        <f>IFERROR(VLOOKUP(C1153,TRAOPE!$G:$H,2,0),"")</f>
        <v/>
      </c>
      <c r="E1153" s="8" t="inlineStr">
        <is>
          <t>DW70</t>
        </is>
      </c>
      <c r="F1153" s="8" t="inlineStr">
        <is>
          <t>D098</t>
        </is>
      </c>
      <c r="G1153" s="8">
        <f>IFERROR(VLOOKUP(A1153,Flete!$A:$E,5,0),"")</f>
        <v/>
      </c>
      <c r="H1153" s="7">
        <f>IFERROR(VLOOKUP(F1153,TRAOPE!$AA:$AB,2,0),"")</f>
        <v/>
      </c>
      <c r="I1153" s="7" t="n">
        <v>10186274</v>
      </c>
      <c r="J1153" s="7">
        <f>IFERROR(VLOOKUP(I1153,Materiales!$A:$H,8,0),"")</f>
        <v/>
      </c>
      <c r="K1153" s="9">
        <f>IFERROR(VLOOKUP(I1153,Materiales!$A:$G,7,0),"")</f>
        <v/>
      </c>
      <c r="L1153" s="8" t="inlineStr">
        <is>
          <t>20230501</t>
        </is>
      </c>
      <c r="M1153" s="8" t="inlineStr">
        <is>
          <t>20250131</t>
        </is>
      </c>
      <c r="N1153" s="10" t="n">
        <v>180.06</v>
      </c>
      <c r="O1153" s="10">
        <f>IFERROR(VLOOKUP(A1153,Flete!$A:$J,10,0),"")</f>
        <v/>
      </c>
      <c r="P1153" s="8" t="inlineStr">
        <is>
          <t>TN</t>
        </is>
      </c>
      <c r="Q1153" s="10">
        <f>IFERROR(IFERROR(VLOOKUP(A1153,TRAOPE!$A:$U,21,0),VLOOKUP(B1153,TRAOPE!$A:$U,21,0)),"")</f>
        <v/>
      </c>
      <c r="R1153" s="8">
        <f>IFERROR(IFERROR(VLOOKUP(A1153,TRAOPE!$A:$W,23,0),VLOOKUP(B1153,TRAOPE!$A:$W,23,0)),"")</f>
        <v/>
      </c>
      <c r="S1153" s="10">
        <f>IF(AND(P1153="TN",R1153="TN"),N1153+N(O1153),IF(G1153&amp;""="1",N(K1153)*N1153,(N1153+N(O1153))*N(K1153)))</f>
        <v/>
      </c>
      <c r="T1153" s="10">
        <f>IF(Q1153="","",Q1153-S1153)</f>
        <v/>
      </c>
    </row>
    <row r="1154">
      <c r="A1154" s="7">
        <f>CONCATENATE(C1154,E1154,F1154,I1154)</f>
        <v/>
      </c>
      <c r="B1154" s="7">
        <f>CONCATENATE(C1154,E1154,I1154)</f>
        <v/>
      </c>
      <c r="C1154" s="8" t="n">
        <v>900007079</v>
      </c>
      <c r="D1154" s="7">
        <f>IFERROR(VLOOKUP(C1154,TRAOPE!$G:$H,2,0),"")</f>
        <v/>
      </c>
      <c r="E1154" s="8" t="inlineStr">
        <is>
          <t>DW70</t>
        </is>
      </c>
      <c r="F1154" s="8" t="inlineStr">
        <is>
          <t>ENDB</t>
        </is>
      </c>
      <c r="G1154" s="8">
        <f>IFERROR(VLOOKUP(A1154,Flete!$A:$E,5,0),"")</f>
        <v/>
      </c>
      <c r="H1154" s="7">
        <f>IFERROR(VLOOKUP(F1154,TRAOPE!$AA:$AB,2,0),"")</f>
        <v/>
      </c>
      <c r="I1154" s="7" t="n">
        <v>10000160</v>
      </c>
      <c r="J1154" s="7">
        <f>IFERROR(VLOOKUP(I1154,Materiales!$A:$H,8,0),"")</f>
        <v/>
      </c>
      <c r="K1154" s="9">
        <f>IFERROR(VLOOKUP(I1154,Materiales!$A:$G,7,0),"")</f>
        <v/>
      </c>
      <c r="L1154" s="8" t="inlineStr">
        <is>
          <t>20250701</t>
        </is>
      </c>
      <c r="M1154" s="8" t="inlineStr">
        <is>
          <t>20251031</t>
        </is>
      </c>
      <c r="N1154" s="10" t="n">
        <v>117.1</v>
      </c>
      <c r="O1154" s="10">
        <f>IFERROR(VLOOKUP(A1154,Flete!$A:$J,10,0),"")</f>
        <v/>
      </c>
      <c r="P1154" s="8" t="inlineStr">
        <is>
          <t>TN</t>
        </is>
      </c>
      <c r="Q1154" s="10">
        <f>IFERROR(IFERROR(VLOOKUP(A1154,TRAOPE!$A:$U,21,0),VLOOKUP(B1154,TRAOPE!$A:$U,21,0)),"")</f>
        <v/>
      </c>
      <c r="R1154" s="8">
        <f>IFERROR(IFERROR(VLOOKUP(A1154,TRAOPE!$A:$W,23,0),VLOOKUP(B1154,TRAOPE!$A:$W,23,0)),"")</f>
        <v/>
      </c>
      <c r="S1154" s="10">
        <f>IF(AND(P1154="TN",R1154="TN"),N1154+N(O1154),IF(G1154&amp;""="1",N(K1154)*N1154,(N1154+N(O1154))*N(K1154)))</f>
        <v/>
      </c>
      <c r="T1154" s="10">
        <f>IF(Q1154="","",Q1154-S1154)</f>
        <v/>
      </c>
    </row>
    <row r="1155">
      <c r="A1155" s="7">
        <f>CONCATENATE(C1155,E1155,F1155,I1155)</f>
        <v/>
      </c>
      <c r="B1155" s="7">
        <f>CONCATENATE(C1155,E1155,I1155)</f>
        <v/>
      </c>
      <c r="C1155" s="8" t="n">
        <v>900007079</v>
      </c>
      <c r="D1155" s="7">
        <f>IFERROR(VLOOKUP(C1155,TRAOPE!$G:$H,2,0),"")</f>
        <v/>
      </c>
      <c r="E1155" s="8" t="inlineStr">
        <is>
          <t>DW70</t>
        </is>
      </c>
      <c r="F1155" s="8" t="inlineStr">
        <is>
          <t>ENDB</t>
        </is>
      </c>
      <c r="G1155" s="8">
        <f>IFERROR(VLOOKUP(A1155,Flete!$A:$E,5,0),"")</f>
        <v/>
      </c>
      <c r="H1155" s="7">
        <f>IFERROR(VLOOKUP(F1155,TRAOPE!$AA:$AB,2,0),"")</f>
        <v/>
      </c>
      <c r="I1155" s="7" t="n">
        <v>10000206</v>
      </c>
      <c r="J1155" s="7">
        <f>IFERROR(VLOOKUP(I1155,Materiales!$A:$H,8,0),"")</f>
        <v/>
      </c>
      <c r="K1155" s="9">
        <f>IFERROR(VLOOKUP(I1155,Materiales!$A:$G,7,0),"")</f>
        <v/>
      </c>
      <c r="L1155" s="8" t="inlineStr">
        <is>
          <t>20250701</t>
        </is>
      </c>
      <c r="M1155" s="8" t="inlineStr">
        <is>
          <t>99991231</t>
        </is>
      </c>
      <c r="N1155" s="10" t="n">
        <v>48.04</v>
      </c>
      <c r="O1155" s="10">
        <f>IFERROR(VLOOKUP(A1155,Flete!$A:$J,10,0),"")</f>
        <v/>
      </c>
      <c r="P1155" s="8" t="inlineStr">
        <is>
          <t>TN</t>
        </is>
      </c>
      <c r="Q1155" s="10">
        <f>IFERROR(IFERROR(VLOOKUP(A1155,TRAOPE!$A:$U,21,0),VLOOKUP(B1155,TRAOPE!$A:$U,21,0)),"")</f>
        <v/>
      </c>
      <c r="R1155" s="8">
        <f>IFERROR(IFERROR(VLOOKUP(A1155,TRAOPE!$A:$W,23,0),VLOOKUP(B1155,TRAOPE!$A:$W,23,0)),"")</f>
        <v/>
      </c>
      <c r="S1155" s="10">
        <f>IF(AND(P1155="TN",R1155="TN"),N1155+N(O1155),IF(G1155&amp;""="1",N(K1155)*N1155,(N1155+N(O1155))*N(K1155)))</f>
        <v/>
      </c>
      <c r="T1155" s="10">
        <f>IF(Q1155="","",Q1155-S1155)</f>
        <v/>
      </c>
    </row>
    <row r="1156">
      <c r="A1156" s="7">
        <f>CONCATENATE(C1156,E1156,F1156,I1156)</f>
        <v/>
      </c>
      <c r="B1156" s="7">
        <f>CONCATENATE(C1156,E1156,I1156)</f>
        <v/>
      </c>
      <c r="C1156" s="8" t="n">
        <v>900007079</v>
      </c>
      <c r="D1156" s="7">
        <f>IFERROR(VLOOKUP(C1156,TRAOPE!$G:$H,2,0),"")</f>
        <v/>
      </c>
      <c r="E1156" s="8" t="inlineStr">
        <is>
          <t>DW70</t>
        </is>
      </c>
      <c r="F1156" s="8" t="inlineStr">
        <is>
          <t>ENDB</t>
        </is>
      </c>
      <c r="G1156" s="8">
        <f>IFERROR(VLOOKUP(A1156,Flete!$A:$E,5,0),"")</f>
        <v/>
      </c>
      <c r="H1156" s="7">
        <f>IFERROR(VLOOKUP(F1156,TRAOPE!$AA:$AB,2,0),"")</f>
        <v/>
      </c>
      <c r="I1156" s="7" t="n">
        <v>10175723</v>
      </c>
      <c r="J1156" s="7">
        <f>IFERROR(VLOOKUP(I1156,Materiales!$A:$H,8,0),"")</f>
        <v/>
      </c>
      <c r="K1156" s="9">
        <f>IFERROR(VLOOKUP(I1156,Materiales!$A:$G,7,0),"")</f>
        <v/>
      </c>
      <c r="L1156" s="8" t="inlineStr">
        <is>
          <t>20250701</t>
        </is>
      </c>
      <c r="M1156" s="8" t="inlineStr">
        <is>
          <t>99991231</t>
        </is>
      </c>
      <c r="N1156" s="10" t="n">
        <v>130.3</v>
      </c>
      <c r="O1156" s="10">
        <f>IFERROR(VLOOKUP(A1156,Flete!$A:$J,10,0),"")</f>
        <v/>
      </c>
      <c r="P1156" s="8" t="inlineStr">
        <is>
          <t>TN</t>
        </is>
      </c>
      <c r="Q1156" s="10">
        <f>IFERROR(IFERROR(VLOOKUP(A1156,TRAOPE!$A:$U,21,0),VLOOKUP(B1156,TRAOPE!$A:$U,21,0)),"")</f>
        <v/>
      </c>
      <c r="R1156" s="8">
        <f>IFERROR(IFERROR(VLOOKUP(A1156,TRAOPE!$A:$W,23,0),VLOOKUP(B1156,TRAOPE!$A:$W,23,0)),"")</f>
        <v/>
      </c>
      <c r="S1156" s="10">
        <f>IF(AND(P1156="TN",R1156="TN"),N1156+N(O1156),IF(G1156&amp;""="1",N(K1156)*N1156,(N1156+N(O1156))*N(K1156)))</f>
        <v/>
      </c>
      <c r="T1156" s="10">
        <f>IF(Q1156="","",Q1156-S1156)</f>
        <v/>
      </c>
    </row>
    <row r="1157">
      <c r="A1157" s="7">
        <f>CONCATENATE(C1157,E1157,F1157,I1157)</f>
        <v/>
      </c>
      <c r="B1157" s="7">
        <f>CONCATENATE(C1157,E1157,I1157)</f>
        <v/>
      </c>
      <c r="C1157" s="8" t="n">
        <v>900007079</v>
      </c>
      <c r="D1157" s="7">
        <f>IFERROR(VLOOKUP(C1157,TRAOPE!$G:$H,2,0),"")</f>
        <v/>
      </c>
      <c r="E1157" s="8" t="inlineStr">
        <is>
          <t>DW70</t>
        </is>
      </c>
      <c r="F1157" s="8" t="inlineStr">
        <is>
          <t>ENDC</t>
        </is>
      </c>
      <c r="G1157" s="8">
        <f>IFERROR(VLOOKUP(A1157,Flete!$A:$E,5,0),"")</f>
        <v/>
      </c>
      <c r="H1157" s="7">
        <f>IFERROR(VLOOKUP(F1157,TRAOPE!$AA:$AB,2,0),"")</f>
        <v/>
      </c>
      <c r="I1157" s="7" t="n">
        <v>10000160</v>
      </c>
      <c r="J1157" s="7">
        <f>IFERROR(VLOOKUP(I1157,Materiales!$A:$H,8,0),"")</f>
        <v/>
      </c>
      <c r="K1157" s="9">
        <f>IFERROR(VLOOKUP(I1157,Materiales!$A:$G,7,0),"")</f>
        <v/>
      </c>
      <c r="L1157" s="8" t="inlineStr">
        <is>
          <t>20250701</t>
        </is>
      </c>
      <c r="M1157" s="8" t="inlineStr">
        <is>
          <t>20251031</t>
        </is>
      </c>
      <c r="N1157" s="10" t="n">
        <v>117.1</v>
      </c>
      <c r="O1157" s="10">
        <f>IFERROR(VLOOKUP(A1157,Flete!$A:$J,10,0),"")</f>
        <v/>
      </c>
      <c r="P1157" s="8" t="inlineStr">
        <is>
          <t>TN</t>
        </is>
      </c>
      <c r="Q1157" s="10">
        <f>IFERROR(IFERROR(VLOOKUP(A1157,TRAOPE!$A:$U,21,0),VLOOKUP(B1157,TRAOPE!$A:$U,21,0)),"")</f>
        <v/>
      </c>
      <c r="R1157" s="8">
        <f>IFERROR(IFERROR(VLOOKUP(A1157,TRAOPE!$A:$W,23,0),VLOOKUP(B1157,TRAOPE!$A:$W,23,0)),"")</f>
        <v/>
      </c>
      <c r="S1157" s="10">
        <f>IF(AND(P1157="TN",R1157="TN"),N1157+N(O1157),IF(G1157&amp;""="1",N(K1157)*N1157,(N1157+N(O1157))*N(K1157)))</f>
        <v/>
      </c>
      <c r="T1157" s="10">
        <f>IF(Q1157="","",Q1157-S1157)</f>
        <v/>
      </c>
    </row>
    <row r="1158">
      <c r="A1158" s="7">
        <f>CONCATENATE(C1158,E1158,F1158,I1158)</f>
        <v/>
      </c>
      <c r="B1158" s="7">
        <f>CONCATENATE(C1158,E1158,I1158)</f>
        <v/>
      </c>
      <c r="C1158" s="8" t="n">
        <v>900007079</v>
      </c>
      <c r="D1158" s="7">
        <f>IFERROR(VLOOKUP(C1158,TRAOPE!$G:$H,2,0),"")</f>
        <v/>
      </c>
      <c r="E1158" s="8" t="inlineStr">
        <is>
          <t>DW70</t>
        </is>
      </c>
      <c r="F1158" s="8" t="inlineStr">
        <is>
          <t>ENDC</t>
        </is>
      </c>
      <c r="G1158" s="8">
        <f>IFERROR(VLOOKUP(A1158,Flete!$A:$E,5,0),"")</f>
        <v/>
      </c>
      <c r="H1158" s="7">
        <f>IFERROR(VLOOKUP(F1158,TRAOPE!$AA:$AB,2,0),"")</f>
        <v/>
      </c>
      <c r="I1158" s="7" t="n">
        <v>10000206</v>
      </c>
      <c r="J1158" s="7">
        <f>IFERROR(VLOOKUP(I1158,Materiales!$A:$H,8,0),"")</f>
        <v/>
      </c>
      <c r="K1158" s="9">
        <f>IFERROR(VLOOKUP(I1158,Materiales!$A:$G,7,0),"")</f>
        <v/>
      </c>
      <c r="L1158" s="8" t="inlineStr">
        <is>
          <t>20250701</t>
        </is>
      </c>
      <c r="M1158" s="8" t="inlineStr">
        <is>
          <t>20251031</t>
        </is>
      </c>
      <c r="N1158" s="10" t="n">
        <v>48.04</v>
      </c>
      <c r="O1158" s="10">
        <f>IFERROR(VLOOKUP(A1158,Flete!$A:$J,10,0),"")</f>
        <v/>
      </c>
      <c r="P1158" s="8" t="inlineStr">
        <is>
          <t>TN</t>
        </is>
      </c>
      <c r="Q1158" s="10">
        <f>IFERROR(IFERROR(VLOOKUP(A1158,TRAOPE!$A:$U,21,0),VLOOKUP(B1158,TRAOPE!$A:$U,21,0)),"")</f>
        <v/>
      </c>
      <c r="R1158" s="8">
        <f>IFERROR(IFERROR(VLOOKUP(A1158,TRAOPE!$A:$W,23,0),VLOOKUP(B1158,TRAOPE!$A:$W,23,0)),"")</f>
        <v/>
      </c>
      <c r="S1158" s="10">
        <f>IF(AND(P1158="TN",R1158="TN"),N1158+N(O1158),IF(G1158&amp;""="1",N(K1158)*N1158,(N1158+N(O1158))*N(K1158)))</f>
        <v/>
      </c>
      <c r="T1158" s="10">
        <f>IF(Q1158="","",Q1158-S1158)</f>
        <v/>
      </c>
    </row>
    <row r="1159">
      <c r="A1159" s="7">
        <f>CONCATENATE(C1159,E1159,F1159,I1159)</f>
        <v/>
      </c>
      <c r="B1159" s="7">
        <f>CONCATENATE(C1159,E1159,I1159)</f>
        <v/>
      </c>
      <c r="C1159" s="8" t="n">
        <v>900007079</v>
      </c>
      <c r="D1159" s="7">
        <f>IFERROR(VLOOKUP(C1159,TRAOPE!$G:$H,2,0),"")</f>
        <v/>
      </c>
      <c r="E1159" s="8" t="inlineStr">
        <is>
          <t>DW70</t>
        </is>
      </c>
      <c r="F1159" s="8" t="inlineStr">
        <is>
          <t>ENDC</t>
        </is>
      </c>
      <c r="G1159" s="8">
        <f>IFERROR(VLOOKUP(A1159,Flete!$A:$E,5,0),"")</f>
        <v/>
      </c>
      <c r="H1159" s="7">
        <f>IFERROR(VLOOKUP(F1159,TRAOPE!$AA:$AB,2,0),"")</f>
        <v/>
      </c>
      <c r="I1159" s="7" t="n">
        <v>10175723</v>
      </c>
      <c r="J1159" s="7">
        <f>IFERROR(VLOOKUP(I1159,Materiales!$A:$H,8,0),"")</f>
        <v/>
      </c>
      <c r="K1159" s="9">
        <f>IFERROR(VLOOKUP(I1159,Materiales!$A:$G,7,0),"")</f>
        <v/>
      </c>
      <c r="L1159" s="8" t="inlineStr">
        <is>
          <t>20250701</t>
        </is>
      </c>
      <c r="M1159" s="8" t="inlineStr">
        <is>
          <t>99991231</t>
        </is>
      </c>
      <c r="N1159" s="10" t="n">
        <v>130.3</v>
      </c>
      <c r="O1159" s="10">
        <f>IFERROR(VLOOKUP(A1159,Flete!$A:$J,10,0),"")</f>
        <v/>
      </c>
      <c r="P1159" s="8" t="inlineStr">
        <is>
          <t>TN</t>
        </is>
      </c>
      <c r="Q1159" s="10">
        <f>IFERROR(IFERROR(VLOOKUP(A1159,TRAOPE!$A:$U,21,0),VLOOKUP(B1159,TRAOPE!$A:$U,21,0)),"")</f>
        <v/>
      </c>
      <c r="R1159" s="8">
        <f>IFERROR(IFERROR(VLOOKUP(A1159,TRAOPE!$A:$W,23,0),VLOOKUP(B1159,TRAOPE!$A:$W,23,0)),"")</f>
        <v/>
      </c>
      <c r="S1159" s="10">
        <f>IF(AND(P1159="TN",R1159="TN"),N1159+N(O1159),IF(G1159&amp;""="1",N(K1159)*N1159,(N1159+N(O1159))*N(K1159)))</f>
        <v/>
      </c>
      <c r="T1159" s="10">
        <f>IF(Q1159="","",Q1159-S1159)</f>
        <v/>
      </c>
    </row>
    <row r="1160">
      <c r="A1160" s="7">
        <f>CONCATENATE(C1160,E1160,F1160,I1160)</f>
        <v/>
      </c>
      <c r="B1160" s="7">
        <f>CONCATENATE(C1160,E1160,I1160)</f>
        <v/>
      </c>
      <c r="C1160" s="8" t="n">
        <v>900007079</v>
      </c>
      <c r="D1160" s="7">
        <f>IFERROR(VLOOKUP(C1160,TRAOPE!$G:$H,2,0),"")</f>
        <v/>
      </c>
      <c r="E1160" s="8" t="inlineStr">
        <is>
          <t>DW70</t>
        </is>
      </c>
      <c r="F1160" s="8" t="inlineStr">
        <is>
          <t>ENXF</t>
        </is>
      </c>
      <c r="G1160" s="8">
        <f>IFERROR(VLOOKUP(A1160,Flete!$A:$E,5,0),"")</f>
        <v/>
      </c>
      <c r="H1160" s="7">
        <f>IFERROR(VLOOKUP(F1160,TRAOPE!$AA:$AB,2,0),"")</f>
        <v/>
      </c>
      <c r="I1160" s="7" t="n">
        <v>10175723</v>
      </c>
      <c r="J1160" s="7">
        <f>IFERROR(VLOOKUP(I1160,Materiales!$A:$H,8,0),"")</f>
        <v/>
      </c>
      <c r="K1160" s="9">
        <f>IFERROR(VLOOKUP(I1160,Materiales!$A:$G,7,0),"")</f>
        <v/>
      </c>
      <c r="L1160" s="8" t="inlineStr">
        <is>
          <t>20260401</t>
        </is>
      </c>
      <c r="M1160" s="8" t="inlineStr">
        <is>
          <t>99991231</t>
        </is>
      </c>
      <c r="N1160" s="10" t="n">
        <v>120.61</v>
      </c>
      <c r="O1160" s="10">
        <f>IFERROR(VLOOKUP(A1160,Flete!$A:$J,10,0),"")</f>
        <v/>
      </c>
      <c r="P1160" s="8" t="inlineStr">
        <is>
          <t>TN</t>
        </is>
      </c>
      <c r="Q1160" s="10">
        <f>IFERROR(IFERROR(VLOOKUP(A1160,TRAOPE!$A:$U,21,0),VLOOKUP(B1160,TRAOPE!$A:$U,21,0)),"")</f>
        <v/>
      </c>
      <c r="R1160" s="8">
        <f>IFERROR(IFERROR(VLOOKUP(A1160,TRAOPE!$A:$W,23,0),VLOOKUP(B1160,TRAOPE!$A:$W,23,0)),"")</f>
        <v/>
      </c>
      <c r="S1160" s="10">
        <f>IF(AND(P1160="TN",R1160="TN"),N1160+N(O1160),IF(G1160&amp;""="1",N(K1160)*N1160,(N1160+N(O1160))*N(K1160)))</f>
        <v/>
      </c>
      <c r="T1160" s="10">
        <f>IF(Q1160="","",Q1160-S1160)</f>
        <v/>
      </c>
    </row>
    <row r="1161">
      <c r="A1161" s="7">
        <f>CONCATENATE(C1161,E1161,F1161,I1161)</f>
        <v/>
      </c>
      <c r="B1161" s="7">
        <f>CONCATENATE(C1161,E1161,I1161)</f>
        <v/>
      </c>
      <c r="C1161" s="8" t="n">
        <v>900007197</v>
      </c>
      <c r="D1161" s="7">
        <f>IFERROR(VLOOKUP(C1161,TRAOPE!$G:$H,2,0),"")</f>
        <v/>
      </c>
      <c r="E1161" s="8" t="inlineStr">
        <is>
          <t>DW70</t>
        </is>
      </c>
      <c r="F1161" s="8" t="inlineStr">
        <is>
          <t>D098</t>
        </is>
      </c>
      <c r="G1161" s="8">
        <f>IFERROR(VLOOKUP(A1161,Flete!$A:$E,5,0),"")</f>
        <v/>
      </c>
      <c r="H1161" s="7">
        <f>IFERROR(VLOOKUP(F1161,TRAOPE!$AA:$AB,2,0),"")</f>
        <v/>
      </c>
      <c r="I1161" s="7" t="n">
        <v>10000160</v>
      </c>
      <c r="J1161" s="7">
        <f>IFERROR(VLOOKUP(I1161,Materiales!$A:$H,8,0),"")</f>
        <v/>
      </c>
      <c r="K1161" s="9">
        <f>IFERROR(VLOOKUP(I1161,Materiales!$A:$G,7,0),"")</f>
        <v/>
      </c>
      <c r="L1161" s="8" t="inlineStr">
        <is>
          <t>20260210</t>
        </is>
      </c>
      <c r="M1161" s="8" t="inlineStr">
        <is>
          <t>20260310</t>
        </is>
      </c>
      <c r="N1161" s="10" t="n">
        <v>88.72</v>
      </c>
      <c r="O1161" s="10">
        <f>IFERROR(VLOOKUP(A1161,Flete!$A:$J,10,0),"")</f>
        <v/>
      </c>
      <c r="P1161" s="8" t="inlineStr">
        <is>
          <t>TN</t>
        </is>
      </c>
      <c r="Q1161" s="10">
        <f>IFERROR(IFERROR(VLOOKUP(A1161,TRAOPE!$A:$U,21,0),VLOOKUP(B1161,TRAOPE!$A:$U,21,0)),"")</f>
        <v/>
      </c>
      <c r="R1161" s="8">
        <f>IFERROR(IFERROR(VLOOKUP(A1161,TRAOPE!$A:$W,23,0),VLOOKUP(B1161,TRAOPE!$A:$W,23,0)),"")</f>
        <v/>
      </c>
      <c r="S1161" s="10">
        <f>IF(AND(P1161="TN",R1161="TN"),N1161+N(O1161),IF(G1161&amp;""="1",N(K1161)*N1161,(N1161+N(O1161))*N(K1161)))</f>
        <v/>
      </c>
      <c r="T1161" s="10">
        <f>IF(Q1161="","",Q1161-S1161)</f>
        <v/>
      </c>
    </row>
    <row r="1162">
      <c r="A1162" s="7">
        <f>CONCATENATE(C1162,E1162,F1162,I1162)</f>
        <v/>
      </c>
      <c r="B1162" s="7">
        <f>CONCATENATE(C1162,E1162,I1162)</f>
        <v/>
      </c>
      <c r="C1162" s="8" t="n">
        <v>900007197</v>
      </c>
      <c r="D1162" s="7">
        <f>IFERROR(VLOOKUP(C1162,TRAOPE!$G:$H,2,0),"")</f>
        <v/>
      </c>
      <c r="E1162" s="8" t="inlineStr">
        <is>
          <t>DW70</t>
        </is>
      </c>
      <c r="F1162" s="8" t="inlineStr">
        <is>
          <t>D098</t>
        </is>
      </c>
      <c r="G1162" s="8">
        <f>IFERROR(VLOOKUP(A1162,Flete!$A:$E,5,0),"")</f>
        <v/>
      </c>
      <c r="H1162" s="7">
        <f>IFERROR(VLOOKUP(F1162,TRAOPE!$AA:$AB,2,0),"")</f>
        <v/>
      </c>
      <c r="I1162" s="7" t="n">
        <v>10275118</v>
      </c>
      <c r="J1162" s="7">
        <f>IFERROR(VLOOKUP(I1162,Materiales!$A:$H,8,0),"")</f>
        <v/>
      </c>
      <c r="K1162" s="9">
        <f>IFERROR(VLOOKUP(I1162,Materiales!$A:$G,7,0),"")</f>
        <v/>
      </c>
      <c r="L1162" s="8" t="inlineStr">
        <is>
          <t>20260310</t>
        </is>
      </c>
      <c r="M1162" s="8" t="inlineStr">
        <is>
          <t>99991231</t>
        </is>
      </c>
      <c r="N1162" s="10" t="n">
        <v>89.22</v>
      </c>
      <c r="O1162" s="10">
        <f>IFERROR(VLOOKUP(A1162,Flete!$A:$J,10,0),"")</f>
        <v/>
      </c>
      <c r="P1162" s="8" t="inlineStr">
        <is>
          <t>TN</t>
        </is>
      </c>
      <c r="Q1162" s="10">
        <f>IFERROR(IFERROR(VLOOKUP(A1162,TRAOPE!$A:$U,21,0),VLOOKUP(B1162,TRAOPE!$A:$U,21,0)),"")</f>
        <v/>
      </c>
      <c r="R1162" s="8">
        <f>IFERROR(IFERROR(VLOOKUP(A1162,TRAOPE!$A:$W,23,0),VLOOKUP(B1162,TRAOPE!$A:$W,23,0)),"")</f>
        <v/>
      </c>
      <c r="S1162" s="10">
        <f>IF(AND(P1162="TN",R1162="TN"),N1162+N(O1162),IF(G1162&amp;""="1",N(K1162)*N1162,(N1162+N(O1162))*N(K1162)))</f>
        <v/>
      </c>
      <c r="T1162" s="10">
        <f>IF(Q1162="","",Q1162-S1162)</f>
        <v/>
      </c>
    </row>
    <row r="1163">
      <c r="A1163" s="7">
        <f>CONCATENATE(C1163,E1163,F1163,I1163)</f>
        <v/>
      </c>
      <c r="B1163" s="7">
        <f>CONCATENATE(C1163,E1163,I1163)</f>
        <v/>
      </c>
      <c r="C1163" s="8" t="n">
        <v>900007197</v>
      </c>
      <c r="D1163" s="7">
        <f>IFERROR(VLOOKUP(C1163,TRAOPE!$G:$H,2,0),"")</f>
        <v/>
      </c>
      <c r="E1163" s="8" t="inlineStr">
        <is>
          <t>DW70</t>
        </is>
      </c>
      <c r="F1163" s="8" t="inlineStr">
        <is>
          <t>D136</t>
        </is>
      </c>
      <c r="G1163" s="8">
        <f>IFERROR(VLOOKUP(A1163,Flete!$A:$E,5,0),"")</f>
        <v/>
      </c>
      <c r="H1163" s="7">
        <f>IFERROR(VLOOKUP(F1163,TRAOPE!$AA:$AB,2,0),"")</f>
        <v/>
      </c>
      <c r="I1163" s="7" t="n">
        <v>10000160</v>
      </c>
      <c r="J1163" s="7">
        <f>IFERROR(VLOOKUP(I1163,Materiales!$A:$H,8,0),"")</f>
        <v/>
      </c>
      <c r="K1163" s="9">
        <f>IFERROR(VLOOKUP(I1163,Materiales!$A:$G,7,0),"")</f>
        <v/>
      </c>
      <c r="L1163" s="8" t="inlineStr">
        <is>
          <t>20260210</t>
        </is>
      </c>
      <c r="M1163" s="8" t="inlineStr">
        <is>
          <t>20260310</t>
        </is>
      </c>
      <c r="N1163" s="10" t="n">
        <v>88.72</v>
      </c>
      <c r="O1163" s="10">
        <f>IFERROR(VLOOKUP(A1163,Flete!$A:$J,10,0),"")</f>
        <v/>
      </c>
      <c r="P1163" s="8" t="inlineStr">
        <is>
          <t>TN</t>
        </is>
      </c>
      <c r="Q1163" s="10">
        <f>IFERROR(IFERROR(VLOOKUP(A1163,TRAOPE!$A:$U,21,0),VLOOKUP(B1163,TRAOPE!$A:$U,21,0)),"")</f>
        <v/>
      </c>
      <c r="R1163" s="8">
        <f>IFERROR(IFERROR(VLOOKUP(A1163,TRAOPE!$A:$W,23,0),VLOOKUP(B1163,TRAOPE!$A:$W,23,0)),"")</f>
        <v/>
      </c>
      <c r="S1163" s="10">
        <f>IF(AND(P1163="TN",R1163="TN"),N1163+N(O1163),IF(G1163&amp;""="1",N(K1163)*N1163,(N1163+N(O1163))*N(K1163)))</f>
        <v/>
      </c>
      <c r="T1163" s="10">
        <f>IF(Q1163="","",Q1163-S1163)</f>
        <v/>
      </c>
    </row>
    <row r="1164">
      <c r="A1164" s="7">
        <f>CONCATENATE(C1164,E1164,F1164,I1164)</f>
        <v/>
      </c>
      <c r="B1164" s="7">
        <f>CONCATENATE(C1164,E1164,I1164)</f>
        <v/>
      </c>
      <c r="C1164" s="8" t="n">
        <v>900007197</v>
      </c>
      <c r="D1164" s="7">
        <f>IFERROR(VLOOKUP(C1164,TRAOPE!$G:$H,2,0),"")</f>
        <v/>
      </c>
      <c r="E1164" s="8" t="inlineStr">
        <is>
          <t>DW70</t>
        </is>
      </c>
      <c r="F1164" s="8" t="inlineStr">
        <is>
          <t>D136</t>
        </is>
      </c>
      <c r="G1164" s="8">
        <f>IFERROR(VLOOKUP(A1164,Flete!$A:$E,5,0),"")</f>
        <v/>
      </c>
      <c r="H1164" s="7">
        <f>IFERROR(VLOOKUP(F1164,TRAOPE!$AA:$AB,2,0),"")</f>
        <v/>
      </c>
      <c r="I1164" s="7" t="n">
        <v>10275118</v>
      </c>
      <c r="J1164" s="7">
        <f>IFERROR(VLOOKUP(I1164,Materiales!$A:$H,8,0),"")</f>
        <v/>
      </c>
      <c r="K1164" s="9">
        <f>IFERROR(VLOOKUP(I1164,Materiales!$A:$G,7,0),"")</f>
        <v/>
      </c>
      <c r="L1164" s="8" t="inlineStr">
        <is>
          <t>20260310</t>
        </is>
      </c>
      <c r="M1164" s="8" t="inlineStr">
        <is>
          <t>99991231</t>
        </is>
      </c>
      <c r="N1164" s="10" t="n">
        <v>89.22</v>
      </c>
      <c r="O1164" s="10">
        <f>IFERROR(VLOOKUP(A1164,Flete!$A:$J,10,0),"")</f>
        <v/>
      </c>
      <c r="P1164" s="8" t="inlineStr">
        <is>
          <t>TN</t>
        </is>
      </c>
      <c r="Q1164" s="10">
        <f>IFERROR(IFERROR(VLOOKUP(A1164,TRAOPE!$A:$U,21,0),VLOOKUP(B1164,TRAOPE!$A:$U,21,0)),"")</f>
        <v/>
      </c>
      <c r="R1164" s="8">
        <f>IFERROR(IFERROR(VLOOKUP(A1164,TRAOPE!$A:$W,23,0),VLOOKUP(B1164,TRAOPE!$A:$W,23,0)),"")</f>
        <v/>
      </c>
      <c r="S1164" s="10">
        <f>IF(AND(P1164="TN",R1164="TN"),N1164+N(O1164),IF(G1164&amp;""="1",N(K1164)*N1164,(N1164+N(O1164))*N(K1164)))</f>
        <v/>
      </c>
      <c r="T1164" s="10">
        <f>IF(Q1164="","",Q1164-S1164)</f>
        <v/>
      </c>
    </row>
    <row r="1165">
      <c r="A1165" s="7">
        <f>CONCATENATE(C1165,E1165,F1165,I1165)</f>
        <v/>
      </c>
      <c r="B1165" s="7">
        <f>CONCATENATE(C1165,E1165,I1165)</f>
        <v/>
      </c>
      <c r="C1165" s="8" t="n">
        <v>900007310</v>
      </c>
      <c r="D1165" s="7">
        <f>IFERROR(VLOOKUP(C1165,TRAOPE!$G:$H,2,0),"")</f>
        <v/>
      </c>
      <c r="E1165" s="8" t="inlineStr">
        <is>
          <t>DW70</t>
        </is>
      </c>
      <c r="F1165" s="8" t="inlineStr">
        <is>
          <t>D093</t>
        </is>
      </c>
      <c r="G1165" s="8">
        <f>IFERROR(VLOOKUP(A1165,Flete!$A:$E,5,0),"")</f>
        <v/>
      </c>
      <c r="H1165" s="7">
        <f>IFERROR(VLOOKUP(F1165,TRAOPE!$AA:$AB,2,0),"")</f>
        <v/>
      </c>
      <c r="I1165" s="7" t="n">
        <v>10186274</v>
      </c>
      <c r="J1165" s="7">
        <f>IFERROR(VLOOKUP(I1165,Materiales!$A:$H,8,0),"")</f>
        <v/>
      </c>
      <c r="K1165" s="9">
        <f>IFERROR(VLOOKUP(I1165,Materiales!$A:$G,7,0),"")</f>
        <v/>
      </c>
      <c r="L1165" s="8" t="inlineStr">
        <is>
          <t>20230501</t>
        </is>
      </c>
      <c r="M1165" s="8" t="inlineStr">
        <is>
          <t>20250131</t>
        </is>
      </c>
      <c r="N1165" s="10" t="n">
        <v>180.05</v>
      </c>
      <c r="O1165" s="10">
        <f>IFERROR(VLOOKUP(A1165,Flete!$A:$J,10,0),"")</f>
        <v/>
      </c>
      <c r="P1165" s="8" t="inlineStr">
        <is>
          <t>TN</t>
        </is>
      </c>
      <c r="Q1165" s="10">
        <f>IFERROR(IFERROR(VLOOKUP(A1165,TRAOPE!$A:$U,21,0),VLOOKUP(B1165,TRAOPE!$A:$U,21,0)),"")</f>
        <v/>
      </c>
      <c r="R1165" s="8">
        <f>IFERROR(IFERROR(VLOOKUP(A1165,TRAOPE!$A:$W,23,0),VLOOKUP(B1165,TRAOPE!$A:$W,23,0)),"")</f>
        <v/>
      </c>
      <c r="S1165" s="10">
        <f>IF(AND(P1165="TN",R1165="TN"),N1165+N(O1165),IF(G1165&amp;""="1",N(K1165)*N1165,(N1165+N(O1165))*N(K1165)))</f>
        <v/>
      </c>
      <c r="T1165" s="10">
        <f>IF(Q1165="","",Q1165-S1165)</f>
        <v/>
      </c>
    </row>
    <row r="1166">
      <c r="A1166" s="7">
        <f>CONCATENATE(C1166,E1166,F1166,I1166)</f>
        <v/>
      </c>
      <c r="B1166" s="7">
        <f>CONCATENATE(C1166,E1166,I1166)</f>
        <v/>
      </c>
      <c r="C1166" s="8" t="n">
        <v>900007310</v>
      </c>
      <c r="D1166" s="7">
        <f>IFERROR(VLOOKUP(C1166,TRAOPE!$G:$H,2,0),"")</f>
        <v/>
      </c>
      <c r="E1166" s="8" t="inlineStr">
        <is>
          <t>DW70</t>
        </is>
      </c>
      <c r="F1166" s="8" t="inlineStr">
        <is>
          <t>D098</t>
        </is>
      </c>
      <c r="G1166" s="8">
        <f>IFERROR(VLOOKUP(A1166,Flete!$A:$E,5,0),"")</f>
        <v/>
      </c>
      <c r="H1166" s="7">
        <f>IFERROR(VLOOKUP(F1166,TRAOPE!$AA:$AB,2,0),"")</f>
        <v/>
      </c>
      <c r="I1166" s="7" t="n">
        <v>10186274</v>
      </c>
      <c r="J1166" s="7">
        <f>IFERROR(VLOOKUP(I1166,Materiales!$A:$H,8,0),"")</f>
        <v/>
      </c>
      <c r="K1166" s="9">
        <f>IFERROR(VLOOKUP(I1166,Materiales!$A:$G,7,0),"")</f>
        <v/>
      </c>
      <c r="L1166" s="8" t="inlineStr">
        <is>
          <t>20230501</t>
        </is>
      </c>
      <c r="M1166" s="8" t="inlineStr">
        <is>
          <t>20250131</t>
        </is>
      </c>
      <c r="N1166" s="10" t="n">
        <v>180.05</v>
      </c>
      <c r="O1166" s="10">
        <f>IFERROR(VLOOKUP(A1166,Flete!$A:$J,10,0),"")</f>
        <v/>
      </c>
      <c r="P1166" s="8" t="inlineStr">
        <is>
          <t>TN</t>
        </is>
      </c>
      <c r="Q1166" s="10">
        <f>IFERROR(IFERROR(VLOOKUP(A1166,TRAOPE!$A:$U,21,0),VLOOKUP(B1166,TRAOPE!$A:$U,21,0)),"")</f>
        <v/>
      </c>
      <c r="R1166" s="8">
        <f>IFERROR(IFERROR(VLOOKUP(A1166,TRAOPE!$A:$W,23,0),VLOOKUP(B1166,TRAOPE!$A:$W,23,0)),"")</f>
        <v/>
      </c>
      <c r="S1166" s="10">
        <f>IF(AND(P1166="TN",R1166="TN"),N1166+N(O1166),IF(G1166&amp;""="1",N(K1166)*N1166,(N1166+N(O1166))*N(K1166)))</f>
        <v/>
      </c>
      <c r="T1166" s="10">
        <f>IF(Q1166="","",Q1166-S1166)</f>
        <v/>
      </c>
    </row>
    <row r="1167">
      <c r="A1167" s="7">
        <f>CONCATENATE(C1167,E1167,F1167,I1167)</f>
        <v/>
      </c>
      <c r="B1167" s="7">
        <f>CONCATENATE(C1167,E1167,I1167)</f>
        <v/>
      </c>
      <c r="C1167" s="8" t="n">
        <v>900007310</v>
      </c>
      <c r="D1167" s="7">
        <f>IFERROR(VLOOKUP(C1167,TRAOPE!$G:$H,2,0),"")</f>
        <v/>
      </c>
      <c r="E1167" s="8" t="inlineStr">
        <is>
          <t>DW70</t>
        </is>
      </c>
      <c r="F1167" s="8" t="inlineStr">
        <is>
          <t>D681</t>
        </is>
      </c>
      <c r="G1167" s="8">
        <f>IFERROR(VLOOKUP(A1167,Flete!$A:$E,5,0),"")</f>
        <v/>
      </c>
      <c r="H1167" s="7">
        <f>IFERROR(VLOOKUP(F1167,TRAOPE!$AA:$AB,2,0),"")</f>
        <v/>
      </c>
      <c r="I1167" s="7" t="n">
        <v>10186274</v>
      </c>
      <c r="J1167" s="7">
        <f>IFERROR(VLOOKUP(I1167,Materiales!$A:$H,8,0),"")</f>
        <v/>
      </c>
      <c r="K1167" s="9">
        <f>IFERROR(VLOOKUP(I1167,Materiales!$A:$G,7,0),"")</f>
        <v/>
      </c>
      <c r="L1167" s="8" t="inlineStr">
        <is>
          <t>20230501</t>
        </is>
      </c>
      <c r="M1167" s="8" t="inlineStr">
        <is>
          <t>20250131</t>
        </is>
      </c>
      <c r="N1167" s="10" t="n">
        <v>180.05</v>
      </c>
      <c r="O1167" s="10">
        <f>IFERROR(VLOOKUP(A1167,Flete!$A:$J,10,0),"")</f>
        <v/>
      </c>
      <c r="P1167" s="8" t="inlineStr">
        <is>
          <t>TN</t>
        </is>
      </c>
      <c r="Q1167" s="10">
        <f>IFERROR(IFERROR(VLOOKUP(A1167,TRAOPE!$A:$U,21,0),VLOOKUP(B1167,TRAOPE!$A:$U,21,0)),"")</f>
        <v/>
      </c>
      <c r="R1167" s="8">
        <f>IFERROR(IFERROR(VLOOKUP(A1167,TRAOPE!$A:$W,23,0),VLOOKUP(B1167,TRAOPE!$A:$W,23,0)),"")</f>
        <v/>
      </c>
      <c r="S1167" s="10">
        <f>IF(AND(P1167="TN",R1167="TN"),N1167+N(O1167),IF(G1167&amp;""="1",N(K1167)*N1167,(N1167+N(O1167))*N(K1167)))</f>
        <v/>
      </c>
      <c r="T1167" s="10">
        <f>IF(Q1167="","",Q1167-S1167)</f>
        <v/>
      </c>
    </row>
    <row r="1168">
      <c r="A1168" s="7">
        <f>CONCATENATE(C1168,E1168,F1168,I1168)</f>
        <v/>
      </c>
      <c r="B1168" s="7">
        <f>CONCATENATE(C1168,E1168,I1168)</f>
        <v/>
      </c>
      <c r="C1168" s="8" t="n">
        <v>900007455</v>
      </c>
      <c r="D1168" s="7">
        <f>IFERROR(VLOOKUP(C1168,TRAOPE!$G:$H,2,0),"")</f>
        <v/>
      </c>
      <c r="E1168" s="8" t="inlineStr">
        <is>
          <t>DW70</t>
        </is>
      </c>
      <c r="F1168" s="8" t="inlineStr">
        <is>
          <t>E673</t>
        </is>
      </c>
      <c r="G1168" s="8">
        <f>IFERROR(VLOOKUP(A1168,Flete!$A:$E,5,0),"")</f>
        <v/>
      </c>
      <c r="H1168" s="7">
        <f>IFERROR(VLOOKUP(F1168,TRAOPE!$AA:$AB,2,0),"")</f>
        <v/>
      </c>
      <c r="I1168" s="7" t="n">
        <v>10000624</v>
      </c>
      <c r="J1168" s="7">
        <f>IFERROR(VLOOKUP(I1168,Materiales!$A:$H,8,0),"")</f>
        <v/>
      </c>
      <c r="K1168" s="9">
        <f>IFERROR(VLOOKUP(I1168,Materiales!$A:$G,7,0),"")</f>
        <v/>
      </c>
      <c r="L1168" s="8" t="inlineStr">
        <is>
          <t>20230501</t>
        </is>
      </c>
      <c r="M1168" s="8" t="inlineStr">
        <is>
          <t>20250131</t>
        </is>
      </c>
      <c r="N1168" s="10" t="n">
        <v>98</v>
      </c>
      <c r="O1168" s="10">
        <f>IFERROR(VLOOKUP(A1168,Flete!$A:$J,10,0),"")</f>
        <v/>
      </c>
      <c r="P1168" s="8" t="inlineStr">
        <is>
          <t>TN</t>
        </is>
      </c>
      <c r="Q1168" s="10">
        <f>IFERROR(IFERROR(VLOOKUP(A1168,TRAOPE!$A:$U,21,0),VLOOKUP(B1168,TRAOPE!$A:$U,21,0)),"")</f>
        <v/>
      </c>
      <c r="R1168" s="8">
        <f>IFERROR(IFERROR(VLOOKUP(A1168,TRAOPE!$A:$W,23,0),VLOOKUP(B1168,TRAOPE!$A:$W,23,0)),"")</f>
        <v/>
      </c>
      <c r="S1168" s="10">
        <f>IF(AND(P1168="TN",R1168="TN"),N1168+N(O1168),IF(G1168&amp;""="1",N(K1168)*N1168,(N1168+N(O1168))*N(K1168)))</f>
        <v/>
      </c>
      <c r="T1168" s="10">
        <f>IF(Q1168="","",Q1168-S1168)</f>
        <v/>
      </c>
    </row>
    <row r="1169">
      <c r="A1169" s="7">
        <f>CONCATENATE(C1169,E1169,F1169,I1169)</f>
        <v/>
      </c>
      <c r="B1169" s="7">
        <f>CONCATENATE(C1169,E1169,I1169)</f>
        <v/>
      </c>
      <c r="C1169" s="8" t="n">
        <v>900007455</v>
      </c>
      <c r="D1169" s="7">
        <f>IFERROR(VLOOKUP(C1169,TRAOPE!$G:$H,2,0),"")</f>
        <v/>
      </c>
      <c r="E1169" s="8" t="inlineStr">
        <is>
          <t>DW70</t>
        </is>
      </c>
      <c r="F1169" s="8" t="inlineStr">
        <is>
          <t>E673</t>
        </is>
      </c>
      <c r="G1169" s="8">
        <f>IFERROR(VLOOKUP(A1169,Flete!$A:$E,5,0),"")</f>
        <v/>
      </c>
      <c r="H1169" s="7">
        <f>IFERROR(VLOOKUP(F1169,TRAOPE!$AA:$AB,2,0),"")</f>
        <v/>
      </c>
      <c r="I1169" s="7" t="n">
        <v>10170112</v>
      </c>
      <c r="J1169" s="7">
        <f>IFERROR(VLOOKUP(I1169,Materiales!$A:$H,8,0),"")</f>
        <v/>
      </c>
      <c r="K1169" s="9">
        <f>IFERROR(VLOOKUP(I1169,Materiales!$A:$G,7,0),"")</f>
        <v/>
      </c>
      <c r="L1169" s="8" t="inlineStr">
        <is>
          <t>20230501</t>
        </is>
      </c>
      <c r="M1169" s="8" t="inlineStr">
        <is>
          <t>20250131</t>
        </is>
      </c>
      <c r="N1169" s="10" t="n">
        <v>94.88</v>
      </c>
      <c r="O1169" s="10">
        <f>IFERROR(VLOOKUP(A1169,Flete!$A:$J,10,0),"")</f>
        <v/>
      </c>
      <c r="P1169" s="8" t="inlineStr">
        <is>
          <t>TN</t>
        </is>
      </c>
      <c r="Q1169" s="10">
        <f>IFERROR(IFERROR(VLOOKUP(A1169,TRAOPE!$A:$U,21,0),VLOOKUP(B1169,TRAOPE!$A:$U,21,0)),"")</f>
        <v/>
      </c>
      <c r="R1169" s="8">
        <f>IFERROR(IFERROR(VLOOKUP(A1169,TRAOPE!$A:$W,23,0),VLOOKUP(B1169,TRAOPE!$A:$W,23,0)),"")</f>
        <v/>
      </c>
      <c r="S1169" s="10">
        <f>IF(AND(P1169="TN",R1169="TN"),N1169+N(O1169),IF(G1169&amp;""="1",N(K1169)*N1169,(N1169+N(O1169))*N(K1169)))</f>
        <v/>
      </c>
      <c r="T1169" s="10">
        <f>IF(Q1169="","",Q1169-S1169)</f>
        <v/>
      </c>
    </row>
    <row r="1170">
      <c r="A1170" s="7">
        <f>CONCATENATE(C1170,E1170,F1170,I1170)</f>
        <v/>
      </c>
      <c r="B1170" s="7">
        <f>CONCATENATE(C1170,E1170,I1170)</f>
        <v/>
      </c>
      <c r="C1170" s="8" t="n">
        <v>900007455</v>
      </c>
      <c r="D1170" s="7">
        <f>IFERROR(VLOOKUP(C1170,TRAOPE!$G:$H,2,0),"")</f>
        <v/>
      </c>
      <c r="E1170" s="8" t="inlineStr">
        <is>
          <t>DW70</t>
        </is>
      </c>
      <c r="F1170" s="8" t="inlineStr">
        <is>
          <t>EQ75</t>
        </is>
      </c>
      <c r="G1170" s="8">
        <f>IFERROR(VLOOKUP(A1170,Flete!$A:$E,5,0),"")</f>
        <v/>
      </c>
      <c r="H1170" s="7">
        <f>IFERROR(VLOOKUP(F1170,TRAOPE!$AA:$AB,2,0),"")</f>
        <v/>
      </c>
      <c r="I1170" s="7" t="n">
        <v>10000624</v>
      </c>
      <c r="J1170" s="7">
        <f>IFERROR(VLOOKUP(I1170,Materiales!$A:$H,8,0),"")</f>
        <v/>
      </c>
      <c r="K1170" s="9">
        <f>IFERROR(VLOOKUP(I1170,Materiales!$A:$G,7,0),"")</f>
        <v/>
      </c>
      <c r="L1170" s="8" t="inlineStr">
        <is>
          <t>20230501</t>
        </is>
      </c>
      <c r="M1170" s="8" t="inlineStr">
        <is>
          <t>20250131</t>
        </is>
      </c>
      <c r="N1170" s="10" t="n">
        <v>98</v>
      </c>
      <c r="O1170" s="10">
        <f>IFERROR(VLOOKUP(A1170,Flete!$A:$J,10,0),"")</f>
        <v/>
      </c>
      <c r="P1170" s="8" t="inlineStr">
        <is>
          <t>TN</t>
        </is>
      </c>
      <c r="Q1170" s="10">
        <f>IFERROR(IFERROR(VLOOKUP(A1170,TRAOPE!$A:$U,21,0),VLOOKUP(B1170,TRAOPE!$A:$U,21,0)),"")</f>
        <v/>
      </c>
      <c r="R1170" s="8">
        <f>IFERROR(IFERROR(VLOOKUP(A1170,TRAOPE!$A:$W,23,0),VLOOKUP(B1170,TRAOPE!$A:$W,23,0)),"")</f>
        <v/>
      </c>
      <c r="S1170" s="10">
        <f>IF(AND(P1170="TN",R1170="TN"),N1170+N(O1170),IF(G1170&amp;""="1",N(K1170)*N1170,(N1170+N(O1170))*N(K1170)))</f>
        <v/>
      </c>
      <c r="T1170" s="10">
        <f>IF(Q1170="","",Q1170-S1170)</f>
        <v/>
      </c>
    </row>
    <row r="1171">
      <c r="A1171" s="7">
        <f>CONCATENATE(C1171,E1171,F1171,I1171)</f>
        <v/>
      </c>
      <c r="B1171" s="7">
        <f>CONCATENATE(C1171,E1171,I1171)</f>
        <v/>
      </c>
      <c r="C1171" s="8" t="n">
        <v>900007455</v>
      </c>
      <c r="D1171" s="7">
        <f>IFERROR(VLOOKUP(C1171,TRAOPE!$G:$H,2,0),"")</f>
        <v/>
      </c>
      <c r="E1171" s="8" t="inlineStr">
        <is>
          <t>DW70</t>
        </is>
      </c>
      <c r="F1171" s="8" t="inlineStr">
        <is>
          <t>EQ75</t>
        </is>
      </c>
      <c r="G1171" s="8">
        <f>IFERROR(VLOOKUP(A1171,Flete!$A:$E,5,0),"")</f>
        <v/>
      </c>
      <c r="H1171" s="7">
        <f>IFERROR(VLOOKUP(F1171,TRAOPE!$AA:$AB,2,0),"")</f>
        <v/>
      </c>
      <c r="I1171" s="7" t="n">
        <v>10170112</v>
      </c>
      <c r="J1171" s="7">
        <f>IFERROR(VLOOKUP(I1171,Materiales!$A:$H,8,0),"")</f>
        <v/>
      </c>
      <c r="K1171" s="9">
        <f>IFERROR(VLOOKUP(I1171,Materiales!$A:$G,7,0),"")</f>
        <v/>
      </c>
      <c r="L1171" s="8" t="inlineStr">
        <is>
          <t>20230501</t>
        </is>
      </c>
      <c r="M1171" s="8" t="inlineStr">
        <is>
          <t>20250131</t>
        </is>
      </c>
      <c r="N1171" s="10" t="n">
        <v>94.88</v>
      </c>
      <c r="O1171" s="10">
        <f>IFERROR(VLOOKUP(A1171,Flete!$A:$J,10,0),"")</f>
        <v/>
      </c>
      <c r="P1171" s="8" t="inlineStr">
        <is>
          <t>TN</t>
        </is>
      </c>
      <c r="Q1171" s="10">
        <f>IFERROR(IFERROR(VLOOKUP(A1171,TRAOPE!$A:$U,21,0),VLOOKUP(B1171,TRAOPE!$A:$U,21,0)),"")</f>
        <v/>
      </c>
      <c r="R1171" s="8">
        <f>IFERROR(IFERROR(VLOOKUP(A1171,TRAOPE!$A:$W,23,0),VLOOKUP(B1171,TRAOPE!$A:$W,23,0)),"")</f>
        <v/>
      </c>
      <c r="S1171" s="10">
        <f>IF(AND(P1171="TN",R1171="TN"),N1171+N(O1171),IF(G1171&amp;""="1",N(K1171)*N1171,(N1171+N(O1171))*N(K1171)))</f>
        <v/>
      </c>
      <c r="T1171" s="10">
        <f>IF(Q1171="","",Q1171-S1171)</f>
        <v/>
      </c>
    </row>
    <row r="1172">
      <c r="A1172" s="7">
        <f>CONCATENATE(C1172,E1172,F1172,I1172)</f>
        <v/>
      </c>
      <c r="B1172" s="7">
        <f>CONCATENATE(C1172,E1172,I1172)</f>
        <v/>
      </c>
      <c r="C1172" s="8" t="n">
        <v>900007504</v>
      </c>
      <c r="D1172" s="7">
        <f>IFERROR(VLOOKUP(C1172,TRAOPE!$G:$H,2,0),"")</f>
        <v/>
      </c>
      <c r="E1172" s="8" t="inlineStr">
        <is>
          <t>DW70</t>
        </is>
      </c>
      <c r="F1172" s="8" t="inlineStr">
        <is>
          <t>D098</t>
        </is>
      </c>
      <c r="G1172" s="8">
        <f>IFERROR(VLOOKUP(A1172,Flete!$A:$E,5,0),"")</f>
        <v/>
      </c>
      <c r="H1172" s="7">
        <f>IFERROR(VLOOKUP(F1172,TRAOPE!$AA:$AB,2,0),"")</f>
        <v/>
      </c>
      <c r="I1172" s="7" t="n">
        <v>10214980</v>
      </c>
      <c r="J1172" s="7">
        <f>IFERROR(VLOOKUP(I1172,Materiales!$A:$H,8,0),"")</f>
        <v/>
      </c>
      <c r="K1172" s="9">
        <f>IFERROR(VLOOKUP(I1172,Materiales!$A:$G,7,0),"")</f>
        <v/>
      </c>
      <c r="L1172" s="8" t="inlineStr">
        <is>
          <t>20230501</t>
        </is>
      </c>
      <c r="M1172" s="8" t="inlineStr">
        <is>
          <t>20250131</t>
        </is>
      </c>
      <c r="N1172" s="10" t="n">
        <v>214.04</v>
      </c>
      <c r="O1172" s="10">
        <f>IFERROR(VLOOKUP(A1172,Flete!$A:$J,10,0),"")</f>
        <v/>
      </c>
      <c r="P1172" s="8" t="inlineStr">
        <is>
          <t>TN</t>
        </is>
      </c>
      <c r="Q1172" s="10">
        <f>IFERROR(IFERROR(VLOOKUP(A1172,TRAOPE!$A:$U,21,0),VLOOKUP(B1172,TRAOPE!$A:$U,21,0)),"")</f>
        <v/>
      </c>
      <c r="R1172" s="8">
        <f>IFERROR(IFERROR(VLOOKUP(A1172,TRAOPE!$A:$W,23,0),VLOOKUP(B1172,TRAOPE!$A:$W,23,0)),"")</f>
        <v/>
      </c>
      <c r="S1172" s="10">
        <f>IF(AND(P1172="TN",R1172="TN"),N1172+N(O1172),IF(G1172&amp;""="1",N(K1172)*N1172,(N1172+N(O1172))*N(K1172)))</f>
        <v/>
      </c>
      <c r="T1172" s="10">
        <f>IF(Q1172="","",Q1172-S1172)</f>
        <v/>
      </c>
    </row>
    <row r="1173">
      <c r="A1173" s="7">
        <f>CONCATENATE(C1173,E1173,F1173,I1173)</f>
        <v/>
      </c>
      <c r="B1173" s="7">
        <f>CONCATENATE(C1173,E1173,I1173)</f>
        <v/>
      </c>
      <c r="C1173" s="8" t="n">
        <v>900007504</v>
      </c>
      <c r="D1173" s="7">
        <f>IFERROR(VLOOKUP(C1173,TRAOPE!$G:$H,2,0),"")</f>
        <v/>
      </c>
      <c r="E1173" s="8" t="inlineStr">
        <is>
          <t>DW70</t>
        </is>
      </c>
      <c r="F1173" s="8" t="inlineStr">
        <is>
          <t>D098</t>
        </is>
      </c>
      <c r="G1173" s="8">
        <f>IFERROR(VLOOKUP(A1173,Flete!$A:$E,5,0),"")</f>
        <v/>
      </c>
      <c r="H1173" s="7">
        <f>IFERROR(VLOOKUP(F1173,TRAOPE!$AA:$AB,2,0),"")</f>
        <v/>
      </c>
      <c r="I1173" s="7" t="n">
        <v>10214981</v>
      </c>
      <c r="J1173" s="7">
        <f>IFERROR(VLOOKUP(I1173,Materiales!$A:$H,8,0),"")</f>
        <v/>
      </c>
      <c r="K1173" s="9">
        <f>IFERROR(VLOOKUP(I1173,Materiales!$A:$G,7,0),"")</f>
        <v/>
      </c>
      <c r="L1173" s="8" t="inlineStr">
        <is>
          <t>20230501</t>
        </is>
      </c>
      <c r="M1173" s="8" t="inlineStr">
        <is>
          <t>20250131</t>
        </is>
      </c>
      <c r="N1173" s="10" t="n">
        <v>198.05</v>
      </c>
      <c r="O1173" s="10">
        <f>IFERROR(VLOOKUP(A1173,Flete!$A:$J,10,0),"")</f>
        <v/>
      </c>
      <c r="P1173" s="8" t="inlineStr">
        <is>
          <t>TN</t>
        </is>
      </c>
      <c r="Q1173" s="10">
        <f>IFERROR(IFERROR(VLOOKUP(A1173,TRAOPE!$A:$U,21,0),VLOOKUP(B1173,TRAOPE!$A:$U,21,0)),"")</f>
        <v/>
      </c>
      <c r="R1173" s="8">
        <f>IFERROR(IFERROR(VLOOKUP(A1173,TRAOPE!$A:$W,23,0),VLOOKUP(B1173,TRAOPE!$A:$W,23,0)),"")</f>
        <v/>
      </c>
      <c r="S1173" s="10">
        <f>IF(AND(P1173="TN",R1173="TN"),N1173+N(O1173),IF(G1173&amp;""="1",N(K1173)*N1173,(N1173+N(O1173))*N(K1173)))</f>
        <v/>
      </c>
      <c r="T1173" s="10">
        <f>IF(Q1173="","",Q1173-S1173)</f>
        <v/>
      </c>
    </row>
    <row r="1174">
      <c r="A1174" s="7">
        <f>CONCATENATE(C1174,E1174,F1174,I1174)</f>
        <v/>
      </c>
      <c r="B1174" s="7">
        <f>CONCATENATE(C1174,E1174,I1174)</f>
        <v/>
      </c>
      <c r="C1174" s="8" t="n">
        <v>900007504</v>
      </c>
      <c r="D1174" s="7">
        <f>IFERROR(VLOOKUP(C1174,TRAOPE!$G:$H,2,0),"")</f>
        <v/>
      </c>
      <c r="E1174" s="8" t="inlineStr">
        <is>
          <t>DW70</t>
        </is>
      </c>
      <c r="F1174" s="8" t="inlineStr">
        <is>
          <t>D145</t>
        </is>
      </c>
      <c r="G1174" s="8">
        <f>IFERROR(VLOOKUP(A1174,Flete!$A:$E,5,0),"")</f>
        <v/>
      </c>
      <c r="H1174" s="7">
        <f>IFERROR(VLOOKUP(F1174,TRAOPE!$AA:$AB,2,0),"")</f>
        <v/>
      </c>
      <c r="I1174" s="7" t="n">
        <v>10214980</v>
      </c>
      <c r="J1174" s="7">
        <f>IFERROR(VLOOKUP(I1174,Materiales!$A:$H,8,0),"")</f>
        <v/>
      </c>
      <c r="K1174" s="9">
        <f>IFERROR(VLOOKUP(I1174,Materiales!$A:$G,7,0),"")</f>
        <v/>
      </c>
      <c r="L1174" s="8" t="inlineStr">
        <is>
          <t>20230501</t>
        </is>
      </c>
      <c r="M1174" s="8" t="inlineStr">
        <is>
          <t>20250131</t>
        </is>
      </c>
      <c r="N1174" s="10" t="n">
        <v>214.04</v>
      </c>
      <c r="O1174" s="10">
        <f>IFERROR(VLOOKUP(A1174,Flete!$A:$J,10,0),"")</f>
        <v/>
      </c>
      <c r="P1174" s="8" t="inlineStr">
        <is>
          <t>TN</t>
        </is>
      </c>
      <c r="Q1174" s="10">
        <f>IFERROR(IFERROR(VLOOKUP(A1174,TRAOPE!$A:$U,21,0),VLOOKUP(B1174,TRAOPE!$A:$U,21,0)),"")</f>
        <v/>
      </c>
      <c r="R1174" s="8">
        <f>IFERROR(IFERROR(VLOOKUP(A1174,TRAOPE!$A:$W,23,0),VLOOKUP(B1174,TRAOPE!$A:$W,23,0)),"")</f>
        <v/>
      </c>
      <c r="S1174" s="10">
        <f>IF(AND(P1174="TN",R1174="TN"),N1174+N(O1174),IF(G1174&amp;""="1",N(K1174)*N1174,(N1174+N(O1174))*N(K1174)))</f>
        <v/>
      </c>
      <c r="T1174" s="10">
        <f>IF(Q1174="","",Q1174-S1174)</f>
        <v/>
      </c>
    </row>
    <row r="1175">
      <c r="A1175" s="7">
        <f>CONCATENATE(C1175,E1175,F1175,I1175)</f>
        <v/>
      </c>
      <c r="B1175" s="7">
        <f>CONCATENATE(C1175,E1175,I1175)</f>
        <v/>
      </c>
      <c r="C1175" s="8" t="n">
        <v>900007504</v>
      </c>
      <c r="D1175" s="7">
        <f>IFERROR(VLOOKUP(C1175,TRAOPE!$G:$H,2,0),"")</f>
        <v/>
      </c>
      <c r="E1175" s="8" t="inlineStr">
        <is>
          <t>DW70</t>
        </is>
      </c>
      <c r="F1175" s="8" t="inlineStr">
        <is>
          <t>D145</t>
        </is>
      </c>
      <c r="G1175" s="8">
        <f>IFERROR(VLOOKUP(A1175,Flete!$A:$E,5,0),"")</f>
        <v/>
      </c>
      <c r="H1175" s="7">
        <f>IFERROR(VLOOKUP(F1175,TRAOPE!$AA:$AB,2,0),"")</f>
        <v/>
      </c>
      <c r="I1175" s="7" t="n">
        <v>10214981</v>
      </c>
      <c r="J1175" s="7">
        <f>IFERROR(VLOOKUP(I1175,Materiales!$A:$H,8,0),"")</f>
        <v/>
      </c>
      <c r="K1175" s="9">
        <f>IFERROR(VLOOKUP(I1175,Materiales!$A:$G,7,0),"")</f>
        <v/>
      </c>
      <c r="L1175" s="8" t="inlineStr">
        <is>
          <t>20230501</t>
        </is>
      </c>
      <c r="M1175" s="8" t="inlineStr">
        <is>
          <t>20250131</t>
        </is>
      </c>
      <c r="N1175" s="10" t="n">
        <v>198.05</v>
      </c>
      <c r="O1175" s="10">
        <f>IFERROR(VLOOKUP(A1175,Flete!$A:$J,10,0),"")</f>
        <v/>
      </c>
      <c r="P1175" s="8" t="inlineStr">
        <is>
          <t>TN</t>
        </is>
      </c>
      <c r="Q1175" s="10">
        <f>IFERROR(IFERROR(VLOOKUP(A1175,TRAOPE!$A:$U,21,0),VLOOKUP(B1175,TRAOPE!$A:$U,21,0)),"")</f>
        <v/>
      </c>
      <c r="R1175" s="8">
        <f>IFERROR(IFERROR(VLOOKUP(A1175,TRAOPE!$A:$W,23,0),VLOOKUP(B1175,TRAOPE!$A:$W,23,0)),"")</f>
        <v/>
      </c>
      <c r="S1175" s="10">
        <f>IF(AND(P1175="TN",R1175="TN"),N1175+N(O1175),IF(G1175&amp;""="1",N(K1175)*N1175,(N1175+N(O1175))*N(K1175)))</f>
        <v/>
      </c>
      <c r="T1175" s="10">
        <f>IF(Q1175="","",Q1175-S1175)</f>
        <v/>
      </c>
    </row>
    <row r="1176">
      <c r="A1176" s="7">
        <f>CONCATENATE(C1176,E1176,F1176,I1176)</f>
        <v/>
      </c>
      <c r="B1176" s="7">
        <f>CONCATENATE(C1176,E1176,I1176)</f>
        <v/>
      </c>
      <c r="C1176" s="8" t="n">
        <v>900007605</v>
      </c>
      <c r="D1176" s="7">
        <f>IFERROR(VLOOKUP(C1176,TRAOPE!$G:$H,2,0),"")</f>
        <v/>
      </c>
      <c r="E1176" s="8" t="inlineStr">
        <is>
          <t>DW70</t>
        </is>
      </c>
      <c r="F1176" s="8" t="inlineStr">
        <is>
          <t>D074</t>
        </is>
      </c>
      <c r="G1176" s="8">
        <f>IFERROR(VLOOKUP(A1176,Flete!$A:$E,5,0),"")</f>
        <v/>
      </c>
      <c r="H1176" s="7">
        <f>IFERROR(VLOOKUP(F1176,TRAOPE!$AA:$AB,2,0),"")</f>
        <v/>
      </c>
      <c r="I1176" s="7" t="n">
        <v>10002802</v>
      </c>
      <c r="J1176" s="7">
        <f>IFERROR(VLOOKUP(I1176,Materiales!$A:$H,8,0),"")</f>
        <v/>
      </c>
      <c r="K1176" s="9">
        <f>IFERROR(VLOOKUP(I1176,Materiales!$A:$G,7,0),"")</f>
        <v/>
      </c>
      <c r="L1176" s="8" t="inlineStr">
        <is>
          <t>20251111</t>
        </is>
      </c>
      <c r="M1176" s="8" t="inlineStr">
        <is>
          <t>20260310</t>
        </is>
      </c>
      <c r="N1176" s="10" t="n">
        <v>97.73999999999999</v>
      </c>
      <c r="O1176" s="10">
        <f>IFERROR(VLOOKUP(A1176,Flete!$A:$J,10,0),"")</f>
        <v/>
      </c>
      <c r="P1176" s="8" t="inlineStr">
        <is>
          <t>TN</t>
        </is>
      </c>
      <c r="Q1176" s="10">
        <f>IFERROR(IFERROR(VLOOKUP(A1176,TRAOPE!$A:$U,21,0),VLOOKUP(B1176,TRAOPE!$A:$U,21,0)),"")</f>
        <v/>
      </c>
      <c r="R1176" s="8">
        <f>IFERROR(IFERROR(VLOOKUP(A1176,TRAOPE!$A:$W,23,0),VLOOKUP(B1176,TRAOPE!$A:$W,23,0)),"")</f>
        <v/>
      </c>
      <c r="S1176" s="10">
        <f>IF(AND(P1176="TN",R1176="TN"),N1176+N(O1176),IF(G1176&amp;""="1",N(K1176)*N1176,(N1176+N(O1176))*N(K1176)))</f>
        <v/>
      </c>
      <c r="T1176" s="10">
        <f>IF(Q1176="","",Q1176-S1176)</f>
        <v/>
      </c>
    </row>
    <row r="1177">
      <c r="A1177" s="7">
        <f>CONCATENATE(C1177,E1177,F1177,I1177)</f>
        <v/>
      </c>
      <c r="B1177" s="7">
        <f>CONCATENATE(C1177,E1177,I1177)</f>
        <v/>
      </c>
      <c r="C1177" s="8" t="n">
        <v>900007605</v>
      </c>
      <c r="D1177" s="7">
        <f>IFERROR(VLOOKUP(C1177,TRAOPE!$G:$H,2,0),"")</f>
        <v/>
      </c>
      <c r="E1177" s="8" t="inlineStr">
        <is>
          <t>DW70</t>
        </is>
      </c>
      <c r="F1177" s="8" t="inlineStr">
        <is>
          <t>D074</t>
        </is>
      </c>
      <c r="G1177" s="8">
        <f>IFERROR(VLOOKUP(A1177,Flete!$A:$E,5,0),"")</f>
        <v/>
      </c>
      <c r="H1177" s="7">
        <f>IFERROR(VLOOKUP(F1177,TRAOPE!$AA:$AB,2,0),"")</f>
        <v/>
      </c>
      <c r="I1177" s="7" t="n">
        <v>10227598</v>
      </c>
      <c r="J1177" s="7">
        <f>IFERROR(VLOOKUP(I1177,Materiales!$A:$H,8,0),"")</f>
        <v/>
      </c>
      <c r="K1177" s="9">
        <f>IFERROR(VLOOKUP(I1177,Materiales!$A:$G,7,0),"")</f>
        <v/>
      </c>
      <c r="L1177" s="8" t="inlineStr">
        <is>
          <t>20230501</t>
        </is>
      </c>
      <c r="M1177" s="8" t="inlineStr">
        <is>
          <t>20250131</t>
        </is>
      </c>
      <c r="N1177" s="10" t="n">
        <v>97.05</v>
      </c>
      <c r="O1177" s="10">
        <f>IFERROR(VLOOKUP(A1177,Flete!$A:$J,10,0),"")</f>
        <v/>
      </c>
      <c r="P1177" s="8" t="inlineStr">
        <is>
          <t>TN</t>
        </is>
      </c>
      <c r="Q1177" s="10">
        <f>IFERROR(IFERROR(VLOOKUP(A1177,TRAOPE!$A:$U,21,0),VLOOKUP(B1177,TRAOPE!$A:$U,21,0)),"")</f>
        <v/>
      </c>
      <c r="R1177" s="8">
        <f>IFERROR(IFERROR(VLOOKUP(A1177,TRAOPE!$A:$W,23,0),VLOOKUP(B1177,TRAOPE!$A:$W,23,0)),"")</f>
        <v/>
      </c>
      <c r="S1177" s="10">
        <f>IF(AND(P1177="TN",R1177="TN"),N1177+N(O1177),IF(G1177&amp;""="1",N(K1177)*N1177,(N1177+N(O1177))*N(K1177)))</f>
        <v/>
      </c>
      <c r="T1177" s="10">
        <f>IF(Q1177="","",Q1177-S1177)</f>
        <v/>
      </c>
    </row>
    <row r="1178">
      <c r="A1178" s="7">
        <f>CONCATENATE(C1178,E1178,F1178,I1178)</f>
        <v/>
      </c>
      <c r="B1178" s="7">
        <f>CONCATENATE(C1178,E1178,I1178)</f>
        <v/>
      </c>
      <c r="C1178" s="8" t="n">
        <v>900007605</v>
      </c>
      <c r="D1178" s="7">
        <f>IFERROR(VLOOKUP(C1178,TRAOPE!$G:$H,2,0),"")</f>
        <v/>
      </c>
      <c r="E1178" s="8" t="inlineStr">
        <is>
          <t>DW70</t>
        </is>
      </c>
      <c r="F1178" s="8" t="inlineStr">
        <is>
          <t>D074</t>
        </is>
      </c>
      <c r="G1178" s="8">
        <f>IFERROR(VLOOKUP(A1178,Flete!$A:$E,5,0),"")</f>
        <v/>
      </c>
      <c r="H1178" s="7">
        <f>IFERROR(VLOOKUP(F1178,TRAOPE!$AA:$AB,2,0),"")</f>
        <v/>
      </c>
      <c r="I1178" s="7" t="n">
        <v>10274754</v>
      </c>
      <c r="J1178" s="7">
        <f>IFERROR(VLOOKUP(I1178,Materiales!$A:$H,8,0),"")</f>
        <v/>
      </c>
      <c r="K1178" s="9">
        <f>IFERROR(VLOOKUP(I1178,Materiales!$A:$G,7,0),"")</f>
        <v/>
      </c>
      <c r="L1178" s="8" t="inlineStr">
        <is>
          <t>20260507</t>
        </is>
      </c>
      <c r="M1178" s="8" t="inlineStr">
        <is>
          <t>99991231</t>
        </is>
      </c>
      <c r="N1178" s="10" t="n">
        <v>113.82</v>
      </c>
      <c r="O1178" s="10">
        <f>IFERROR(VLOOKUP(A1178,Flete!$A:$J,10,0),"")</f>
        <v/>
      </c>
      <c r="P1178" s="8" t="inlineStr">
        <is>
          <t>TN</t>
        </is>
      </c>
      <c r="Q1178" s="10">
        <f>IFERROR(IFERROR(VLOOKUP(A1178,TRAOPE!$A:$U,21,0),VLOOKUP(B1178,TRAOPE!$A:$U,21,0)),"")</f>
        <v/>
      </c>
      <c r="R1178" s="8">
        <f>IFERROR(IFERROR(VLOOKUP(A1178,TRAOPE!$A:$W,23,0),VLOOKUP(B1178,TRAOPE!$A:$W,23,0)),"")</f>
        <v/>
      </c>
      <c r="S1178" s="10">
        <f>IF(AND(P1178="TN",R1178="TN"),N1178+N(O1178),IF(G1178&amp;""="1",N(K1178)*N1178,(N1178+N(O1178))*N(K1178)))</f>
        <v/>
      </c>
      <c r="T1178" s="10">
        <f>IF(Q1178="","",Q1178-S1178)</f>
        <v/>
      </c>
    </row>
    <row r="1179">
      <c r="A1179" s="7">
        <f>CONCATENATE(C1179,E1179,F1179,I1179)</f>
        <v/>
      </c>
      <c r="B1179" s="7">
        <f>CONCATENATE(C1179,E1179,I1179)</f>
        <v/>
      </c>
      <c r="C1179" s="8" t="n">
        <v>900007605</v>
      </c>
      <c r="D1179" s="7">
        <f>IFERROR(VLOOKUP(C1179,TRAOPE!$G:$H,2,0),"")</f>
        <v/>
      </c>
      <c r="E1179" s="8" t="inlineStr">
        <is>
          <t>DW70</t>
        </is>
      </c>
      <c r="F1179" s="8" t="inlineStr">
        <is>
          <t>D074</t>
        </is>
      </c>
      <c r="G1179" s="8">
        <f>IFERROR(VLOOKUP(A1179,Flete!$A:$E,5,0),"")</f>
        <v/>
      </c>
      <c r="H1179" s="7">
        <f>IFERROR(VLOOKUP(F1179,TRAOPE!$AA:$AB,2,0),"")</f>
        <v/>
      </c>
      <c r="I1179" s="7" t="n">
        <v>10275114</v>
      </c>
      <c r="J1179" s="7">
        <f>IFERROR(VLOOKUP(I1179,Materiales!$A:$H,8,0),"")</f>
        <v/>
      </c>
      <c r="K1179" s="9">
        <f>IFERROR(VLOOKUP(I1179,Materiales!$A:$G,7,0),"")</f>
        <v/>
      </c>
      <c r="L1179" s="8" t="inlineStr">
        <is>
          <t>20260507</t>
        </is>
      </c>
      <c r="M1179" s="8" t="inlineStr">
        <is>
          <t>99991231</t>
        </is>
      </c>
      <c r="N1179" s="10" t="n">
        <v>112.95</v>
      </c>
      <c r="O1179" s="10">
        <f>IFERROR(VLOOKUP(A1179,Flete!$A:$J,10,0),"")</f>
        <v/>
      </c>
      <c r="P1179" s="8" t="inlineStr">
        <is>
          <t>TN</t>
        </is>
      </c>
      <c r="Q1179" s="10">
        <f>IFERROR(IFERROR(VLOOKUP(A1179,TRAOPE!$A:$U,21,0),VLOOKUP(B1179,TRAOPE!$A:$U,21,0)),"")</f>
        <v/>
      </c>
      <c r="R1179" s="8">
        <f>IFERROR(IFERROR(VLOOKUP(A1179,TRAOPE!$A:$W,23,0),VLOOKUP(B1179,TRAOPE!$A:$W,23,0)),"")</f>
        <v/>
      </c>
      <c r="S1179" s="10">
        <f>IF(AND(P1179="TN",R1179="TN"),N1179+N(O1179),IF(G1179&amp;""="1",N(K1179)*N1179,(N1179+N(O1179))*N(K1179)))</f>
        <v/>
      </c>
      <c r="T1179" s="10">
        <f>IF(Q1179="","",Q1179-S1179)</f>
        <v/>
      </c>
    </row>
    <row r="1180">
      <c r="A1180" s="7">
        <f>CONCATENATE(C1180,E1180,F1180,I1180)</f>
        <v/>
      </c>
      <c r="B1180" s="7">
        <f>CONCATENATE(C1180,E1180,I1180)</f>
        <v/>
      </c>
      <c r="C1180" s="8" t="n">
        <v>900007605</v>
      </c>
      <c r="D1180" s="7">
        <f>IFERROR(VLOOKUP(C1180,TRAOPE!$G:$H,2,0),"")</f>
        <v/>
      </c>
      <c r="E1180" s="8" t="inlineStr">
        <is>
          <t>DW70</t>
        </is>
      </c>
      <c r="F1180" s="8" t="inlineStr">
        <is>
          <t>D075</t>
        </is>
      </c>
      <c r="G1180" s="8">
        <f>IFERROR(VLOOKUP(A1180,Flete!$A:$E,5,0),"")</f>
        <v/>
      </c>
      <c r="H1180" s="7">
        <f>IFERROR(VLOOKUP(F1180,TRAOPE!$AA:$AB,2,0),"")</f>
        <v/>
      </c>
      <c r="I1180" s="7" t="n">
        <v>10002802</v>
      </c>
      <c r="J1180" s="7">
        <f>IFERROR(VLOOKUP(I1180,Materiales!$A:$H,8,0),"")</f>
        <v/>
      </c>
      <c r="K1180" s="9">
        <f>IFERROR(VLOOKUP(I1180,Materiales!$A:$G,7,0),"")</f>
        <v/>
      </c>
      <c r="L1180" s="8" t="inlineStr">
        <is>
          <t>20250701</t>
        </is>
      </c>
      <c r="M1180" s="8" t="inlineStr">
        <is>
          <t>20251031</t>
        </is>
      </c>
      <c r="N1180" s="10" t="n">
        <v>97.73999999999999</v>
      </c>
      <c r="O1180" s="10">
        <f>IFERROR(VLOOKUP(A1180,Flete!$A:$J,10,0),"")</f>
        <v/>
      </c>
      <c r="P1180" s="8" t="inlineStr">
        <is>
          <t>TN</t>
        </is>
      </c>
      <c r="Q1180" s="10">
        <f>IFERROR(IFERROR(VLOOKUP(A1180,TRAOPE!$A:$U,21,0),VLOOKUP(B1180,TRAOPE!$A:$U,21,0)),"")</f>
        <v/>
      </c>
      <c r="R1180" s="8">
        <f>IFERROR(IFERROR(VLOOKUP(A1180,TRAOPE!$A:$W,23,0),VLOOKUP(B1180,TRAOPE!$A:$W,23,0)),"")</f>
        <v/>
      </c>
      <c r="S1180" s="10">
        <f>IF(AND(P1180="TN",R1180="TN"),N1180+N(O1180),IF(G1180&amp;""="1",N(K1180)*N1180,(N1180+N(O1180))*N(K1180)))</f>
        <v/>
      </c>
      <c r="T1180" s="10">
        <f>IF(Q1180="","",Q1180-S1180)</f>
        <v/>
      </c>
    </row>
    <row r="1181">
      <c r="A1181" s="7">
        <f>CONCATENATE(C1181,E1181,F1181,I1181)</f>
        <v/>
      </c>
      <c r="B1181" s="7">
        <f>CONCATENATE(C1181,E1181,I1181)</f>
        <v/>
      </c>
      <c r="C1181" s="8" t="n">
        <v>900007605</v>
      </c>
      <c r="D1181" s="7">
        <f>IFERROR(VLOOKUP(C1181,TRAOPE!$G:$H,2,0),"")</f>
        <v/>
      </c>
      <c r="E1181" s="8" t="inlineStr">
        <is>
          <t>DW70</t>
        </is>
      </c>
      <c r="F1181" s="8" t="inlineStr">
        <is>
          <t>D075</t>
        </is>
      </c>
      <c r="G1181" s="8">
        <f>IFERROR(VLOOKUP(A1181,Flete!$A:$E,5,0),"")</f>
        <v/>
      </c>
      <c r="H1181" s="7">
        <f>IFERROR(VLOOKUP(F1181,TRAOPE!$AA:$AB,2,0),"")</f>
        <v/>
      </c>
      <c r="I1181" s="7" t="n">
        <v>10274754</v>
      </c>
      <c r="J1181" s="7">
        <f>IFERROR(VLOOKUP(I1181,Materiales!$A:$H,8,0),"")</f>
        <v/>
      </c>
      <c r="K1181" s="9">
        <f>IFERROR(VLOOKUP(I1181,Materiales!$A:$G,7,0),"")</f>
        <v/>
      </c>
      <c r="L1181" s="8" t="inlineStr">
        <is>
          <t>20260507</t>
        </is>
      </c>
      <c r="M1181" s="8" t="inlineStr">
        <is>
          <t>99991231</t>
        </is>
      </c>
      <c r="N1181" s="10" t="n">
        <v>113.82</v>
      </c>
      <c r="O1181" s="10">
        <f>IFERROR(VLOOKUP(A1181,Flete!$A:$J,10,0),"")</f>
        <v/>
      </c>
      <c r="P1181" s="8" t="inlineStr">
        <is>
          <t>TN</t>
        </is>
      </c>
      <c r="Q1181" s="10">
        <f>IFERROR(IFERROR(VLOOKUP(A1181,TRAOPE!$A:$U,21,0),VLOOKUP(B1181,TRAOPE!$A:$U,21,0)),"")</f>
        <v/>
      </c>
      <c r="R1181" s="8">
        <f>IFERROR(IFERROR(VLOOKUP(A1181,TRAOPE!$A:$W,23,0),VLOOKUP(B1181,TRAOPE!$A:$W,23,0)),"")</f>
        <v/>
      </c>
      <c r="S1181" s="10">
        <f>IF(AND(P1181="TN",R1181="TN"),N1181+N(O1181),IF(G1181&amp;""="1",N(K1181)*N1181,(N1181+N(O1181))*N(K1181)))</f>
        <v/>
      </c>
      <c r="T1181" s="10">
        <f>IF(Q1181="","",Q1181-S1181)</f>
        <v/>
      </c>
    </row>
    <row r="1182">
      <c r="A1182" s="7">
        <f>CONCATENATE(C1182,E1182,F1182,I1182)</f>
        <v/>
      </c>
      <c r="B1182" s="7">
        <f>CONCATENATE(C1182,E1182,I1182)</f>
        <v/>
      </c>
      <c r="C1182" s="8" t="n">
        <v>900007605</v>
      </c>
      <c r="D1182" s="7">
        <f>IFERROR(VLOOKUP(C1182,TRAOPE!$G:$H,2,0),"")</f>
        <v/>
      </c>
      <c r="E1182" s="8" t="inlineStr">
        <is>
          <t>DW70</t>
        </is>
      </c>
      <c r="F1182" s="8" t="inlineStr">
        <is>
          <t>D075</t>
        </is>
      </c>
      <c r="G1182" s="8">
        <f>IFERROR(VLOOKUP(A1182,Flete!$A:$E,5,0),"")</f>
        <v/>
      </c>
      <c r="H1182" s="7">
        <f>IFERROR(VLOOKUP(F1182,TRAOPE!$AA:$AB,2,0),"")</f>
        <v/>
      </c>
      <c r="I1182" s="7" t="n">
        <v>10275114</v>
      </c>
      <c r="J1182" s="7">
        <f>IFERROR(VLOOKUP(I1182,Materiales!$A:$H,8,0),"")</f>
        <v/>
      </c>
      <c r="K1182" s="9">
        <f>IFERROR(VLOOKUP(I1182,Materiales!$A:$G,7,0),"")</f>
        <v/>
      </c>
      <c r="L1182" s="8" t="inlineStr">
        <is>
          <t>20260507</t>
        </is>
      </c>
      <c r="M1182" s="8" t="inlineStr">
        <is>
          <t>99991231</t>
        </is>
      </c>
      <c r="N1182" s="10" t="n">
        <v>112.95</v>
      </c>
      <c r="O1182" s="10">
        <f>IFERROR(VLOOKUP(A1182,Flete!$A:$J,10,0),"")</f>
        <v/>
      </c>
      <c r="P1182" s="8" t="inlineStr">
        <is>
          <t>TN</t>
        </is>
      </c>
      <c r="Q1182" s="10">
        <f>IFERROR(IFERROR(VLOOKUP(A1182,TRAOPE!$A:$U,21,0),VLOOKUP(B1182,TRAOPE!$A:$U,21,0)),"")</f>
        <v/>
      </c>
      <c r="R1182" s="8">
        <f>IFERROR(IFERROR(VLOOKUP(A1182,TRAOPE!$A:$W,23,0),VLOOKUP(B1182,TRAOPE!$A:$W,23,0)),"")</f>
        <v/>
      </c>
      <c r="S1182" s="10">
        <f>IF(AND(P1182="TN",R1182="TN"),N1182+N(O1182),IF(G1182&amp;""="1",N(K1182)*N1182,(N1182+N(O1182))*N(K1182)))</f>
        <v/>
      </c>
      <c r="T1182" s="10">
        <f>IF(Q1182="","",Q1182-S1182)</f>
        <v/>
      </c>
    </row>
    <row r="1183">
      <c r="A1183" s="7">
        <f>CONCATENATE(C1183,E1183,F1183,I1183)</f>
        <v/>
      </c>
      <c r="B1183" s="7">
        <f>CONCATENATE(C1183,E1183,I1183)</f>
        <v/>
      </c>
      <c r="C1183" s="8" t="n">
        <v>900007605</v>
      </c>
      <c r="D1183" s="7">
        <f>IFERROR(VLOOKUP(C1183,TRAOPE!$G:$H,2,0),"")</f>
        <v/>
      </c>
      <c r="E1183" s="8" t="inlineStr">
        <is>
          <t>DW70</t>
        </is>
      </c>
      <c r="F1183" s="8" t="inlineStr">
        <is>
          <t>D077</t>
        </is>
      </c>
      <c r="G1183" s="8">
        <f>IFERROR(VLOOKUP(A1183,Flete!$A:$E,5,0),"")</f>
        <v/>
      </c>
      <c r="H1183" s="7">
        <f>IFERROR(VLOOKUP(F1183,TRAOPE!$AA:$AB,2,0),"")</f>
        <v/>
      </c>
      <c r="I1183" s="7" t="n">
        <v>10002802</v>
      </c>
      <c r="J1183" s="7">
        <f>IFERROR(VLOOKUP(I1183,Materiales!$A:$H,8,0),"")</f>
        <v/>
      </c>
      <c r="K1183" s="9">
        <f>IFERROR(VLOOKUP(I1183,Materiales!$A:$G,7,0),"")</f>
        <v/>
      </c>
      <c r="L1183" s="8" t="inlineStr">
        <is>
          <t>20250701</t>
        </is>
      </c>
      <c r="M1183" s="8" t="inlineStr">
        <is>
          <t>20260310</t>
        </is>
      </c>
      <c r="N1183" s="10" t="n">
        <v>97.73999999999999</v>
      </c>
      <c r="O1183" s="10">
        <f>IFERROR(VLOOKUP(A1183,Flete!$A:$J,10,0),"")</f>
        <v/>
      </c>
      <c r="P1183" s="8" t="inlineStr">
        <is>
          <t>TN</t>
        </is>
      </c>
      <c r="Q1183" s="10">
        <f>IFERROR(IFERROR(VLOOKUP(A1183,TRAOPE!$A:$U,21,0),VLOOKUP(B1183,TRAOPE!$A:$U,21,0)),"")</f>
        <v/>
      </c>
      <c r="R1183" s="8">
        <f>IFERROR(IFERROR(VLOOKUP(A1183,TRAOPE!$A:$W,23,0),VLOOKUP(B1183,TRAOPE!$A:$W,23,0)),"")</f>
        <v/>
      </c>
      <c r="S1183" s="10">
        <f>IF(AND(P1183="TN",R1183="TN"),N1183+N(O1183),IF(G1183&amp;""="1",N(K1183)*N1183,(N1183+N(O1183))*N(K1183)))</f>
        <v/>
      </c>
      <c r="T1183" s="10">
        <f>IF(Q1183="","",Q1183-S1183)</f>
        <v/>
      </c>
    </row>
    <row r="1184">
      <c r="A1184" s="7">
        <f>CONCATENATE(C1184,E1184,F1184,I1184)</f>
        <v/>
      </c>
      <c r="B1184" s="7">
        <f>CONCATENATE(C1184,E1184,I1184)</f>
        <v/>
      </c>
      <c r="C1184" s="8" t="n">
        <v>900007605</v>
      </c>
      <c r="D1184" s="7">
        <f>IFERROR(VLOOKUP(C1184,TRAOPE!$G:$H,2,0),"")</f>
        <v/>
      </c>
      <c r="E1184" s="8" t="inlineStr">
        <is>
          <t>DW70</t>
        </is>
      </c>
      <c r="F1184" s="8" t="inlineStr">
        <is>
          <t>D077</t>
        </is>
      </c>
      <c r="G1184" s="8">
        <f>IFERROR(VLOOKUP(A1184,Flete!$A:$E,5,0),"")</f>
        <v/>
      </c>
      <c r="H1184" s="7">
        <f>IFERROR(VLOOKUP(F1184,TRAOPE!$AA:$AB,2,0),"")</f>
        <v/>
      </c>
      <c r="I1184" s="7" t="n">
        <v>10274754</v>
      </c>
      <c r="J1184" s="7">
        <f>IFERROR(VLOOKUP(I1184,Materiales!$A:$H,8,0),"")</f>
        <v/>
      </c>
      <c r="K1184" s="9">
        <f>IFERROR(VLOOKUP(I1184,Materiales!$A:$G,7,0),"")</f>
        <v/>
      </c>
      <c r="L1184" s="8" t="inlineStr">
        <is>
          <t>20260507</t>
        </is>
      </c>
      <c r="M1184" s="8" t="inlineStr">
        <is>
          <t>99991231</t>
        </is>
      </c>
      <c r="N1184" s="10" t="n">
        <v>113.82</v>
      </c>
      <c r="O1184" s="10">
        <f>IFERROR(VLOOKUP(A1184,Flete!$A:$J,10,0),"")</f>
        <v/>
      </c>
      <c r="P1184" s="8" t="inlineStr">
        <is>
          <t>TN</t>
        </is>
      </c>
      <c r="Q1184" s="10">
        <f>IFERROR(IFERROR(VLOOKUP(A1184,TRAOPE!$A:$U,21,0),VLOOKUP(B1184,TRAOPE!$A:$U,21,0)),"")</f>
        <v/>
      </c>
      <c r="R1184" s="8">
        <f>IFERROR(IFERROR(VLOOKUP(A1184,TRAOPE!$A:$W,23,0),VLOOKUP(B1184,TRAOPE!$A:$W,23,0)),"")</f>
        <v/>
      </c>
      <c r="S1184" s="10">
        <f>IF(AND(P1184="TN",R1184="TN"),N1184+N(O1184),IF(G1184&amp;""="1",N(K1184)*N1184,(N1184+N(O1184))*N(K1184)))</f>
        <v/>
      </c>
      <c r="T1184" s="10">
        <f>IF(Q1184="","",Q1184-S1184)</f>
        <v/>
      </c>
    </row>
    <row r="1185">
      <c r="A1185" s="7">
        <f>CONCATENATE(C1185,E1185,F1185,I1185)</f>
        <v/>
      </c>
      <c r="B1185" s="7">
        <f>CONCATENATE(C1185,E1185,I1185)</f>
        <v/>
      </c>
      <c r="C1185" s="8" t="n">
        <v>900007605</v>
      </c>
      <c r="D1185" s="7">
        <f>IFERROR(VLOOKUP(C1185,TRAOPE!$G:$H,2,0),"")</f>
        <v/>
      </c>
      <c r="E1185" s="8" t="inlineStr">
        <is>
          <t>DW70</t>
        </is>
      </c>
      <c r="F1185" s="8" t="inlineStr">
        <is>
          <t>D077</t>
        </is>
      </c>
      <c r="G1185" s="8">
        <f>IFERROR(VLOOKUP(A1185,Flete!$A:$E,5,0),"")</f>
        <v/>
      </c>
      <c r="H1185" s="7">
        <f>IFERROR(VLOOKUP(F1185,TRAOPE!$AA:$AB,2,0),"")</f>
        <v/>
      </c>
      <c r="I1185" s="7" t="n">
        <v>10275114</v>
      </c>
      <c r="J1185" s="7">
        <f>IFERROR(VLOOKUP(I1185,Materiales!$A:$H,8,0),"")</f>
        <v/>
      </c>
      <c r="K1185" s="9">
        <f>IFERROR(VLOOKUP(I1185,Materiales!$A:$G,7,0),"")</f>
        <v/>
      </c>
      <c r="L1185" s="8" t="inlineStr">
        <is>
          <t>20260507</t>
        </is>
      </c>
      <c r="M1185" s="8" t="inlineStr">
        <is>
          <t>99991231</t>
        </is>
      </c>
      <c r="N1185" s="10" t="n">
        <v>112.95</v>
      </c>
      <c r="O1185" s="10">
        <f>IFERROR(VLOOKUP(A1185,Flete!$A:$J,10,0),"")</f>
        <v/>
      </c>
      <c r="P1185" s="8" t="inlineStr">
        <is>
          <t>TN</t>
        </is>
      </c>
      <c r="Q1185" s="10">
        <f>IFERROR(IFERROR(VLOOKUP(A1185,TRAOPE!$A:$U,21,0),VLOOKUP(B1185,TRAOPE!$A:$U,21,0)),"")</f>
        <v/>
      </c>
      <c r="R1185" s="8">
        <f>IFERROR(IFERROR(VLOOKUP(A1185,TRAOPE!$A:$W,23,0),VLOOKUP(B1185,TRAOPE!$A:$W,23,0)),"")</f>
        <v/>
      </c>
      <c r="S1185" s="10">
        <f>IF(AND(P1185="TN",R1185="TN"),N1185+N(O1185),IF(G1185&amp;""="1",N(K1185)*N1185,(N1185+N(O1185))*N(K1185)))</f>
        <v/>
      </c>
      <c r="T1185" s="10">
        <f>IF(Q1185="","",Q1185-S1185)</f>
        <v/>
      </c>
    </row>
    <row r="1186">
      <c r="A1186" s="7">
        <f>CONCATENATE(C1186,E1186,F1186,I1186)</f>
        <v/>
      </c>
      <c r="B1186" s="7">
        <f>CONCATENATE(C1186,E1186,I1186)</f>
        <v/>
      </c>
      <c r="C1186" s="8" t="n">
        <v>900007605</v>
      </c>
      <c r="D1186" s="7">
        <f>IFERROR(VLOOKUP(C1186,TRAOPE!$G:$H,2,0),"")</f>
        <v/>
      </c>
      <c r="E1186" s="8" t="inlineStr">
        <is>
          <t>DW70</t>
        </is>
      </c>
      <c r="F1186" s="8" t="inlineStr">
        <is>
          <t>D079</t>
        </is>
      </c>
      <c r="G1186" s="8">
        <f>IFERROR(VLOOKUP(A1186,Flete!$A:$E,5,0),"")</f>
        <v/>
      </c>
      <c r="H1186" s="7">
        <f>IFERROR(VLOOKUP(F1186,TRAOPE!$AA:$AB,2,0),"")</f>
        <v/>
      </c>
      <c r="I1186" s="7" t="n">
        <v>10002802</v>
      </c>
      <c r="J1186" s="7">
        <f>IFERROR(VLOOKUP(I1186,Materiales!$A:$H,8,0),"")</f>
        <v/>
      </c>
      <c r="K1186" s="9">
        <f>IFERROR(VLOOKUP(I1186,Materiales!$A:$G,7,0),"")</f>
        <v/>
      </c>
      <c r="L1186" s="8" t="inlineStr">
        <is>
          <t>20250701</t>
        </is>
      </c>
      <c r="M1186" s="8" t="inlineStr">
        <is>
          <t>20260310</t>
        </is>
      </c>
      <c r="N1186" s="10" t="n">
        <v>97.73999999999999</v>
      </c>
      <c r="O1186" s="10">
        <f>IFERROR(VLOOKUP(A1186,Flete!$A:$J,10,0),"")</f>
        <v/>
      </c>
      <c r="P1186" s="8" t="inlineStr">
        <is>
          <t>TN</t>
        </is>
      </c>
      <c r="Q1186" s="10">
        <f>IFERROR(IFERROR(VLOOKUP(A1186,TRAOPE!$A:$U,21,0),VLOOKUP(B1186,TRAOPE!$A:$U,21,0)),"")</f>
        <v/>
      </c>
      <c r="R1186" s="8">
        <f>IFERROR(IFERROR(VLOOKUP(A1186,TRAOPE!$A:$W,23,0),VLOOKUP(B1186,TRAOPE!$A:$W,23,0)),"")</f>
        <v/>
      </c>
      <c r="S1186" s="10">
        <f>IF(AND(P1186="TN",R1186="TN"),N1186+N(O1186),IF(G1186&amp;""="1",N(K1186)*N1186,(N1186+N(O1186))*N(K1186)))</f>
        <v/>
      </c>
      <c r="T1186" s="10">
        <f>IF(Q1186="","",Q1186-S1186)</f>
        <v/>
      </c>
    </row>
    <row r="1187">
      <c r="A1187" s="7">
        <f>CONCATENATE(C1187,E1187,F1187,I1187)</f>
        <v/>
      </c>
      <c r="B1187" s="7">
        <f>CONCATENATE(C1187,E1187,I1187)</f>
        <v/>
      </c>
      <c r="C1187" s="8" t="n">
        <v>900007605</v>
      </c>
      <c r="D1187" s="7">
        <f>IFERROR(VLOOKUP(C1187,TRAOPE!$G:$H,2,0),"")</f>
        <v/>
      </c>
      <c r="E1187" s="8" t="inlineStr">
        <is>
          <t>DW70</t>
        </is>
      </c>
      <c r="F1187" s="8" t="inlineStr">
        <is>
          <t>D079</t>
        </is>
      </c>
      <c r="G1187" s="8">
        <f>IFERROR(VLOOKUP(A1187,Flete!$A:$E,5,0),"")</f>
        <v/>
      </c>
      <c r="H1187" s="7">
        <f>IFERROR(VLOOKUP(F1187,TRAOPE!$AA:$AB,2,0),"")</f>
        <v/>
      </c>
      <c r="I1187" s="7" t="n">
        <v>10274754</v>
      </c>
      <c r="J1187" s="7">
        <f>IFERROR(VLOOKUP(I1187,Materiales!$A:$H,8,0),"")</f>
        <v/>
      </c>
      <c r="K1187" s="9">
        <f>IFERROR(VLOOKUP(I1187,Materiales!$A:$G,7,0),"")</f>
        <v/>
      </c>
      <c r="L1187" s="8" t="inlineStr">
        <is>
          <t>20260507</t>
        </is>
      </c>
      <c r="M1187" s="8" t="inlineStr">
        <is>
          <t>99991231</t>
        </is>
      </c>
      <c r="N1187" s="10" t="n">
        <v>113.82</v>
      </c>
      <c r="O1187" s="10">
        <f>IFERROR(VLOOKUP(A1187,Flete!$A:$J,10,0),"")</f>
        <v/>
      </c>
      <c r="P1187" s="8" t="inlineStr">
        <is>
          <t>TN</t>
        </is>
      </c>
      <c r="Q1187" s="10">
        <f>IFERROR(IFERROR(VLOOKUP(A1187,TRAOPE!$A:$U,21,0),VLOOKUP(B1187,TRAOPE!$A:$U,21,0)),"")</f>
        <v/>
      </c>
      <c r="R1187" s="8">
        <f>IFERROR(IFERROR(VLOOKUP(A1187,TRAOPE!$A:$W,23,0),VLOOKUP(B1187,TRAOPE!$A:$W,23,0)),"")</f>
        <v/>
      </c>
      <c r="S1187" s="10">
        <f>IF(AND(P1187="TN",R1187="TN"),N1187+N(O1187),IF(G1187&amp;""="1",N(K1187)*N1187,(N1187+N(O1187))*N(K1187)))</f>
        <v/>
      </c>
      <c r="T1187" s="10">
        <f>IF(Q1187="","",Q1187-S1187)</f>
        <v/>
      </c>
    </row>
    <row r="1188">
      <c r="A1188" s="7">
        <f>CONCATENATE(C1188,E1188,F1188,I1188)</f>
        <v/>
      </c>
      <c r="B1188" s="7">
        <f>CONCATENATE(C1188,E1188,I1188)</f>
        <v/>
      </c>
      <c r="C1188" s="8" t="n">
        <v>900007605</v>
      </c>
      <c r="D1188" s="7">
        <f>IFERROR(VLOOKUP(C1188,TRAOPE!$G:$H,2,0),"")</f>
        <v/>
      </c>
      <c r="E1188" s="8" t="inlineStr">
        <is>
          <t>DW70</t>
        </is>
      </c>
      <c r="F1188" s="8" t="inlineStr">
        <is>
          <t>D079</t>
        </is>
      </c>
      <c r="G1188" s="8">
        <f>IFERROR(VLOOKUP(A1188,Flete!$A:$E,5,0),"")</f>
        <v/>
      </c>
      <c r="H1188" s="7">
        <f>IFERROR(VLOOKUP(F1188,TRAOPE!$AA:$AB,2,0),"")</f>
        <v/>
      </c>
      <c r="I1188" s="7" t="n">
        <v>10275114</v>
      </c>
      <c r="J1188" s="7">
        <f>IFERROR(VLOOKUP(I1188,Materiales!$A:$H,8,0),"")</f>
        <v/>
      </c>
      <c r="K1188" s="9">
        <f>IFERROR(VLOOKUP(I1188,Materiales!$A:$G,7,0),"")</f>
        <v/>
      </c>
      <c r="L1188" s="8" t="inlineStr">
        <is>
          <t>20260507</t>
        </is>
      </c>
      <c r="M1188" s="8" t="inlineStr">
        <is>
          <t>99991231</t>
        </is>
      </c>
      <c r="N1188" s="10" t="n">
        <v>112.95</v>
      </c>
      <c r="O1188" s="10">
        <f>IFERROR(VLOOKUP(A1188,Flete!$A:$J,10,0),"")</f>
        <v/>
      </c>
      <c r="P1188" s="8" t="inlineStr">
        <is>
          <t>TN</t>
        </is>
      </c>
      <c r="Q1188" s="10">
        <f>IFERROR(IFERROR(VLOOKUP(A1188,TRAOPE!$A:$U,21,0),VLOOKUP(B1188,TRAOPE!$A:$U,21,0)),"")</f>
        <v/>
      </c>
      <c r="R1188" s="8">
        <f>IFERROR(IFERROR(VLOOKUP(A1188,TRAOPE!$A:$W,23,0),VLOOKUP(B1188,TRAOPE!$A:$W,23,0)),"")</f>
        <v/>
      </c>
      <c r="S1188" s="10">
        <f>IF(AND(P1188="TN",R1188="TN"),N1188+N(O1188),IF(G1188&amp;""="1",N(K1188)*N1188,(N1188+N(O1188))*N(K1188)))</f>
        <v/>
      </c>
      <c r="T1188" s="10">
        <f>IF(Q1188="","",Q1188-S1188)</f>
        <v/>
      </c>
    </row>
    <row r="1189">
      <c r="A1189" s="7">
        <f>CONCATENATE(C1189,E1189,F1189,I1189)</f>
        <v/>
      </c>
      <c r="B1189" s="7">
        <f>CONCATENATE(C1189,E1189,I1189)</f>
        <v/>
      </c>
      <c r="C1189" s="8" t="n">
        <v>900007605</v>
      </c>
      <c r="D1189" s="7">
        <f>IFERROR(VLOOKUP(C1189,TRAOPE!$G:$H,2,0),"")</f>
        <v/>
      </c>
      <c r="E1189" s="8" t="inlineStr">
        <is>
          <t>DW70</t>
        </is>
      </c>
      <c r="F1189" s="8" t="inlineStr">
        <is>
          <t>D080</t>
        </is>
      </c>
      <c r="G1189" s="8">
        <f>IFERROR(VLOOKUP(A1189,Flete!$A:$E,5,0),"")</f>
        <v/>
      </c>
      <c r="H1189" s="7">
        <f>IFERROR(VLOOKUP(F1189,TRAOPE!$AA:$AB,2,0),"")</f>
        <v/>
      </c>
      <c r="I1189" s="7" t="n">
        <v>10002802</v>
      </c>
      <c r="J1189" s="7">
        <f>IFERROR(VLOOKUP(I1189,Materiales!$A:$H,8,0),"")</f>
        <v/>
      </c>
      <c r="K1189" s="9">
        <f>IFERROR(VLOOKUP(I1189,Materiales!$A:$G,7,0),"")</f>
        <v/>
      </c>
      <c r="L1189" s="8" t="inlineStr">
        <is>
          <t>20250701</t>
        </is>
      </c>
      <c r="M1189" s="8" t="inlineStr">
        <is>
          <t>20251031</t>
        </is>
      </c>
      <c r="N1189" s="10" t="n">
        <v>97.73999999999999</v>
      </c>
      <c r="O1189" s="10">
        <f>IFERROR(VLOOKUP(A1189,Flete!$A:$J,10,0),"")</f>
        <v/>
      </c>
      <c r="P1189" s="8" t="inlineStr">
        <is>
          <t>TN</t>
        </is>
      </c>
      <c r="Q1189" s="10">
        <f>IFERROR(IFERROR(VLOOKUP(A1189,TRAOPE!$A:$U,21,0),VLOOKUP(B1189,TRAOPE!$A:$U,21,0)),"")</f>
        <v/>
      </c>
      <c r="R1189" s="8">
        <f>IFERROR(IFERROR(VLOOKUP(A1189,TRAOPE!$A:$W,23,0),VLOOKUP(B1189,TRAOPE!$A:$W,23,0)),"")</f>
        <v/>
      </c>
      <c r="S1189" s="10">
        <f>IF(AND(P1189="TN",R1189="TN"),N1189+N(O1189),IF(G1189&amp;""="1",N(K1189)*N1189,(N1189+N(O1189))*N(K1189)))</f>
        <v/>
      </c>
      <c r="T1189" s="10">
        <f>IF(Q1189="","",Q1189-S1189)</f>
        <v/>
      </c>
    </row>
    <row r="1190">
      <c r="A1190" s="7">
        <f>CONCATENATE(C1190,E1190,F1190,I1190)</f>
        <v/>
      </c>
      <c r="B1190" s="7">
        <f>CONCATENATE(C1190,E1190,I1190)</f>
        <v/>
      </c>
      <c r="C1190" s="8" t="n">
        <v>900007605</v>
      </c>
      <c r="D1190" s="7">
        <f>IFERROR(VLOOKUP(C1190,TRAOPE!$G:$H,2,0),"")</f>
        <v/>
      </c>
      <c r="E1190" s="8" t="inlineStr">
        <is>
          <t>DW70</t>
        </is>
      </c>
      <c r="F1190" s="8" t="inlineStr">
        <is>
          <t>D080</t>
        </is>
      </c>
      <c r="G1190" s="8">
        <f>IFERROR(VLOOKUP(A1190,Flete!$A:$E,5,0),"")</f>
        <v/>
      </c>
      <c r="H1190" s="7">
        <f>IFERROR(VLOOKUP(F1190,TRAOPE!$AA:$AB,2,0),"")</f>
        <v/>
      </c>
      <c r="I1190" s="7" t="n">
        <v>10227598</v>
      </c>
      <c r="J1190" s="7">
        <f>IFERROR(VLOOKUP(I1190,Materiales!$A:$H,8,0),"")</f>
        <v/>
      </c>
      <c r="K1190" s="9">
        <f>IFERROR(VLOOKUP(I1190,Materiales!$A:$G,7,0),"")</f>
        <v/>
      </c>
      <c r="L1190" s="8" t="inlineStr">
        <is>
          <t>20230501</t>
        </is>
      </c>
      <c r="M1190" s="8" t="inlineStr">
        <is>
          <t>20250131</t>
        </is>
      </c>
      <c r="N1190" s="10" t="n">
        <v>97.05</v>
      </c>
      <c r="O1190" s="10">
        <f>IFERROR(VLOOKUP(A1190,Flete!$A:$J,10,0),"")</f>
        <v/>
      </c>
      <c r="P1190" s="8" t="inlineStr">
        <is>
          <t>TN</t>
        </is>
      </c>
      <c r="Q1190" s="10">
        <f>IFERROR(IFERROR(VLOOKUP(A1190,TRAOPE!$A:$U,21,0),VLOOKUP(B1190,TRAOPE!$A:$U,21,0)),"")</f>
        <v/>
      </c>
      <c r="R1190" s="8">
        <f>IFERROR(IFERROR(VLOOKUP(A1190,TRAOPE!$A:$W,23,0),VLOOKUP(B1190,TRAOPE!$A:$W,23,0)),"")</f>
        <v/>
      </c>
      <c r="S1190" s="10">
        <f>IF(AND(P1190="TN",R1190="TN"),N1190+N(O1190),IF(G1190&amp;""="1",N(K1190)*N1190,(N1190+N(O1190))*N(K1190)))</f>
        <v/>
      </c>
      <c r="T1190" s="10">
        <f>IF(Q1190="","",Q1190-S1190)</f>
        <v/>
      </c>
    </row>
    <row r="1191">
      <c r="A1191" s="7">
        <f>CONCATENATE(C1191,E1191,F1191,I1191)</f>
        <v/>
      </c>
      <c r="B1191" s="7">
        <f>CONCATENATE(C1191,E1191,I1191)</f>
        <v/>
      </c>
      <c r="C1191" s="8" t="n">
        <v>900007605</v>
      </c>
      <c r="D1191" s="7">
        <f>IFERROR(VLOOKUP(C1191,TRAOPE!$G:$H,2,0),"")</f>
        <v/>
      </c>
      <c r="E1191" s="8" t="inlineStr">
        <is>
          <t>DW70</t>
        </is>
      </c>
      <c r="F1191" s="8" t="inlineStr">
        <is>
          <t>D080</t>
        </is>
      </c>
      <c r="G1191" s="8">
        <f>IFERROR(VLOOKUP(A1191,Flete!$A:$E,5,0),"")</f>
        <v/>
      </c>
      <c r="H1191" s="7">
        <f>IFERROR(VLOOKUP(F1191,TRAOPE!$AA:$AB,2,0),"")</f>
        <v/>
      </c>
      <c r="I1191" s="7" t="n">
        <v>10274754</v>
      </c>
      <c r="J1191" s="7">
        <f>IFERROR(VLOOKUP(I1191,Materiales!$A:$H,8,0),"")</f>
        <v/>
      </c>
      <c r="K1191" s="9">
        <f>IFERROR(VLOOKUP(I1191,Materiales!$A:$G,7,0),"")</f>
        <v/>
      </c>
      <c r="L1191" s="8" t="inlineStr">
        <is>
          <t>20260507</t>
        </is>
      </c>
      <c r="M1191" s="8" t="inlineStr">
        <is>
          <t>99991231</t>
        </is>
      </c>
      <c r="N1191" s="10" t="n">
        <v>113.82</v>
      </c>
      <c r="O1191" s="10">
        <f>IFERROR(VLOOKUP(A1191,Flete!$A:$J,10,0),"")</f>
        <v/>
      </c>
      <c r="P1191" s="8" t="inlineStr">
        <is>
          <t>TN</t>
        </is>
      </c>
      <c r="Q1191" s="10">
        <f>IFERROR(IFERROR(VLOOKUP(A1191,TRAOPE!$A:$U,21,0),VLOOKUP(B1191,TRAOPE!$A:$U,21,0)),"")</f>
        <v/>
      </c>
      <c r="R1191" s="8">
        <f>IFERROR(IFERROR(VLOOKUP(A1191,TRAOPE!$A:$W,23,0),VLOOKUP(B1191,TRAOPE!$A:$W,23,0)),"")</f>
        <v/>
      </c>
      <c r="S1191" s="10">
        <f>IF(AND(P1191="TN",R1191="TN"),N1191+N(O1191),IF(G1191&amp;""="1",N(K1191)*N1191,(N1191+N(O1191))*N(K1191)))</f>
        <v/>
      </c>
      <c r="T1191" s="10">
        <f>IF(Q1191="","",Q1191-S1191)</f>
        <v/>
      </c>
    </row>
    <row r="1192">
      <c r="A1192" s="7">
        <f>CONCATENATE(C1192,E1192,F1192,I1192)</f>
        <v/>
      </c>
      <c r="B1192" s="7">
        <f>CONCATENATE(C1192,E1192,I1192)</f>
        <v/>
      </c>
      <c r="C1192" s="8" t="n">
        <v>900007605</v>
      </c>
      <c r="D1192" s="7">
        <f>IFERROR(VLOOKUP(C1192,TRAOPE!$G:$H,2,0),"")</f>
        <v/>
      </c>
      <c r="E1192" s="8" t="inlineStr">
        <is>
          <t>DW70</t>
        </is>
      </c>
      <c r="F1192" s="8" t="inlineStr">
        <is>
          <t>D080</t>
        </is>
      </c>
      <c r="G1192" s="8">
        <f>IFERROR(VLOOKUP(A1192,Flete!$A:$E,5,0),"")</f>
        <v/>
      </c>
      <c r="H1192" s="7">
        <f>IFERROR(VLOOKUP(F1192,TRAOPE!$AA:$AB,2,0),"")</f>
        <v/>
      </c>
      <c r="I1192" s="7" t="n">
        <v>10275114</v>
      </c>
      <c r="J1192" s="7">
        <f>IFERROR(VLOOKUP(I1192,Materiales!$A:$H,8,0),"")</f>
        <v/>
      </c>
      <c r="K1192" s="9">
        <f>IFERROR(VLOOKUP(I1192,Materiales!$A:$G,7,0),"")</f>
        <v/>
      </c>
      <c r="L1192" s="8" t="inlineStr">
        <is>
          <t>20260507</t>
        </is>
      </c>
      <c r="M1192" s="8" t="inlineStr">
        <is>
          <t>99991231</t>
        </is>
      </c>
      <c r="N1192" s="10" t="n">
        <v>112.95</v>
      </c>
      <c r="O1192" s="10">
        <f>IFERROR(VLOOKUP(A1192,Flete!$A:$J,10,0),"")</f>
        <v/>
      </c>
      <c r="P1192" s="8" t="inlineStr">
        <is>
          <t>TN</t>
        </is>
      </c>
      <c r="Q1192" s="10">
        <f>IFERROR(IFERROR(VLOOKUP(A1192,TRAOPE!$A:$U,21,0),VLOOKUP(B1192,TRAOPE!$A:$U,21,0)),"")</f>
        <v/>
      </c>
      <c r="R1192" s="8">
        <f>IFERROR(IFERROR(VLOOKUP(A1192,TRAOPE!$A:$W,23,0),VLOOKUP(B1192,TRAOPE!$A:$W,23,0)),"")</f>
        <v/>
      </c>
      <c r="S1192" s="10">
        <f>IF(AND(P1192="TN",R1192="TN"),N1192+N(O1192),IF(G1192&amp;""="1",N(K1192)*N1192,(N1192+N(O1192))*N(K1192)))</f>
        <v/>
      </c>
      <c r="T1192" s="10">
        <f>IF(Q1192="","",Q1192-S1192)</f>
        <v/>
      </c>
    </row>
    <row r="1193">
      <c r="A1193" s="7">
        <f>CONCATENATE(C1193,E1193,F1193,I1193)</f>
        <v/>
      </c>
      <c r="B1193" s="7">
        <f>CONCATENATE(C1193,E1193,I1193)</f>
        <v/>
      </c>
      <c r="C1193" s="8" t="n">
        <v>900007605</v>
      </c>
      <c r="D1193" s="7">
        <f>IFERROR(VLOOKUP(C1193,TRAOPE!$G:$H,2,0),"")</f>
        <v/>
      </c>
      <c r="E1193" s="8" t="inlineStr">
        <is>
          <t>DW70</t>
        </is>
      </c>
      <c r="F1193" s="8" t="inlineStr">
        <is>
          <t>D081</t>
        </is>
      </c>
      <c r="G1193" s="8">
        <f>IFERROR(VLOOKUP(A1193,Flete!$A:$E,5,0),"")</f>
        <v/>
      </c>
      <c r="H1193" s="7">
        <f>IFERROR(VLOOKUP(F1193,TRAOPE!$AA:$AB,2,0),"")</f>
        <v/>
      </c>
      <c r="I1193" s="7" t="n">
        <v>10002802</v>
      </c>
      <c r="J1193" s="7">
        <f>IFERROR(VLOOKUP(I1193,Materiales!$A:$H,8,0),"")</f>
        <v/>
      </c>
      <c r="K1193" s="9">
        <f>IFERROR(VLOOKUP(I1193,Materiales!$A:$G,7,0),"")</f>
        <v/>
      </c>
      <c r="L1193" s="8" t="inlineStr">
        <is>
          <t>20250701</t>
        </is>
      </c>
      <c r="M1193" s="8" t="inlineStr">
        <is>
          <t>20260310</t>
        </is>
      </c>
      <c r="N1193" s="10" t="n">
        <v>97.73999999999999</v>
      </c>
      <c r="O1193" s="10">
        <f>IFERROR(VLOOKUP(A1193,Flete!$A:$J,10,0),"")</f>
        <v/>
      </c>
      <c r="P1193" s="8" t="inlineStr">
        <is>
          <t>TN</t>
        </is>
      </c>
      <c r="Q1193" s="10">
        <f>IFERROR(IFERROR(VLOOKUP(A1193,TRAOPE!$A:$U,21,0),VLOOKUP(B1193,TRAOPE!$A:$U,21,0)),"")</f>
        <v/>
      </c>
      <c r="R1193" s="8">
        <f>IFERROR(IFERROR(VLOOKUP(A1193,TRAOPE!$A:$W,23,0),VLOOKUP(B1193,TRAOPE!$A:$W,23,0)),"")</f>
        <v/>
      </c>
      <c r="S1193" s="10">
        <f>IF(AND(P1193="TN",R1193="TN"),N1193+N(O1193),IF(G1193&amp;""="1",N(K1193)*N1193,(N1193+N(O1193))*N(K1193)))</f>
        <v/>
      </c>
      <c r="T1193" s="10">
        <f>IF(Q1193="","",Q1193-S1193)</f>
        <v/>
      </c>
    </row>
    <row r="1194">
      <c r="A1194" s="7">
        <f>CONCATENATE(C1194,E1194,F1194,I1194)</f>
        <v/>
      </c>
      <c r="B1194" s="7">
        <f>CONCATENATE(C1194,E1194,I1194)</f>
        <v/>
      </c>
      <c r="C1194" s="8" t="n">
        <v>900007605</v>
      </c>
      <c r="D1194" s="7">
        <f>IFERROR(VLOOKUP(C1194,TRAOPE!$G:$H,2,0),"")</f>
        <v/>
      </c>
      <c r="E1194" s="8" t="inlineStr">
        <is>
          <t>DW70</t>
        </is>
      </c>
      <c r="F1194" s="8" t="inlineStr">
        <is>
          <t>D081</t>
        </is>
      </c>
      <c r="G1194" s="8">
        <f>IFERROR(VLOOKUP(A1194,Flete!$A:$E,5,0),"")</f>
        <v/>
      </c>
      <c r="H1194" s="7">
        <f>IFERROR(VLOOKUP(F1194,TRAOPE!$AA:$AB,2,0),"")</f>
        <v/>
      </c>
      <c r="I1194" s="7" t="n">
        <v>10227598</v>
      </c>
      <c r="J1194" s="7">
        <f>IFERROR(VLOOKUP(I1194,Materiales!$A:$H,8,0),"")</f>
        <v/>
      </c>
      <c r="K1194" s="9">
        <f>IFERROR(VLOOKUP(I1194,Materiales!$A:$G,7,0),"")</f>
        <v/>
      </c>
      <c r="L1194" s="8" t="inlineStr">
        <is>
          <t>20230501</t>
        </is>
      </c>
      <c r="M1194" s="8" t="inlineStr">
        <is>
          <t>20250131</t>
        </is>
      </c>
      <c r="N1194" s="10" t="n">
        <v>97.05</v>
      </c>
      <c r="O1194" s="10">
        <f>IFERROR(VLOOKUP(A1194,Flete!$A:$J,10,0),"")</f>
        <v/>
      </c>
      <c r="P1194" s="8" t="inlineStr">
        <is>
          <t>TN</t>
        </is>
      </c>
      <c r="Q1194" s="10">
        <f>IFERROR(IFERROR(VLOOKUP(A1194,TRAOPE!$A:$U,21,0),VLOOKUP(B1194,TRAOPE!$A:$U,21,0)),"")</f>
        <v/>
      </c>
      <c r="R1194" s="8">
        <f>IFERROR(IFERROR(VLOOKUP(A1194,TRAOPE!$A:$W,23,0),VLOOKUP(B1194,TRAOPE!$A:$W,23,0)),"")</f>
        <v/>
      </c>
      <c r="S1194" s="10">
        <f>IF(AND(P1194="TN",R1194="TN"),N1194+N(O1194),IF(G1194&amp;""="1",N(K1194)*N1194,(N1194+N(O1194))*N(K1194)))</f>
        <v/>
      </c>
      <c r="T1194" s="10">
        <f>IF(Q1194="","",Q1194-S1194)</f>
        <v/>
      </c>
    </row>
    <row r="1195">
      <c r="A1195" s="7">
        <f>CONCATENATE(C1195,E1195,F1195,I1195)</f>
        <v/>
      </c>
      <c r="B1195" s="7">
        <f>CONCATENATE(C1195,E1195,I1195)</f>
        <v/>
      </c>
      <c r="C1195" s="8" t="n">
        <v>900007605</v>
      </c>
      <c r="D1195" s="7">
        <f>IFERROR(VLOOKUP(C1195,TRAOPE!$G:$H,2,0),"")</f>
        <v/>
      </c>
      <c r="E1195" s="8" t="inlineStr">
        <is>
          <t>DW70</t>
        </is>
      </c>
      <c r="F1195" s="8" t="inlineStr">
        <is>
          <t>D081</t>
        </is>
      </c>
      <c r="G1195" s="8">
        <f>IFERROR(VLOOKUP(A1195,Flete!$A:$E,5,0),"")</f>
        <v/>
      </c>
      <c r="H1195" s="7">
        <f>IFERROR(VLOOKUP(F1195,TRAOPE!$AA:$AB,2,0),"")</f>
        <v/>
      </c>
      <c r="I1195" s="7" t="n">
        <v>10274754</v>
      </c>
      <c r="J1195" s="7">
        <f>IFERROR(VLOOKUP(I1195,Materiales!$A:$H,8,0),"")</f>
        <v/>
      </c>
      <c r="K1195" s="9">
        <f>IFERROR(VLOOKUP(I1195,Materiales!$A:$G,7,0),"")</f>
        <v/>
      </c>
      <c r="L1195" s="8" t="inlineStr">
        <is>
          <t>20260507</t>
        </is>
      </c>
      <c r="M1195" s="8" t="inlineStr">
        <is>
          <t>99991231</t>
        </is>
      </c>
      <c r="N1195" s="10" t="n">
        <v>113.82</v>
      </c>
      <c r="O1195" s="10">
        <f>IFERROR(VLOOKUP(A1195,Flete!$A:$J,10,0),"")</f>
        <v/>
      </c>
      <c r="P1195" s="8" t="inlineStr">
        <is>
          <t>TN</t>
        </is>
      </c>
      <c r="Q1195" s="10">
        <f>IFERROR(IFERROR(VLOOKUP(A1195,TRAOPE!$A:$U,21,0),VLOOKUP(B1195,TRAOPE!$A:$U,21,0)),"")</f>
        <v/>
      </c>
      <c r="R1195" s="8">
        <f>IFERROR(IFERROR(VLOOKUP(A1195,TRAOPE!$A:$W,23,0),VLOOKUP(B1195,TRAOPE!$A:$W,23,0)),"")</f>
        <v/>
      </c>
      <c r="S1195" s="10">
        <f>IF(AND(P1195="TN",R1195="TN"),N1195+N(O1195),IF(G1195&amp;""="1",N(K1195)*N1195,(N1195+N(O1195))*N(K1195)))</f>
        <v/>
      </c>
      <c r="T1195" s="10">
        <f>IF(Q1195="","",Q1195-S1195)</f>
        <v/>
      </c>
    </row>
    <row r="1196">
      <c r="A1196" s="7">
        <f>CONCATENATE(C1196,E1196,F1196,I1196)</f>
        <v/>
      </c>
      <c r="B1196" s="7">
        <f>CONCATENATE(C1196,E1196,I1196)</f>
        <v/>
      </c>
      <c r="C1196" s="8" t="n">
        <v>900007605</v>
      </c>
      <c r="D1196" s="7">
        <f>IFERROR(VLOOKUP(C1196,TRAOPE!$G:$H,2,0),"")</f>
        <v/>
      </c>
      <c r="E1196" s="8" t="inlineStr">
        <is>
          <t>DW70</t>
        </is>
      </c>
      <c r="F1196" s="8" t="inlineStr">
        <is>
          <t>D081</t>
        </is>
      </c>
      <c r="G1196" s="8">
        <f>IFERROR(VLOOKUP(A1196,Flete!$A:$E,5,0),"")</f>
        <v/>
      </c>
      <c r="H1196" s="7">
        <f>IFERROR(VLOOKUP(F1196,TRAOPE!$AA:$AB,2,0),"")</f>
        <v/>
      </c>
      <c r="I1196" s="7" t="n">
        <v>10275114</v>
      </c>
      <c r="J1196" s="7">
        <f>IFERROR(VLOOKUP(I1196,Materiales!$A:$H,8,0),"")</f>
        <v/>
      </c>
      <c r="K1196" s="9">
        <f>IFERROR(VLOOKUP(I1196,Materiales!$A:$G,7,0),"")</f>
        <v/>
      </c>
      <c r="L1196" s="8" t="inlineStr">
        <is>
          <t>20260507</t>
        </is>
      </c>
      <c r="M1196" s="8" t="inlineStr">
        <is>
          <t>99991231</t>
        </is>
      </c>
      <c r="N1196" s="10" t="n">
        <v>112.95</v>
      </c>
      <c r="O1196" s="10">
        <f>IFERROR(VLOOKUP(A1196,Flete!$A:$J,10,0),"")</f>
        <v/>
      </c>
      <c r="P1196" s="8" t="inlineStr">
        <is>
          <t>TN</t>
        </is>
      </c>
      <c r="Q1196" s="10">
        <f>IFERROR(IFERROR(VLOOKUP(A1196,TRAOPE!$A:$U,21,0),VLOOKUP(B1196,TRAOPE!$A:$U,21,0)),"")</f>
        <v/>
      </c>
      <c r="R1196" s="8">
        <f>IFERROR(IFERROR(VLOOKUP(A1196,TRAOPE!$A:$W,23,0),VLOOKUP(B1196,TRAOPE!$A:$W,23,0)),"")</f>
        <v/>
      </c>
      <c r="S1196" s="10">
        <f>IF(AND(P1196="TN",R1196="TN"),N1196+N(O1196),IF(G1196&amp;""="1",N(K1196)*N1196,(N1196+N(O1196))*N(K1196)))</f>
        <v/>
      </c>
      <c r="T1196" s="10">
        <f>IF(Q1196="","",Q1196-S1196)</f>
        <v/>
      </c>
    </row>
    <row r="1197">
      <c r="A1197" s="7">
        <f>CONCATENATE(C1197,E1197,F1197,I1197)</f>
        <v/>
      </c>
      <c r="B1197" s="7">
        <f>CONCATENATE(C1197,E1197,I1197)</f>
        <v/>
      </c>
      <c r="C1197" s="8" t="n">
        <v>900007605</v>
      </c>
      <c r="D1197" s="7">
        <f>IFERROR(VLOOKUP(C1197,TRAOPE!$G:$H,2,0),"")</f>
        <v/>
      </c>
      <c r="E1197" s="8" t="inlineStr">
        <is>
          <t>DW70</t>
        </is>
      </c>
      <c r="F1197" s="8" t="inlineStr">
        <is>
          <t>D083</t>
        </is>
      </c>
      <c r="G1197" s="8">
        <f>IFERROR(VLOOKUP(A1197,Flete!$A:$E,5,0),"")</f>
        <v/>
      </c>
      <c r="H1197" s="7">
        <f>IFERROR(VLOOKUP(F1197,TRAOPE!$AA:$AB,2,0),"")</f>
        <v/>
      </c>
      <c r="I1197" s="7" t="n">
        <v>10002802</v>
      </c>
      <c r="J1197" s="7">
        <f>IFERROR(VLOOKUP(I1197,Materiales!$A:$H,8,0),"")</f>
        <v/>
      </c>
      <c r="K1197" s="9">
        <f>IFERROR(VLOOKUP(I1197,Materiales!$A:$G,7,0),"")</f>
        <v/>
      </c>
      <c r="L1197" s="8" t="inlineStr">
        <is>
          <t>20250701</t>
        </is>
      </c>
      <c r="M1197" s="8" t="inlineStr">
        <is>
          <t>20251031</t>
        </is>
      </c>
      <c r="N1197" s="10" t="n">
        <v>97.73999999999999</v>
      </c>
      <c r="O1197" s="10">
        <f>IFERROR(VLOOKUP(A1197,Flete!$A:$J,10,0),"")</f>
        <v/>
      </c>
      <c r="P1197" s="8" t="inlineStr">
        <is>
          <t>TN</t>
        </is>
      </c>
      <c r="Q1197" s="10">
        <f>IFERROR(IFERROR(VLOOKUP(A1197,TRAOPE!$A:$U,21,0),VLOOKUP(B1197,TRAOPE!$A:$U,21,0)),"")</f>
        <v/>
      </c>
      <c r="R1197" s="8">
        <f>IFERROR(IFERROR(VLOOKUP(A1197,TRAOPE!$A:$W,23,0),VLOOKUP(B1197,TRAOPE!$A:$W,23,0)),"")</f>
        <v/>
      </c>
      <c r="S1197" s="10">
        <f>IF(AND(P1197="TN",R1197="TN"),N1197+N(O1197),IF(G1197&amp;""="1",N(K1197)*N1197,(N1197+N(O1197))*N(K1197)))</f>
        <v/>
      </c>
      <c r="T1197" s="10">
        <f>IF(Q1197="","",Q1197-S1197)</f>
        <v/>
      </c>
    </row>
    <row r="1198">
      <c r="A1198" s="7">
        <f>CONCATENATE(C1198,E1198,F1198,I1198)</f>
        <v/>
      </c>
      <c r="B1198" s="7">
        <f>CONCATENATE(C1198,E1198,I1198)</f>
        <v/>
      </c>
      <c r="C1198" s="8" t="n">
        <v>900007605</v>
      </c>
      <c r="D1198" s="7">
        <f>IFERROR(VLOOKUP(C1198,TRAOPE!$G:$H,2,0),"")</f>
        <v/>
      </c>
      <c r="E1198" s="8" t="inlineStr">
        <is>
          <t>DW70</t>
        </is>
      </c>
      <c r="F1198" s="8" t="inlineStr">
        <is>
          <t>D083</t>
        </is>
      </c>
      <c r="G1198" s="8">
        <f>IFERROR(VLOOKUP(A1198,Flete!$A:$E,5,0),"")</f>
        <v/>
      </c>
      <c r="H1198" s="7">
        <f>IFERROR(VLOOKUP(F1198,TRAOPE!$AA:$AB,2,0),"")</f>
        <v/>
      </c>
      <c r="I1198" s="7" t="n">
        <v>10274754</v>
      </c>
      <c r="J1198" s="7">
        <f>IFERROR(VLOOKUP(I1198,Materiales!$A:$H,8,0),"")</f>
        <v/>
      </c>
      <c r="K1198" s="9">
        <f>IFERROR(VLOOKUP(I1198,Materiales!$A:$G,7,0),"")</f>
        <v/>
      </c>
      <c r="L1198" s="8" t="inlineStr">
        <is>
          <t>20260507</t>
        </is>
      </c>
      <c r="M1198" s="8" t="inlineStr">
        <is>
          <t>99991231</t>
        </is>
      </c>
      <c r="N1198" s="10" t="n">
        <v>113.82</v>
      </c>
      <c r="O1198" s="10">
        <f>IFERROR(VLOOKUP(A1198,Flete!$A:$J,10,0),"")</f>
        <v/>
      </c>
      <c r="P1198" s="8" t="inlineStr">
        <is>
          <t>TN</t>
        </is>
      </c>
      <c r="Q1198" s="10">
        <f>IFERROR(IFERROR(VLOOKUP(A1198,TRAOPE!$A:$U,21,0),VLOOKUP(B1198,TRAOPE!$A:$U,21,0)),"")</f>
        <v/>
      </c>
      <c r="R1198" s="8">
        <f>IFERROR(IFERROR(VLOOKUP(A1198,TRAOPE!$A:$W,23,0),VLOOKUP(B1198,TRAOPE!$A:$W,23,0)),"")</f>
        <v/>
      </c>
      <c r="S1198" s="10">
        <f>IF(AND(P1198="TN",R1198="TN"),N1198+N(O1198),IF(G1198&amp;""="1",N(K1198)*N1198,(N1198+N(O1198))*N(K1198)))</f>
        <v/>
      </c>
      <c r="T1198" s="10">
        <f>IF(Q1198="","",Q1198-S1198)</f>
        <v/>
      </c>
    </row>
    <row r="1199">
      <c r="A1199" s="7">
        <f>CONCATENATE(C1199,E1199,F1199,I1199)</f>
        <v/>
      </c>
      <c r="B1199" s="7">
        <f>CONCATENATE(C1199,E1199,I1199)</f>
        <v/>
      </c>
      <c r="C1199" s="8" t="n">
        <v>900007605</v>
      </c>
      <c r="D1199" s="7">
        <f>IFERROR(VLOOKUP(C1199,TRAOPE!$G:$H,2,0),"")</f>
        <v/>
      </c>
      <c r="E1199" s="8" t="inlineStr">
        <is>
          <t>DW70</t>
        </is>
      </c>
      <c r="F1199" s="8" t="inlineStr">
        <is>
          <t>D083</t>
        </is>
      </c>
      <c r="G1199" s="8">
        <f>IFERROR(VLOOKUP(A1199,Flete!$A:$E,5,0),"")</f>
        <v/>
      </c>
      <c r="H1199" s="7">
        <f>IFERROR(VLOOKUP(F1199,TRAOPE!$AA:$AB,2,0),"")</f>
        <v/>
      </c>
      <c r="I1199" s="7" t="n">
        <v>10275114</v>
      </c>
      <c r="J1199" s="7">
        <f>IFERROR(VLOOKUP(I1199,Materiales!$A:$H,8,0),"")</f>
        <v/>
      </c>
      <c r="K1199" s="9">
        <f>IFERROR(VLOOKUP(I1199,Materiales!$A:$G,7,0),"")</f>
        <v/>
      </c>
      <c r="L1199" s="8" t="inlineStr">
        <is>
          <t>20260507</t>
        </is>
      </c>
      <c r="M1199" s="8" t="inlineStr">
        <is>
          <t>99991231</t>
        </is>
      </c>
      <c r="N1199" s="10" t="n">
        <v>112.95</v>
      </c>
      <c r="O1199" s="10">
        <f>IFERROR(VLOOKUP(A1199,Flete!$A:$J,10,0),"")</f>
        <v/>
      </c>
      <c r="P1199" s="8" t="inlineStr">
        <is>
          <t>TN</t>
        </is>
      </c>
      <c r="Q1199" s="10">
        <f>IFERROR(IFERROR(VLOOKUP(A1199,TRAOPE!$A:$U,21,0),VLOOKUP(B1199,TRAOPE!$A:$U,21,0)),"")</f>
        <v/>
      </c>
      <c r="R1199" s="8">
        <f>IFERROR(IFERROR(VLOOKUP(A1199,TRAOPE!$A:$W,23,0),VLOOKUP(B1199,TRAOPE!$A:$W,23,0)),"")</f>
        <v/>
      </c>
      <c r="S1199" s="10">
        <f>IF(AND(P1199="TN",R1199="TN"),N1199+N(O1199),IF(G1199&amp;""="1",N(K1199)*N1199,(N1199+N(O1199))*N(K1199)))</f>
        <v/>
      </c>
      <c r="T1199" s="10">
        <f>IF(Q1199="","",Q1199-S1199)</f>
        <v/>
      </c>
    </row>
    <row r="1200">
      <c r="A1200" s="7">
        <f>CONCATENATE(C1200,E1200,F1200,I1200)</f>
        <v/>
      </c>
      <c r="B1200" s="7">
        <f>CONCATENATE(C1200,E1200,I1200)</f>
        <v/>
      </c>
      <c r="C1200" s="8" t="n">
        <v>900007605</v>
      </c>
      <c r="D1200" s="7">
        <f>IFERROR(VLOOKUP(C1200,TRAOPE!$G:$H,2,0),"")</f>
        <v/>
      </c>
      <c r="E1200" s="8" t="inlineStr">
        <is>
          <t>DW70</t>
        </is>
      </c>
      <c r="F1200" s="8" t="inlineStr">
        <is>
          <t>D084</t>
        </is>
      </c>
      <c r="G1200" s="8">
        <f>IFERROR(VLOOKUP(A1200,Flete!$A:$E,5,0),"")</f>
        <v/>
      </c>
      <c r="H1200" s="7">
        <f>IFERROR(VLOOKUP(F1200,TRAOPE!$AA:$AB,2,0),"")</f>
        <v/>
      </c>
      <c r="I1200" s="7" t="n">
        <v>10227598</v>
      </c>
      <c r="J1200" s="7">
        <f>IFERROR(VLOOKUP(I1200,Materiales!$A:$H,8,0),"")</f>
        <v/>
      </c>
      <c r="K1200" s="9">
        <f>IFERROR(VLOOKUP(I1200,Materiales!$A:$G,7,0),"")</f>
        <v/>
      </c>
      <c r="L1200" s="8" t="inlineStr">
        <is>
          <t>20230501</t>
        </is>
      </c>
      <c r="M1200" s="8" t="inlineStr">
        <is>
          <t>20250131</t>
        </is>
      </c>
      <c r="N1200" s="10" t="n">
        <v>97.05</v>
      </c>
      <c r="O1200" s="10">
        <f>IFERROR(VLOOKUP(A1200,Flete!$A:$J,10,0),"")</f>
        <v/>
      </c>
      <c r="P1200" s="8" t="inlineStr">
        <is>
          <t>TN</t>
        </is>
      </c>
      <c r="Q1200" s="10">
        <f>IFERROR(IFERROR(VLOOKUP(A1200,TRAOPE!$A:$U,21,0),VLOOKUP(B1200,TRAOPE!$A:$U,21,0)),"")</f>
        <v/>
      </c>
      <c r="R1200" s="8">
        <f>IFERROR(IFERROR(VLOOKUP(A1200,TRAOPE!$A:$W,23,0),VLOOKUP(B1200,TRAOPE!$A:$W,23,0)),"")</f>
        <v/>
      </c>
      <c r="S1200" s="10">
        <f>IF(AND(P1200="TN",R1200="TN"),N1200+N(O1200),IF(G1200&amp;""="1",N(K1200)*N1200,(N1200+N(O1200))*N(K1200)))</f>
        <v/>
      </c>
      <c r="T1200" s="10">
        <f>IF(Q1200="","",Q1200-S1200)</f>
        <v/>
      </c>
    </row>
    <row r="1201">
      <c r="A1201" s="7">
        <f>CONCATENATE(C1201,E1201,F1201,I1201)</f>
        <v/>
      </c>
      <c r="B1201" s="7">
        <f>CONCATENATE(C1201,E1201,I1201)</f>
        <v/>
      </c>
      <c r="C1201" s="8" t="n">
        <v>900007605</v>
      </c>
      <c r="D1201" s="7">
        <f>IFERROR(VLOOKUP(C1201,TRAOPE!$G:$H,2,0),"")</f>
        <v/>
      </c>
      <c r="E1201" s="8" t="inlineStr">
        <is>
          <t>DW70</t>
        </is>
      </c>
      <c r="F1201" s="8" t="inlineStr">
        <is>
          <t>D084</t>
        </is>
      </c>
      <c r="G1201" s="8">
        <f>IFERROR(VLOOKUP(A1201,Flete!$A:$E,5,0),"")</f>
        <v/>
      </c>
      <c r="H1201" s="7">
        <f>IFERROR(VLOOKUP(F1201,TRAOPE!$AA:$AB,2,0),"")</f>
        <v/>
      </c>
      <c r="I1201" s="7" t="n">
        <v>10274754</v>
      </c>
      <c r="J1201" s="7">
        <f>IFERROR(VLOOKUP(I1201,Materiales!$A:$H,8,0),"")</f>
        <v/>
      </c>
      <c r="K1201" s="9">
        <f>IFERROR(VLOOKUP(I1201,Materiales!$A:$G,7,0),"")</f>
        <v/>
      </c>
      <c r="L1201" s="8" t="inlineStr">
        <is>
          <t>20260507</t>
        </is>
      </c>
      <c r="M1201" s="8" t="inlineStr">
        <is>
          <t>99991231</t>
        </is>
      </c>
      <c r="N1201" s="10" t="n">
        <v>113.82</v>
      </c>
      <c r="O1201" s="10">
        <f>IFERROR(VLOOKUP(A1201,Flete!$A:$J,10,0),"")</f>
        <v/>
      </c>
      <c r="P1201" s="8" t="inlineStr">
        <is>
          <t>TN</t>
        </is>
      </c>
      <c r="Q1201" s="10">
        <f>IFERROR(IFERROR(VLOOKUP(A1201,TRAOPE!$A:$U,21,0),VLOOKUP(B1201,TRAOPE!$A:$U,21,0)),"")</f>
        <v/>
      </c>
      <c r="R1201" s="8">
        <f>IFERROR(IFERROR(VLOOKUP(A1201,TRAOPE!$A:$W,23,0),VLOOKUP(B1201,TRAOPE!$A:$W,23,0)),"")</f>
        <v/>
      </c>
      <c r="S1201" s="10">
        <f>IF(AND(P1201="TN",R1201="TN"),N1201+N(O1201),IF(G1201&amp;""="1",N(K1201)*N1201,(N1201+N(O1201))*N(K1201)))</f>
        <v/>
      </c>
      <c r="T1201" s="10">
        <f>IF(Q1201="","",Q1201-S1201)</f>
        <v/>
      </c>
    </row>
    <row r="1202">
      <c r="A1202" s="7">
        <f>CONCATENATE(C1202,E1202,F1202,I1202)</f>
        <v/>
      </c>
      <c r="B1202" s="7">
        <f>CONCATENATE(C1202,E1202,I1202)</f>
        <v/>
      </c>
      <c r="C1202" s="8" t="n">
        <v>900007605</v>
      </c>
      <c r="D1202" s="7">
        <f>IFERROR(VLOOKUP(C1202,TRAOPE!$G:$H,2,0),"")</f>
        <v/>
      </c>
      <c r="E1202" s="8" t="inlineStr">
        <is>
          <t>DW70</t>
        </is>
      </c>
      <c r="F1202" s="8" t="inlineStr">
        <is>
          <t>D084</t>
        </is>
      </c>
      <c r="G1202" s="8">
        <f>IFERROR(VLOOKUP(A1202,Flete!$A:$E,5,0),"")</f>
        <v/>
      </c>
      <c r="H1202" s="7">
        <f>IFERROR(VLOOKUP(F1202,TRAOPE!$AA:$AB,2,0),"")</f>
        <v/>
      </c>
      <c r="I1202" s="7" t="n">
        <v>10275114</v>
      </c>
      <c r="J1202" s="7">
        <f>IFERROR(VLOOKUP(I1202,Materiales!$A:$H,8,0),"")</f>
        <v/>
      </c>
      <c r="K1202" s="9">
        <f>IFERROR(VLOOKUP(I1202,Materiales!$A:$G,7,0),"")</f>
        <v/>
      </c>
      <c r="L1202" s="8" t="inlineStr">
        <is>
          <t>20260507</t>
        </is>
      </c>
      <c r="M1202" s="8" t="inlineStr">
        <is>
          <t>99991231</t>
        </is>
      </c>
      <c r="N1202" s="10" t="n">
        <v>112.95</v>
      </c>
      <c r="O1202" s="10">
        <f>IFERROR(VLOOKUP(A1202,Flete!$A:$J,10,0),"")</f>
        <v/>
      </c>
      <c r="P1202" s="8" t="inlineStr">
        <is>
          <t>TN</t>
        </is>
      </c>
      <c r="Q1202" s="10">
        <f>IFERROR(IFERROR(VLOOKUP(A1202,TRAOPE!$A:$U,21,0),VLOOKUP(B1202,TRAOPE!$A:$U,21,0)),"")</f>
        <v/>
      </c>
      <c r="R1202" s="8">
        <f>IFERROR(IFERROR(VLOOKUP(A1202,TRAOPE!$A:$W,23,0),VLOOKUP(B1202,TRAOPE!$A:$W,23,0)),"")</f>
        <v/>
      </c>
      <c r="S1202" s="10">
        <f>IF(AND(P1202="TN",R1202="TN"),N1202+N(O1202),IF(G1202&amp;""="1",N(K1202)*N1202,(N1202+N(O1202))*N(K1202)))</f>
        <v/>
      </c>
      <c r="T1202" s="10">
        <f>IF(Q1202="","",Q1202-S1202)</f>
        <v/>
      </c>
    </row>
    <row r="1203">
      <c r="A1203" s="7">
        <f>CONCATENATE(C1203,E1203,F1203,I1203)</f>
        <v/>
      </c>
      <c r="B1203" s="7">
        <f>CONCATENATE(C1203,E1203,I1203)</f>
        <v/>
      </c>
      <c r="C1203" s="8" t="n">
        <v>900007605</v>
      </c>
      <c r="D1203" s="7">
        <f>IFERROR(VLOOKUP(C1203,TRAOPE!$G:$H,2,0),"")</f>
        <v/>
      </c>
      <c r="E1203" s="8" t="inlineStr">
        <is>
          <t>DW70</t>
        </is>
      </c>
      <c r="F1203" s="8" t="inlineStr">
        <is>
          <t>D085</t>
        </is>
      </c>
      <c r="G1203" s="8">
        <f>IFERROR(VLOOKUP(A1203,Flete!$A:$E,5,0),"")</f>
        <v/>
      </c>
      <c r="H1203" s="7">
        <f>IFERROR(VLOOKUP(F1203,TRAOPE!$AA:$AB,2,0),"")</f>
        <v/>
      </c>
      <c r="I1203" s="7" t="n">
        <v>10002802</v>
      </c>
      <c r="J1203" s="7">
        <f>IFERROR(VLOOKUP(I1203,Materiales!$A:$H,8,0),"")</f>
        <v/>
      </c>
      <c r="K1203" s="9">
        <f>IFERROR(VLOOKUP(I1203,Materiales!$A:$G,7,0),"")</f>
        <v/>
      </c>
      <c r="L1203" s="8" t="inlineStr">
        <is>
          <t>20250701</t>
        </is>
      </c>
      <c r="M1203" s="8" t="inlineStr">
        <is>
          <t>20251031</t>
        </is>
      </c>
      <c r="N1203" s="10" t="n">
        <v>97.73999999999999</v>
      </c>
      <c r="O1203" s="10">
        <f>IFERROR(VLOOKUP(A1203,Flete!$A:$J,10,0),"")</f>
        <v/>
      </c>
      <c r="P1203" s="8" t="inlineStr">
        <is>
          <t>TN</t>
        </is>
      </c>
      <c r="Q1203" s="10">
        <f>IFERROR(IFERROR(VLOOKUP(A1203,TRAOPE!$A:$U,21,0),VLOOKUP(B1203,TRAOPE!$A:$U,21,0)),"")</f>
        <v/>
      </c>
      <c r="R1203" s="8">
        <f>IFERROR(IFERROR(VLOOKUP(A1203,TRAOPE!$A:$W,23,0),VLOOKUP(B1203,TRAOPE!$A:$W,23,0)),"")</f>
        <v/>
      </c>
      <c r="S1203" s="10">
        <f>IF(AND(P1203="TN",R1203="TN"),N1203+N(O1203),IF(G1203&amp;""="1",N(K1203)*N1203,(N1203+N(O1203))*N(K1203)))</f>
        <v/>
      </c>
      <c r="T1203" s="10">
        <f>IF(Q1203="","",Q1203-S1203)</f>
        <v/>
      </c>
    </row>
    <row r="1204">
      <c r="A1204" s="7">
        <f>CONCATENATE(C1204,E1204,F1204,I1204)</f>
        <v/>
      </c>
      <c r="B1204" s="7">
        <f>CONCATENATE(C1204,E1204,I1204)</f>
        <v/>
      </c>
      <c r="C1204" s="8" t="n">
        <v>900007605</v>
      </c>
      <c r="D1204" s="7">
        <f>IFERROR(VLOOKUP(C1204,TRAOPE!$G:$H,2,0),"")</f>
        <v/>
      </c>
      <c r="E1204" s="8" t="inlineStr">
        <is>
          <t>DW70</t>
        </is>
      </c>
      <c r="F1204" s="8" t="inlineStr">
        <is>
          <t>D085</t>
        </is>
      </c>
      <c r="G1204" s="8">
        <f>IFERROR(VLOOKUP(A1204,Flete!$A:$E,5,0),"")</f>
        <v/>
      </c>
      <c r="H1204" s="7">
        <f>IFERROR(VLOOKUP(F1204,TRAOPE!$AA:$AB,2,0),"")</f>
        <v/>
      </c>
      <c r="I1204" s="7" t="n">
        <v>10227598</v>
      </c>
      <c r="J1204" s="7">
        <f>IFERROR(VLOOKUP(I1204,Materiales!$A:$H,8,0),"")</f>
        <v/>
      </c>
      <c r="K1204" s="9">
        <f>IFERROR(VLOOKUP(I1204,Materiales!$A:$G,7,0),"")</f>
        <v/>
      </c>
      <c r="L1204" s="8" t="inlineStr">
        <is>
          <t>20230501</t>
        </is>
      </c>
      <c r="M1204" s="8" t="inlineStr">
        <is>
          <t>20250131</t>
        </is>
      </c>
      <c r="N1204" s="10" t="n">
        <v>97.05</v>
      </c>
      <c r="O1204" s="10">
        <f>IFERROR(VLOOKUP(A1204,Flete!$A:$J,10,0),"")</f>
        <v/>
      </c>
      <c r="P1204" s="8" t="inlineStr">
        <is>
          <t>TN</t>
        </is>
      </c>
      <c r="Q1204" s="10">
        <f>IFERROR(IFERROR(VLOOKUP(A1204,TRAOPE!$A:$U,21,0),VLOOKUP(B1204,TRAOPE!$A:$U,21,0)),"")</f>
        <v/>
      </c>
      <c r="R1204" s="8">
        <f>IFERROR(IFERROR(VLOOKUP(A1204,TRAOPE!$A:$W,23,0),VLOOKUP(B1204,TRAOPE!$A:$W,23,0)),"")</f>
        <v/>
      </c>
      <c r="S1204" s="10">
        <f>IF(AND(P1204="TN",R1204="TN"),N1204+N(O1204),IF(G1204&amp;""="1",N(K1204)*N1204,(N1204+N(O1204))*N(K1204)))</f>
        <v/>
      </c>
      <c r="T1204" s="10">
        <f>IF(Q1204="","",Q1204-S1204)</f>
        <v/>
      </c>
    </row>
    <row r="1205">
      <c r="A1205" s="7">
        <f>CONCATENATE(C1205,E1205,F1205,I1205)</f>
        <v/>
      </c>
      <c r="B1205" s="7">
        <f>CONCATENATE(C1205,E1205,I1205)</f>
        <v/>
      </c>
      <c r="C1205" s="8" t="n">
        <v>900007605</v>
      </c>
      <c r="D1205" s="7">
        <f>IFERROR(VLOOKUP(C1205,TRAOPE!$G:$H,2,0),"")</f>
        <v/>
      </c>
      <c r="E1205" s="8" t="inlineStr">
        <is>
          <t>DW70</t>
        </is>
      </c>
      <c r="F1205" s="8" t="inlineStr">
        <is>
          <t>D085</t>
        </is>
      </c>
      <c r="G1205" s="8">
        <f>IFERROR(VLOOKUP(A1205,Flete!$A:$E,5,0),"")</f>
        <v/>
      </c>
      <c r="H1205" s="7">
        <f>IFERROR(VLOOKUP(F1205,TRAOPE!$AA:$AB,2,0),"")</f>
        <v/>
      </c>
      <c r="I1205" s="7" t="n">
        <v>10274754</v>
      </c>
      <c r="J1205" s="7">
        <f>IFERROR(VLOOKUP(I1205,Materiales!$A:$H,8,0),"")</f>
        <v/>
      </c>
      <c r="K1205" s="9">
        <f>IFERROR(VLOOKUP(I1205,Materiales!$A:$G,7,0),"")</f>
        <v/>
      </c>
      <c r="L1205" s="8" t="inlineStr">
        <is>
          <t>20260507</t>
        </is>
      </c>
      <c r="M1205" s="8" t="inlineStr">
        <is>
          <t>99991231</t>
        </is>
      </c>
      <c r="N1205" s="10" t="n">
        <v>113.82</v>
      </c>
      <c r="O1205" s="10">
        <f>IFERROR(VLOOKUP(A1205,Flete!$A:$J,10,0),"")</f>
        <v/>
      </c>
      <c r="P1205" s="8" t="inlineStr">
        <is>
          <t>TN</t>
        </is>
      </c>
      <c r="Q1205" s="10">
        <f>IFERROR(IFERROR(VLOOKUP(A1205,TRAOPE!$A:$U,21,0),VLOOKUP(B1205,TRAOPE!$A:$U,21,0)),"")</f>
        <v/>
      </c>
      <c r="R1205" s="8">
        <f>IFERROR(IFERROR(VLOOKUP(A1205,TRAOPE!$A:$W,23,0),VLOOKUP(B1205,TRAOPE!$A:$W,23,0)),"")</f>
        <v/>
      </c>
      <c r="S1205" s="10">
        <f>IF(AND(P1205="TN",R1205="TN"),N1205+N(O1205),IF(G1205&amp;""="1",N(K1205)*N1205,(N1205+N(O1205))*N(K1205)))</f>
        <v/>
      </c>
      <c r="T1205" s="10">
        <f>IF(Q1205="","",Q1205-S1205)</f>
        <v/>
      </c>
    </row>
    <row r="1206">
      <c r="A1206" s="7">
        <f>CONCATENATE(C1206,E1206,F1206,I1206)</f>
        <v/>
      </c>
      <c r="B1206" s="7">
        <f>CONCATENATE(C1206,E1206,I1206)</f>
        <v/>
      </c>
      <c r="C1206" s="8" t="n">
        <v>900007605</v>
      </c>
      <c r="D1206" s="7">
        <f>IFERROR(VLOOKUP(C1206,TRAOPE!$G:$H,2,0),"")</f>
        <v/>
      </c>
      <c r="E1206" s="8" t="inlineStr">
        <is>
          <t>DW70</t>
        </is>
      </c>
      <c r="F1206" s="8" t="inlineStr">
        <is>
          <t>D085</t>
        </is>
      </c>
      <c r="G1206" s="8">
        <f>IFERROR(VLOOKUP(A1206,Flete!$A:$E,5,0),"")</f>
        <v/>
      </c>
      <c r="H1206" s="7">
        <f>IFERROR(VLOOKUP(F1206,TRAOPE!$AA:$AB,2,0),"")</f>
        <v/>
      </c>
      <c r="I1206" s="7" t="n">
        <v>10275114</v>
      </c>
      <c r="J1206" s="7">
        <f>IFERROR(VLOOKUP(I1206,Materiales!$A:$H,8,0),"")</f>
        <v/>
      </c>
      <c r="K1206" s="9">
        <f>IFERROR(VLOOKUP(I1206,Materiales!$A:$G,7,0),"")</f>
        <v/>
      </c>
      <c r="L1206" s="8" t="inlineStr">
        <is>
          <t>20260507</t>
        </is>
      </c>
      <c r="M1206" s="8" t="inlineStr">
        <is>
          <t>99991231</t>
        </is>
      </c>
      <c r="N1206" s="10" t="n">
        <v>112.95</v>
      </c>
      <c r="O1206" s="10">
        <f>IFERROR(VLOOKUP(A1206,Flete!$A:$J,10,0),"")</f>
        <v/>
      </c>
      <c r="P1206" s="8" t="inlineStr">
        <is>
          <t>TN</t>
        </is>
      </c>
      <c r="Q1206" s="10">
        <f>IFERROR(IFERROR(VLOOKUP(A1206,TRAOPE!$A:$U,21,0),VLOOKUP(B1206,TRAOPE!$A:$U,21,0)),"")</f>
        <v/>
      </c>
      <c r="R1206" s="8">
        <f>IFERROR(IFERROR(VLOOKUP(A1206,TRAOPE!$A:$W,23,0),VLOOKUP(B1206,TRAOPE!$A:$W,23,0)),"")</f>
        <v/>
      </c>
      <c r="S1206" s="10">
        <f>IF(AND(P1206="TN",R1206="TN"),N1206+N(O1206),IF(G1206&amp;""="1",N(K1206)*N1206,(N1206+N(O1206))*N(K1206)))</f>
        <v/>
      </c>
      <c r="T1206" s="10">
        <f>IF(Q1206="","",Q1206-S1206)</f>
        <v/>
      </c>
    </row>
    <row r="1207">
      <c r="A1207" s="7">
        <f>CONCATENATE(C1207,E1207,F1207,I1207)</f>
        <v/>
      </c>
      <c r="B1207" s="7">
        <f>CONCATENATE(C1207,E1207,I1207)</f>
        <v/>
      </c>
      <c r="C1207" s="8" t="n">
        <v>900007605</v>
      </c>
      <c r="D1207" s="7">
        <f>IFERROR(VLOOKUP(C1207,TRAOPE!$G:$H,2,0),"")</f>
        <v/>
      </c>
      <c r="E1207" s="8" t="inlineStr">
        <is>
          <t>DW70</t>
        </is>
      </c>
      <c r="F1207" s="8" t="inlineStr">
        <is>
          <t>D086</t>
        </is>
      </c>
      <c r="G1207" s="8">
        <f>IFERROR(VLOOKUP(A1207,Flete!$A:$E,5,0),"")</f>
        <v/>
      </c>
      <c r="H1207" s="7">
        <f>IFERROR(VLOOKUP(F1207,TRAOPE!$AA:$AB,2,0),"")</f>
        <v/>
      </c>
      <c r="I1207" s="7" t="n">
        <v>10002802</v>
      </c>
      <c r="J1207" s="7">
        <f>IFERROR(VLOOKUP(I1207,Materiales!$A:$H,8,0),"")</f>
        <v/>
      </c>
      <c r="K1207" s="9">
        <f>IFERROR(VLOOKUP(I1207,Materiales!$A:$G,7,0),"")</f>
        <v/>
      </c>
      <c r="L1207" s="8" t="inlineStr">
        <is>
          <t>20250701</t>
        </is>
      </c>
      <c r="M1207" s="8" t="inlineStr">
        <is>
          <t>20251031</t>
        </is>
      </c>
      <c r="N1207" s="10" t="n">
        <v>97.73999999999999</v>
      </c>
      <c r="O1207" s="10">
        <f>IFERROR(VLOOKUP(A1207,Flete!$A:$J,10,0),"")</f>
        <v/>
      </c>
      <c r="P1207" s="8" t="inlineStr">
        <is>
          <t>TN</t>
        </is>
      </c>
      <c r="Q1207" s="10">
        <f>IFERROR(IFERROR(VLOOKUP(A1207,TRAOPE!$A:$U,21,0),VLOOKUP(B1207,TRAOPE!$A:$U,21,0)),"")</f>
        <v/>
      </c>
      <c r="R1207" s="8">
        <f>IFERROR(IFERROR(VLOOKUP(A1207,TRAOPE!$A:$W,23,0),VLOOKUP(B1207,TRAOPE!$A:$W,23,0)),"")</f>
        <v/>
      </c>
      <c r="S1207" s="10">
        <f>IF(AND(P1207="TN",R1207="TN"),N1207+N(O1207),IF(G1207&amp;""="1",N(K1207)*N1207,(N1207+N(O1207))*N(K1207)))</f>
        <v/>
      </c>
      <c r="T1207" s="10">
        <f>IF(Q1207="","",Q1207-S1207)</f>
        <v/>
      </c>
    </row>
    <row r="1208">
      <c r="A1208" s="7">
        <f>CONCATENATE(C1208,E1208,F1208,I1208)</f>
        <v/>
      </c>
      <c r="B1208" s="7">
        <f>CONCATENATE(C1208,E1208,I1208)</f>
        <v/>
      </c>
      <c r="C1208" s="8" t="n">
        <v>900007605</v>
      </c>
      <c r="D1208" s="7">
        <f>IFERROR(VLOOKUP(C1208,TRAOPE!$G:$H,2,0),"")</f>
        <v/>
      </c>
      <c r="E1208" s="8" t="inlineStr">
        <is>
          <t>DW70</t>
        </is>
      </c>
      <c r="F1208" s="8" t="inlineStr">
        <is>
          <t>D086</t>
        </is>
      </c>
      <c r="G1208" s="8">
        <f>IFERROR(VLOOKUP(A1208,Flete!$A:$E,5,0),"")</f>
        <v/>
      </c>
      <c r="H1208" s="7">
        <f>IFERROR(VLOOKUP(F1208,TRAOPE!$AA:$AB,2,0),"")</f>
        <v/>
      </c>
      <c r="I1208" s="7" t="n">
        <v>10227598</v>
      </c>
      <c r="J1208" s="7">
        <f>IFERROR(VLOOKUP(I1208,Materiales!$A:$H,8,0),"")</f>
        <v/>
      </c>
      <c r="K1208" s="9">
        <f>IFERROR(VLOOKUP(I1208,Materiales!$A:$G,7,0),"")</f>
        <v/>
      </c>
      <c r="L1208" s="8" t="inlineStr">
        <is>
          <t>20230501</t>
        </is>
      </c>
      <c r="M1208" s="8" t="inlineStr">
        <is>
          <t>20250131</t>
        </is>
      </c>
      <c r="N1208" s="10" t="n">
        <v>97.05</v>
      </c>
      <c r="O1208" s="10">
        <f>IFERROR(VLOOKUP(A1208,Flete!$A:$J,10,0),"")</f>
        <v/>
      </c>
      <c r="P1208" s="8" t="inlineStr">
        <is>
          <t>TN</t>
        </is>
      </c>
      <c r="Q1208" s="10">
        <f>IFERROR(IFERROR(VLOOKUP(A1208,TRAOPE!$A:$U,21,0),VLOOKUP(B1208,TRAOPE!$A:$U,21,0)),"")</f>
        <v/>
      </c>
      <c r="R1208" s="8">
        <f>IFERROR(IFERROR(VLOOKUP(A1208,TRAOPE!$A:$W,23,0),VLOOKUP(B1208,TRAOPE!$A:$W,23,0)),"")</f>
        <v/>
      </c>
      <c r="S1208" s="10">
        <f>IF(AND(P1208="TN",R1208="TN"),N1208+N(O1208),IF(G1208&amp;""="1",N(K1208)*N1208,(N1208+N(O1208))*N(K1208)))</f>
        <v/>
      </c>
      <c r="T1208" s="10">
        <f>IF(Q1208="","",Q1208-S1208)</f>
        <v/>
      </c>
    </row>
    <row r="1209">
      <c r="A1209" s="7">
        <f>CONCATENATE(C1209,E1209,F1209,I1209)</f>
        <v/>
      </c>
      <c r="B1209" s="7">
        <f>CONCATENATE(C1209,E1209,I1209)</f>
        <v/>
      </c>
      <c r="C1209" s="8" t="n">
        <v>900007605</v>
      </c>
      <c r="D1209" s="7">
        <f>IFERROR(VLOOKUP(C1209,TRAOPE!$G:$H,2,0),"")</f>
        <v/>
      </c>
      <c r="E1209" s="8" t="inlineStr">
        <is>
          <t>DW70</t>
        </is>
      </c>
      <c r="F1209" s="8" t="inlineStr">
        <is>
          <t>D086</t>
        </is>
      </c>
      <c r="G1209" s="8">
        <f>IFERROR(VLOOKUP(A1209,Flete!$A:$E,5,0),"")</f>
        <v/>
      </c>
      <c r="H1209" s="7">
        <f>IFERROR(VLOOKUP(F1209,TRAOPE!$AA:$AB,2,0),"")</f>
        <v/>
      </c>
      <c r="I1209" s="7" t="n">
        <v>10274754</v>
      </c>
      <c r="J1209" s="7">
        <f>IFERROR(VLOOKUP(I1209,Materiales!$A:$H,8,0),"")</f>
        <v/>
      </c>
      <c r="K1209" s="9">
        <f>IFERROR(VLOOKUP(I1209,Materiales!$A:$G,7,0),"")</f>
        <v/>
      </c>
      <c r="L1209" s="8" t="inlineStr">
        <is>
          <t>20260507</t>
        </is>
      </c>
      <c r="M1209" s="8" t="inlineStr">
        <is>
          <t>99991231</t>
        </is>
      </c>
      <c r="N1209" s="10" t="n">
        <v>113.82</v>
      </c>
      <c r="O1209" s="10">
        <f>IFERROR(VLOOKUP(A1209,Flete!$A:$J,10,0),"")</f>
        <v/>
      </c>
      <c r="P1209" s="8" t="inlineStr">
        <is>
          <t>TN</t>
        </is>
      </c>
      <c r="Q1209" s="10">
        <f>IFERROR(IFERROR(VLOOKUP(A1209,TRAOPE!$A:$U,21,0),VLOOKUP(B1209,TRAOPE!$A:$U,21,0)),"")</f>
        <v/>
      </c>
      <c r="R1209" s="8">
        <f>IFERROR(IFERROR(VLOOKUP(A1209,TRAOPE!$A:$W,23,0),VLOOKUP(B1209,TRAOPE!$A:$W,23,0)),"")</f>
        <v/>
      </c>
      <c r="S1209" s="10">
        <f>IF(AND(P1209="TN",R1209="TN"),N1209+N(O1209),IF(G1209&amp;""="1",N(K1209)*N1209,(N1209+N(O1209))*N(K1209)))</f>
        <v/>
      </c>
      <c r="T1209" s="10">
        <f>IF(Q1209="","",Q1209-S1209)</f>
        <v/>
      </c>
    </row>
    <row r="1210">
      <c r="A1210" s="7">
        <f>CONCATENATE(C1210,E1210,F1210,I1210)</f>
        <v/>
      </c>
      <c r="B1210" s="7">
        <f>CONCATENATE(C1210,E1210,I1210)</f>
        <v/>
      </c>
      <c r="C1210" s="8" t="n">
        <v>900007605</v>
      </c>
      <c r="D1210" s="7">
        <f>IFERROR(VLOOKUP(C1210,TRAOPE!$G:$H,2,0),"")</f>
        <v/>
      </c>
      <c r="E1210" s="8" t="inlineStr">
        <is>
          <t>DW70</t>
        </is>
      </c>
      <c r="F1210" s="8" t="inlineStr">
        <is>
          <t>D086</t>
        </is>
      </c>
      <c r="G1210" s="8">
        <f>IFERROR(VLOOKUP(A1210,Flete!$A:$E,5,0),"")</f>
        <v/>
      </c>
      <c r="H1210" s="7">
        <f>IFERROR(VLOOKUP(F1210,TRAOPE!$AA:$AB,2,0),"")</f>
        <v/>
      </c>
      <c r="I1210" s="7" t="n">
        <v>10275114</v>
      </c>
      <c r="J1210" s="7">
        <f>IFERROR(VLOOKUP(I1210,Materiales!$A:$H,8,0),"")</f>
        <v/>
      </c>
      <c r="K1210" s="9">
        <f>IFERROR(VLOOKUP(I1210,Materiales!$A:$G,7,0),"")</f>
        <v/>
      </c>
      <c r="L1210" s="8" t="inlineStr">
        <is>
          <t>20260507</t>
        </is>
      </c>
      <c r="M1210" s="8" t="inlineStr">
        <is>
          <t>99991231</t>
        </is>
      </c>
      <c r="N1210" s="10" t="n">
        <v>112.95</v>
      </c>
      <c r="O1210" s="10">
        <f>IFERROR(VLOOKUP(A1210,Flete!$A:$J,10,0),"")</f>
        <v/>
      </c>
      <c r="P1210" s="8" t="inlineStr">
        <is>
          <t>TN</t>
        </is>
      </c>
      <c r="Q1210" s="10">
        <f>IFERROR(IFERROR(VLOOKUP(A1210,TRAOPE!$A:$U,21,0),VLOOKUP(B1210,TRAOPE!$A:$U,21,0)),"")</f>
        <v/>
      </c>
      <c r="R1210" s="8">
        <f>IFERROR(IFERROR(VLOOKUP(A1210,TRAOPE!$A:$W,23,0),VLOOKUP(B1210,TRAOPE!$A:$W,23,0)),"")</f>
        <v/>
      </c>
      <c r="S1210" s="10">
        <f>IF(AND(P1210="TN",R1210="TN"),N1210+N(O1210),IF(G1210&amp;""="1",N(K1210)*N1210,(N1210+N(O1210))*N(K1210)))</f>
        <v/>
      </c>
      <c r="T1210" s="10">
        <f>IF(Q1210="","",Q1210-S1210)</f>
        <v/>
      </c>
    </row>
    <row r="1211">
      <c r="A1211" s="7">
        <f>CONCATENATE(C1211,E1211,F1211,I1211)</f>
        <v/>
      </c>
      <c r="B1211" s="7">
        <f>CONCATENATE(C1211,E1211,I1211)</f>
        <v/>
      </c>
      <c r="C1211" s="8" t="n">
        <v>900007605</v>
      </c>
      <c r="D1211" s="7">
        <f>IFERROR(VLOOKUP(C1211,TRAOPE!$G:$H,2,0),"")</f>
        <v/>
      </c>
      <c r="E1211" s="8" t="inlineStr">
        <is>
          <t>DW70</t>
        </is>
      </c>
      <c r="F1211" s="8" t="inlineStr">
        <is>
          <t>D093</t>
        </is>
      </c>
      <c r="G1211" s="8">
        <f>IFERROR(VLOOKUP(A1211,Flete!$A:$E,5,0),"")</f>
        <v/>
      </c>
      <c r="H1211" s="7">
        <f>IFERROR(VLOOKUP(F1211,TRAOPE!$AA:$AB,2,0),"")</f>
        <v/>
      </c>
      <c r="I1211" s="7" t="n">
        <v>10002802</v>
      </c>
      <c r="J1211" s="7">
        <f>IFERROR(VLOOKUP(I1211,Materiales!$A:$H,8,0),"")</f>
        <v/>
      </c>
      <c r="K1211" s="9">
        <f>IFERROR(VLOOKUP(I1211,Materiales!$A:$G,7,0),"")</f>
        <v/>
      </c>
      <c r="L1211" s="8" t="inlineStr">
        <is>
          <t>20250701</t>
        </is>
      </c>
      <c r="M1211" s="8" t="inlineStr">
        <is>
          <t>20260310</t>
        </is>
      </c>
      <c r="N1211" s="10" t="n">
        <v>97.73999999999999</v>
      </c>
      <c r="O1211" s="10">
        <f>IFERROR(VLOOKUP(A1211,Flete!$A:$J,10,0),"")</f>
        <v/>
      </c>
      <c r="P1211" s="8" t="inlineStr">
        <is>
          <t>TN</t>
        </is>
      </c>
      <c r="Q1211" s="10">
        <f>IFERROR(IFERROR(VLOOKUP(A1211,TRAOPE!$A:$U,21,0),VLOOKUP(B1211,TRAOPE!$A:$U,21,0)),"")</f>
        <v/>
      </c>
      <c r="R1211" s="8">
        <f>IFERROR(IFERROR(VLOOKUP(A1211,TRAOPE!$A:$W,23,0),VLOOKUP(B1211,TRAOPE!$A:$W,23,0)),"")</f>
        <v/>
      </c>
      <c r="S1211" s="10">
        <f>IF(AND(P1211="TN",R1211="TN"),N1211+N(O1211),IF(G1211&amp;""="1",N(K1211)*N1211,(N1211+N(O1211))*N(K1211)))</f>
        <v/>
      </c>
      <c r="T1211" s="10">
        <f>IF(Q1211="","",Q1211-S1211)</f>
        <v/>
      </c>
    </row>
    <row r="1212">
      <c r="A1212" s="7">
        <f>CONCATENATE(C1212,E1212,F1212,I1212)</f>
        <v/>
      </c>
      <c r="B1212" s="7">
        <f>CONCATENATE(C1212,E1212,I1212)</f>
        <v/>
      </c>
      <c r="C1212" s="8" t="n">
        <v>900007605</v>
      </c>
      <c r="D1212" s="7">
        <f>IFERROR(VLOOKUP(C1212,TRAOPE!$G:$H,2,0),"")</f>
        <v/>
      </c>
      <c r="E1212" s="8" t="inlineStr">
        <is>
          <t>DW70</t>
        </is>
      </c>
      <c r="F1212" s="8" t="inlineStr">
        <is>
          <t>D093</t>
        </is>
      </c>
      <c r="G1212" s="8">
        <f>IFERROR(VLOOKUP(A1212,Flete!$A:$E,5,0),"")</f>
        <v/>
      </c>
      <c r="H1212" s="7">
        <f>IFERROR(VLOOKUP(F1212,TRAOPE!$AA:$AB,2,0),"")</f>
        <v/>
      </c>
      <c r="I1212" s="7" t="n">
        <v>10274754</v>
      </c>
      <c r="J1212" s="7">
        <f>IFERROR(VLOOKUP(I1212,Materiales!$A:$H,8,0),"")</f>
        <v/>
      </c>
      <c r="K1212" s="9">
        <f>IFERROR(VLOOKUP(I1212,Materiales!$A:$G,7,0),"")</f>
        <v/>
      </c>
      <c r="L1212" s="8" t="inlineStr">
        <is>
          <t>20260507</t>
        </is>
      </c>
      <c r="M1212" s="8" t="inlineStr">
        <is>
          <t>99991231</t>
        </is>
      </c>
      <c r="N1212" s="10" t="n">
        <v>113.82</v>
      </c>
      <c r="O1212" s="10">
        <f>IFERROR(VLOOKUP(A1212,Flete!$A:$J,10,0),"")</f>
        <v/>
      </c>
      <c r="P1212" s="8" t="inlineStr">
        <is>
          <t>TN</t>
        </is>
      </c>
      <c r="Q1212" s="10">
        <f>IFERROR(IFERROR(VLOOKUP(A1212,TRAOPE!$A:$U,21,0),VLOOKUP(B1212,TRAOPE!$A:$U,21,0)),"")</f>
        <v/>
      </c>
      <c r="R1212" s="8">
        <f>IFERROR(IFERROR(VLOOKUP(A1212,TRAOPE!$A:$W,23,0),VLOOKUP(B1212,TRAOPE!$A:$W,23,0)),"")</f>
        <v/>
      </c>
      <c r="S1212" s="10">
        <f>IF(AND(P1212="TN",R1212="TN"),N1212+N(O1212),IF(G1212&amp;""="1",N(K1212)*N1212,(N1212+N(O1212))*N(K1212)))</f>
        <v/>
      </c>
      <c r="T1212" s="10">
        <f>IF(Q1212="","",Q1212-S1212)</f>
        <v/>
      </c>
    </row>
    <row r="1213">
      <c r="A1213" s="7">
        <f>CONCATENATE(C1213,E1213,F1213,I1213)</f>
        <v/>
      </c>
      <c r="B1213" s="7">
        <f>CONCATENATE(C1213,E1213,I1213)</f>
        <v/>
      </c>
      <c r="C1213" s="8" t="n">
        <v>900007605</v>
      </c>
      <c r="D1213" s="7">
        <f>IFERROR(VLOOKUP(C1213,TRAOPE!$G:$H,2,0),"")</f>
        <v/>
      </c>
      <c r="E1213" s="8" t="inlineStr">
        <is>
          <t>DW70</t>
        </is>
      </c>
      <c r="F1213" s="8" t="inlineStr">
        <is>
          <t>D093</t>
        </is>
      </c>
      <c r="G1213" s="8">
        <f>IFERROR(VLOOKUP(A1213,Flete!$A:$E,5,0),"")</f>
        <v/>
      </c>
      <c r="H1213" s="7">
        <f>IFERROR(VLOOKUP(F1213,TRAOPE!$AA:$AB,2,0),"")</f>
        <v/>
      </c>
      <c r="I1213" s="7" t="n">
        <v>10275114</v>
      </c>
      <c r="J1213" s="7">
        <f>IFERROR(VLOOKUP(I1213,Materiales!$A:$H,8,0),"")</f>
        <v/>
      </c>
      <c r="K1213" s="9">
        <f>IFERROR(VLOOKUP(I1213,Materiales!$A:$G,7,0),"")</f>
        <v/>
      </c>
      <c r="L1213" s="8" t="inlineStr">
        <is>
          <t>20260507</t>
        </is>
      </c>
      <c r="M1213" s="8" t="inlineStr">
        <is>
          <t>99991231</t>
        </is>
      </c>
      <c r="N1213" s="10" t="n">
        <v>112.95</v>
      </c>
      <c r="O1213" s="10">
        <f>IFERROR(VLOOKUP(A1213,Flete!$A:$J,10,0),"")</f>
        <v/>
      </c>
      <c r="P1213" s="8" t="inlineStr">
        <is>
          <t>TN</t>
        </is>
      </c>
      <c r="Q1213" s="10">
        <f>IFERROR(IFERROR(VLOOKUP(A1213,TRAOPE!$A:$U,21,0),VLOOKUP(B1213,TRAOPE!$A:$U,21,0)),"")</f>
        <v/>
      </c>
      <c r="R1213" s="8">
        <f>IFERROR(IFERROR(VLOOKUP(A1213,TRAOPE!$A:$W,23,0),VLOOKUP(B1213,TRAOPE!$A:$W,23,0)),"")</f>
        <v/>
      </c>
      <c r="S1213" s="10">
        <f>IF(AND(P1213="TN",R1213="TN"),N1213+N(O1213),IF(G1213&amp;""="1",N(K1213)*N1213,(N1213+N(O1213))*N(K1213)))</f>
        <v/>
      </c>
      <c r="T1213" s="10">
        <f>IF(Q1213="","",Q1213-S1213)</f>
        <v/>
      </c>
    </row>
    <row r="1214">
      <c r="A1214" s="7">
        <f>CONCATENATE(C1214,E1214,F1214,I1214)</f>
        <v/>
      </c>
      <c r="B1214" s="7">
        <f>CONCATENATE(C1214,E1214,I1214)</f>
        <v/>
      </c>
      <c r="C1214" s="8" t="n">
        <v>900007605</v>
      </c>
      <c r="D1214" s="7">
        <f>IFERROR(VLOOKUP(C1214,TRAOPE!$G:$H,2,0),"")</f>
        <v/>
      </c>
      <c r="E1214" s="8" t="inlineStr">
        <is>
          <t>DW70</t>
        </is>
      </c>
      <c r="F1214" s="8" t="inlineStr">
        <is>
          <t>D098</t>
        </is>
      </c>
      <c r="G1214" s="8">
        <f>IFERROR(VLOOKUP(A1214,Flete!$A:$E,5,0),"")</f>
        <v/>
      </c>
      <c r="H1214" s="7">
        <f>IFERROR(VLOOKUP(F1214,TRAOPE!$AA:$AB,2,0),"")</f>
        <v/>
      </c>
      <c r="I1214" s="7" t="n">
        <v>10002802</v>
      </c>
      <c r="J1214" s="7">
        <f>IFERROR(VLOOKUP(I1214,Materiales!$A:$H,8,0),"")</f>
        <v/>
      </c>
      <c r="K1214" s="9">
        <f>IFERROR(VLOOKUP(I1214,Materiales!$A:$G,7,0),"")</f>
        <v/>
      </c>
      <c r="L1214" s="8" t="inlineStr">
        <is>
          <t>20250701</t>
        </is>
      </c>
      <c r="M1214" s="8" t="inlineStr">
        <is>
          <t>20260310</t>
        </is>
      </c>
      <c r="N1214" s="10" t="n">
        <v>97.73999999999999</v>
      </c>
      <c r="O1214" s="10">
        <f>IFERROR(VLOOKUP(A1214,Flete!$A:$J,10,0),"")</f>
        <v/>
      </c>
      <c r="P1214" s="8" t="inlineStr">
        <is>
          <t>TN</t>
        </is>
      </c>
      <c r="Q1214" s="10">
        <f>IFERROR(IFERROR(VLOOKUP(A1214,TRAOPE!$A:$U,21,0),VLOOKUP(B1214,TRAOPE!$A:$U,21,0)),"")</f>
        <v/>
      </c>
      <c r="R1214" s="8">
        <f>IFERROR(IFERROR(VLOOKUP(A1214,TRAOPE!$A:$W,23,0),VLOOKUP(B1214,TRAOPE!$A:$W,23,0)),"")</f>
        <v/>
      </c>
      <c r="S1214" s="10">
        <f>IF(AND(P1214="TN",R1214="TN"),N1214+N(O1214),IF(G1214&amp;""="1",N(K1214)*N1214,(N1214+N(O1214))*N(K1214)))</f>
        <v/>
      </c>
      <c r="T1214" s="10">
        <f>IF(Q1214="","",Q1214-S1214)</f>
        <v/>
      </c>
    </row>
    <row r="1215">
      <c r="A1215" s="7">
        <f>CONCATENATE(C1215,E1215,F1215,I1215)</f>
        <v/>
      </c>
      <c r="B1215" s="7">
        <f>CONCATENATE(C1215,E1215,I1215)</f>
        <v/>
      </c>
      <c r="C1215" s="8" t="n">
        <v>900007605</v>
      </c>
      <c r="D1215" s="7">
        <f>IFERROR(VLOOKUP(C1215,TRAOPE!$G:$H,2,0),"")</f>
        <v/>
      </c>
      <c r="E1215" s="8" t="inlineStr">
        <is>
          <t>DW70</t>
        </is>
      </c>
      <c r="F1215" s="8" t="inlineStr">
        <is>
          <t>D098</t>
        </is>
      </c>
      <c r="G1215" s="8">
        <f>IFERROR(VLOOKUP(A1215,Flete!$A:$E,5,0),"")</f>
        <v/>
      </c>
      <c r="H1215" s="7">
        <f>IFERROR(VLOOKUP(F1215,TRAOPE!$AA:$AB,2,0),"")</f>
        <v/>
      </c>
      <c r="I1215" s="7" t="n">
        <v>10274754</v>
      </c>
      <c r="J1215" s="7">
        <f>IFERROR(VLOOKUP(I1215,Materiales!$A:$H,8,0),"")</f>
        <v/>
      </c>
      <c r="K1215" s="9">
        <f>IFERROR(VLOOKUP(I1215,Materiales!$A:$G,7,0),"")</f>
        <v/>
      </c>
      <c r="L1215" s="8" t="inlineStr">
        <is>
          <t>20260507</t>
        </is>
      </c>
      <c r="M1215" s="8" t="inlineStr">
        <is>
          <t>99991231</t>
        </is>
      </c>
      <c r="N1215" s="10" t="n">
        <v>113.82</v>
      </c>
      <c r="O1215" s="10">
        <f>IFERROR(VLOOKUP(A1215,Flete!$A:$J,10,0),"")</f>
        <v/>
      </c>
      <c r="P1215" s="8" t="inlineStr">
        <is>
          <t>TN</t>
        </is>
      </c>
      <c r="Q1215" s="10">
        <f>IFERROR(IFERROR(VLOOKUP(A1215,TRAOPE!$A:$U,21,0),VLOOKUP(B1215,TRAOPE!$A:$U,21,0)),"")</f>
        <v/>
      </c>
      <c r="R1215" s="8">
        <f>IFERROR(IFERROR(VLOOKUP(A1215,TRAOPE!$A:$W,23,0),VLOOKUP(B1215,TRAOPE!$A:$W,23,0)),"")</f>
        <v/>
      </c>
      <c r="S1215" s="10">
        <f>IF(AND(P1215="TN",R1215="TN"),N1215+N(O1215),IF(G1215&amp;""="1",N(K1215)*N1215,(N1215+N(O1215))*N(K1215)))</f>
        <v/>
      </c>
      <c r="T1215" s="10">
        <f>IF(Q1215="","",Q1215-S1215)</f>
        <v/>
      </c>
    </row>
    <row r="1216">
      <c r="A1216" s="7">
        <f>CONCATENATE(C1216,E1216,F1216,I1216)</f>
        <v/>
      </c>
      <c r="B1216" s="7">
        <f>CONCATENATE(C1216,E1216,I1216)</f>
        <v/>
      </c>
      <c r="C1216" s="8" t="n">
        <v>900007605</v>
      </c>
      <c r="D1216" s="7">
        <f>IFERROR(VLOOKUP(C1216,TRAOPE!$G:$H,2,0),"")</f>
        <v/>
      </c>
      <c r="E1216" s="8" t="inlineStr">
        <is>
          <t>DW70</t>
        </is>
      </c>
      <c r="F1216" s="8" t="inlineStr">
        <is>
          <t>D098</t>
        </is>
      </c>
      <c r="G1216" s="8">
        <f>IFERROR(VLOOKUP(A1216,Flete!$A:$E,5,0),"")</f>
        <v/>
      </c>
      <c r="H1216" s="7">
        <f>IFERROR(VLOOKUP(F1216,TRAOPE!$AA:$AB,2,0),"")</f>
        <v/>
      </c>
      <c r="I1216" s="7" t="n">
        <v>10275114</v>
      </c>
      <c r="J1216" s="7">
        <f>IFERROR(VLOOKUP(I1216,Materiales!$A:$H,8,0),"")</f>
        <v/>
      </c>
      <c r="K1216" s="9">
        <f>IFERROR(VLOOKUP(I1216,Materiales!$A:$G,7,0),"")</f>
        <v/>
      </c>
      <c r="L1216" s="8" t="inlineStr">
        <is>
          <t>20260507</t>
        </is>
      </c>
      <c r="M1216" s="8" t="inlineStr">
        <is>
          <t>99991231</t>
        </is>
      </c>
      <c r="N1216" s="10" t="n">
        <v>112.95</v>
      </c>
      <c r="O1216" s="10">
        <f>IFERROR(VLOOKUP(A1216,Flete!$A:$J,10,0),"")</f>
        <v/>
      </c>
      <c r="P1216" s="8" t="inlineStr">
        <is>
          <t>TN</t>
        </is>
      </c>
      <c r="Q1216" s="10">
        <f>IFERROR(IFERROR(VLOOKUP(A1216,TRAOPE!$A:$U,21,0),VLOOKUP(B1216,TRAOPE!$A:$U,21,0)),"")</f>
        <v/>
      </c>
      <c r="R1216" s="8">
        <f>IFERROR(IFERROR(VLOOKUP(A1216,TRAOPE!$A:$W,23,0),VLOOKUP(B1216,TRAOPE!$A:$W,23,0)),"")</f>
        <v/>
      </c>
      <c r="S1216" s="10">
        <f>IF(AND(P1216="TN",R1216="TN"),N1216+N(O1216),IF(G1216&amp;""="1",N(K1216)*N1216,(N1216+N(O1216))*N(K1216)))</f>
        <v/>
      </c>
      <c r="T1216" s="10">
        <f>IF(Q1216="","",Q1216-S1216)</f>
        <v/>
      </c>
    </row>
    <row r="1217">
      <c r="A1217" s="7">
        <f>CONCATENATE(C1217,E1217,F1217,I1217)</f>
        <v/>
      </c>
      <c r="B1217" s="7">
        <f>CONCATENATE(C1217,E1217,I1217)</f>
        <v/>
      </c>
      <c r="C1217" s="8" t="n">
        <v>900007605</v>
      </c>
      <c r="D1217" s="7">
        <f>IFERROR(VLOOKUP(C1217,TRAOPE!$G:$H,2,0),"")</f>
        <v/>
      </c>
      <c r="E1217" s="8" t="inlineStr">
        <is>
          <t>DW70</t>
        </is>
      </c>
      <c r="F1217" s="8" t="inlineStr">
        <is>
          <t>D105</t>
        </is>
      </c>
      <c r="G1217" s="8">
        <f>IFERROR(VLOOKUP(A1217,Flete!$A:$E,5,0),"")</f>
        <v/>
      </c>
      <c r="H1217" s="7">
        <f>IFERROR(VLOOKUP(F1217,TRAOPE!$AA:$AB,2,0),"")</f>
        <v/>
      </c>
      <c r="I1217" s="7" t="n">
        <v>10002802</v>
      </c>
      <c r="J1217" s="7">
        <f>IFERROR(VLOOKUP(I1217,Materiales!$A:$H,8,0),"")</f>
        <v/>
      </c>
      <c r="K1217" s="9">
        <f>IFERROR(VLOOKUP(I1217,Materiales!$A:$G,7,0),"")</f>
        <v/>
      </c>
      <c r="L1217" s="8" t="inlineStr">
        <is>
          <t>20250701</t>
        </is>
      </c>
      <c r="M1217" s="8" t="inlineStr">
        <is>
          <t>20251031</t>
        </is>
      </c>
      <c r="N1217" s="10" t="n">
        <v>97.73999999999999</v>
      </c>
      <c r="O1217" s="10">
        <f>IFERROR(VLOOKUP(A1217,Flete!$A:$J,10,0),"")</f>
        <v/>
      </c>
      <c r="P1217" s="8" t="inlineStr">
        <is>
          <t>TN</t>
        </is>
      </c>
      <c r="Q1217" s="10">
        <f>IFERROR(IFERROR(VLOOKUP(A1217,TRAOPE!$A:$U,21,0),VLOOKUP(B1217,TRAOPE!$A:$U,21,0)),"")</f>
        <v/>
      </c>
      <c r="R1217" s="8">
        <f>IFERROR(IFERROR(VLOOKUP(A1217,TRAOPE!$A:$W,23,0),VLOOKUP(B1217,TRAOPE!$A:$W,23,0)),"")</f>
        <v/>
      </c>
      <c r="S1217" s="10">
        <f>IF(AND(P1217="TN",R1217="TN"),N1217+N(O1217),IF(G1217&amp;""="1",N(K1217)*N1217,(N1217+N(O1217))*N(K1217)))</f>
        <v/>
      </c>
      <c r="T1217" s="10">
        <f>IF(Q1217="","",Q1217-S1217)</f>
        <v/>
      </c>
    </row>
    <row r="1218">
      <c r="A1218" s="7">
        <f>CONCATENATE(C1218,E1218,F1218,I1218)</f>
        <v/>
      </c>
      <c r="B1218" s="7">
        <f>CONCATENATE(C1218,E1218,I1218)</f>
        <v/>
      </c>
      <c r="C1218" s="8" t="n">
        <v>900007605</v>
      </c>
      <c r="D1218" s="7">
        <f>IFERROR(VLOOKUP(C1218,TRAOPE!$G:$H,2,0),"")</f>
        <v/>
      </c>
      <c r="E1218" s="8" t="inlineStr">
        <is>
          <t>DW70</t>
        </is>
      </c>
      <c r="F1218" s="8" t="inlineStr">
        <is>
          <t>D105</t>
        </is>
      </c>
      <c r="G1218" s="8">
        <f>IFERROR(VLOOKUP(A1218,Flete!$A:$E,5,0),"")</f>
        <v/>
      </c>
      <c r="H1218" s="7">
        <f>IFERROR(VLOOKUP(F1218,TRAOPE!$AA:$AB,2,0),"")</f>
        <v/>
      </c>
      <c r="I1218" s="7" t="n">
        <v>10227598</v>
      </c>
      <c r="J1218" s="7">
        <f>IFERROR(VLOOKUP(I1218,Materiales!$A:$H,8,0),"")</f>
        <v/>
      </c>
      <c r="K1218" s="9">
        <f>IFERROR(VLOOKUP(I1218,Materiales!$A:$G,7,0),"")</f>
        <v/>
      </c>
      <c r="L1218" s="8" t="inlineStr">
        <is>
          <t>20230501</t>
        </is>
      </c>
      <c r="M1218" s="8" t="inlineStr">
        <is>
          <t>20250131</t>
        </is>
      </c>
      <c r="N1218" s="10" t="n">
        <v>97.05</v>
      </c>
      <c r="O1218" s="10">
        <f>IFERROR(VLOOKUP(A1218,Flete!$A:$J,10,0),"")</f>
        <v/>
      </c>
      <c r="P1218" s="8" t="inlineStr">
        <is>
          <t>TN</t>
        </is>
      </c>
      <c r="Q1218" s="10">
        <f>IFERROR(IFERROR(VLOOKUP(A1218,TRAOPE!$A:$U,21,0),VLOOKUP(B1218,TRAOPE!$A:$U,21,0)),"")</f>
        <v/>
      </c>
      <c r="R1218" s="8">
        <f>IFERROR(IFERROR(VLOOKUP(A1218,TRAOPE!$A:$W,23,0),VLOOKUP(B1218,TRAOPE!$A:$W,23,0)),"")</f>
        <v/>
      </c>
      <c r="S1218" s="10">
        <f>IF(AND(P1218="TN",R1218="TN"),N1218+N(O1218),IF(G1218&amp;""="1",N(K1218)*N1218,(N1218+N(O1218))*N(K1218)))</f>
        <v/>
      </c>
      <c r="T1218" s="10">
        <f>IF(Q1218="","",Q1218-S1218)</f>
        <v/>
      </c>
    </row>
    <row r="1219">
      <c r="A1219" s="7">
        <f>CONCATENATE(C1219,E1219,F1219,I1219)</f>
        <v/>
      </c>
      <c r="B1219" s="7">
        <f>CONCATENATE(C1219,E1219,I1219)</f>
        <v/>
      </c>
      <c r="C1219" s="8" t="n">
        <v>900007605</v>
      </c>
      <c r="D1219" s="7">
        <f>IFERROR(VLOOKUP(C1219,TRAOPE!$G:$H,2,0),"")</f>
        <v/>
      </c>
      <c r="E1219" s="8" t="inlineStr">
        <is>
          <t>DW70</t>
        </is>
      </c>
      <c r="F1219" s="8" t="inlineStr">
        <is>
          <t>D105</t>
        </is>
      </c>
      <c r="G1219" s="8">
        <f>IFERROR(VLOOKUP(A1219,Flete!$A:$E,5,0),"")</f>
        <v/>
      </c>
      <c r="H1219" s="7">
        <f>IFERROR(VLOOKUP(F1219,TRAOPE!$AA:$AB,2,0),"")</f>
        <v/>
      </c>
      <c r="I1219" s="7" t="n">
        <v>10274754</v>
      </c>
      <c r="J1219" s="7">
        <f>IFERROR(VLOOKUP(I1219,Materiales!$A:$H,8,0),"")</f>
        <v/>
      </c>
      <c r="K1219" s="9">
        <f>IFERROR(VLOOKUP(I1219,Materiales!$A:$G,7,0),"")</f>
        <v/>
      </c>
      <c r="L1219" s="8" t="inlineStr">
        <is>
          <t>20260507</t>
        </is>
      </c>
      <c r="M1219" s="8" t="inlineStr">
        <is>
          <t>99991231</t>
        </is>
      </c>
      <c r="N1219" s="10" t="n">
        <v>113.82</v>
      </c>
      <c r="O1219" s="10">
        <f>IFERROR(VLOOKUP(A1219,Flete!$A:$J,10,0),"")</f>
        <v/>
      </c>
      <c r="P1219" s="8" t="inlineStr">
        <is>
          <t>TN</t>
        </is>
      </c>
      <c r="Q1219" s="10">
        <f>IFERROR(IFERROR(VLOOKUP(A1219,TRAOPE!$A:$U,21,0),VLOOKUP(B1219,TRAOPE!$A:$U,21,0)),"")</f>
        <v/>
      </c>
      <c r="R1219" s="8">
        <f>IFERROR(IFERROR(VLOOKUP(A1219,TRAOPE!$A:$W,23,0),VLOOKUP(B1219,TRAOPE!$A:$W,23,0)),"")</f>
        <v/>
      </c>
      <c r="S1219" s="10">
        <f>IF(AND(P1219="TN",R1219="TN"),N1219+N(O1219),IF(G1219&amp;""="1",N(K1219)*N1219,(N1219+N(O1219))*N(K1219)))</f>
        <v/>
      </c>
      <c r="T1219" s="10">
        <f>IF(Q1219="","",Q1219-S1219)</f>
        <v/>
      </c>
    </row>
    <row r="1220">
      <c r="A1220" s="7">
        <f>CONCATENATE(C1220,E1220,F1220,I1220)</f>
        <v/>
      </c>
      <c r="B1220" s="7">
        <f>CONCATENATE(C1220,E1220,I1220)</f>
        <v/>
      </c>
      <c r="C1220" s="8" t="n">
        <v>900007605</v>
      </c>
      <c r="D1220" s="7">
        <f>IFERROR(VLOOKUP(C1220,TRAOPE!$G:$H,2,0),"")</f>
        <v/>
      </c>
      <c r="E1220" s="8" t="inlineStr">
        <is>
          <t>DW70</t>
        </is>
      </c>
      <c r="F1220" s="8" t="inlineStr">
        <is>
          <t>D105</t>
        </is>
      </c>
      <c r="G1220" s="8">
        <f>IFERROR(VLOOKUP(A1220,Flete!$A:$E,5,0),"")</f>
        <v/>
      </c>
      <c r="H1220" s="7">
        <f>IFERROR(VLOOKUP(F1220,TRAOPE!$AA:$AB,2,0),"")</f>
        <v/>
      </c>
      <c r="I1220" s="7" t="n">
        <v>10275114</v>
      </c>
      <c r="J1220" s="7">
        <f>IFERROR(VLOOKUP(I1220,Materiales!$A:$H,8,0),"")</f>
        <v/>
      </c>
      <c r="K1220" s="9">
        <f>IFERROR(VLOOKUP(I1220,Materiales!$A:$G,7,0),"")</f>
        <v/>
      </c>
      <c r="L1220" s="8" t="inlineStr">
        <is>
          <t>20260507</t>
        </is>
      </c>
      <c r="M1220" s="8" t="inlineStr">
        <is>
          <t>99991231</t>
        </is>
      </c>
      <c r="N1220" s="10" t="n">
        <v>112.95</v>
      </c>
      <c r="O1220" s="10">
        <f>IFERROR(VLOOKUP(A1220,Flete!$A:$J,10,0),"")</f>
        <v/>
      </c>
      <c r="P1220" s="8" t="inlineStr">
        <is>
          <t>TN</t>
        </is>
      </c>
      <c r="Q1220" s="10">
        <f>IFERROR(IFERROR(VLOOKUP(A1220,TRAOPE!$A:$U,21,0),VLOOKUP(B1220,TRAOPE!$A:$U,21,0)),"")</f>
        <v/>
      </c>
      <c r="R1220" s="8">
        <f>IFERROR(IFERROR(VLOOKUP(A1220,TRAOPE!$A:$W,23,0),VLOOKUP(B1220,TRAOPE!$A:$W,23,0)),"")</f>
        <v/>
      </c>
      <c r="S1220" s="10">
        <f>IF(AND(P1220="TN",R1220="TN"),N1220+N(O1220),IF(G1220&amp;""="1",N(K1220)*N1220,(N1220+N(O1220))*N(K1220)))</f>
        <v/>
      </c>
      <c r="T1220" s="10">
        <f>IF(Q1220="","",Q1220-S1220)</f>
        <v/>
      </c>
    </row>
    <row r="1221">
      <c r="A1221" s="7">
        <f>CONCATENATE(C1221,E1221,F1221,I1221)</f>
        <v/>
      </c>
      <c r="B1221" s="7">
        <f>CONCATENATE(C1221,E1221,I1221)</f>
        <v/>
      </c>
      <c r="C1221" s="8" t="n">
        <v>900007605</v>
      </c>
      <c r="D1221" s="7">
        <f>IFERROR(VLOOKUP(C1221,TRAOPE!$G:$H,2,0),"")</f>
        <v/>
      </c>
      <c r="E1221" s="8" t="inlineStr">
        <is>
          <t>DW70</t>
        </is>
      </c>
      <c r="F1221" s="8" t="inlineStr">
        <is>
          <t>D136</t>
        </is>
      </c>
      <c r="G1221" s="8">
        <f>IFERROR(VLOOKUP(A1221,Flete!$A:$E,5,0),"")</f>
        <v/>
      </c>
      <c r="H1221" s="7">
        <f>IFERROR(VLOOKUP(F1221,TRAOPE!$AA:$AB,2,0),"")</f>
        <v/>
      </c>
      <c r="I1221" s="7" t="n">
        <v>10002802</v>
      </c>
      <c r="J1221" s="7">
        <f>IFERROR(VLOOKUP(I1221,Materiales!$A:$H,8,0),"")</f>
        <v/>
      </c>
      <c r="K1221" s="9">
        <f>IFERROR(VLOOKUP(I1221,Materiales!$A:$G,7,0),"")</f>
        <v/>
      </c>
      <c r="L1221" s="8" t="inlineStr">
        <is>
          <t>20250701</t>
        </is>
      </c>
      <c r="M1221" s="8" t="inlineStr">
        <is>
          <t>20251031</t>
        </is>
      </c>
      <c r="N1221" s="10" t="n">
        <v>97.73999999999999</v>
      </c>
      <c r="O1221" s="10">
        <f>IFERROR(VLOOKUP(A1221,Flete!$A:$J,10,0),"")</f>
        <v/>
      </c>
      <c r="P1221" s="8" t="inlineStr">
        <is>
          <t>TN</t>
        </is>
      </c>
      <c r="Q1221" s="10">
        <f>IFERROR(IFERROR(VLOOKUP(A1221,TRAOPE!$A:$U,21,0),VLOOKUP(B1221,TRAOPE!$A:$U,21,0)),"")</f>
        <v/>
      </c>
      <c r="R1221" s="8">
        <f>IFERROR(IFERROR(VLOOKUP(A1221,TRAOPE!$A:$W,23,0),VLOOKUP(B1221,TRAOPE!$A:$W,23,0)),"")</f>
        <v/>
      </c>
      <c r="S1221" s="10">
        <f>IF(AND(P1221="TN",R1221="TN"),N1221+N(O1221),IF(G1221&amp;""="1",N(K1221)*N1221,(N1221+N(O1221))*N(K1221)))</f>
        <v/>
      </c>
      <c r="T1221" s="10">
        <f>IF(Q1221="","",Q1221-S1221)</f>
        <v/>
      </c>
    </row>
    <row r="1222">
      <c r="A1222" s="7">
        <f>CONCATENATE(C1222,E1222,F1222,I1222)</f>
        <v/>
      </c>
      <c r="B1222" s="7">
        <f>CONCATENATE(C1222,E1222,I1222)</f>
        <v/>
      </c>
      <c r="C1222" s="8" t="n">
        <v>900007605</v>
      </c>
      <c r="D1222" s="7">
        <f>IFERROR(VLOOKUP(C1222,TRAOPE!$G:$H,2,0),"")</f>
        <v/>
      </c>
      <c r="E1222" s="8" t="inlineStr">
        <is>
          <t>DW70</t>
        </is>
      </c>
      <c r="F1222" s="8" t="inlineStr">
        <is>
          <t>D136</t>
        </is>
      </c>
      <c r="G1222" s="8">
        <f>IFERROR(VLOOKUP(A1222,Flete!$A:$E,5,0),"")</f>
        <v/>
      </c>
      <c r="H1222" s="7">
        <f>IFERROR(VLOOKUP(F1222,TRAOPE!$AA:$AB,2,0),"")</f>
        <v/>
      </c>
      <c r="I1222" s="7" t="n">
        <v>10274754</v>
      </c>
      <c r="J1222" s="7">
        <f>IFERROR(VLOOKUP(I1222,Materiales!$A:$H,8,0),"")</f>
        <v/>
      </c>
      <c r="K1222" s="9">
        <f>IFERROR(VLOOKUP(I1222,Materiales!$A:$G,7,0),"")</f>
        <v/>
      </c>
      <c r="L1222" s="8" t="inlineStr">
        <is>
          <t>20260507</t>
        </is>
      </c>
      <c r="M1222" s="8" t="inlineStr">
        <is>
          <t>99991231</t>
        </is>
      </c>
      <c r="N1222" s="10" t="n">
        <v>113.82</v>
      </c>
      <c r="O1222" s="10">
        <f>IFERROR(VLOOKUP(A1222,Flete!$A:$J,10,0),"")</f>
        <v/>
      </c>
      <c r="P1222" s="8" t="inlineStr">
        <is>
          <t>TN</t>
        </is>
      </c>
      <c r="Q1222" s="10">
        <f>IFERROR(IFERROR(VLOOKUP(A1222,TRAOPE!$A:$U,21,0),VLOOKUP(B1222,TRAOPE!$A:$U,21,0)),"")</f>
        <v/>
      </c>
      <c r="R1222" s="8">
        <f>IFERROR(IFERROR(VLOOKUP(A1222,TRAOPE!$A:$W,23,0),VLOOKUP(B1222,TRAOPE!$A:$W,23,0)),"")</f>
        <v/>
      </c>
      <c r="S1222" s="10">
        <f>IF(AND(P1222="TN",R1222="TN"),N1222+N(O1222),IF(G1222&amp;""="1",N(K1222)*N1222,(N1222+N(O1222))*N(K1222)))</f>
        <v/>
      </c>
      <c r="T1222" s="10">
        <f>IF(Q1222="","",Q1222-S1222)</f>
        <v/>
      </c>
    </row>
    <row r="1223">
      <c r="A1223" s="7">
        <f>CONCATENATE(C1223,E1223,F1223,I1223)</f>
        <v/>
      </c>
      <c r="B1223" s="7">
        <f>CONCATENATE(C1223,E1223,I1223)</f>
        <v/>
      </c>
      <c r="C1223" s="8" t="n">
        <v>900007605</v>
      </c>
      <c r="D1223" s="7">
        <f>IFERROR(VLOOKUP(C1223,TRAOPE!$G:$H,2,0),"")</f>
        <v/>
      </c>
      <c r="E1223" s="8" t="inlineStr">
        <is>
          <t>DW70</t>
        </is>
      </c>
      <c r="F1223" s="8" t="inlineStr">
        <is>
          <t>D136</t>
        </is>
      </c>
      <c r="G1223" s="8">
        <f>IFERROR(VLOOKUP(A1223,Flete!$A:$E,5,0),"")</f>
        <v/>
      </c>
      <c r="H1223" s="7">
        <f>IFERROR(VLOOKUP(F1223,TRAOPE!$AA:$AB,2,0),"")</f>
        <v/>
      </c>
      <c r="I1223" s="7" t="n">
        <v>10275114</v>
      </c>
      <c r="J1223" s="7">
        <f>IFERROR(VLOOKUP(I1223,Materiales!$A:$H,8,0),"")</f>
        <v/>
      </c>
      <c r="K1223" s="9">
        <f>IFERROR(VLOOKUP(I1223,Materiales!$A:$G,7,0),"")</f>
        <v/>
      </c>
      <c r="L1223" s="8" t="inlineStr">
        <is>
          <t>20260507</t>
        </is>
      </c>
      <c r="M1223" s="8" t="inlineStr">
        <is>
          <t>99991231</t>
        </is>
      </c>
      <c r="N1223" s="10" t="n">
        <v>112.95</v>
      </c>
      <c r="O1223" s="10">
        <f>IFERROR(VLOOKUP(A1223,Flete!$A:$J,10,0),"")</f>
        <v/>
      </c>
      <c r="P1223" s="8" t="inlineStr">
        <is>
          <t>TN</t>
        </is>
      </c>
      <c r="Q1223" s="10">
        <f>IFERROR(IFERROR(VLOOKUP(A1223,TRAOPE!$A:$U,21,0),VLOOKUP(B1223,TRAOPE!$A:$U,21,0)),"")</f>
        <v/>
      </c>
      <c r="R1223" s="8">
        <f>IFERROR(IFERROR(VLOOKUP(A1223,TRAOPE!$A:$W,23,0),VLOOKUP(B1223,TRAOPE!$A:$W,23,0)),"")</f>
        <v/>
      </c>
      <c r="S1223" s="10">
        <f>IF(AND(P1223="TN",R1223="TN"),N1223+N(O1223),IF(G1223&amp;""="1",N(K1223)*N1223,(N1223+N(O1223))*N(K1223)))</f>
        <v/>
      </c>
      <c r="T1223" s="10">
        <f>IF(Q1223="","",Q1223-S1223)</f>
        <v/>
      </c>
    </row>
    <row r="1224">
      <c r="A1224" s="7">
        <f>CONCATENATE(C1224,E1224,F1224,I1224)</f>
        <v/>
      </c>
      <c r="B1224" s="7">
        <f>CONCATENATE(C1224,E1224,I1224)</f>
        <v/>
      </c>
      <c r="C1224" s="8" t="n">
        <v>900007605</v>
      </c>
      <c r="D1224" s="7">
        <f>IFERROR(VLOOKUP(C1224,TRAOPE!$G:$H,2,0),"")</f>
        <v/>
      </c>
      <c r="E1224" s="8" t="inlineStr">
        <is>
          <t>DW70</t>
        </is>
      </c>
      <c r="F1224" s="8" t="inlineStr">
        <is>
          <t>D145</t>
        </is>
      </c>
      <c r="G1224" s="8">
        <f>IFERROR(VLOOKUP(A1224,Flete!$A:$E,5,0),"")</f>
        <v/>
      </c>
      <c r="H1224" s="7">
        <f>IFERROR(VLOOKUP(F1224,TRAOPE!$AA:$AB,2,0),"")</f>
        <v/>
      </c>
      <c r="I1224" s="7" t="n">
        <v>10002802</v>
      </c>
      <c r="J1224" s="7">
        <f>IFERROR(VLOOKUP(I1224,Materiales!$A:$H,8,0),"")</f>
        <v/>
      </c>
      <c r="K1224" s="9">
        <f>IFERROR(VLOOKUP(I1224,Materiales!$A:$G,7,0),"")</f>
        <v/>
      </c>
      <c r="L1224" s="8" t="inlineStr">
        <is>
          <t>20250701</t>
        </is>
      </c>
      <c r="M1224" s="8" t="inlineStr">
        <is>
          <t>20260310</t>
        </is>
      </c>
      <c r="N1224" s="10" t="n">
        <v>97.73999999999999</v>
      </c>
      <c r="O1224" s="10">
        <f>IFERROR(VLOOKUP(A1224,Flete!$A:$J,10,0),"")</f>
        <v/>
      </c>
      <c r="P1224" s="8" t="inlineStr">
        <is>
          <t>TN</t>
        </is>
      </c>
      <c r="Q1224" s="10">
        <f>IFERROR(IFERROR(VLOOKUP(A1224,TRAOPE!$A:$U,21,0),VLOOKUP(B1224,TRAOPE!$A:$U,21,0)),"")</f>
        <v/>
      </c>
      <c r="R1224" s="8">
        <f>IFERROR(IFERROR(VLOOKUP(A1224,TRAOPE!$A:$W,23,0),VLOOKUP(B1224,TRAOPE!$A:$W,23,0)),"")</f>
        <v/>
      </c>
      <c r="S1224" s="10">
        <f>IF(AND(P1224="TN",R1224="TN"),N1224+N(O1224),IF(G1224&amp;""="1",N(K1224)*N1224,(N1224+N(O1224))*N(K1224)))</f>
        <v/>
      </c>
      <c r="T1224" s="10">
        <f>IF(Q1224="","",Q1224-S1224)</f>
        <v/>
      </c>
    </row>
    <row r="1225">
      <c r="A1225" s="7">
        <f>CONCATENATE(C1225,E1225,F1225,I1225)</f>
        <v/>
      </c>
      <c r="B1225" s="7">
        <f>CONCATENATE(C1225,E1225,I1225)</f>
        <v/>
      </c>
      <c r="C1225" s="8" t="n">
        <v>900007605</v>
      </c>
      <c r="D1225" s="7">
        <f>IFERROR(VLOOKUP(C1225,TRAOPE!$G:$H,2,0),"")</f>
        <v/>
      </c>
      <c r="E1225" s="8" t="inlineStr">
        <is>
          <t>DW70</t>
        </is>
      </c>
      <c r="F1225" s="8" t="inlineStr">
        <is>
          <t>D145</t>
        </is>
      </c>
      <c r="G1225" s="8">
        <f>IFERROR(VLOOKUP(A1225,Flete!$A:$E,5,0),"")</f>
        <v/>
      </c>
      <c r="H1225" s="7">
        <f>IFERROR(VLOOKUP(F1225,TRAOPE!$AA:$AB,2,0),"")</f>
        <v/>
      </c>
      <c r="I1225" s="7" t="n">
        <v>10227598</v>
      </c>
      <c r="J1225" s="7">
        <f>IFERROR(VLOOKUP(I1225,Materiales!$A:$H,8,0),"")</f>
        <v/>
      </c>
      <c r="K1225" s="9">
        <f>IFERROR(VLOOKUP(I1225,Materiales!$A:$G,7,0),"")</f>
        <v/>
      </c>
      <c r="L1225" s="8" t="inlineStr">
        <is>
          <t>20230501</t>
        </is>
      </c>
      <c r="M1225" s="8" t="inlineStr">
        <is>
          <t>20250131</t>
        </is>
      </c>
      <c r="N1225" s="10" t="n">
        <v>97.05</v>
      </c>
      <c r="O1225" s="10">
        <f>IFERROR(VLOOKUP(A1225,Flete!$A:$J,10,0),"")</f>
        <v/>
      </c>
      <c r="P1225" s="8" t="inlineStr">
        <is>
          <t>TN</t>
        </is>
      </c>
      <c r="Q1225" s="10">
        <f>IFERROR(IFERROR(VLOOKUP(A1225,TRAOPE!$A:$U,21,0),VLOOKUP(B1225,TRAOPE!$A:$U,21,0)),"")</f>
        <v/>
      </c>
      <c r="R1225" s="8">
        <f>IFERROR(IFERROR(VLOOKUP(A1225,TRAOPE!$A:$W,23,0),VLOOKUP(B1225,TRAOPE!$A:$W,23,0)),"")</f>
        <v/>
      </c>
      <c r="S1225" s="10">
        <f>IF(AND(P1225="TN",R1225="TN"),N1225+N(O1225),IF(G1225&amp;""="1",N(K1225)*N1225,(N1225+N(O1225))*N(K1225)))</f>
        <v/>
      </c>
      <c r="T1225" s="10">
        <f>IF(Q1225="","",Q1225-S1225)</f>
        <v/>
      </c>
    </row>
    <row r="1226">
      <c r="A1226" s="7">
        <f>CONCATENATE(C1226,E1226,F1226,I1226)</f>
        <v/>
      </c>
      <c r="B1226" s="7">
        <f>CONCATENATE(C1226,E1226,I1226)</f>
        <v/>
      </c>
      <c r="C1226" s="8" t="n">
        <v>900007605</v>
      </c>
      <c r="D1226" s="7">
        <f>IFERROR(VLOOKUP(C1226,TRAOPE!$G:$H,2,0),"")</f>
        <v/>
      </c>
      <c r="E1226" s="8" t="inlineStr">
        <is>
          <t>DW70</t>
        </is>
      </c>
      <c r="F1226" s="8" t="inlineStr">
        <is>
          <t>D145</t>
        </is>
      </c>
      <c r="G1226" s="8">
        <f>IFERROR(VLOOKUP(A1226,Flete!$A:$E,5,0),"")</f>
        <v/>
      </c>
      <c r="H1226" s="7">
        <f>IFERROR(VLOOKUP(F1226,TRAOPE!$AA:$AB,2,0),"")</f>
        <v/>
      </c>
      <c r="I1226" s="7" t="n">
        <v>10274754</v>
      </c>
      <c r="J1226" s="7">
        <f>IFERROR(VLOOKUP(I1226,Materiales!$A:$H,8,0),"")</f>
        <v/>
      </c>
      <c r="K1226" s="9">
        <f>IFERROR(VLOOKUP(I1226,Materiales!$A:$G,7,0),"")</f>
        <v/>
      </c>
      <c r="L1226" s="8" t="inlineStr">
        <is>
          <t>20260507</t>
        </is>
      </c>
      <c r="M1226" s="8" t="inlineStr">
        <is>
          <t>99991231</t>
        </is>
      </c>
      <c r="N1226" s="10" t="n">
        <v>113.82</v>
      </c>
      <c r="O1226" s="10">
        <f>IFERROR(VLOOKUP(A1226,Flete!$A:$J,10,0),"")</f>
        <v/>
      </c>
      <c r="P1226" s="8" t="inlineStr">
        <is>
          <t>TN</t>
        </is>
      </c>
      <c r="Q1226" s="10">
        <f>IFERROR(IFERROR(VLOOKUP(A1226,TRAOPE!$A:$U,21,0),VLOOKUP(B1226,TRAOPE!$A:$U,21,0)),"")</f>
        <v/>
      </c>
      <c r="R1226" s="8">
        <f>IFERROR(IFERROR(VLOOKUP(A1226,TRAOPE!$A:$W,23,0),VLOOKUP(B1226,TRAOPE!$A:$W,23,0)),"")</f>
        <v/>
      </c>
      <c r="S1226" s="10">
        <f>IF(AND(P1226="TN",R1226="TN"),N1226+N(O1226),IF(G1226&amp;""="1",N(K1226)*N1226,(N1226+N(O1226))*N(K1226)))</f>
        <v/>
      </c>
      <c r="T1226" s="10">
        <f>IF(Q1226="","",Q1226-S1226)</f>
        <v/>
      </c>
    </row>
    <row r="1227">
      <c r="A1227" s="7">
        <f>CONCATENATE(C1227,E1227,F1227,I1227)</f>
        <v/>
      </c>
      <c r="B1227" s="7">
        <f>CONCATENATE(C1227,E1227,I1227)</f>
        <v/>
      </c>
      <c r="C1227" s="8" t="n">
        <v>900007605</v>
      </c>
      <c r="D1227" s="7">
        <f>IFERROR(VLOOKUP(C1227,TRAOPE!$G:$H,2,0),"")</f>
        <v/>
      </c>
      <c r="E1227" s="8" t="inlineStr">
        <is>
          <t>DW70</t>
        </is>
      </c>
      <c r="F1227" s="8" t="inlineStr">
        <is>
          <t>D145</t>
        </is>
      </c>
      <c r="G1227" s="8">
        <f>IFERROR(VLOOKUP(A1227,Flete!$A:$E,5,0),"")</f>
        <v/>
      </c>
      <c r="H1227" s="7">
        <f>IFERROR(VLOOKUP(F1227,TRAOPE!$AA:$AB,2,0),"")</f>
        <v/>
      </c>
      <c r="I1227" s="7" t="n">
        <v>10275114</v>
      </c>
      <c r="J1227" s="7">
        <f>IFERROR(VLOOKUP(I1227,Materiales!$A:$H,8,0),"")</f>
        <v/>
      </c>
      <c r="K1227" s="9">
        <f>IFERROR(VLOOKUP(I1227,Materiales!$A:$G,7,0),"")</f>
        <v/>
      </c>
      <c r="L1227" s="8" t="inlineStr">
        <is>
          <t>20260507</t>
        </is>
      </c>
      <c r="M1227" s="8" t="inlineStr">
        <is>
          <t>99991231</t>
        </is>
      </c>
      <c r="N1227" s="10" t="n">
        <v>112.95</v>
      </c>
      <c r="O1227" s="10">
        <f>IFERROR(VLOOKUP(A1227,Flete!$A:$J,10,0),"")</f>
        <v/>
      </c>
      <c r="P1227" s="8" t="inlineStr">
        <is>
          <t>TN</t>
        </is>
      </c>
      <c r="Q1227" s="10">
        <f>IFERROR(IFERROR(VLOOKUP(A1227,TRAOPE!$A:$U,21,0),VLOOKUP(B1227,TRAOPE!$A:$U,21,0)),"")</f>
        <v/>
      </c>
      <c r="R1227" s="8">
        <f>IFERROR(IFERROR(VLOOKUP(A1227,TRAOPE!$A:$W,23,0),VLOOKUP(B1227,TRAOPE!$A:$W,23,0)),"")</f>
        <v/>
      </c>
      <c r="S1227" s="10">
        <f>IF(AND(P1227="TN",R1227="TN"),N1227+N(O1227),IF(G1227&amp;""="1",N(K1227)*N1227,(N1227+N(O1227))*N(K1227)))</f>
        <v/>
      </c>
      <c r="T1227" s="10">
        <f>IF(Q1227="","",Q1227-S1227)</f>
        <v/>
      </c>
    </row>
    <row r="1228">
      <c r="A1228" s="7">
        <f>CONCATENATE(C1228,E1228,F1228,I1228)</f>
        <v/>
      </c>
      <c r="B1228" s="7">
        <f>CONCATENATE(C1228,E1228,I1228)</f>
        <v/>
      </c>
      <c r="C1228" s="8" t="n">
        <v>900007605</v>
      </c>
      <c r="D1228" s="7">
        <f>IFERROR(VLOOKUP(C1228,TRAOPE!$G:$H,2,0),"")</f>
        <v/>
      </c>
      <c r="E1228" s="8" t="inlineStr">
        <is>
          <t>DW70</t>
        </is>
      </c>
      <c r="F1228" s="8" t="inlineStr">
        <is>
          <t>D681</t>
        </is>
      </c>
      <c r="G1228" s="8">
        <f>IFERROR(VLOOKUP(A1228,Flete!$A:$E,5,0),"")</f>
        <v/>
      </c>
      <c r="H1228" s="7">
        <f>IFERROR(VLOOKUP(F1228,TRAOPE!$AA:$AB,2,0),"")</f>
        <v/>
      </c>
      <c r="I1228" s="7" t="n">
        <v>10002802</v>
      </c>
      <c r="J1228" s="7">
        <f>IFERROR(VLOOKUP(I1228,Materiales!$A:$H,8,0),"")</f>
        <v/>
      </c>
      <c r="K1228" s="9">
        <f>IFERROR(VLOOKUP(I1228,Materiales!$A:$G,7,0),"")</f>
        <v/>
      </c>
      <c r="L1228" s="8" t="inlineStr">
        <is>
          <t>20250701</t>
        </is>
      </c>
      <c r="M1228" s="8" t="inlineStr">
        <is>
          <t>20260310</t>
        </is>
      </c>
      <c r="N1228" s="10" t="n">
        <v>97.73999999999999</v>
      </c>
      <c r="O1228" s="10">
        <f>IFERROR(VLOOKUP(A1228,Flete!$A:$J,10,0),"")</f>
        <v/>
      </c>
      <c r="P1228" s="8" t="inlineStr">
        <is>
          <t>TN</t>
        </is>
      </c>
      <c r="Q1228" s="10">
        <f>IFERROR(IFERROR(VLOOKUP(A1228,TRAOPE!$A:$U,21,0),VLOOKUP(B1228,TRAOPE!$A:$U,21,0)),"")</f>
        <v/>
      </c>
      <c r="R1228" s="8">
        <f>IFERROR(IFERROR(VLOOKUP(A1228,TRAOPE!$A:$W,23,0),VLOOKUP(B1228,TRAOPE!$A:$W,23,0)),"")</f>
        <v/>
      </c>
      <c r="S1228" s="10">
        <f>IF(AND(P1228="TN",R1228="TN"),N1228+N(O1228),IF(G1228&amp;""="1",N(K1228)*N1228,(N1228+N(O1228))*N(K1228)))</f>
        <v/>
      </c>
      <c r="T1228" s="10">
        <f>IF(Q1228="","",Q1228-S1228)</f>
        <v/>
      </c>
    </row>
    <row r="1229">
      <c r="A1229" s="7">
        <f>CONCATENATE(C1229,E1229,F1229,I1229)</f>
        <v/>
      </c>
      <c r="B1229" s="7">
        <f>CONCATENATE(C1229,E1229,I1229)</f>
        <v/>
      </c>
      <c r="C1229" s="8" t="n">
        <v>900007605</v>
      </c>
      <c r="D1229" s="7">
        <f>IFERROR(VLOOKUP(C1229,TRAOPE!$G:$H,2,0),"")</f>
        <v/>
      </c>
      <c r="E1229" s="8" t="inlineStr">
        <is>
          <t>DW70</t>
        </is>
      </c>
      <c r="F1229" s="8" t="inlineStr">
        <is>
          <t>D681</t>
        </is>
      </c>
      <c r="G1229" s="8">
        <f>IFERROR(VLOOKUP(A1229,Flete!$A:$E,5,0),"")</f>
        <v/>
      </c>
      <c r="H1229" s="7">
        <f>IFERROR(VLOOKUP(F1229,TRAOPE!$AA:$AB,2,0),"")</f>
        <v/>
      </c>
      <c r="I1229" s="7" t="n">
        <v>10227598</v>
      </c>
      <c r="J1229" s="7">
        <f>IFERROR(VLOOKUP(I1229,Materiales!$A:$H,8,0),"")</f>
        <v/>
      </c>
      <c r="K1229" s="9">
        <f>IFERROR(VLOOKUP(I1229,Materiales!$A:$G,7,0),"")</f>
        <v/>
      </c>
      <c r="L1229" s="8" t="inlineStr">
        <is>
          <t>20230501</t>
        </is>
      </c>
      <c r="M1229" s="8" t="inlineStr">
        <is>
          <t>20250131</t>
        </is>
      </c>
      <c r="N1229" s="10" t="n">
        <v>97.05</v>
      </c>
      <c r="O1229" s="10">
        <f>IFERROR(VLOOKUP(A1229,Flete!$A:$J,10,0),"")</f>
        <v/>
      </c>
      <c r="P1229" s="8" t="inlineStr">
        <is>
          <t>TN</t>
        </is>
      </c>
      <c r="Q1229" s="10">
        <f>IFERROR(IFERROR(VLOOKUP(A1229,TRAOPE!$A:$U,21,0),VLOOKUP(B1229,TRAOPE!$A:$U,21,0)),"")</f>
        <v/>
      </c>
      <c r="R1229" s="8">
        <f>IFERROR(IFERROR(VLOOKUP(A1229,TRAOPE!$A:$W,23,0),VLOOKUP(B1229,TRAOPE!$A:$W,23,0)),"")</f>
        <v/>
      </c>
      <c r="S1229" s="10">
        <f>IF(AND(P1229="TN",R1229="TN"),N1229+N(O1229),IF(G1229&amp;""="1",N(K1229)*N1229,(N1229+N(O1229))*N(K1229)))</f>
        <v/>
      </c>
      <c r="T1229" s="10">
        <f>IF(Q1229="","",Q1229-S1229)</f>
        <v/>
      </c>
    </row>
    <row r="1230">
      <c r="A1230" s="7">
        <f>CONCATENATE(C1230,E1230,F1230,I1230)</f>
        <v/>
      </c>
      <c r="B1230" s="7">
        <f>CONCATENATE(C1230,E1230,I1230)</f>
        <v/>
      </c>
      <c r="C1230" s="8" t="n">
        <v>900007605</v>
      </c>
      <c r="D1230" s="7">
        <f>IFERROR(VLOOKUP(C1230,TRAOPE!$G:$H,2,0),"")</f>
        <v/>
      </c>
      <c r="E1230" s="8" t="inlineStr">
        <is>
          <t>DW70</t>
        </is>
      </c>
      <c r="F1230" s="8" t="inlineStr">
        <is>
          <t>D681</t>
        </is>
      </c>
      <c r="G1230" s="8">
        <f>IFERROR(VLOOKUP(A1230,Flete!$A:$E,5,0),"")</f>
        <v/>
      </c>
      <c r="H1230" s="7">
        <f>IFERROR(VLOOKUP(F1230,TRAOPE!$AA:$AB,2,0),"")</f>
        <v/>
      </c>
      <c r="I1230" s="7" t="n">
        <v>10274754</v>
      </c>
      <c r="J1230" s="7">
        <f>IFERROR(VLOOKUP(I1230,Materiales!$A:$H,8,0),"")</f>
        <v/>
      </c>
      <c r="K1230" s="9">
        <f>IFERROR(VLOOKUP(I1230,Materiales!$A:$G,7,0),"")</f>
        <v/>
      </c>
      <c r="L1230" s="8" t="inlineStr">
        <is>
          <t>20260507</t>
        </is>
      </c>
      <c r="M1230" s="8" t="inlineStr">
        <is>
          <t>99991231</t>
        </is>
      </c>
      <c r="N1230" s="10" t="n">
        <v>113.82</v>
      </c>
      <c r="O1230" s="10">
        <f>IFERROR(VLOOKUP(A1230,Flete!$A:$J,10,0),"")</f>
        <v/>
      </c>
      <c r="P1230" s="8" t="inlineStr">
        <is>
          <t>TN</t>
        </is>
      </c>
      <c r="Q1230" s="10">
        <f>IFERROR(IFERROR(VLOOKUP(A1230,TRAOPE!$A:$U,21,0),VLOOKUP(B1230,TRAOPE!$A:$U,21,0)),"")</f>
        <v/>
      </c>
      <c r="R1230" s="8">
        <f>IFERROR(IFERROR(VLOOKUP(A1230,TRAOPE!$A:$W,23,0),VLOOKUP(B1230,TRAOPE!$A:$W,23,0)),"")</f>
        <v/>
      </c>
      <c r="S1230" s="10">
        <f>IF(AND(P1230="TN",R1230="TN"),N1230+N(O1230),IF(G1230&amp;""="1",N(K1230)*N1230,(N1230+N(O1230))*N(K1230)))</f>
        <v/>
      </c>
      <c r="T1230" s="10">
        <f>IF(Q1230="","",Q1230-S1230)</f>
        <v/>
      </c>
    </row>
    <row r="1231">
      <c r="A1231" s="7">
        <f>CONCATENATE(C1231,E1231,F1231,I1231)</f>
        <v/>
      </c>
      <c r="B1231" s="7">
        <f>CONCATENATE(C1231,E1231,I1231)</f>
        <v/>
      </c>
      <c r="C1231" s="8" t="n">
        <v>900007605</v>
      </c>
      <c r="D1231" s="7">
        <f>IFERROR(VLOOKUP(C1231,TRAOPE!$G:$H,2,0),"")</f>
        <v/>
      </c>
      <c r="E1231" s="8" t="inlineStr">
        <is>
          <t>DW70</t>
        </is>
      </c>
      <c r="F1231" s="8" t="inlineStr">
        <is>
          <t>D681</t>
        </is>
      </c>
      <c r="G1231" s="8">
        <f>IFERROR(VLOOKUP(A1231,Flete!$A:$E,5,0),"")</f>
        <v/>
      </c>
      <c r="H1231" s="7">
        <f>IFERROR(VLOOKUP(F1231,TRAOPE!$AA:$AB,2,0),"")</f>
        <v/>
      </c>
      <c r="I1231" s="7" t="n">
        <v>10275114</v>
      </c>
      <c r="J1231" s="7">
        <f>IFERROR(VLOOKUP(I1231,Materiales!$A:$H,8,0),"")</f>
        <v/>
      </c>
      <c r="K1231" s="9">
        <f>IFERROR(VLOOKUP(I1231,Materiales!$A:$G,7,0),"")</f>
        <v/>
      </c>
      <c r="L1231" s="8" t="inlineStr">
        <is>
          <t>20260507</t>
        </is>
      </c>
      <c r="M1231" s="8" t="inlineStr">
        <is>
          <t>99991231</t>
        </is>
      </c>
      <c r="N1231" s="10" t="n">
        <v>112.95</v>
      </c>
      <c r="O1231" s="10">
        <f>IFERROR(VLOOKUP(A1231,Flete!$A:$J,10,0),"")</f>
        <v/>
      </c>
      <c r="P1231" s="8" t="inlineStr">
        <is>
          <t>TN</t>
        </is>
      </c>
      <c r="Q1231" s="10">
        <f>IFERROR(IFERROR(VLOOKUP(A1231,TRAOPE!$A:$U,21,0),VLOOKUP(B1231,TRAOPE!$A:$U,21,0)),"")</f>
        <v/>
      </c>
      <c r="R1231" s="8">
        <f>IFERROR(IFERROR(VLOOKUP(A1231,TRAOPE!$A:$W,23,0),VLOOKUP(B1231,TRAOPE!$A:$W,23,0)),"")</f>
        <v/>
      </c>
      <c r="S1231" s="10">
        <f>IF(AND(P1231="TN",R1231="TN"),N1231+N(O1231),IF(G1231&amp;""="1",N(K1231)*N1231,(N1231+N(O1231))*N(K1231)))</f>
        <v/>
      </c>
      <c r="T1231" s="10">
        <f>IF(Q1231="","",Q1231-S1231)</f>
        <v/>
      </c>
    </row>
    <row r="1232">
      <c r="A1232" s="7">
        <f>CONCATENATE(C1232,E1232,F1232,I1232)</f>
        <v/>
      </c>
      <c r="B1232" s="7">
        <f>CONCATENATE(C1232,E1232,I1232)</f>
        <v/>
      </c>
      <c r="C1232" s="8" t="n">
        <v>900008234</v>
      </c>
      <c r="D1232" s="7">
        <f>IFERROR(VLOOKUP(C1232,TRAOPE!$G:$H,2,0),"")</f>
        <v/>
      </c>
      <c r="E1232" s="8" t="inlineStr">
        <is>
          <t>DW70</t>
        </is>
      </c>
      <c r="F1232" s="8" t="inlineStr">
        <is>
          <t>D074</t>
        </is>
      </c>
      <c r="G1232" s="8">
        <f>IFERROR(VLOOKUP(A1232,Flete!$A:$E,5,0),"")</f>
        <v/>
      </c>
      <c r="H1232" s="7">
        <f>IFERROR(VLOOKUP(F1232,TRAOPE!$AA:$AB,2,0),"")</f>
        <v/>
      </c>
      <c r="I1232" s="7" t="n">
        <v>10227598</v>
      </c>
      <c r="J1232" s="7">
        <f>IFERROR(VLOOKUP(I1232,Materiales!$A:$H,8,0),"")</f>
        <v/>
      </c>
      <c r="K1232" s="9">
        <f>IFERROR(VLOOKUP(I1232,Materiales!$A:$G,7,0),"")</f>
        <v/>
      </c>
      <c r="L1232" s="8" t="inlineStr">
        <is>
          <t>20250701</t>
        </is>
      </c>
      <c r="M1232" s="8" t="inlineStr">
        <is>
          <t>20251031</t>
        </is>
      </c>
      <c r="N1232" s="10" t="n">
        <v>92.83</v>
      </c>
      <c r="O1232" s="10">
        <f>IFERROR(VLOOKUP(A1232,Flete!$A:$J,10,0),"")</f>
        <v/>
      </c>
      <c r="P1232" s="8" t="inlineStr">
        <is>
          <t>TN</t>
        </is>
      </c>
      <c r="Q1232" s="10">
        <f>IFERROR(IFERROR(VLOOKUP(A1232,TRAOPE!$A:$U,21,0),VLOOKUP(B1232,TRAOPE!$A:$U,21,0)),"")</f>
        <v/>
      </c>
      <c r="R1232" s="8">
        <f>IFERROR(IFERROR(VLOOKUP(A1232,TRAOPE!$A:$W,23,0),VLOOKUP(B1232,TRAOPE!$A:$W,23,0)),"")</f>
        <v/>
      </c>
      <c r="S1232" s="10">
        <f>IF(AND(P1232="TN",R1232="TN"),N1232+N(O1232),IF(G1232&amp;""="1",N(K1232)*N1232,(N1232+N(O1232))*N(K1232)))</f>
        <v/>
      </c>
      <c r="T1232" s="10">
        <f>IF(Q1232="","",Q1232-S1232)</f>
        <v/>
      </c>
    </row>
    <row r="1233">
      <c r="A1233" s="7">
        <f>CONCATENATE(C1233,E1233,F1233,I1233)</f>
        <v/>
      </c>
      <c r="B1233" s="7">
        <f>CONCATENATE(C1233,E1233,I1233)</f>
        <v/>
      </c>
      <c r="C1233" s="8" t="n">
        <v>900008234</v>
      </c>
      <c r="D1233" s="7">
        <f>IFERROR(VLOOKUP(C1233,TRAOPE!$G:$H,2,0),"")</f>
        <v/>
      </c>
      <c r="E1233" s="8" t="inlineStr">
        <is>
          <t>DW70</t>
        </is>
      </c>
      <c r="F1233" s="8" t="inlineStr">
        <is>
          <t>D086</t>
        </is>
      </c>
      <c r="G1233" s="8">
        <f>IFERROR(VLOOKUP(A1233,Flete!$A:$E,5,0),"")</f>
        <v/>
      </c>
      <c r="H1233" s="7">
        <f>IFERROR(VLOOKUP(F1233,TRAOPE!$AA:$AB,2,0),"")</f>
        <v/>
      </c>
      <c r="I1233" s="7" t="n">
        <v>10227598</v>
      </c>
      <c r="J1233" s="7">
        <f>IFERROR(VLOOKUP(I1233,Materiales!$A:$H,8,0),"")</f>
        <v/>
      </c>
      <c r="K1233" s="9">
        <f>IFERROR(VLOOKUP(I1233,Materiales!$A:$G,7,0),"")</f>
        <v/>
      </c>
      <c r="L1233" s="8" t="inlineStr">
        <is>
          <t>20250701</t>
        </is>
      </c>
      <c r="M1233" s="8" t="inlineStr">
        <is>
          <t>20251031</t>
        </is>
      </c>
      <c r="N1233" s="10" t="n">
        <v>92.83</v>
      </c>
      <c r="O1233" s="10">
        <f>IFERROR(VLOOKUP(A1233,Flete!$A:$J,10,0),"")</f>
        <v/>
      </c>
      <c r="P1233" s="8" t="inlineStr">
        <is>
          <t>TN</t>
        </is>
      </c>
      <c r="Q1233" s="10">
        <f>IFERROR(IFERROR(VLOOKUP(A1233,TRAOPE!$A:$U,21,0),VLOOKUP(B1233,TRAOPE!$A:$U,21,0)),"")</f>
        <v/>
      </c>
      <c r="R1233" s="8">
        <f>IFERROR(IFERROR(VLOOKUP(A1233,TRAOPE!$A:$W,23,0),VLOOKUP(B1233,TRAOPE!$A:$W,23,0)),"")</f>
        <v/>
      </c>
      <c r="S1233" s="10">
        <f>IF(AND(P1233="TN",R1233="TN"),N1233+N(O1233),IF(G1233&amp;""="1",N(K1233)*N1233,(N1233+N(O1233))*N(K1233)))</f>
        <v/>
      </c>
      <c r="T1233" s="10">
        <f>IF(Q1233="","",Q1233-S1233)</f>
        <v/>
      </c>
    </row>
    <row r="1234">
      <c r="A1234" s="7">
        <f>CONCATENATE(C1234,E1234,F1234,I1234)</f>
        <v/>
      </c>
      <c r="B1234" s="7">
        <f>CONCATENATE(C1234,E1234,I1234)</f>
        <v/>
      </c>
      <c r="C1234" s="8" t="n">
        <v>900008234</v>
      </c>
      <c r="D1234" s="7">
        <f>IFERROR(VLOOKUP(C1234,TRAOPE!$G:$H,2,0),"")</f>
        <v/>
      </c>
      <c r="E1234" s="8" t="inlineStr">
        <is>
          <t>DW70</t>
        </is>
      </c>
      <c r="F1234" s="8" t="inlineStr">
        <is>
          <t>D145</t>
        </is>
      </c>
      <c r="G1234" s="8">
        <f>IFERROR(VLOOKUP(A1234,Flete!$A:$E,5,0),"")</f>
        <v/>
      </c>
      <c r="H1234" s="7">
        <f>IFERROR(VLOOKUP(F1234,TRAOPE!$AA:$AB,2,0),"")</f>
        <v/>
      </c>
      <c r="I1234" s="7" t="n">
        <v>10227598</v>
      </c>
      <c r="J1234" s="7">
        <f>IFERROR(VLOOKUP(I1234,Materiales!$A:$H,8,0),"")</f>
        <v/>
      </c>
      <c r="K1234" s="9">
        <f>IFERROR(VLOOKUP(I1234,Materiales!$A:$G,7,0),"")</f>
        <v/>
      </c>
      <c r="L1234" s="8" t="inlineStr">
        <is>
          <t>20230501</t>
        </is>
      </c>
      <c r="M1234" s="8" t="inlineStr">
        <is>
          <t>20250131</t>
        </is>
      </c>
      <c r="N1234" s="10" t="n">
        <v>92.83</v>
      </c>
      <c r="O1234" s="10">
        <f>IFERROR(VLOOKUP(A1234,Flete!$A:$J,10,0),"")</f>
        <v/>
      </c>
      <c r="P1234" s="8" t="inlineStr">
        <is>
          <t>TN</t>
        </is>
      </c>
      <c r="Q1234" s="10">
        <f>IFERROR(IFERROR(VLOOKUP(A1234,TRAOPE!$A:$U,21,0),VLOOKUP(B1234,TRAOPE!$A:$U,21,0)),"")</f>
        <v/>
      </c>
      <c r="R1234" s="8">
        <f>IFERROR(IFERROR(VLOOKUP(A1234,TRAOPE!$A:$W,23,0),VLOOKUP(B1234,TRAOPE!$A:$W,23,0)),"")</f>
        <v/>
      </c>
      <c r="S1234" s="10">
        <f>IF(AND(P1234="TN",R1234="TN"),N1234+N(O1234),IF(G1234&amp;""="1",N(K1234)*N1234,(N1234+N(O1234))*N(K1234)))</f>
        <v/>
      </c>
      <c r="T1234" s="10">
        <f>IF(Q1234="","",Q1234-S1234)</f>
        <v/>
      </c>
    </row>
    <row r="1235">
      <c r="A1235" s="7">
        <f>CONCATENATE(C1235,E1235,F1235,I1235)</f>
        <v/>
      </c>
      <c r="B1235" s="7">
        <f>CONCATENATE(C1235,E1235,I1235)</f>
        <v/>
      </c>
      <c r="C1235" s="8" t="n">
        <v>900008265</v>
      </c>
      <c r="D1235" s="7">
        <f>IFERROR(VLOOKUP(C1235,TRAOPE!$G:$H,2,0),"")</f>
        <v/>
      </c>
      <c r="E1235" s="8" t="inlineStr">
        <is>
          <t>DW70</t>
        </is>
      </c>
      <c r="F1235" s="8" t="inlineStr">
        <is>
          <t>ENXE</t>
        </is>
      </c>
      <c r="G1235" s="8">
        <f>IFERROR(VLOOKUP(A1235,Flete!$A:$E,5,0),"")</f>
        <v/>
      </c>
      <c r="H1235" s="7">
        <f>IFERROR(VLOOKUP(F1235,TRAOPE!$AA:$AB,2,0),"")</f>
        <v/>
      </c>
      <c r="I1235" s="7" t="n">
        <v>10000432</v>
      </c>
      <c r="J1235" s="7">
        <f>IFERROR(VLOOKUP(I1235,Materiales!$A:$H,8,0),"")</f>
        <v/>
      </c>
      <c r="K1235" s="9">
        <f>IFERROR(VLOOKUP(I1235,Materiales!$A:$G,7,0),"")</f>
        <v/>
      </c>
      <c r="L1235" s="8" t="inlineStr">
        <is>
          <t>20250701</t>
        </is>
      </c>
      <c r="M1235" s="8" t="inlineStr">
        <is>
          <t>20251031</t>
        </is>
      </c>
      <c r="N1235" s="10" t="n">
        <v>268.75</v>
      </c>
      <c r="O1235" s="10">
        <f>IFERROR(VLOOKUP(A1235,Flete!$A:$J,10,0),"")</f>
        <v/>
      </c>
      <c r="P1235" s="8" t="inlineStr">
        <is>
          <t>TN</t>
        </is>
      </c>
      <c r="Q1235" s="10">
        <f>IFERROR(IFERROR(VLOOKUP(A1235,TRAOPE!$A:$U,21,0),VLOOKUP(B1235,TRAOPE!$A:$U,21,0)),"")</f>
        <v/>
      </c>
      <c r="R1235" s="8">
        <f>IFERROR(IFERROR(VLOOKUP(A1235,TRAOPE!$A:$W,23,0),VLOOKUP(B1235,TRAOPE!$A:$W,23,0)),"")</f>
        <v/>
      </c>
      <c r="S1235" s="10">
        <f>IF(AND(P1235="TN",R1235="TN"),N1235+N(O1235),IF(G1235&amp;""="1",N(K1235)*N1235,(N1235+N(O1235))*N(K1235)))</f>
        <v/>
      </c>
      <c r="T1235" s="10">
        <f>IF(Q1235="","",Q1235-S1235)</f>
        <v/>
      </c>
    </row>
    <row r="1236">
      <c r="A1236" s="7">
        <f>CONCATENATE(C1236,E1236,F1236,I1236)</f>
        <v/>
      </c>
      <c r="B1236" s="7">
        <f>CONCATENATE(C1236,E1236,I1236)</f>
        <v/>
      </c>
      <c r="C1236" s="8" t="n">
        <v>900008265</v>
      </c>
      <c r="D1236" s="7">
        <f>IFERROR(VLOOKUP(C1236,TRAOPE!$G:$H,2,0),"")</f>
        <v/>
      </c>
      <c r="E1236" s="8" t="inlineStr">
        <is>
          <t>DW70</t>
        </is>
      </c>
      <c r="F1236" s="8" t="inlineStr">
        <is>
          <t>ENXE</t>
        </is>
      </c>
      <c r="G1236" s="8">
        <f>IFERROR(VLOOKUP(A1236,Flete!$A:$E,5,0),"")</f>
        <v/>
      </c>
      <c r="H1236" s="7">
        <f>IFERROR(VLOOKUP(F1236,TRAOPE!$AA:$AB,2,0),"")</f>
        <v/>
      </c>
      <c r="I1236" s="7" t="n">
        <v>10215074</v>
      </c>
      <c r="J1236" s="7">
        <f>IFERROR(VLOOKUP(I1236,Materiales!$A:$H,8,0),"")</f>
        <v/>
      </c>
      <c r="K1236" s="9">
        <f>IFERROR(VLOOKUP(I1236,Materiales!$A:$G,7,0),"")</f>
        <v/>
      </c>
      <c r="L1236" s="8" t="inlineStr">
        <is>
          <t>20250807</t>
        </is>
      </c>
      <c r="M1236" s="8" t="inlineStr">
        <is>
          <t>99991231</t>
        </is>
      </c>
      <c r="N1236" s="10" t="n">
        <v>142.31</v>
      </c>
      <c r="O1236" s="10">
        <f>IFERROR(VLOOKUP(A1236,Flete!$A:$J,10,0),"")</f>
        <v/>
      </c>
      <c r="P1236" s="8" t="inlineStr">
        <is>
          <t>TN</t>
        </is>
      </c>
      <c r="Q1236" s="10">
        <f>IFERROR(IFERROR(VLOOKUP(A1236,TRAOPE!$A:$U,21,0),VLOOKUP(B1236,TRAOPE!$A:$U,21,0)),"")</f>
        <v/>
      </c>
      <c r="R1236" s="8">
        <f>IFERROR(IFERROR(VLOOKUP(A1236,TRAOPE!$A:$W,23,0),VLOOKUP(B1236,TRAOPE!$A:$W,23,0)),"")</f>
        <v/>
      </c>
      <c r="S1236" s="10">
        <f>IF(AND(P1236="TN",R1236="TN"),N1236+N(O1236),IF(G1236&amp;""="1",N(K1236)*N1236,(N1236+N(O1236))*N(K1236)))</f>
        <v/>
      </c>
      <c r="T1236" s="10">
        <f>IF(Q1236="","",Q1236-S1236)</f>
        <v/>
      </c>
    </row>
    <row r="1237">
      <c r="A1237" s="7">
        <f>CONCATENATE(C1237,E1237,F1237,I1237)</f>
        <v/>
      </c>
      <c r="B1237" s="7">
        <f>CONCATENATE(C1237,E1237,I1237)</f>
        <v/>
      </c>
      <c r="C1237" s="8" t="n">
        <v>900008265</v>
      </c>
      <c r="D1237" s="7">
        <f>IFERROR(VLOOKUP(C1237,TRAOPE!$G:$H,2,0),"")</f>
        <v/>
      </c>
      <c r="E1237" s="8" t="inlineStr">
        <is>
          <t>DW70</t>
        </is>
      </c>
      <c r="F1237" s="8" t="inlineStr">
        <is>
          <t>ENXE</t>
        </is>
      </c>
      <c r="G1237" s="8">
        <f>IFERROR(VLOOKUP(A1237,Flete!$A:$E,5,0),"")</f>
        <v/>
      </c>
      <c r="H1237" s="7">
        <f>IFERROR(VLOOKUP(F1237,TRAOPE!$AA:$AB,2,0),"")</f>
        <v/>
      </c>
      <c r="I1237" s="7" t="n">
        <v>10216851</v>
      </c>
      <c r="J1237" s="7">
        <f>IFERROR(VLOOKUP(I1237,Materiales!$A:$H,8,0),"")</f>
        <v/>
      </c>
      <c r="K1237" s="9">
        <f>IFERROR(VLOOKUP(I1237,Materiales!$A:$G,7,0),"")</f>
        <v/>
      </c>
      <c r="L1237" s="8" t="inlineStr">
        <is>
          <t>20250701</t>
        </is>
      </c>
      <c r="M1237" s="8" t="inlineStr">
        <is>
          <t>20251031</t>
        </is>
      </c>
      <c r="N1237" s="10" t="n">
        <v>74.45999999999999</v>
      </c>
      <c r="O1237" s="10">
        <f>IFERROR(VLOOKUP(A1237,Flete!$A:$J,10,0),"")</f>
        <v/>
      </c>
      <c r="P1237" s="8" t="inlineStr">
        <is>
          <t>TN</t>
        </is>
      </c>
      <c r="Q1237" s="10">
        <f>IFERROR(IFERROR(VLOOKUP(A1237,TRAOPE!$A:$U,21,0),VLOOKUP(B1237,TRAOPE!$A:$U,21,0)),"")</f>
        <v/>
      </c>
      <c r="R1237" s="8">
        <f>IFERROR(IFERROR(VLOOKUP(A1237,TRAOPE!$A:$W,23,0),VLOOKUP(B1237,TRAOPE!$A:$W,23,0)),"")</f>
        <v/>
      </c>
      <c r="S1237" s="10">
        <f>IF(AND(P1237="TN",R1237="TN"),N1237+N(O1237),IF(G1237&amp;""="1",N(K1237)*N1237,(N1237+N(O1237))*N(K1237)))</f>
        <v/>
      </c>
      <c r="T1237" s="10">
        <f>IF(Q1237="","",Q1237-S1237)</f>
        <v/>
      </c>
    </row>
    <row r="1238">
      <c r="A1238" s="7">
        <f>CONCATENATE(C1238,E1238,F1238,I1238)</f>
        <v/>
      </c>
      <c r="B1238" s="7">
        <f>CONCATENATE(C1238,E1238,I1238)</f>
        <v/>
      </c>
      <c r="C1238" s="8" t="n">
        <v>900008265</v>
      </c>
      <c r="D1238" s="7">
        <f>IFERROR(VLOOKUP(C1238,TRAOPE!$G:$H,2,0),"")</f>
        <v/>
      </c>
      <c r="E1238" s="8" t="inlineStr">
        <is>
          <t>DW70</t>
        </is>
      </c>
      <c r="F1238" s="8" t="inlineStr">
        <is>
          <t>ENXE</t>
        </is>
      </c>
      <c r="G1238" s="8">
        <f>IFERROR(VLOOKUP(A1238,Flete!$A:$E,5,0),"")</f>
        <v/>
      </c>
      <c r="H1238" s="7">
        <f>IFERROR(VLOOKUP(F1238,TRAOPE!$AA:$AB,2,0),"")</f>
        <v/>
      </c>
      <c r="I1238" s="7" t="n">
        <v>10260055</v>
      </c>
      <c r="J1238" s="7">
        <f>IFERROR(VLOOKUP(I1238,Materiales!$A:$H,8,0),"")</f>
        <v/>
      </c>
      <c r="K1238" s="9">
        <f>IFERROR(VLOOKUP(I1238,Materiales!$A:$G,7,0),"")</f>
        <v/>
      </c>
      <c r="L1238" s="8" t="inlineStr">
        <is>
          <t>20250821</t>
        </is>
      </c>
      <c r="M1238" s="8" t="inlineStr">
        <is>
          <t>99991231</t>
        </is>
      </c>
      <c r="N1238" s="10" t="n">
        <v>66</v>
      </c>
      <c r="O1238" s="10">
        <f>IFERROR(VLOOKUP(A1238,Flete!$A:$J,10,0),"")</f>
        <v/>
      </c>
      <c r="P1238" s="8" t="inlineStr">
        <is>
          <t>TN</t>
        </is>
      </c>
      <c r="Q1238" s="10">
        <f>IFERROR(IFERROR(VLOOKUP(A1238,TRAOPE!$A:$U,21,0),VLOOKUP(B1238,TRAOPE!$A:$U,21,0)),"")</f>
        <v/>
      </c>
      <c r="R1238" s="8">
        <f>IFERROR(IFERROR(VLOOKUP(A1238,TRAOPE!$A:$W,23,0),VLOOKUP(B1238,TRAOPE!$A:$W,23,0)),"")</f>
        <v/>
      </c>
      <c r="S1238" s="10">
        <f>IF(AND(P1238="TN",R1238="TN"),N1238+N(O1238),IF(G1238&amp;""="1",N(K1238)*N1238,(N1238+N(O1238))*N(K1238)))</f>
        <v/>
      </c>
      <c r="T1238" s="10">
        <f>IF(Q1238="","",Q1238-S1238)</f>
        <v/>
      </c>
    </row>
    <row r="1239">
      <c r="A1239" s="7">
        <f>CONCATENATE(C1239,E1239,F1239,I1239)</f>
        <v/>
      </c>
      <c r="B1239" s="7">
        <f>CONCATENATE(C1239,E1239,I1239)</f>
        <v/>
      </c>
      <c r="C1239" s="8" t="n">
        <v>900008265</v>
      </c>
      <c r="D1239" s="7">
        <f>IFERROR(VLOOKUP(C1239,TRAOPE!$G:$H,2,0),"")</f>
        <v/>
      </c>
      <c r="E1239" s="8" t="inlineStr">
        <is>
          <t>DW70</t>
        </is>
      </c>
      <c r="F1239" s="8" t="inlineStr">
        <is>
          <t>ENXE</t>
        </is>
      </c>
      <c r="G1239" s="8">
        <f>IFERROR(VLOOKUP(A1239,Flete!$A:$E,5,0),"")</f>
        <v/>
      </c>
      <c r="H1239" s="7">
        <f>IFERROR(VLOOKUP(F1239,TRAOPE!$AA:$AB,2,0),"")</f>
        <v/>
      </c>
      <c r="I1239" s="7" t="n">
        <v>10271724</v>
      </c>
      <c r="J1239" s="7">
        <f>IFERROR(VLOOKUP(I1239,Materiales!$A:$H,8,0),"")</f>
        <v/>
      </c>
      <c r="K1239" s="9">
        <f>IFERROR(VLOOKUP(I1239,Materiales!$A:$G,7,0),"")</f>
        <v/>
      </c>
      <c r="L1239" s="8" t="inlineStr">
        <is>
          <t>20251218</t>
        </is>
      </c>
      <c r="M1239" s="8" t="inlineStr">
        <is>
          <t>99991231</t>
        </is>
      </c>
      <c r="N1239" s="10" t="n">
        <v>22</v>
      </c>
      <c r="O1239" s="10">
        <f>IFERROR(VLOOKUP(A1239,Flete!$A:$J,10,0),"")</f>
        <v/>
      </c>
      <c r="P1239" s="8" t="inlineStr">
        <is>
          <t>TN</t>
        </is>
      </c>
      <c r="Q1239" s="10">
        <f>IFERROR(IFERROR(VLOOKUP(A1239,TRAOPE!$A:$U,21,0),VLOOKUP(B1239,TRAOPE!$A:$U,21,0)),"")</f>
        <v/>
      </c>
      <c r="R1239" s="8">
        <f>IFERROR(IFERROR(VLOOKUP(A1239,TRAOPE!$A:$W,23,0),VLOOKUP(B1239,TRAOPE!$A:$W,23,0)),"")</f>
        <v/>
      </c>
      <c r="S1239" s="10">
        <f>IF(AND(P1239="TN",R1239="TN"),N1239+N(O1239),IF(G1239&amp;""="1",N(K1239)*N1239,(N1239+N(O1239))*N(K1239)))</f>
        <v/>
      </c>
      <c r="T1239" s="10">
        <f>IF(Q1239="","",Q1239-S1239)</f>
        <v/>
      </c>
    </row>
    <row r="1240">
      <c r="A1240" s="7">
        <f>CONCATENATE(C1240,E1240,F1240,I1240)</f>
        <v/>
      </c>
      <c r="B1240" s="7">
        <f>CONCATENATE(C1240,E1240,I1240)</f>
        <v/>
      </c>
      <c r="C1240" s="8" t="n">
        <v>900008570</v>
      </c>
      <c r="D1240" s="7">
        <f>IFERROR(VLOOKUP(C1240,TRAOPE!$G:$H,2,0),"")</f>
        <v/>
      </c>
      <c r="E1240" s="8" t="inlineStr">
        <is>
          <t>DW70</t>
        </is>
      </c>
      <c r="F1240" s="8" t="inlineStr">
        <is>
          <t>D074</t>
        </is>
      </c>
      <c r="G1240" s="8">
        <f>IFERROR(VLOOKUP(A1240,Flete!$A:$E,5,0),"")</f>
        <v/>
      </c>
      <c r="H1240" s="7">
        <f>IFERROR(VLOOKUP(F1240,TRAOPE!$AA:$AB,2,0),"")</f>
        <v/>
      </c>
      <c r="I1240" s="7" t="n">
        <v>10248830</v>
      </c>
      <c r="J1240" s="7">
        <f>IFERROR(VLOOKUP(I1240,Materiales!$A:$H,8,0),"")</f>
        <v/>
      </c>
      <c r="K1240" s="9">
        <f>IFERROR(VLOOKUP(I1240,Materiales!$A:$G,7,0),"")</f>
        <v/>
      </c>
      <c r="L1240" s="8" t="inlineStr">
        <is>
          <t>20250701</t>
        </is>
      </c>
      <c r="M1240" s="8" t="inlineStr">
        <is>
          <t>20251031</t>
        </is>
      </c>
      <c r="N1240" s="10" t="n">
        <v>91.20999999999999</v>
      </c>
      <c r="O1240" s="10">
        <f>IFERROR(VLOOKUP(A1240,Flete!$A:$J,10,0),"")</f>
        <v/>
      </c>
      <c r="P1240" s="8" t="inlineStr">
        <is>
          <t>TN</t>
        </is>
      </c>
      <c r="Q1240" s="10">
        <f>IFERROR(IFERROR(VLOOKUP(A1240,TRAOPE!$A:$U,21,0),VLOOKUP(B1240,TRAOPE!$A:$U,21,0)),"")</f>
        <v/>
      </c>
      <c r="R1240" s="8">
        <f>IFERROR(IFERROR(VLOOKUP(A1240,TRAOPE!$A:$W,23,0),VLOOKUP(B1240,TRAOPE!$A:$W,23,0)),"")</f>
        <v/>
      </c>
      <c r="S1240" s="10">
        <f>IF(AND(P1240="TN",R1240="TN"),N1240+N(O1240),IF(G1240&amp;""="1",N(K1240)*N1240,(N1240+N(O1240))*N(K1240)))</f>
        <v/>
      </c>
      <c r="T1240" s="10">
        <f>IF(Q1240="","",Q1240-S1240)</f>
        <v/>
      </c>
    </row>
    <row r="1241">
      <c r="A1241" s="7">
        <f>CONCATENATE(C1241,E1241,F1241,I1241)</f>
        <v/>
      </c>
      <c r="B1241" s="7">
        <f>CONCATENATE(C1241,E1241,I1241)</f>
        <v/>
      </c>
      <c r="C1241" s="8" t="n">
        <v>900008570</v>
      </c>
      <c r="D1241" s="7">
        <f>IFERROR(VLOOKUP(C1241,TRAOPE!$G:$H,2,0),"")</f>
        <v/>
      </c>
      <c r="E1241" s="8" t="inlineStr">
        <is>
          <t>DW70</t>
        </is>
      </c>
      <c r="F1241" s="8" t="inlineStr">
        <is>
          <t>D075</t>
        </is>
      </c>
      <c r="G1241" s="8">
        <f>IFERROR(VLOOKUP(A1241,Flete!$A:$E,5,0),"")</f>
        <v/>
      </c>
      <c r="H1241" s="7">
        <f>IFERROR(VLOOKUP(F1241,TRAOPE!$AA:$AB,2,0),"")</f>
        <v/>
      </c>
      <c r="I1241" s="7" t="n">
        <v>10248830</v>
      </c>
      <c r="J1241" s="7">
        <f>IFERROR(VLOOKUP(I1241,Materiales!$A:$H,8,0),"")</f>
        <v/>
      </c>
      <c r="K1241" s="9">
        <f>IFERROR(VLOOKUP(I1241,Materiales!$A:$G,7,0),"")</f>
        <v/>
      </c>
      <c r="L1241" s="8" t="inlineStr">
        <is>
          <t>20250701</t>
        </is>
      </c>
      <c r="M1241" s="8" t="inlineStr">
        <is>
          <t>20251031</t>
        </is>
      </c>
      <c r="N1241" s="10" t="n">
        <v>91.20999999999999</v>
      </c>
      <c r="O1241" s="10">
        <f>IFERROR(VLOOKUP(A1241,Flete!$A:$J,10,0),"")</f>
        <v/>
      </c>
      <c r="P1241" s="8" t="inlineStr">
        <is>
          <t>TN</t>
        </is>
      </c>
      <c r="Q1241" s="10">
        <f>IFERROR(IFERROR(VLOOKUP(A1241,TRAOPE!$A:$U,21,0),VLOOKUP(B1241,TRAOPE!$A:$U,21,0)),"")</f>
        <v/>
      </c>
      <c r="R1241" s="8">
        <f>IFERROR(IFERROR(VLOOKUP(A1241,TRAOPE!$A:$W,23,0),VLOOKUP(B1241,TRAOPE!$A:$W,23,0)),"")</f>
        <v/>
      </c>
      <c r="S1241" s="10">
        <f>IF(AND(P1241="TN",R1241="TN"),N1241+N(O1241),IF(G1241&amp;""="1",N(K1241)*N1241,(N1241+N(O1241))*N(K1241)))</f>
        <v/>
      </c>
      <c r="T1241" s="10">
        <f>IF(Q1241="","",Q1241-S1241)</f>
        <v/>
      </c>
    </row>
    <row r="1242">
      <c r="A1242" s="7">
        <f>CONCATENATE(C1242,E1242,F1242,I1242)</f>
        <v/>
      </c>
      <c r="B1242" s="7">
        <f>CONCATENATE(C1242,E1242,I1242)</f>
        <v/>
      </c>
      <c r="C1242" s="8" t="n">
        <v>900008570</v>
      </c>
      <c r="D1242" s="7">
        <f>IFERROR(VLOOKUP(C1242,TRAOPE!$G:$H,2,0),"")</f>
        <v/>
      </c>
      <c r="E1242" s="8" t="inlineStr">
        <is>
          <t>DW70</t>
        </is>
      </c>
      <c r="F1242" s="8" t="inlineStr">
        <is>
          <t>D077</t>
        </is>
      </c>
      <c r="G1242" s="8">
        <f>IFERROR(VLOOKUP(A1242,Flete!$A:$E,5,0),"")</f>
        <v/>
      </c>
      <c r="H1242" s="7">
        <f>IFERROR(VLOOKUP(F1242,TRAOPE!$AA:$AB,2,0),"")</f>
        <v/>
      </c>
      <c r="I1242" s="7" t="n">
        <v>10248830</v>
      </c>
      <c r="J1242" s="7">
        <f>IFERROR(VLOOKUP(I1242,Materiales!$A:$H,8,0),"")</f>
        <v/>
      </c>
      <c r="K1242" s="9">
        <f>IFERROR(VLOOKUP(I1242,Materiales!$A:$G,7,0),"")</f>
        <v/>
      </c>
      <c r="L1242" s="8" t="inlineStr">
        <is>
          <t>20260601</t>
        </is>
      </c>
      <c r="M1242" s="8" t="inlineStr">
        <is>
          <t>99991231</t>
        </is>
      </c>
      <c r="N1242" s="10" t="n">
        <v>105.56</v>
      </c>
      <c r="O1242" s="10">
        <f>IFERROR(VLOOKUP(A1242,Flete!$A:$J,10,0),"")</f>
        <v/>
      </c>
      <c r="P1242" s="8" t="inlineStr">
        <is>
          <t>TN</t>
        </is>
      </c>
      <c r="Q1242" s="10">
        <f>IFERROR(IFERROR(VLOOKUP(A1242,TRAOPE!$A:$U,21,0),VLOOKUP(B1242,TRAOPE!$A:$U,21,0)),"")</f>
        <v/>
      </c>
      <c r="R1242" s="8">
        <f>IFERROR(IFERROR(VLOOKUP(A1242,TRAOPE!$A:$W,23,0),VLOOKUP(B1242,TRAOPE!$A:$W,23,0)),"")</f>
        <v/>
      </c>
      <c r="S1242" s="10">
        <f>IF(AND(P1242="TN",R1242="TN"),N1242+N(O1242),IF(G1242&amp;""="1",N(K1242)*N1242,(N1242+N(O1242))*N(K1242)))</f>
        <v/>
      </c>
      <c r="T1242" s="10">
        <f>IF(Q1242="","",Q1242-S1242)</f>
        <v/>
      </c>
    </row>
    <row r="1243">
      <c r="A1243" s="7">
        <f>CONCATENATE(C1243,E1243,F1243,I1243)</f>
        <v/>
      </c>
      <c r="B1243" s="7">
        <f>CONCATENATE(C1243,E1243,I1243)</f>
        <v/>
      </c>
      <c r="C1243" s="8" t="n">
        <v>900008570</v>
      </c>
      <c r="D1243" s="7">
        <f>IFERROR(VLOOKUP(C1243,TRAOPE!$G:$H,2,0),"")</f>
        <v/>
      </c>
      <c r="E1243" s="8" t="inlineStr">
        <is>
          <t>DW70</t>
        </is>
      </c>
      <c r="F1243" s="8" t="inlineStr">
        <is>
          <t>D079</t>
        </is>
      </c>
      <c r="G1243" s="8">
        <f>IFERROR(VLOOKUP(A1243,Flete!$A:$E,5,0),"")</f>
        <v/>
      </c>
      <c r="H1243" s="7">
        <f>IFERROR(VLOOKUP(F1243,TRAOPE!$AA:$AB,2,0),"")</f>
        <v/>
      </c>
      <c r="I1243" s="7" t="n">
        <v>10248830</v>
      </c>
      <c r="J1243" s="7">
        <f>IFERROR(VLOOKUP(I1243,Materiales!$A:$H,8,0),"")</f>
        <v/>
      </c>
      <c r="K1243" s="9">
        <f>IFERROR(VLOOKUP(I1243,Materiales!$A:$G,7,0),"")</f>
        <v/>
      </c>
      <c r="L1243" s="8" t="inlineStr">
        <is>
          <t>20260601</t>
        </is>
      </c>
      <c r="M1243" s="8" t="inlineStr">
        <is>
          <t>99991231</t>
        </is>
      </c>
      <c r="N1243" s="10" t="n">
        <v>105.56</v>
      </c>
      <c r="O1243" s="10">
        <f>IFERROR(VLOOKUP(A1243,Flete!$A:$J,10,0),"")</f>
        <v/>
      </c>
      <c r="P1243" s="8" t="inlineStr">
        <is>
          <t>TN</t>
        </is>
      </c>
      <c r="Q1243" s="10">
        <f>IFERROR(IFERROR(VLOOKUP(A1243,TRAOPE!$A:$U,21,0),VLOOKUP(B1243,TRAOPE!$A:$U,21,0)),"")</f>
        <v/>
      </c>
      <c r="R1243" s="8">
        <f>IFERROR(IFERROR(VLOOKUP(A1243,TRAOPE!$A:$W,23,0),VLOOKUP(B1243,TRAOPE!$A:$W,23,0)),"")</f>
        <v/>
      </c>
      <c r="S1243" s="10">
        <f>IF(AND(P1243="TN",R1243="TN"),N1243+N(O1243),IF(G1243&amp;""="1",N(K1243)*N1243,(N1243+N(O1243))*N(K1243)))</f>
        <v/>
      </c>
      <c r="T1243" s="10">
        <f>IF(Q1243="","",Q1243-S1243)</f>
        <v/>
      </c>
    </row>
    <row r="1244">
      <c r="A1244" s="7">
        <f>CONCATENATE(C1244,E1244,F1244,I1244)</f>
        <v/>
      </c>
      <c r="B1244" s="7">
        <f>CONCATENATE(C1244,E1244,I1244)</f>
        <v/>
      </c>
      <c r="C1244" s="8" t="n">
        <v>900008570</v>
      </c>
      <c r="D1244" s="7">
        <f>IFERROR(VLOOKUP(C1244,TRAOPE!$G:$H,2,0),"")</f>
        <v/>
      </c>
      <c r="E1244" s="8" t="inlineStr">
        <is>
          <t>DW70</t>
        </is>
      </c>
      <c r="F1244" s="8" t="inlineStr">
        <is>
          <t>D080</t>
        </is>
      </c>
      <c r="G1244" s="8">
        <f>IFERROR(VLOOKUP(A1244,Flete!$A:$E,5,0),"")</f>
        <v/>
      </c>
      <c r="H1244" s="7">
        <f>IFERROR(VLOOKUP(F1244,TRAOPE!$AA:$AB,2,0),"")</f>
        <v/>
      </c>
      <c r="I1244" s="7" t="n">
        <v>10248830</v>
      </c>
      <c r="J1244" s="7">
        <f>IFERROR(VLOOKUP(I1244,Materiales!$A:$H,8,0),"")</f>
        <v/>
      </c>
      <c r="K1244" s="9">
        <f>IFERROR(VLOOKUP(I1244,Materiales!$A:$G,7,0),"")</f>
        <v/>
      </c>
      <c r="L1244" s="8" t="inlineStr">
        <is>
          <t>20250701</t>
        </is>
      </c>
      <c r="M1244" s="8" t="inlineStr">
        <is>
          <t>20251031</t>
        </is>
      </c>
      <c r="N1244" s="10" t="n">
        <v>91.20999999999999</v>
      </c>
      <c r="O1244" s="10">
        <f>IFERROR(VLOOKUP(A1244,Flete!$A:$J,10,0),"")</f>
        <v/>
      </c>
      <c r="P1244" s="8" t="inlineStr">
        <is>
          <t>TN</t>
        </is>
      </c>
      <c r="Q1244" s="10">
        <f>IFERROR(IFERROR(VLOOKUP(A1244,TRAOPE!$A:$U,21,0),VLOOKUP(B1244,TRAOPE!$A:$U,21,0)),"")</f>
        <v/>
      </c>
      <c r="R1244" s="8">
        <f>IFERROR(IFERROR(VLOOKUP(A1244,TRAOPE!$A:$W,23,0),VLOOKUP(B1244,TRAOPE!$A:$W,23,0)),"")</f>
        <v/>
      </c>
      <c r="S1244" s="10">
        <f>IF(AND(P1244="TN",R1244="TN"),N1244+N(O1244),IF(G1244&amp;""="1",N(K1244)*N1244,(N1244+N(O1244))*N(K1244)))</f>
        <v/>
      </c>
      <c r="T1244" s="10">
        <f>IF(Q1244="","",Q1244-S1244)</f>
        <v/>
      </c>
    </row>
    <row r="1245">
      <c r="A1245" s="7">
        <f>CONCATENATE(C1245,E1245,F1245,I1245)</f>
        <v/>
      </c>
      <c r="B1245" s="7">
        <f>CONCATENATE(C1245,E1245,I1245)</f>
        <v/>
      </c>
      <c r="C1245" s="8" t="n">
        <v>900008570</v>
      </c>
      <c r="D1245" s="7">
        <f>IFERROR(VLOOKUP(C1245,TRAOPE!$G:$H,2,0),"")</f>
        <v/>
      </c>
      <c r="E1245" s="8" t="inlineStr">
        <is>
          <t>DW70</t>
        </is>
      </c>
      <c r="F1245" s="8" t="inlineStr">
        <is>
          <t>D081</t>
        </is>
      </c>
      <c r="G1245" s="8">
        <f>IFERROR(VLOOKUP(A1245,Flete!$A:$E,5,0),"")</f>
        <v/>
      </c>
      <c r="H1245" s="7">
        <f>IFERROR(VLOOKUP(F1245,TRAOPE!$AA:$AB,2,0),"")</f>
        <v/>
      </c>
      <c r="I1245" s="7" t="n">
        <v>10248830</v>
      </c>
      <c r="J1245" s="7">
        <f>IFERROR(VLOOKUP(I1245,Materiales!$A:$H,8,0),"")</f>
        <v/>
      </c>
      <c r="K1245" s="9">
        <f>IFERROR(VLOOKUP(I1245,Materiales!$A:$G,7,0),"")</f>
        <v/>
      </c>
      <c r="L1245" s="8" t="inlineStr">
        <is>
          <t>20260601</t>
        </is>
      </c>
      <c r="M1245" s="8" t="inlineStr">
        <is>
          <t>99991231</t>
        </is>
      </c>
      <c r="N1245" s="10" t="n">
        <v>105.56</v>
      </c>
      <c r="O1245" s="10">
        <f>IFERROR(VLOOKUP(A1245,Flete!$A:$J,10,0),"")</f>
        <v/>
      </c>
      <c r="P1245" s="8" t="inlineStr">
        <is>
          <t>TN</t>
        </is>
      </c>
      <c r="Q1245" s="10">
        <f>IFERROR(IFERROR(VLOOKUP(A1245,TRAOPE!$A:$U,21,0),VLOOKUP(B1245,TRAOPE!$A:$U,21,0)),"")</f>
        <v/>
      </c>
      <c r="R1245" s="8">
        <f>IFERROR(IFERROR(VLOOKUP(A1245,TRAOPE!$A:$W,23,0),VLOOKUP(B1245,TRAOPE!$A:$W,23,0)),"")</f>
        <v/>
      </c>
      <c r="S1245" s="10">
        <f>IF(AND(P1245="TN",R1245="TN"),N1245+N(O1245),IF(G1245&amp;""="1",N(K1245)*N1245,(N1245+N(O1245))*N(K1245)))</f>
        <v/>
      </c>
      <c r="T1245" s="10">
        <f>IF(Q1245="","",Q1245-S1245)</f>
        <v/>
      </c>
    </row>
    <row r="1246">
      <c r="A1246" s="7">
        <f>CONCATENATE(C1246,E1246,F1246,I1246)</f>
        <v/>
      </c>
      <c r="B1246" s="7">
        <f>CONCATENATE(C1246,E1246,I1246)</f>
        <v/>
      </c>
      <c r="C1246" s="8" t="n">
        <v>900008570</v>
      </c>
      <c r="D1246" s="7">
        <f>IFERROR(VLOOKUP(C1246,TRAOPE!$G:$H,2,0),"")</f>
        <v/>
      </c>
      <c r="E1246" s="8" t="inlineStr">
        <is>
          <t>DW70</t>
        </is>
      </c>
      <c r="F1246" s="8" t="inlineStr">
        <is>
          <t>D083</t>
        </is>
      </c>
      <c r="G1246" s="8">
        <f>IFERROR(VLOOKUP(A1246,Flete!$A:$E,5,0),"")</f>
        <v/>
      </c>
      <c r="H1246" s="7">
        <f>IFERROR(VLOOKUP(F1246,TRAOPE!$AA:$AB,2,0),"")</f>
        <v/>
      </c>
      <c r="I1246" s="7" t="n">
        <v>10248830</v>
      </c>
      <c r="J1246" s="7">
        <f>IFERROR(VLOOKUP(I1246,Materiales!$A:$H,8,0),"")</f>
        <v/>
      </c>
      <c r="K1246" s="9">
        <f>IFERROR(VLOOKUP(I1246,Materiales!$A:$G,7,0),"")</f>
        <v/>
      </c>
      <c r="L1246" s="8" t="inlineStr">
        <is>
          <t>20250701</t>
        </is>
      </c>
      <c r="M1246" s="8" t="inlineStr">
        <is>
          <t>20251031</t>
        </is>
      </c>
      <c r="N1246" s="10" t="n">
        <v>91.20999999999999</v>
      </c>
      <c r="O1246" s="10">
        <f>IFERROR(VLOOKUP(A1246,Flete!$A:$J,10,0),"")</f>
        <v/>
      </c>
      <c r="P1246" s="8" t="inlineStr">
        <is>
          <t>TN</t>
        </is>
      </c>
      <c r="Q1246" s="10">
        <f>IFERROR(IFERROR(VLOOKUP(A1246,TRAOPE!$A:$U,21,0),VLOOKUP(B1246,TRAOPE!$A:$U,21,0)),"")</f>
        <v/>
      </c>
      <c r="R1246" s="8">
        <f>IFERROR(IFERROR(VLOOKUP(A1246,TRAOPE!$A:$W,23,0),VLOOKUP(B1246,TRAOPE!$A:$W,23,0)),"")</f>
        <v/>
      </c>
      <c r="S1246" s="10">
        <f>IF(AND(P1246="TN",R1246="TN"),N1246+N(O1246),IF(G1246&amp;""="1",N(K1246)*N1246,(N1246+N(O1246))*N(K1246)))</f>
        <v/>
      </c>
      <c r="T1246" s="10">
        <f>IF(Q1246="","",Q1246-S1246)</f>
        <v/>
      </c>
    </row>
    <row r="1247">
      <c r="A1247" s="7">
        <f>CONCATENATE(C1247,E1247,F1247,I1247)</f>
        <v/>
      </c>
      <c r="B1247" s="7">
        <f>CONCATENATE(C1247,E1247,I1247)</f>
        <v/>
      </c>
      <c r="C1247" s="8" t="n">
        <v>900008570</v>
      </c>
      <c r="D1247" s="7">
        <f>IFERROR(VLOOKUP(C1247,TRAOPE!$G:$H,2,0),"")</f>
        <v/>
      </c>
      <c r="E1247" s="8" t="inlineStr">
        <is>
          <t>DW70</t>
        </is>
      </c>
      <c r="F1247" s="8" t="inlineStr">
        <is>
          <t>D084</t>
        </is>
      </c>
      <c r="G1247" s="8">
        <f>IFERROR(VLOOKUP(A1247,Flete!$A:$E,5,0),"")</f>
        <v/>
      </c>
      <c r="H1247" s="7">
        <f>IFERROR(VLOOKUP(F1247,TRAOPE!$AA:$AB,2,0),"")</f>
        <v/>
      </c>
      <c r="I1247" s="7" t="n">
        <v>10248830</v>
      </c>
      <c r="J1247" s="7">
        <f>IFERROR(VLOOKUP(I1247,Materiales!$A:$H,8,0),"")</f>
        <v/>
      </c>
      <c r="K1247" s="9">
        <f>IFERROR(VLOOKUP(I1247,Materiales!$A:$G,7,0),"")</f>
        <v/>
      </c>
      <c r="L1247" s="8" t="inlineStr">
        <is>
          <t>20250701</t>
        </is>
      </c>
      <c r="M1247" s="8" t="inlineStr">
        <is>
          <t>20251031</t>
        </is>
      </c>
      <c r="N1247" s="10" t="n">
        <v>91.20999999999999</v>
      </c>
      <c r="O1247" s="10">
        <f>IFERROR(VLOOKUP(A1247,Flete!$A:$J,10,0),"")</f>
        <v/>
      </c>
      <c r="P1247" s="8" t="inlineStr">
        <is>
          <t>TN</t>
        </is>
      </c>
      <c r="Q1247" s="10">
        <f>IFERROR(IFERROR(VLOOKUP(A1247,TRAOPE!$A:$U,21,0),VLOOKUP(B1247,TRAOPE!$A:$U,21,0)),"")</f>
        <v/>
      </c>
      <c r="R1247" s="8">
        <f>IFERROR(IFERROR(VLOOKUP(A1247,TRAOPE!$A:$W,23,0),VLOOKUP(B1247,TRAOPE!$A:$W,23,0)),"")</f>
        <v/>
      </c>
      <c r="S1247" s="10">
        <f>IF(AND(P1247="TN",R1247="TN"),N1247+N(O1247),IF(G1247&amp;""="1",N(K1247)*N1247,(N1247+N(O1247))*N(K1247)))</f>
        <v/>
      </c>
      <c r="T1247" s="10">
        <f>IF(Q1247="","",Q1247-S1247)</f>
        <v/>
      </c>
    </row>
    <row r="1248">
      <c r="A1248" s="7">
        <f>CONCATENATE(C1248,E1248,F1248,I1248)</f>
        <v/>
      </c>
      <c r="B1248" s="7">
        <f>CONCATENATE(C1248,E1248,I1248)</f>
        <v/>
      </c>
      <c r="C1248" s="8" t="n">
        <v>900008570</v>
      </c>
      <c r="D1248" s="7">
        <f>IFERROR(VLOOKUP(C1248,TRAOPE!$G:$H,2,0),"")</f>
        <v/>
      </c>
      <c r="E1248" s="8" t="inlineStr">
        <is>
          <t>DW70</t>
        </is>
      </c>
      <c r="F1248" s="8" t="inlineStr">
        <is>
          <t>D085</t>
        </is>
      </c>
      <c r="G1248" s="8">
        <f>IFERROR(VLOOKUP(A1248,Flete!$A:$E,5,0),"")</f>
        <v/>
      </c>
      <c r="H1248" s="7">
        <f>IFERROR(VLOOKUP(F1248,TRAOPE!$AA:$AB,2,0),"")</f>
        <v/>
      </c>
      <c r="I1248" s="7" t="n">
        <v>10248830</v>
      </c>
      <c r="J1248" s="7">
        <f>IFERROR(VLOOKUP(I1248,Materiales!$A:$H,8,0),"")</f>
        <v/>
      </c>
      <c r="K1248" s="9">
        <f>IFERROR(VLOOKUP(I1248,Materiales!$A:$G,7,0),"")</f>
        <v/>
      </c>
      <c r="L1248" s="8" t="inlineStr">
        <is>
          <t>20260601</t>
        </is>
      </c>
      <c r="M1248" s="8" t="inlineStr">
        <is>
          <t>99991231</t>
        </is>
      </c>
      <c r="N1248" s="10" t="n">
        <v>105.56</v>
      </c>
      <c r="O1248" s="10">
        <f>IFERROR(VLOOKUP(A1248,Flete!$A:$J,10,0),"")</f>
        <v/>
      </c>
      <c r="P1248" s="8" t="inlineStr">
        <is>
          <t>TN</t>
        </is>
      </c>
      <c r="Q1248" s="10">
        <f>IFERROR(IFERROR(VLOOKUP(A1248,TRAOPE!$A:$U,21,0),VLOOKUP(B1248,TRAOPE!$A:$U,21,0)),"")</f>
        <v/>
      </c>
      <c r="R1248" s="8">
        <f>IFERROR(IFERROR(VLOOKUP(A1248,TRAOPE!$A:$W,23,0),VLOOKUP(B1248,TRAOPE!$A:$W,23,0)),"")</f>
        <v/>
      </c>
      <c r="S1248" s="10">
        <f>IF(AND(P1248="TN",R1248="TN"),N1248+N(O1248),IF(G1248&amp;""="1",N(K1248)*N1248,(N1248+N(O1248))*N(K1248)))</f>
        <v/>
      </c>
      <c r="T1248" s="10">
        <f>IF(Q1248="","",Q1248-S1248)</f>
        <v/>
      </c>
    </row>
    <row r="1249">
      <c r="A1249" s="7">
        <f>CONCATENATE(C1249,E1249,F1249,I1249)</f>
        <v/>
      </c>
      <c r="B1249" s="7">
        <f>CONCATENATE(C1249,E1249,I1249)</f>
        <v/>
      </c>
      <c r="C1249" s="8" t="n">
        <v>900008570</v>
      </c>
      <c r="D1249" s="7">
        <f>IFERROR(VLOOKUP(C1249,TRAOPE!$G:$H,2,0),"")</f>
        <v/>
      </c>
      <c r="E1249" s="8" t="inlineStr">
        <is>
          <t>DW70</t>
        </is>
      </c>
      <c r="F1249" s="8" t="inlineStr">
        <is>
          <t>D086</t>
        </is>
      </c>
      <c r="G1249" s="8">
        <f>IFERROR(VLOOKUP(A1249,Flete!$A:$E,5,0),"")</f>
        <v/>
      </c>
      <c r="H1249" s="7">
        <f>IFERROR(VLOOKUP(F1249,TRAOPE!$AA:$AB,2,0),"")</f>
        <v/>
      </c>
      <c r="I1249" s="7" t="n">
        <v>10248830</v>
      </c>
      <c r="J1249" s="7">
        <f>IFERROR(VLOOKUP(I1249,Materiales!$A:$H,8,0),"")</f>
        <v/>
      </c>
      <c r="K1249" s="9">
        <f>IFERROR(VLOOKUP(I1249,Materiales!$A:$G,7,0),"")</f>
        <v/>
      </c>
      <c r="L1249" s="8" t="inlineStr">
        <is>
          <t>20260601</t>
        </is>
      </c>
      <c r="M1249" s="8" t="inlineStr">
        <is>
          <t>99991231</t>
        </is>
      </c>
      <c r="N1249" s="10" t="n">
        <v>105.56</v>
      </c>
      <c r="O1249" s="10">
        <f>IFERROR(VLOOKUP(A1249,Flete!$A:$J,10,0),"")</f>
        <v/>
      </c>
      <c r="P1249" s="8" t="inlineStr">
        <is>
          <t>TN</t>
        </is>
      </c>
      <c r="Q1249" s="10">
        <f>IFERROR(IFERROR(VLOOKUP(A1249,TRAOPE!$A:$U,21,0),VLOOKUP(B1249,TRAOPE!$A:$U,21,0)),"")</f>
        <v/>
      </c>
      <c r="R1249" s="8">
        <f>IFERROR(IFERROR(VLOOKUP(A1249,TRAOPE!$A:$W,23,0),VLOOKUP(B1249,TRAOPE!$A:$W,23,0)),"")</f>
        <v/>
      </c>
      <c r="S1249" s="10">
        <f>IF(AND(P1249="TN",R1249="TN"),N1249+N(O1249),IF(G1249&amp;""="1",N(K1249)*N1249,(N1249+N(O1249))*N(K1249)))</f>
        <v/>
      </c>
      <c r="T1249" s="10">
        <f>IF(Q1249="","",Q1249-S1249)</f>
        <v/>
      </c>
    </row>
    <row r="1250">
      <c r="A1250" s="7">
        <f>CONCATENATE(C1250,E1250,F1250,I1250)</f>
        <v/>
      </c>
      <c r="B1250" s="7">
        <f>CONCATENATE(C1250,E1250,I1250)</f>
        <v/>
      </c>
      <c r="C1250" s="8" t="n">
        <v>900008570</v>
      </c>
      <c r="D1250" s="7">
        <f>IFERROR(VLOOKUP(C1250,TRAOPE!$G:$H,2,0),"")</f>
        <v/>
      </c>
      <c r="E1250" s="8" t="inlineStr">
        <is>
          <t>DW70</t>
        </is>
      </c>
      <c r="F1250" s="8" t="inlineStr">
        <is>
          <t>D093</t>
        </is>
      </c>
      <c r="G1250" s="8">
        <f>IFERROR(VLOOKUP(A1250,Flete!$A:$E,5,0),"")</f>
        <v/>
      </c>
      <c r="H1250" s="7">
        <f>IFERROR(VLOOKUP(F1250,TRAOPE!$AA:$AB,2,0),"")</f>
        <v/>
      </c>
      <c r="I1250" s="7" t="n">
        <v>10248830</v>
      </c>
      <c r="J1250" s="7">
        <f>IFERROR(VLOOKUP(I1250,Materiales!$A:$H,8,0),"")</f>
        <v/>
      </c>
      <c r="K1250" s="9">
        <f>IFERROR(VLOOKUP(I1250,Materiales!$A:$G,7,0),"")</f>
        <v/>
      </c>
      <c r="L1250" s="8" t="inlineStr">
        <is>
          <t>20260601</t>
        </is>
      </c>
      <c r="M1250" s="8" t="inlineStr">
        <is>
          <t>99991231</t>
        </is>
      </c>
      <c r="N1250" s="10" t="n">
        <v>105.56</v>
      </c>
      <c r="O1250" s="10">
        <f>IFERROR(VLOOKUP(A1250,Flete!$A:$J,10,0),"")</f>
        <v/>
      </c>
      <c r="P1250" s="8" t="inlineStr">
        <is>
          <t>TN</t>
        </is>
      </c>
      <c r="Q1250" s="10">
        <f>IFERROR(IFERROR(VLOOKUP(A1250,TRAOPE!$A:$U,21,0),VLOOKUP(B1250,TRAOPE!$A:$U,21,0)),"")</f>
        <v/>
      </c>
      <c r="R1250" s="8">
        <f>IFERROR(IFERROR(VLOOKUP(A1250,TRAOPE!$A:$W,23,0),VLOOKUP(B1250,TRAOPE!$A:$W,23,0)),"")</f>
        <v/>
      </c>
      <c r="S1250" s="10">
        <f>IF(AND(P1250="TN",R1250="TN"),N1250+N(O1250),IF(G1250&amp;""="1",N(K1250)*N1250,(N1250+N(O1250))*N(K1250)))</f>
        <v/>
      </c>
      <c r="T1250" s="10">
        <f>IF(Q1250="","",Q1250-S1250)</f>
        <v/>
      </c>
    </row>
    <row r="1251">
      <c r="A1251" s="7">
        <f>CONCATENATE(C1251,E1251,F1251,I1251)</f>
        <v/>
      </c>
      <c r="B1251" s="7">
        <f>CONCATENATE(C1251,E1251,I1251)</f>
        <v/>
      </c>
      <c r="C1251" s="8" t="n">
        <v>900008570</v>
      </c>
      <c r="D1251" s="7">
        <f>IFERROR(VLOOKUP(C1251,TRAOPE!$G:$H,2,0),"")</f>
        <v/>
      </c>
      <c r="E1251" s="8" t="inlineStr">
        <is>
          <t>DW70</t>
        </is>
      </c>
      <c r="F1251" s="8" t="inlineStr">
        <is>
          <t>D098</t>
        </is>
      </c>
      <c r="G1251" s="8">
        <f>IFERROR(VLOOKUP(A1251,Flete!$A:$E,5,0),"")</f>
        <v/>
      </c>
      <c r="H1251" s="7">
        <f>IFERROR(VLOOKUP(F1251,TRAOPE!$AA:$AB,2,0),"")</f>
        <v/>
      </c>
      <c r="I1251" s="7" t="n">
        <v>10248830</v>
      </c>
      <c r="J1251" s="7">
        <f>IFERROR(VLOOKUP(I1251,Materiales!$A:$H,8,0),"")</f>
        <v/>
      </c>
      <c r="K1251" s="9">
        <f>IFERROR(VLOOKUP(I1251,Materiales!$A:$G,7,0),"")</f>
        <v/>
      </c>
      <c r="L1251" s="8" t="inlineStr">
        <is>
          <t>20260601</t>
        </is>
      </c>
      <c r="M1251" s="8" t="inlineStr">
        <is>
          <t>99991231</t>
        </is>
      </c>
      <c r="N1251" s="10" t="n">
        <v>105.56</v>
      </c>
      <c r="O1251" s="10">
        <f>IFERROR(VLOOKUP(A1251,Flete!$A:$J,10,0),"")</f>
        <v/>
      </c>
      <c r="P1251" s="8" t="inlineStr">
        <is>
          <t>TN</t>
        </is>
      </c>
      <c r="Q1251" s="10">
        <f>IFERROR(IFERROR(VLOOKUP(A1251,TRAOPE!$A:$U,21,0),VLOOKUP(B1251,TRAOPE!$A:$U,21,0)),"")</f>
        <v/>
      </c>
      <c r="R1251" s="8">
        <f>IFERROR(IFERROR(VLOOKUP(A1251,TRAOPE!$A:$W,23,0),VLOOKUP(B1251,TRAOPE!$A:$W,23,0)),"")</f>
        <v/>
      </c>
      <c r="S1251" s="10">
        <f>IF(AND(P1251="TN",R1251="TN"),N1251+N(O1251),IF(G1251&amp;""="1",N(K1251)*N1251,(N1251+N(O1251))*N(K1251)))</f>
        <v/>
      </c>
      <c r="T1251" s="10">
        <f>IF(Q1251="","",Q1251-S1251)</f>
        <v/>
      </c>
    </row>
    <row r="1252">
      <c r="A1252" s="7">
        <f>CONCATENATE(C1252,E1252,F1252,I1252)</f>
        <v/>
      </c>
      <c r="B1252" s="7">
        <f>CONCATENATE(C1252,E1252,I1252)</f>
        <v/>
      </c>
      <c r="C1252" s="8" t="n">
        <v>900008570</v>
      </c>
      <c r="D1252" s="7">
        <f>IFERROR(VLOOKUP(C1252,TRAOPE!$G:$H,2,0),"")</f>
        <v/>
      </c>
      <c r="E1252" s="8" t="inlineStr">
        <is>
          <t>DW70</t>
        </is>
      </c>
      <c r="F1252" s="8" t="inlineStr">
        <is>
          <t>D105</t>
        </is>
      </c>
      <c r="G1252" s="8">
        <f>IFERROR(VLOOKUP(A1252,Flete!$A:$E,5,0),"")</f>
        <v/>
      </c>
      <c r="H1252" s="7">
        <f>IFERROR(VLOOKUP(F1252,TRAOPE!$AA:$AB,2,0),"")</f>
        <v/>
      </c>
      <c r="I1252" s="7" t="n">
        <v>10248830</v>
      </c>
      <c r="J1252" s="7">
        <f>IFERROR(VLOOKUP(I1252,Materiales!$A:$H,8,0),"")</f>
        <v/>
      </c>
      <c r="K1252" s="9">
        <f>IFERROR(VLOOKUP(I1252,Materiales!$A:$G,7,0),"")</f>
        <v/>
      </c>
      <c r="L1252" s="8" t="inlineStr">
        <is>
          <t>20260601</t>
        </is>
      </c>
      <c r="M1252" s="8" t="inlineStr">
        <is>
          <t>99991231</t>
        </is>
      </c>
      <c r="N1252" s="10" t="n">
        <v>105.56</v>
      </c>
      <c r="O1252" s="10">
        <f>IFERROR(VLOOKUP(A1252,Flete!$A:$J,10,0),"")</f>
        <v/>
      </c>
      <c r="P1252" s="8" t="inlineStr">
        <is>
          <t>TN</t>
        </is>
      </c>
      <c r="Q1252" s="10">
        <f>IFERROR(IFERROR(VLOOKUP(A1252,TRAOPE!$A:$U,21,0),VLOOKUP(B1252,TRAOPE!$A:$U,21,0)),"")</f>
        <v/>
      </c>
      <c r="R1252" s="8">
        <f>IFERROR(IFERROR(VLOOKUP(A1252,TRAOPE!$A:$W,23,0),VLOOKUP(B1252,TRAOPE!$A:$W,23,0)),"")</f>
        <v/>
      </c>
      <c r="S1252" s="10">
        <f>IF(AND(P1252="TN",R1252="TN"),N1252+N(O1252),IF(G1252&amp;""="1",N(K1252)*N1252,(N1252+N(O1252))*N(K1252)))</f>
        <v/>
      </c>
      <c r="T1252" s="10">
        <f>IF(Q1252="","",Q1252-S1252)</f>
        <v/>
      </c>
    </row>
    <row r="1253">
      <c r="A1253" s="7">
        <f>CONCATENATE(C1253,E1253,F1253,I1253)</f>
        <v/>
      </c>
      <c r="B1253" s="7">
        <f>CONCATENATE(C1253,E1253,I1253)</f>
        <v/>
      </c>
      <c r="C1253" s="8" t="n">
        <v>900008570</v>
      </c>
      <c r="D1253" s="7">
        <f>IFERROR(VLOOKUP(C1253,TRAOPE!$G:$H,2,0),"")</f>
        <v/>
      </c>
      <c r="E1253" s="8" t="inlineStr">
        <is>
          <t>DW70</t>
        </is>
      </c>
      <c r="F1253" s="8" t="inlineStr">
        <is>
          <t>D136</t>
        </is>
      </c>
      <c r="G1253" s="8">
        <f>IFERROR(VLOOKUP(A1253,Flete!$A:$E,5,0),"")</f>
        <v/>
      </c>
      <c r="H1253" s="7">
        <f>IFERROR(VLOOKUP(F1253,TRAOPE!$AA:$AB,2,0),"")</f>
        <v/>
      </c>
      <c r="I1253" s="7" t="n">
        <v>10248830</v>
      </c>
      <c r="J1253" s="7">
        <f>IFERROR(VLOOKUP(I1253,Materiales!$A:$H,8,0),"")</f>
        <v/>
      </c>
      <c r="K1253" s="9">
        <f>IFERROR(VLOOKUP(I1253,Materiales!$A:$G,7,0),"")</f>
        <v/>
      </c>
      <c r="L1253" s="8" t="inlineStr">
        <is>
          <t>20250701</t>
        </is>
      </c>
      <c r="M1253" s="8" t="inlineStr">
        <is>
          <t>20251031</t>
        </is>
      </c>
      <c r="N1253" s="10" t="n">
        <v>91.20999999999999</v>
      </c>
      <c r="O1253" s="10">
        <f>IFERROR(VLOOKUP(A1253,Flete!$A:$J,10,0),"")</f>
        <v/>
      </c>
      <c r="P1253" s="8" t="inlineStr">
        <is>
          <t>TN</t>
        </is>
      </c>
      <c r="Q1253" s="10">
        <f>IFERROR(IFERROR(VLOOKUP(A1253,TRAOPE!$A:$U,21,0),VLOOKUP(B1253,TRAOPE!$A:$U,21,0)),"")</f>
        <v/>
      </c>
      <c r="R1253" s="8">
        <f>IFERROR(IFERROR(VLOOKUP(A1253,TRAOPE!$A:$W,23,0),VLOOKUP(B1253,TRAOPE!$A:$W,23,0)),"")</f>
        <v/>
      </c>
      <c r="S1253" s="10">
        <f>IF(AND(P1253="TN",R1253="TN"),N1253+N(O1253),IF(G1253&amp;""="1",N(K1253)*N1253,(N1253+N(O1253))*N(K1253)))</f>
        <v/>
      </c>
      <c r="T1253" s="10">
        <f>IF(Q1253="","",Q1253-S1253)</f>
        <v/>
      </c>
    </row>
    <row r="1254">
      <c r="A1254" s="7">
        <f>CONCATENATE(C1254,E1254,F1254,I1254)</f>
        <v/>
      </c>
      <c r="B1254" s="7">
        <f>CONCATENATE(C1254,E1254,I1254)</f>
        <v/>
      </c>
      <c r="C1254" s="8" t="n">
        <v>900008570</v>
      </c>
      <c r="D1254" s="7">
        <f>IFERROR(VLOOKUP(C1254,TRAOPE!$G:$H,2,0),"")</f>
        <v/>
      </c>
      <c r="E1254" s="8" t="inlineStr">
        <is>
          <t>DW70</t>
        </is>
      </c>
      <c r="F1254" s="8" t="inlineStr">
        <is>
          <t>D145</t>
        </is>
      </c>
      <c r="G1254" s="8">
        <f>IFERROR(VLOOKUP(A1254,Flete!$A:$E,5,0),"")</f>
        <v/>
      </c>
      <c r="H1254" s="7">
        <f>IFERROR(VLOOKUP(F1254,TRAOPE!$AA:$AB,2,0),"")</f>
        <v/>
      </c>
      <c r="I1254" s="7" t="n">
        <v>10248830</v>
      </c>
      <c r="J1254" s="7">
        <f>IFERROR(VLOOKUP(I1254,Materiales!$A:$H,8,0),"")</f>
        <v/>
      </c>
      <c r="K1254" s="9">
        <f>IFERROR(VLOOKUP(I1254,Materiales!$A:$G,7,0),"")</f>
        <v/>
      </c>
      <c r="L1254" s="8" t="inlineStr">
        <is>
          <t>20260601</t>
        </is>
      </c>
      <c r="M1254" s="8" t="inlineStr">
        <is>
          <t>99991231</t>
        </is>
      </c>
      <c r="N1254" s="10" t="n">
        <v>105.56</v>
      </c>
      <c r="O1254" s="10">
        <f>IFERROR(VLOOKUP(A1254,Flete!$A:$J,10,0),"")</f>
        <v/>
      </c>
      <c r="P1254" s="8" t="inlineStr">
        <is>
          <t>TN</t>
        </is>
      </c>
      <c r="Q1254" s="10">
        <f>IFERROR(IFERROR(VLOOKUP(A1254,TRAOPE!$A:$U,21,0),VLOOKUP(B1254,TRAOPE!$A:$U,21,0)),"")</f>
        <v/>
      </c>
      <c r="R1254" s="8">
        <f>IFERROR(IFERROR(VLOOKUP(A1254,TRAOPE!$A:$W,23,0),VLOOKUP(B1254,TRAOPE!$A:$W,23,0)),"")</f>
        <v/>
      </c>
      <c r="S1254" s="10">
        <f>IF(AND(P1254="TN",R1254="TN"),N1254+N(O1254),IF(G1254&amp;""="1",N(K1254)*N1254,(N1254+N(O1254))*N(K1254)))</f>
        <v/>
      </c>
      <c r="T1254" s="10">
        <f>IF(Q1254="","",Q1254-S1254)</f>
        <v/>
      </c>
    </row>
    <row r="1255">
      <c r="A1255" s="7">
        <f>CONCATENATE(C1255,E1255,F1255,I1255)</f>
        <v/>
      </c>
      <c r="B1255" s="7">
        <f>CONCATENATE(C1255,E1255,I1255)</f>
        <v/>
      </c>
      <c r="C1255" s="8" t="n">
        <v>900008570</v>
      </c>
      <c r="D1255" s="7">
        <f>IFERROR(VLOOKUP(C1255,TRAOPE!$G:$H,2,0),"")</f>
        <v/>
      </c>
      <c r="E1255" s="8" t="inlineStr">
        <is>
          <t>DW70</t>
        </is>
      </c>
      <c r="F1255" s="8" t="inlineStr">
        <is>
          <t>D681</t>
        </is>
      </c>
      <c r="G1255" s="8">
        <f>IFERROR(VLOOKUP(A1255,Flete!$A:$E,5,0),"")</f>
        <v/>
      </c>
      <c r="H1255" s="7">
        <f>IFERROR(VLOOKUP(F1255,TRAOPE!$AA:$AB,2,0),"")</f>
        <v/>
      </c>
      <c r="I1255" s="7" t="n">
        <v>10248830</v>
      </c>
      <c r="J1255" s="7">
        <f>IFERROR(VLOOKUP(I1255,Materiales!$A:$H,8,0),"")</f>
        <v/>
      </c>
      <c r="K1255" s="9">
        <f>IFERROR(VLOOKUP(I1255,Materiales!$A:$G,7,0),"")</f>
        <v/>
      </c>
      <c r="L1255" s="8" t="inlineStr">
        <is>
          <t>20260601</t>
        </is>
      </c>
      <c r="M1255" s="8" t="inlineStr">
        <is>
          <t>99991231</t>
        </is>
      </c>
      <c r="N1255" s="10" t="n">
        <v>105.56</v>
      </c>
      <c r="O1255" s="10">
        <f>IFERROR(VLOOKUP(A1255,Flete!$A:$J,10,0),"")</f>
        <v/>
      </c>
      <c r="P1255" s="8" t="inlineStr">
        <is>
          <t>TN</t>
        </is>
      </c>
      <c r="Q1255" s="10">
        <f>IFERROR(IFERROR(VLOOKUP(A1255,TRAOPE!$A:$U,21,0),VLOOKUP(B1255,TRAOPE!$A:$U,21,0)),"")</f>
        <v/>
      </c>
      <c r="R1255" s="8">
        <f>IFERROR(IFERROR(VLOOKUP(A1255,TRAOPE!$A:$W,23,0),VLOOKUP(B1255,TRAOPE!$A:$W,23,0)),"")</f>
        <v/>
      </c>
      <c r="S1255" s="10">
        <f>IF(AND(P1255="TN",R1255="TN"),N1255+N(O1255),IF(G1255&amp;""="1",N(K1255)*N1255,(N1255+N(O1255))*N(K1255)))</f>
        <v/>
      </c>
      <c r="T1255" s="10">
        <f>IF(Q1255="","",Q1255-S1255)</f>
        <v/>
      </c>
    </row>
    <row r="1256">
      <c r="A1256" s="7">
        <f>CONCATENATE(C1256,E1256,F1256,I1256)</f>
        <v/>
      </c>
      <c r="B1256" s="7">
        <f>CONCATENATE(C1256,E1256,I1256)</f>
        <v/>
      </c>
      <c r="C1256" s="8" t="n">
        <v>900008619</v>
      </c>
      <c r="D1256" s="7">
        <f>IFERROR(VLOOKUP(C1256,TRAOPE!$G:$H,2,0),"")</f>
        <v/>
      </c>
      <c r="E1256" s="8" t="inlineStr">
        <is>
          <t>DW70</t>
        </is>
      </c>
      <c r="F1256" s="8" t="inlineStr">
        <is>
          <t>D085</t>
        </is>
      </c>
      <c r="G1256" s="8">
        <f>IFERROR(VLOOKUP(A1256,Flete!$A:$E,5,0),"")</f>
        <v/>
      </c>
      <c r="H1256" s="7">
        <f>IFERROR(VLOOKUP(F1256,TRAOPE!$AA:$AB,2,0),"")</f>
        <v/>
      </c>
      <c r="I1256" s="7" t="n">
        <v>10019515</v>
      </c>
      <c r="J1256" s="7">
        <f>IFERROR(VLOOKUP(I1256,Materiales!$A:$H,8,0),"")</f>
        <v/>
      </c>
      <c r="K1256" s="9">
        <f>IFERROR(VLOOKUP(I1256,Materiales!$A:$G,7,0),"")</f>
        <v/>
      </c>
      <c r="L1256" s="8" t="inlineStr">
        <is>
          <t>20260107</t>
        </is>
      </c>
      <c r="M1256" s="8" t="inlineStr">
        <is>
          <t>99991231</t>
        </is>
      </c>
      <c r="N1256" s="10" t="n">
        <v>138.46</v>
      </c>
      <c r="O1256" s="10">
        <f>IFERROR(VLOOKUP(A1256,Flete!$A:$J,10,0),"")</f>
        <v/>
      </c>
      <c r="P1256" s="8" t="inlineStr">
        <is>
          <t>TN</t>
        </is>
      </c>
      <c r="Q1256" s="10">
        <f>IFERROR(IFERROR(VLOOKUP(A1256,TRAOPE!$A:$U,21,0),VLOOKUP(B1256,TRAOPE!$A:$U,21,0)),"")</f>
        <v/>
      </c>
      <c r="R1256" s="8">
        <f>IFERROR(IFERROR(VLOOKUP(A1256,TRAOPE!$A:$W,23,0),VLOOKUP(B1256,TRAOPE!$A:$W,23,0)),"")</f>
        <v/>
      </c>
      <c r="S1256" s="10">
        <f>IF(AND(P1256="TN",R1256="TN"),N1256+N(O1256),IF(G1256&amp;""="1",N(K1256)*N1256,(N1256+N(O1256))*N(K1256)))</f>
        <v/>
      </c>
      <c r="T1256" s="10">
        <f>IF(Q1256="","",Q1256-S1256)</f>
        <v/>
      </c>
    </row>
    <row r="1257">
      <c r="A1257" s="7">
        <f>CONCATENATE(C1257,E1257,F1257,I1257)</f>
        <v/>
      </c>
      <c r="B1257" s="7">
        <f>CONCATENATE(C1257,E1257,I1257)</f>
        <v/>
      </c>
      <c r="C1257" s="8" t="n">
        <v>900009292</v>
      </c>
      <c r="D1257" s="7">
        <f>IFERROR(VLOOKUP(C1257,TRAOPE!$G:$H,2,0),"")</f>
        <v/>
      </c>
      <c r="E1257" s="8" t="inlineStr">
        <is>
          <t>DW70</t>
        </is>
      </c>
      <c r="F1257" s="8" t="inlineStr">
        <is>
          <t>D074</t>
        </is>
      </c>
      <c r="G1257" s="8">
        <f>IFERROR(VLOOKUP(A1257,Flete!$A:$E,5,0),"")</f>
        <v/>
      </c>
      <c r="H1257" s="7">
        <f>IFERROR(VLOOKUP(F1257,TRAOPE!$AA:$AB,2,0),"")</f>
        <v/>
      </c>
      <c r="I1257" s="7" t="n">
        <v>10000630</v>
      </c>
      <c r="J1257" s="7">
        <f>IFERROR(VLOOKUP(I1257,Materiales!$A:$H,8,0),"")</f>
        <v/>
      </c>
      <c r="K1257" s="9">
        <f>IFERROR(VLOOKUP(I1257,Materiales!$A:$G,7,0),"")</f>
        <v/>
      </c>
      <c r="L1257" s="8" t="inlineStr">
        <is>
          <t>20250701</t>
        </is>
      </c>
      <c r="M1257" s="8" t="inlineStr">
        <is>
          <t>20251031</t>
        </is>
      </c>
      <c r="N1257" s="10" t="n">
        <v>138.27</v>
      </c>
      <c r="O1257" s="10">
        <f>IFERROR(VLOOKUP(A1257,Flete!$A:$J,10,0),"")</f>
        <v/>
      </c>
      <c r="P1257" s="8" t="inlineStr">
        <is>
          <t>TN</t>
        </is>
      </c>
      <c r="Q1257" s="10">
        <f>IFERROR(IFERROR(VLOOKUP(A1257,TRAOPE!$A:$U,21,0),VLOOKUP(B1257,TRAOPE!$A:$U,21,0)),"")</f>
        <v/>
      </c>
      <c r="R1257" s="8">
        <f>IFERROR(IFERROR(VLOOKUP(A1257,TRAOPE!$A:$W,23,0),VLOOKUP(B1257,TRAOPE!$A:$W,23,0)),"")</f>
        <v/>
      </c>
      <c r="S1257" s="10">
        <f>IF(AND(P1257="TN",R1257="TN"),N1257+N(O1257),IF(G1257&amp;""="1",N(K1257)*N1257,(N1257+N(O1257))*N(K1257)))</f>
        <v/>
      </c>
      <c r="T1257" s="10">
        <f>IF(Q1257="","",Q1257-S1257)</f>
        <v/>
      </c>
    </row>
    <row r="1258">
      <c r="A1258" s="7">
        <f>CONCATENATE(C1258,E1258,F1258,I1258)</f>
        <v/>
      </c>
      <c r="B1258" s="7">
        <f>CONCATENATE(C1258,E1258,I1258)</f>
        <v/>
      </c>
      <c r="C1258" s="8" t="n">
        <v>900009292</v>
      </c>
      <c r="D1258" s="7">
        <f>IFERROR(VLOOKUP(C1258,TRAOPE!$G:$H,2,0),"")</f>
        <v/>
      </c>
      <c r="E1258" s="8" t="inlineStr">
        <is>
          <t>DW70</t>
        </is>
      </c>
      <c r="F1258" s="8" t="inlineStr">
        <is>
          <t>D074</t>
        </is>
      </c>
      <c r="G1258" s="8">
        <f>IFERROR(VLOOKUP(A1258,Flete!$A:$E,5,0),"")</f>
        <v/>
      </c>
      <c r="H1258" s="7">
        <f>IFERROR(VLOOKUP(F1258,TRAOPE!$AA:$AB,2,0),"")</f>
        <v/>
      </c>
      <c r="I1258" s="7" t="n">
        <v>10000811</v>
      </c>
      <c r="J1258" s="7">
        <f>IFERROR(VLOOKUP(I1258,Materiales!$A:$H,8,0),"")</f>
        <v/>
      </c>
      <c r="K1258" s="9">
        <f>IFERROR(VLOOKUP(I1258,Materiales!$A:$G,7,0),"")</f>
        <v/>
      </c>
      <c r="L1258" s="8" t="inlineStr">
        <is>
          <t>20260814</t>
        </is>
      </c>
      <c r="M1258" s="8" t="inlineStr">
        <is>
          <t>99991231</t>
        </is>
      </c>
      <c r="N1258" s="10" t="n">
        <v>155.49</v>
      </c>
      <c r="O1258" s="10">
        <f>IFERROR(VLOOKUP(A1258,Flete!$A:$J,10,0),"")</f>
        <v/>
      </c>
      <c r="P1258" s="8" t="inlineStr">
        <is>
          <t>TN</t>
        </is>
      </c>
      <c r="Q1258" s="10">
        <f>IFERROR(IFERROR(VLOOKUP(A1258,TRAOPE!$A:$U,21,0),VLOOKUP(B1258,TRAOPE!$A:$U,21,0)),"")</f>
        <v/>
      </c>
      <c r="R1258" s="8">
        <f>IFERROR(IFERROR(VLOOKUP(A1258,TRAOPE!$A:$W,23,0),VLOOKUP(B1258,TRAOPE!$A:$W,23,0)),"")</f>
        <v/>
      </c>
      <c r="S1258" s="10">
        <f>IF(AND(P1258="TN",R1258="TN"),N1258+N(O1258),IF(G1258&amp;""="1",N(K1258)*N1258,(N1258+N(O1258))*N(K1258)))</f>
        <v/>
      </c>
      <c r="T1258" s="10">
        <f>IF(Q1258="","",Q1258-S1258)</f>
        <v/>
      </c>
    </row>
    <row r="1259">
      <c r="A1259" s="7">
        <f>CONCATENATE(C1259,E1259,F1259,I1259)</f>
        <v/>
      </c>
      <c r="B1259" s="7">
        <f>CONCATENATE(C1259,E1259,I1259)</f>
        <v/>
      </c>
      <c r="C1259" s="8" t="n">
        <v>900009292</v>
      </c>
      <c r="D1259" s="7">
        <f>IFERROR(VLOOKUP(C1259,TRAOPE!$G:$H,2,0),"")</f>
        <v/>
      </c>
      <c r="E1259" s="8" t="inlineStr">
        <is>
          <t>DW70</t>
        </is>
      </c>
      <c r="F1259" s="8" t="inlineStr">
        <is>
          <t>D074</t>
        </is>
      </c>
      <c r="G1259" s="8">
        <f>IFERROR(VLOOKUP(A1259,Flete!$A:$E,5,0),"")</f>
        <v/>
      </c>
      <c r="H1259" s="7">
        <f>IFERROR(VLOOKUP(F1259,TRAOPE!$AA:$AB,2,0),"")</f>
        <v/>
      </c>
      <c r="I1259" s="7" t="n">
        <v>10058345</v>
      </c>
      <c r="J1259" s="7">
        <f>IFERROR(VLOOKUP(I1259,Materiales!$A:$H,8,0),"")</f>
        <v/>
      </c>
      <c r="K1259" s="9">
        <f>IFERROR(VLOOKUP(I1259,Materiales!$A:$G,7,0),"")</f>
        <v/>
      </c>
      <c r="L1259" s="8" t="inlineStr">
        <is>
          <t>20260814</t>
        </is>
      </c>
      <c r="M1259" s="8" t="inlineStr">
        <is>
          <t>99991231</t>
        </is>
      </c>
      <c r="N1259" s="10" t="n">
        <v>95.23999999999999</v>
      </c>
      <c r="O1259" s="10">
        <f>IFERROR(VLOOKUP(A1259,Flete!$A:$J,10,0),"")</f>
        <v/>
      </c>
      <c r="P1259" s="8" t="inlineStr">
        <is>
          <t>TN</t>
        </is>
      </c>
      <c r="Q1259" s="10">
        <f>IFERROR(IFERROR(VLOOKUP(A1259,TRAOPE!$A:$U,21,0),VLOOKUP(B1259,TRAOPE!$A:$U,21,0)),"")</f>
        <v/>
      </c>
      <c r="R1259" s="8">
        <f>IFERROR(IFERROR(VLOOKUP(A1259,TRAOPE!$A:$W,23,0),VLOOKUP(B1259,TRAOPE!$A:$W,23,0)),"")</f>
        <v/>
      </c>
      <c r="S1259" s="10">
        <f>IF(AND(P1259="TN",R1259="TN"),N1259+N(O1259),IF(G1259&amp;""="1",N(K1259)*N1259,(N1259+N(O1259))*N(K1259)))</f>
        <v/>
      </c>
      <c r="T1259" s="10">
        <f>IF(Q1259="","",Q1259-S1259)</f>
        <v/>
      </c>
    </row>
    <row r="1260">
      <c r="A1260" s="7">
        <f>CONCATENATE(C1260,E1260,F1260,I1260)</f>
        <v/>
      </c>
      <c r="B1260" s="7">
        <f>CONCATENATE(C1260,E1260,I1260)</f>
        <v/>
      </c>
      <c r="C1260" s="8" t="n">
        <v>900009292</v>
      </c>
      <c r="D1260" s="7">
        <f>IFERROR(VLOOKUP(C1260,TRAOPE!$G:$H,2,0),"")</f>
        <v/>
      </c>
      <c r="E1260" s="8" t="inlineStr">
        <is>
          <t>DW70</t>
        </is>
      </c>
      <c r="F1260" s="8" t="inlineStr">
        <is>
          <t>D074</t>
        </is>
      </c>
      <c r="G1260" s="8">
        <f>IFERROR(VLOOKUP(A1260,Flete!$A:$E,5,0),"")</f>
        <v/>
      </c>
      <c r="H1260" s="7">
        <f>IFERROR(VLOOKUP(F1260,TRAOPE!$AA:$AB,2,0),"")</f>
        <v/>
      </c>
      <c r="I1260" s="7" t="n">
        <v>10269245</v>
      </c>
      <c r="J1260" s="7">
        <f>IFERROR(VLOOKUP(I1260,Materiales!$A:$H,8,0),"")</f>
        <v/>
      </c>
      <c r="K1260" s="9">
        <f>IFERROR(VLOOKUP(I1260,Materiales!$A:$G,7,0),"")</f>
        <v/>
      </c>
      <c r="L1260" s="8" t="inlineStr">
        <is>
          <t>20250701</t>
        </is>
      </c>
      <c r="M1260" s="8" t="inlineStr">
        <is>
          <t>20251031</t>
        </is>
      </c>
      <c r="N1260" s="10" t="n">
        <v>141.61</v>
      </c>
      <c r="O1260" s="10">
        <f>IFERROR(VLOOKUP(A1260,Flete!$A:$J,10,0),"")</f>
        <v/>
      </c>
      <c r="P1260" s="8" t="inlineStr">
        <is>
          <t>TN</t>
        </is>
      </c>
      <c r="Q1260" s="10">
        <f>IFERROR(IFERROR(VLOOKUP(A1260,TRAOPE!$A:$U,21,0),VLOOKUP(B1260,TRAOPE!$A:$U,21,0)),"")</f>
        <v/>
      </c>
      <c r="R1260" s="8">
        <f>IFERROR(IFERROR(VLOOKUP(A1260,TRAOPE!$A:$W,23,0),VLOOKUP(B1260,TRAOPE!$A:$W,23,0)),"")</f>
        <v/>
      </c>
      <c r="S1260" s="10">
        <f>IF(AND(P1260="TN",R1260="TN"),N1260+N(O1260),IF(G1260&amp;""="1",N(K1260)*N1260,(N1260+N(O1260))*N(K1260)))</f>
        <v/>
      </c>
      <c r="T1260" s="10">
        <f>IF(Q1260="","",Q1260-S1260)</f>
        <v/>
      </c>
    </row>
    <row r="1261">
      <c r="A1261" s="7">
        <f>CONCATENATE(C1261,E1261,F1261,I1261)</f>
        <v/>
      </c>
      <c r="B1261" s="7">
        <f>CONCATENATE(C1261,E1261,I1261)</f>
        <v/>
      </c>
      <c r="C1261" s="8" t="n">
        <v>900009292</v>
      </c>
      <c r="D1261" s="7">
        <f>IFERROR(VLOOKUP(C1261,TRAOPE!$G:$H,2,0),"")</f>
        <v/>
      </c>
      <c r="E1261" s="8" t="inlineStr">
        <is>
          <t>DW70</t>
        </is>
      </c>
      <c r="F1261" s="8" t="inlineStr">
        <is>
          <t>D074</t>
        </is>
      </c>
      <c r="G1261" s="8">
        <f>IFERROR(VLOOKUP(A1261,Flete!$A:$E,5,0),"")</f>
        <v/>
      </c>
      <c r="H1261" s="7">
        <f>IFERROR(VLOOKUP(F1261,TRAOPE!$AA:$AB,2,0),"")</f>
        <v/>
      </c>
      <c r="I1261" s="7" t="n">
        <v>10269246</v>
      </c>
      <c r="J1261" s="7">
        <f>IFERROR(VLOOKUP(I1261,Materiales!$A:$H,8,0),"")</f>
        <v/>
      </c>
      <c r="K1261" s="9">
        <f>IFERROR(VLOOKUP(I1261,Materiales!$A:$G,7,0),"")</f>
        <v/>
      </c>
      <c r="L1261" s="8" t="inlineStr">
        <is>
          <t>20250701</t>
        </is>
      </c>
      <c r="M1261" s="8" t="inlineStr">
        <is>
          <t>20251031</t>
        </is>
      </c>
      <c r="N1261" s="10" t="n">
        <v>138.27</v>
      </c>
      <c r="O1261" s="10">
        <f>IFERROR(VLOOKUP(A1261,Flete!$A:$J,10,0),"")</f>
        <v/>
      </c>
      <c r="P1261" s="8" t="inlineStr">
        <is>
          <t>TN</t>
        </is>
      </c>
      <c r="Q1261" s="10">
        <f>IFERROR(IFERROR(VLOOKUP(A1261,TRAOPE!$A:$U,21,0),VLOOKUP(B1261,TRAOPE!$A:$U,21,0)),"")</f>
        <v/>
      </c>
      <c r="R1261" s="8">
        <f>IFERROR(IFERROR(VLOOKUP(A1261,TRAOPE!$A:$W,23,0),VLOOKUP(B1261,TRAOPE!$A:$W,23,0)),"")</f>
        <v/>
      </c>
      <c r="S1261" s="10">
        <f>IF(AND(P1261="TN",R1261="TN"),N1261+N(O1261),IF(G1261&amp;""="1",N(K1261)*N1261,(N1261+N(O1261))*N(K1261)))</f>
        <v/>
      </c>
      <c r="T1261" s="10">
        <f>IF(Q1261="","",Q1261-S1261)</f>
        <v/>
      </c>
    </row>
    <row r="1262">
      <c r="A1262" s="7">
        <f>CONCATENATE(C1262,E1262,F1262,I1262)</f>
        <v/>
      </c>
      <c r="B1262" s="7">
        <f>CONCATENATE(C1262,E1262,I1262)</f>
        <v/>
      </c>
      <c r="C1262" s="8" t="n">
        <v>900009292</v>
      </c>
      <c r="D1262" s="7">
        <f>IFERROR(VLOOKUP(C1262,TRAOPE!$G:$H,2,0),"")</f>
        <v/>
      </c>
      <c r="E1262" s="8" t="inlineStr">
        <is>
          <t>DW70</t>
        </is>
      </c>
      <c r="F1262" s="8" t="inlineStr">
        <is>
          <t>D074</t>
        </is>
      </c>
      <c r="G1262" s="8">
        <f>IFERROR(VLOOKUP(A1262,Flete!$A:$E,5,0),"")</f>
        <v/>
      </c>
      <c r="H1262" s="7">
        <f>IFERROR(VLOOKUP(F1262,TRAOPE!$AA:$AB,2,0),"")</f>
        <v/>
      </c>
      <c r="I1262" s="7" t="n">
        <v>10269247</v>
      </c>
      <c r="J1262" s="7">
        <f>IFERROR(VLOOKUP(I1262,Materiales!$A:$H,8,0),"")</f>
        <v/>
      </c>
      <c r="K1262" s="9">
        <f>IFERROR(VLOOKUP(I1262,Materiales!$A:$G,7,0),"")</f>
        <v/>
      </c>
      <c r="L1262" s="8" t="inlineStr">
        <is>
          <t>20250701</t>
        </is>
      </c>
      <c r="M1262" s="8" t="inlineStr">
        <is>
          <t>20251031</t>
        </is>
      </c>
      <c r="N1262" s="10" t="n">
        <v>96.54000000000001</v>
      </c>
      <c r="O1262" s="10">
        <f>IFERROR(VLOOKUP(A1262,Flete!$A:$J,10,0),"")</f>
        <v/>
      </c>
      <c r="P1262" s="8" t="inlineStr">
        <is>
          <t>TN</t>
        </is>
      </c>
      <c r="Q1262" s="10">
        <f>IFERROR(IFERROR(VLOOKUP(A1262,TRAOPE!$A:$U,21,0),VLOOKUP(B1262,TRAOPE!$A:$U,21,0)),"")</f>
        <v/>
      </c>
      <c r="R1262" s="8">
        <f>IFERROR(IFERROR(VLOOKUP(A1262,TRAOPE!$A:$W,23,0),VLOOKUP(B1262,TRAOPE!$A:$W,23,0)),"")</f>
        <v/>
      </c>
      <c r="S1262" s="10">
        <f>IF(AND(P1262="TN",R1262="TN"),N1262+N(O1262),IF(G1262&amp;""="1",N(K1262)*N1262,(N1262+N(O1262))*N(K1262)))</f>
        <v/>
      </c>
      <c r="T1262" s="10">
        <f>IF(Q1262="","",Q1262-S1262)</f>
        <v/>
      </c>
    </row>
    <row r="1263">
      <c r="A1263" s="7">
        <f>CONCATENATE(C1263,E1263,F1263,I1263)</f>
        <v/>
      </c>
      <c r="B1263" s="7">
        <f>CONCATENATE(C1263,E1263,I1263)</f>
        <v/>
      </c>
      <c r="C1263" s="8" t="n">
        <v>900009292</v>
      </c>
      <c r="D1263" s="7">
        <f>IFERROR(VLOOKUP(C1263,TRAOPE!$G:$H,2,0),"")</f>
        <v/>
      </c>
      <c r="E1263" s="8" t="inlineStr">
        <is>
          <t>DW70</t>
        </is>
      </c>
      <c r="F1263" s="8" t="inlineStr">
        <is>
          <t>D075</t>
        </is>
      </c>
      <c r="G1263" s="8">
        <f>IFERROR(VLOOKUP(A1263,Flete!$A:$E,5,0),"")</f>
        <v/>
      </c>
      <c r="H1263" s="7">
        <f>IFERROR(VLOOKUP(F1263,TRAOPE!$AA:$AB,2,0),"")</f>
        <v/>
      </c>
      <c r="I1263" s="7" t="n">
        <v>10000630</v>
      </c>
      <c r="J1263" s="7">
        <f>IFERROR(VLOOKUP(I1263,Materiales!$A:$H,8,0),"")</f>
        <v/>
      </c>
      <c r="K1263" s="9">
        <f>IFERROR(VLOOKUP(I1263,Materiales!$A:$G,7,0),"")</f>
        <v/>
      </c>
      <c r="L1263" s="8" t="inlineStr">
        <is>
          <t>20250701</t>
        </is>
      </c>
      <c r="M1263" s="8" t="inlineStr">
        <is>
          <t>20251031</t>
        </is>
      </c>
      <c r="N1263" s="10" t="n">
        <v>138.27</v>
      </c>
      <c r="O1263" s="10">
        <f>IFERROR(VLOOKUP(A1263,Flete!$A:$J,10,0),"")</f>
        <v/>
      </c>
      <c r="P1263" s="8" t="inlineStr">
        <is>
          <t>TN</t>
        </is>
      </c>
      <c r="Q1263" s="10">
        <f>IFERROR(IFERROR(VLOOKUP(A1263,TRAOPE!$A:$U,21,0),VLOOKUP(B1263,TRAOPE!$A:$U,21,0)),"")</f>
        <v/>
      </c>
      <c r="R1263" s="8">
        <f>IFERROR(IFERROR(VLOOKUP(A1263,TRAOPE!$A:$W,23,0),VLOOKUP(B1263,TRAOPE!$A:$W,23,0)),"")</f>
        <v/>
      </c>
      <c r="S1263" s="10">
        <f>IF(AND(P1263="TN",R1263="TN"),N1263+N(O1263),IF(G1263&amp;""="1",N(K1263)*N1263,(N1263+N(O1263))*N(K1263)))</f>
        <v/>
      </c>
      <c r="T1263" s="10">
        <f>IF(Q1263="","",Q1263-S1263)</f>
        <v/>
      </c>
    </row>
    <row r="1264">
      <c r="A1264" s="7">
        <f>CONCATENATE(C1264,E1264,F1264,I1264)</f>
        <v/>
      </c>
      <c r="B1264" s="7">
        <f>CONCATENATE(C1264,E1264,I1264)</f>
        <v/>
      </c>
      <c r="C1264" s="8" t="n">
        <v>900009292</v>
      </c>
      <c r="D1264" s="7">
        <f>IFERROR(VLOOKUP(C1264,TRAOPE!$G:$H,2,0),"")</f>
        <v/>
      </c>
      <c r="E1264" s="8" t="inlineStr">
        <is>
          <t>DW70</t>
        </is>
      </c>
      <c r="F1264" s="8" t="inlineStr">
        <is>
          <t>D075</t>
        </is>
      </c>
      <c r="G1264" s="8">
        <f>IFERROR(VLOOKUP(A1264,Flete!$A:$E,5,0),"")</f>
        <v/>
      </c>
      <c r="H1264" s="7">
        <f>IFERROR(VLOOKUP(F1264,TRAOPE!$AA:$AB,2,0),"")</f>
        <v/>
      </c>
      <c r="I1264" s="7" t="n">
        <v>10000811</v>
      </c>
      <c r="J1264" s="7">
        <f>IFERROR(VLOOKUP(I1264,Materiales!$A:$H,8,0),"")</f>
        <v/>
      </c>
      <c r="K1264" s="9">
        <f>IFERROR(VLOOKUP(I1264,Materiales!$A:$G,7,0),"")</f>
        <v/>
      </c>
      <c r="L1264" s="8" t="inlineStr">
        <is>
          <t>20260814</t>
        </is>
      </c>
      <c r="M1264" s="8" t="inlineStr">
        <is>
          <t>99991231</t>
        </is>
      </c>
      <c r="N1264" s="10" t="n">
        <v>155.49</v>
      </c>
      <c r="O1264" s="10">
        <f>IFERROR(VLOOKUP(A1264,Flete!$A:$J,10,0),"")</f>
        <v/>
      </c>
      <c r="P1264" s="8" t="inlineStr">
        <is>
          <t>TN</t>
        </is>
      </c>
      <c r="Q1264" s="10">
        <f>IFERROR(IFERROR(VLOOKUP(A1264,TRAOPE!$A:$U,21,0),VLOOKUP(B1264,TRAOPE!$A:$U,21,0)),"")</f>
        <v/>
      </c>
      <c r="R1264" s="8">
        <f>IFERROR(IFERROR(VLOOKUP(A1264,TRAOPE!$A:$W,23,0),VLOOKUP(B1264,TRAOPE!$A:$W,23,0)),"")</f>
        <v/>
      </c>
      <c r="S1264" s="10">
        <f>IF(AND(P1264="TN",R1264="TN"),N1264+N(O1264),IF(G1264&amp;""="1",N(K1264)*N1264,(N1264+N(O1264))*N(K1264)))</f>
        <v/>
      </c>
      <c r="T1264" s="10">
        <f>IF(Q1264="","",Q1264-S1264)</f>
        <v/>
      </c>
    </row>
    <row r="1265">
      <c r="A1265" s="7">
        <f>CONCATENATE(C1265,E1265,F1265,I1265)</f>
        <v/>
      </c>
      <c r="B1265" s="7">
        <f>CONCATENATE(C1265,E1265,I1265)</f>
        <v/>
      </c>
      <c r="C1265" s="8" t="n">
        <v>900009292</v>
      </c>
      <c r="D1265" s="7">
        <f>IFERROR(VLOOKUP(C1265,TRAOPE!$G:$H,2,0),"")</f>
        <v/>
      </c>
      <c r="E1265" s="8" t="inlineStr">
        <is>
          <t>DW70</t>
        </is>
      </c>
      <c r="F1265" s="8" t="inlineStr">
        <is>
          <t>D075</t>
        </is>
      </c>
      <c r="G1265" s="8">
        <f>IFERROR(VLOOKUP(A1265,Flete!$A:$E,5,0),"")</f>
        <v/>
      </c>
      <c r="H1265" s="7">
        <f>IFERROR(VLOOKUP(F1265,TRAOPE!$AA:$AB,2,0),"")</f>
        <v/>
      </c>
      <c r="I1265" s="7" t="n">
        <v>10058345</v>
      </c>
      <c r="J1265" s="7">
        <f>IFERROR(VLOOKUP(I1265,Materiales!$A:$H,8,0),"")</f>
        <v/>
      </c>
      <c r="K1265" s="9">
        <f>IFERROR(VLOOKUP(I1265,Materiales!$A:$G,7,0),"")</f>
        <v/>
      </c>
      <c r="L1265" s="8" t="inlineStr">
        <is>
          <t>20260814</t>
        </is>
      </c>
      <c r="M1265" s="8" t="inlineStr">
        <is>
          <t>99991231</t>
        </is>
      </c>
      <c r="N1265" s="10" t="n">
        <v>95.23999999999999</v>
      </c>
      <c r="O1265" s="10">
        <f>IFERROR(VLOOKUP(A1265,Flete!$A:$J,10,0),"")</f>
        <v/>
      </c>
      <c r="P1265" s="8" t="inlineStr">
        <is>
          <t>TN</t>
        </is>
      </c>
      <c r="Q1265" s="10">
        <f>IFERROR(IFERROR(VLOOKUP(A1265,TRAOPE!$A:$U,21,0),VLOOKUP(B1265,TRAOPE!$A:$U,21,0)),"")</f>
        <v/>
      </c>
      <c r="R1265" s="8">
        <f>IFERROR(IFERROR(VLOOKUP(A1265,TRAOPE!$A:$W,23,0),VLOOKUP(B1265,TRAOPE!$A:$W,23,0)),"")</f>
        <v/>
      </c>
      <c r="S1265" s="10">
        <f>IF(AND(P1265="TN",R1265="TN"),N1265+N(O1265),IF(G1265&amp;""="1",N(K1265)*N1265,(N1265+N(O1265))*N(K1265)))</f>
        <v/>
      </c>
      <c r="T1265" s="10">
        <f>IF(Q1265="","",Q1265-S1265)</f>
        <v/>
      </c>
    </row>
    <row r="1266">
      <c r="A1266" s="7">
        <f>CONCATENATE(C1266,E1266,F1266,I1266)</f>
        <v/>
      </c>
      <c r="B1266" s="7">
        <f>CONCATENATE(C1266,E1266,I1266)</f>
        <v/>
      </c>
      <c r="C1266" s="8" t="n">
        <v>900009292</v>
      </c>
      <c r="D1266" s="7">
        <f>IFERROR(VLOOKUP(C1266,TRAOPE!$G:$H,2,0),"")</f>
        <v/>
      </c>
      <c r="E1266" s="8" t="inlineStr">
        <is>
          <t>DW70</t>
        </is>
      </c>
      <c r="F1266" s="8" t="inlineStr">
        <is>
          <t>D075</t>
        </is>
      </c>
      <c r="G1266" s="8">
        <f>IFERROR(VLOOKUP(A1266,Flete!$A:$E,5,0),"")</f>
        <v/>
      </c>
      <c r="H1266" s="7">
        <f>IFERROR(VLOOKUP(F1266,TRAOPE!$AA:$AB,2,0),"")</f>
        <v/>
      </c>
      <c r="I1266" s="7" t="n">
        <v>10269245</v>
      </c>
      <c r="J1266" s="7">
        <f>IFERROR(VLOOKUP(I1266,Materiales!$A:$H,8,0),"")</f>
        <v/>
      </c>
      <c r="K1266" s="9">
        <f>IFERROR(VLOOKUP(I1266,Materiales!$A:$G,7,0),"")</f>
        <v/>
      </c>
      <c r="L1266" s="8" t="inlineStr">
        <is>
          <t>20250701</t>
        </is>
      </c>
      <c r="M1266" s="8" t="inlineStr">
        <is>
          <t>20251031</t>
        </is>
      </c>
      <c r="N1266" s="10" t="n">
        <v>141.61</v>
      </c>
      <c r="O1266" s="10">
        <f>IFERROR(VLOOKUP(A1266,Flete!$A:$J,10,0),"")</f>
        <v/>
      </c>
      <c r="P1266" s="8" t="inlineStr">
        <is>
          <t>TN</t>
        </is>
      </c>
      <c r="Q1266" s="10">
        <f>IFERROR(IFERROR(VLOOKUP(A1266,TRAOPE!$A:$U,21,0),VLOOKUP(B1266,TRAOPE!$A:$U,21,0)),"")</f>
        <v/>
      </c>
      <c r="R1266" s="8">
        <f>IFERROR(IFERROR(VLOOKUP(A1266,TRAOPE!$A:$W,23,0),VLOOKUP(B1266,TRAOPE!$A:$W,23,0)),"")</f>
        <v/>
      </c>
      <c r="S1266" s="10">
        <f>IF(AND(P1266="TN",R1266="TN"),N1266+N(O1266),IF(G1266&amp;""="1",N(K1266)*N1266,(N1266+N(O1266))*N(K1266)))</f>
        <v/>
      </c>
      <c r="T1266" s="10">
        <f>IF(Q1266="","",Q1266-S1266)</f>
        <v/>
      </c>
    </row>
    <row r="1267">
      <c r="A1267" s="7">
        <f>CONCATENATE(C1267,E1267,F1267,I1267)</f>
        <v/>
      </c>
      <c r="B1267" s="7">
        <f>CONCATENATE(C1267,E1267,I1267)</f>
        <v/>
      </c>
      <c r="C1267" s="8" t="n">
        <v>900009292</v>
      </c>
      <c r="D1267" s="7">
        <f>IFERROR(VLOOKUP(C1267,TRAOPE!$G:$H,2,0),"")</f>
        <v/>
      </c>
      <c r="E1267" s="8" t="inlineStr">
        <is>
          <t>DW70</t>
        </is>
      </c>
      <c r="F1267" s="8" t="inlineStr">
        <is>
          <t>D075</t>
        </is>
      </c>
      <c r="G1267" s="8">
        <f>IFERROR(VLOOKUP(A1267,Flete!$A:$E,5,0),"")</f>
        <v/>
      </c>
      <c r="H1267" s="7">
        <f>IFERROR(VLOOKUP(F1267,TRAOPE!$AA:$AB,2,0),"")</f>
        <v/>
      </c>
      <c r="I1267" s="7" t="n">
        <v>10269246</v>
      </c>
      <c r="J1267" s="7">
        <f>IFERROR(VLOOKUP(I1267,Materiales!$A:$H,8,0),"")</f>
        <v/>
      </c>
      <c r="K1267" s="9">
        <f>IFERROR(VLOOKUP(I1267,Materiales!$A:$G,7,0),"")</f>
        <v/>
      </c>
      <c r="L1267" s="8" t="inlineStr">
        <is>
          <t>20250701</t>
        </is>
      </c>
      <c r="M1267" s="8" t="inlineStr">
        <is>
          <t>20251031</t>
        </is>
      </c>
      <c r="N1267" s="10" t="n">
        <v>138.27</v>
      </c>
      <c r="O1267" s="10">
        <f>IFERROR(VLOOKUP(A1267,Flete!$A:$J,10,0),"")</f>
        <v/>
      </c>
      <c r="P1267" s="8" t="inlineStr">
        <is>
          <t>TN</t>
        </is>
      </c>
      <c r="Q1267" s="10">
        <f>IFERROR(IFERROR(VLOOKUP(A1267,TRAOPE!$A:$U,21,0),VLOOKUP(B1267,TRAOPE!$A:$U,21,0)),"")</f>
        <v/>
      </c>
      <c r="R1267" s="8">
        <f>IFERROR(IFERROR(VLOOKUP(A1267,TRAOPE!$A:$W,23,0),VLOOKUP(B1267,TRAOPE!$A:$W,23,0)),"")</f>
        <v/>
      </c>
      <c r="S1267" s="10">
        <f>IF(AND(P1267="TN",R1267="TN"),N1267+N(O1267),IF(G1267&amp;""="1",N(K1267)*N1267,(N1267+N(O1267))*N(K1267)))</f>
        <v/>
      </c>
      <c r="T1267" s="10">
        <f>IF(Q1267="","",Q1267-S1267)</f>
        <v/>
      </c>
    </row>
    <row r="1268">
      <c r="A1268" s="7">
        <f>CONCATENATE(C1268,E1268,F1268,I1268)</f>
        <v/>
      </c>
      <c r="B1268" s="7">
        <f>CONCATENATE(C1268,E1268,I1268)</f>
        <v/>
      </c>
      <c r="C1268" s="8" t="n">
        <v>900009292</v>
      </c>
      <c r="D1268" s="7">
        <f>IFERROR(VLOOKUP(C1268,TRAOPE!$G:$H,2,0),"")</f>
        <v/>
      </c>
      <c r="E1268" s="8" t="inlineStr">
        <is>
          <t>DW70</t>
        </is>
      </c>
      <c r="F1268" s="8" t="inlineStr">
        <is>
          <t>D075</t>
        </is>
      </c>
      <c r="G1268" s="8">
        <f>IFERROR(VLOOKUP(A1268,Flete!$A:$E,5,0),"")</f>
        <v/>
      </c>
      <c r="H1268" s="7">
        <f>IFERROR(VLOOKUP(F1268,TRAOPE!$AA:$AB,2,0),"")</f>
        <v/>
      </c>
      <c r="I1268" s="7" t="n">
        <v>10269247</v>
      </c>
      <c r="J1268" s="7">
        <f>IFERROR(VLOOKUP(I1268,Materiales!$A:$H,8,0),"")</f>
        <v/>
      </c>
      <c r="K1268" s="9">
        <f>IFERROR(VLOOKUP(I1268,Materiales!$A:$G,7,0),"")</f>
        <v/>
      </c>
      <c r="L1268" s="8" t="inlineStr">
        <is>
          <t>20250701</t>
        </is>
      </c>
      <c r="M1268" s="8" t="inlineStr">
        <is>
          <t>20251031</t>
        </is>
      </c>
      <c r="N1268" s="10" t="n">
        <v>96.54000000000001</v>
      </c>
      <c r="O1268" s="10">
        <f>IFERROR(VLOOKUP(A1268,Flete!$A:$J,10,0),"")</f>
        <v/>
      </c>
      <c r="P1268" s="8" t="inlineStr">
        <is>
          <t>TN</t>
        </is>
      </c>
      <c r="Q1268" s="10">
        <f>IFERROR(IFERROR(VLOOKUP(A1268,TRAOPE!$A:$U,21,0),VLOOKUP(B1268,TRAOPE!$A:$U,21,0)),"")</f>
        <v/>
      </c>
      <c r="R1268" s="8">
        <f>IFERROR(IFERROR(VLOOKUP(A1268,TRAOPE!$A:$W,23,0),VLOOKUP(B1268,TRAOPE!$A:$W,23,0)),"")</f>
        <v/>
      </c>
      <c r="S1268" s="10">
        <f>IF(AND(P1268="TN",R1268="TN"),N1268+N(O1268),IF(G1268&amp;""="1",N(K1268)*N1268,(N1268+N(O1268))*N(K1268)))</f>
        <v/>
      </c>
      <c r="T1268" s="10">
        <f>IF(Q1268="","",Q1268-S1268)</f>
        <v/>
      </c>
    </row>
    <row r="1269">
      <c r="A1269" s="7">
        <f>CONCATENATE(C1269,E1269,F1269,I1269)</f>
        <v/>
      </c>
      <c r="B1269" s="7">
        <f>CONCATENATE(C1269,E1269,I1269)</f>
        <v/>
      </c>
      <c r="C1269" s="8" t="n">
        <v>900009292</v>
      </c>
      <c r="D1269" s="7">
        <f>IFERROR(VLOOKUP(C1269,TRAOPE!$G:$H,2,0),"")</f>
        <v/>
      </c>
      <c r="E1269" s="8" t="inlineStr">
        <is>
          <t>DW70</t>
        </is>
      </c>
      <c r="F1269" s="8" t="inlineStr">
        <is>
          <t>D077</t>
        </is>
      </c>
      <c r="G1269" s="8">
        <f>IFERROR(VLOOKUP(A1269,Flete!$A:$E,5,0),"")</f>
        <v/>
      </c>
      <c r="H1269" s="7">
        <f>IFERROR(VLOOKUP(F1269,TRAOPE!$AA:$AB,2,0),"")</f>
        <v/>
      </c>
      <c r="I1269" s="7" t="n">
        <v>10000630</v>
      </c>
      <c r="J1269" s="7">
        <f>IFERROR(VLOOKUP(I1269,Materiales!$A:$H,8,0),"")</f>
        <v/>
      </c>
      <c r="K1269" s="9">
        <f>IFERROR(VLOOKUP(I1269,Materiales!$A:$G,7,0),"")</f>
        <v/>
      </c>
      <c r="L1269" s="8" t="inlineStr">
        <is>
          <t>20250701</t>
        </is>
      </c>
      <c r="M1269" s="8" t="inlineStr">
        <is>
          <t>20251031</t>
        </is>
      </c>
      <c r="N1269" s="10" t="n">
        <v>138.27</v>
      </c>
      <c r="O1269" s="10">
        <f>IFERROR(VLOOKUP(A1269,Flete!$A:$J,10,0),"")</f>
        <v/>
      </c>
      <c r="P1269" s="8" t="inlineStr">
        <is>
          <t>TN</t>
        </is>
      </c>
      <c r="Q1269" s="10">
        <f>IFERROR(IFERROR(VLOOKUP(A1269,TRAOPE!$A:$U,21,0),VLOOKUP(B1269,TRAOPE!$A:$U,21,0)),"")</f>
        <v/>
      </c>
      <c r="R1269" s="8">
        <f>IFERROR(IFERROR(VLOOKUP(A1269,TRAOPE!$A:$W,23,0),VLOOKUP(B1269,TRAOPE!$A:$W,23,0)),"")</f>
        <v/>
      </c>
      <c r="S1269" s="10">
        <f>IF(AND(P1269="TN",R1269="TN"),N1269+N(O1269),IF(G1269&amp;""="1",N(K1269)*N1269,(N1269+N(O1269))*N(K1269)))</f>
        <v/>
      </c>
      <c r="T1269" s="10">
        <f>IF(Q1269="","",Q1269-S1269)</f>
        <v/>
      </c>
    </row>
    <row r="1270">
      <c r="A1270" s="7">
        <f>CONCATENATE(C1270,E1270,F1270,I1270)</f>
        <v/>
      </c>
      <c r="B1270" s="7">
        <f>CONCATENATE(C1270,E1270,I1270)</f>
        <v/>
      </c>
      <c r="C1270" s="8" t="n">
        <v>900009292</v>
      </c>
      <c r="D1270" s="7">
        <f>IFERROR(VLOOKUP(C1270,TRAOPE!$G:$H,2,0),"")</f>
        <v/>
      </c>
      <c r="E1270" s="8" t="inlineStr">
        <is>
          <t>DW70</t>
        </is>
      </c>
      <c r="F1270" s="8" t="inlineStr">
        <is>
          <t>D077</t>
        </is>
      </c>
      <c r="G1270" s="8">
        <f>IFERROR(VLOOKUP(A1270,Flete!$A:$E,5,0),"")</f>
        <v/>
      </c>
      <c r="H1270" s="7">
        <f>IFERROR(VLOOKUP(F1270,TRAOPE!$AA:$AB,2,0),"")</f>
        <v/>
      </c>
      <c r="I1270" s="7" t="n">
        <v>10000811</v>
      </c>
      <c r="J1270" s="7">
        <f>IFERROR(VLOOKUP(I1270,Materiales!$A:$H,8,0),"")</f>
        <v/>
      </c>
      <c r="K1270" s="9">
        <f>IFERROR(VLOOKUP(I1270,Materiales!$A:$G,7,0),"")</f>
        <v/>
      </c>
      <c r="L1270" s="8" t="inlineStr">
        <is>
          <t>20260814</t>
        </is>
      </c>
      <c r="M1270" s="8" t="inlineStr">
        <is>
          <t>99991231</t>
        </is>
      </c>
      <c r="N1270" s="10" t="n">
        <v>155.49</v>
      </c>
      <c r="O1270" s="10">
        <f>IFERROR(VLOOKUP(A1270,Flete!$A:$J,10,0),"")</f>
        <v/>
      </c>
      <c r="P1270" s="8" t="inlineStr">
        <is>
          <t>TN</t>
        </is>
      </c>
      <c r="Q1270" s="10">
        <f>IFERROR(IFERROR(VLOOKUP(A1270,TRAOPE!$A:$U,21,0),VLOOKUP(B1270,TRAOPE!$A:$U,21,0)),"")</f>
        <v/>
      </c>
      <c r="R1270" s="8">
        <f>IFERROR(IFERROR(VLOOKUP(A1270,TRAOPE!$A:$W,23,0),VLOOKUP(B1270,TRAOPE!$A:$W,23,0)),"")</f>
        <v/>
      </c>
      <c r="S1270" s="10">
        <f>IF(AND(P1270="TN",R1270="TN"),N1270+N(O1270),IF(G1270&amp;""="1",N(K1270)*N1270,(N1270+N(O1270))*N(K1270)))</f>
        <v/>
      </c>
      <c r="T1270" s="10">
        <f>IF(Q1270="","",Q1270-S1270)</f>
        <v/>
      </c>
    </row>
    <row r="1271">
      <c r="A1271" s="7">
        <f>CONCATENATE(C1271,E1271,F1271,I1271)</f>
        <v/>
      </c>
      <c r="B1271" s="7">
        <f>CONCATENATE(C1271,E1271,I1271)</f>
        <v/>
      </c>
      <c r="C1271" s="8" t="n">
        <v>900009292</v>
      </c>
      <c r="D1271" s="7">
        <f>IFERROR(VLOOKUP(C1271,TRAOPE!$G:$H,2,0),"")</f>
        <v/>
      </c>
      <c r="E1271" s="8" t="inlineStr">
        <is>
          <t>DW70</t>
        </is>
      </c>
      <c r="F1271" s="8" t="inlineStr">
        <is>
          <t>D077</t>
        </is>
      </c>
      <c r="G1271" s="8">
        <f>IFERROR(VLOOKUP(A1271,Flete!$A:$E,5,0),"")</f>
        <v/>
      </c>
      <c r="H1271" s="7">
        <f>IFERROR(VLOOKUP(F1271,TRAOPE!$AA:$AB,2,0),"")</f>
        <v/>
      </c>
      <c r="I1271" s="7" t="n">
        <v>10058345</v>
      </c>
      <c r="J1271" s="7">
        <f>IFERROR(VLOOKUP(I1271,Materiales!$A:$H,8,0),"")</f>
        <v/>
      </c>
      <c r="K1271" s="9">
        <f>IFERROR(VLOOKUP(I1271,Materiales!$A:$G,7,0),"")</f>
        <v/>
      </c>
      <c r="L1271" s="8" t="inlineStr">
        <is>
          <t>20260814</t>
        </is>
      </c>
      <c r="M1271" s="8" t="inlineStr">
        <is>
          <t>99991231</t>
        </is>
      </c>
      <c r="N1271" s="10" t="n">
        <v>95.23999999999999</v>
      </c>
      <c r="O1271" s="10">
        <f>IFERROR(VLOOKUP(A1271,Flete!$A:$J,10,0),"")</f>
        <v/>
      </c>
      <c r="P1271" s="8" t="inlineStr">
        <is>
          <t>TN</t>
        </is>
      </c>
      <c r="Q1271" s="10">
        <f>IFERROR(IFERROR(VLOOKUP(A1271,TRAOPE!$A:$U,21,0),VLOOKUP(B1271,TRAOPE!$A:$U,21,0)),"")</f>
        <v/>
      </c>
      <c r="R1271" s="8">
        <f>IFERROR(IFERROR(VLOOKUP(A1271,TRAOPE!$A:$W,23,0),VLOOKUP(B1271,TRAOPE!$A:$W,23,0)),"")</f>
        <v/>
      </c>
      <c r="S1271" s="10">
        <f>IF(AND(P1271="TN",R1271="TN"),N1271+N(O1271),IF(G1271&amp;""="1",N(K1271)*N1271,(N1271+N(O1271))*N(K1271)))</f>
        <v/>
      </c>
      <c r="T1271" s="10">
        <f>IF(Q1271="","",Q1271-S1271)</f>
        <v/>
      </c>
    </row>
    <row r="1272">
      <c r="A1272" s="7">
        <f>CONCATENATE(C1272,E1272,F1272,I1272)</f>
        <v/>
      </c>
      <c r="B1272" s="7">
        <f>CONCATENATE(C1272,E1272,I1272)</f>
        <v/>
      </c>
      <c r="C1272" s="8" t="n">
        <v>900009292</v>
      </c>
      <c r="D1272" s="7">
        <f>IFERROR(VLOOKUP(C1272,TRAOPE!$G:$H,2,0),"")</f>
        <v/>
      </c>
      <c r="E1272" s="8" t="inlineStr">
        <is>
          <t>DW70</t>
        </is>
      </c>
      <c r="F1272" s="8" t="inlineStr">
        <is>
          <t>D077</t>
        </is>
      </c>
      <c r="G1272" s="8">
        <f>IFERROR(VLOOKUP(A1272,Flete!$A:$E,5,0),"")</f>
        <v/>
      </c>
      <c r="H1272" s="7">
        <f>IFERROR(VLOOKUP(F1272,TRAOPE!$AA:$AB,2,0),"")</f>
        <v/>
      </c>
      <c r="I1272" s="7" t="n">
        <v>10269245</v>
      </c>
      <c r="J1272" s="7">
        <f>IFERROR(VLOOKUP(I1272,Materiales!$A:$H,8,0),"")</f>
        <v/>
      </c>
      <c r="K1272" s="9">
        <f>IFERROR(VLOOKUP(I1272,Materiales!$A:$G,7,0),"")</f>
        <v/>
      </c>
      <c r="L1272" s="8" t="inlineStr">
        <is>
          <t>20250701</t>
        </is>
      </c>
      <c r="M1272" s="8" t="inlineStr">
        <is>
          <t>20251031</t>
        </is>
      </c>
      <c r="N1272" s="10" t="n">
        <v>141.61</v>
      </c>
      <c r="O1272" s="10">
        <f>IFERROR(VLOOKUP(A1272,Flete!$A:$J,10,0),"")</f>
        <v/>
      </c>
      <c r="P1272" s="8" t="inlineStr">
        <is>
          <t>TN</t>
        </is>
      </c>
      <c r="Q1272" s="10">
        <f>IFERROR(IFERROR(VLOOKUP(A1272,TRAOPE!$A:$U,21,0),VLOOKUP(B1272,TRAOPE!$A:$U,21,0)),"")</f>
        <v/>
      </c>
      <c r="R1272" s="8">
        <f>IFERROR(IFERROR(VLOOKUP(A1272,TRAOPE!$A:$W,23,0),VLOOKUP(B1272,TRAOPE!$A:$W,23,0)),"")</f>
        <v/>
      </c>
      <c r="S1272" s="10">
        <f>IF(AND(P1272="TN",R1272="TN"),N1272+N(O1272),IF(G1272&amp;""="1",N(K1272)*N1272,(N1272+N(O1272))*N(K1272)))</f>
        <v/>
      </c>
      <c r="T1272" s="10">
        <f>IF(Q1272="","",Q1272-S1272)</f>
        <v/>
      </c>
    </row>
    <row r="1273">
      <c r="A1273" s="7">
        <f>CONCATENATE(C1273,E1273,F1273,I1273)</f>
        <v/>
      </c>
      <c r="B1273" s="7">
        <f>CONCATENATE(C1273,E1273,I1273)</f>
        <v/>
      </c>
      <c r="C1273" s="8" t="n">
        <v>900009292</v>
      </c>
      <c r="D1273" s="7">
        <f>IFERROR(VLOOKUP(C1273,TRAOPE!$G:$H,2,0),"")</f>
        <v/>
      </c>
      <c r="E1273" s="8" t="inlineStr">
        <is>
          <t>DW70</t>
        </is>
      </c>
      <c r="F1273" s="8" t="inlineStr">
        <is>
          <t>D077</t>
        </is>
      </c>
      <c r="G1273" s="8">
        <f>IFERROR(VLOOKUP(A1273,Flete!$A:$E,5,0),"")</f>
        <v/>
      </c>
      <c r="H1273" s="7">
        <f>IFERROR(VLOOKUP(F1273,TRAOPE!$AA:$AB,2,0),"")</f>
        <v/>
      </c>
      <c r="I1273" s="7" t="n">
        <v>10269246</v>
      </c>
      <c r="J1273" s="7">
        <f>IFERROR(VLOOKUP(I1273,Materiales!$A:$H,8,0),"")</f>
        <v/>
      </c>
      <c r="K1273" s="9">
        <f>IFERROR(VLOOKUP(I1273,Materiales!$A:$G,7,0),"")</f>
        <v/>
      </c>
      <c r="L1273" s="8" t="inlineStr">
        <is>
          <t>20250701</t>
        </is>
      </c>
      <c r="M1273" s="8" t="inlineStr">
        <is>
          <t>20251031</t>
        </is>
      </c>
      <c r="N1273" s="10" t="n">
        <v>138.27</v>
      </c>
      <c r="O1273" s="10">
        <f>IFERROR(VLOOKUP(A1273,Flete!$A:$J,10,0),"")</f>
        <v/>
      </c>
      <c r="P1273" s="8" t="inlineStr">
        <is>
          <t>TN</t>
        </is>
      </c>
      <c r="Q1273" s="10">
        <f>IFERROR(IFERROR(VLOOKUP(A1273,TRAOPE!$A:$U,21,0),VLOOKUP(B1273,TRAOPE!$A:$U,21,0)),"")</f>
        <v/>
      </c>
      <c r="R1273" s="8">
        <f>IFERROR(IFERROR(VLOOKUP(A1273,TRAOPE!$A:$W,23,0),VLOOKUP(B1273,TRAOPE!$A:$W,23,0)),"")</f>
        <v/>
      </c>
      <c r="S1273" s="10">
        <f>IF(AND(P1273="TN",R1273="TN"),N1273+N(O1273),IF(G1273&amp;""="1",N(K1273)*N1273,(N1273+N(O1273))*N(K1273)))</f>
        <v/>
      </c>
      <c r="T1273" s="10">
        <f>IF(Q1273="","",Q1273-S1273)</f>
        <v/>
      </c>
    </row>
    <row r="1274">
      <c r="A1274" s="7">
        <f>CONCATENATE(C1274,E1274,F1274,I1274)</f>
        <v/>
      </c>
      <c r="B1274" s="7">
        <f>CONCATENATE(C1274,E1274,I1274)</f>
        <v/>
      </c>
      <c r="C1274" s="8" t="n">
        <v>900009292</v>
      </c>
      <c r="D1274" s="7">
        <f>IFERROR(VLOOKUP(C1274,TRAOPE!$G:$H,2,0),"")</f>
        <v/>
      </c>
      <c r="E1274" s="8" t="inlineStr">
        <is>
          <t>DW70</t>
        </is>
      </c>
      <c r="F1274" s="8" t="inlineStr">
        <is>
          <t>D077</t>
        </is>
      </c>
      <c r="G1274" s="8">
        <f>IFERROR(VLOOKUP(A1274,Flete!$A:$E,5,0),"")</f>
        <v/>
      </c>
      <c r="H1274" s="7">
        <f>IFERROR(VLOOKUP(F1274,TRAOPE!$AA:$AB,2,0),"")</f>
        <v/>
      </c>
      <c r="I1274" s="7" t="n">
        <v>10269247</v>
      </c>
      <c r="J1274" s="7">
        <f>IFERROR(VLOOKUP(I1274,Materiales!$A:$H,8,0),"")</f>
        <v/>
      </c>
      <c r="K1274" s="9">
        <f>IFERROR(VLOOKUP(I1274,Materiales!$A:$G,7,0),"")</f>
        <v/>
      </c>
      <c r="L1274" s="8" t="inlineStr">
        <is>
          <t>20250701</t>
        </is>
      </c>
      <c r="M1274" s="8" t="inlineStr">
        <is>
          <t>20251031</t>
        </is>
      </c>
      <c r="N1274" s="10" t="n">
        <v>96.54000000000001</v>
      </c>
      <c r="O1274" s="10">
        <f>IFERROR(VLOOKUP(A1274,Flete!$A:$J,10,0),"")</f>
        <v/>
      </c>
      <c r="P1274" s="8" t="inlineStr">
        <is>
          <t>TN</t>
        </is>
      </c>
      <c r="Q1274" s="10">
        <f>IFERROR(IFERROR(VLOOKUP(A1274,TRAOPE!$A:$U,21,0),VLOOKUP(B1274,TRAOPE!$A:$U,21,0)),"")</f>
        <v/>
      </c>
      <c r="R1274" s="8">
        <f>IFERROR(IFERROR(VLOOKUP(A1274,TRAOPE!$A:$W,23,0),VLOOKUP(B1274,TRAOPE!$A:$W,23,0)),"")</f>
        <v/>
      </c>
      <c r="S1274" s="10">
        <f>IF(AND(P1274="TN",R1274="TN"),N1274+N(O1274),IF(G1274&amp;""="1",N(K1274)*N1274,(N1274+N(O1274))*N(K1274)))</f>
        <v/>
      </c>
      <c r="T1274" s="10">
        <f>IF(Q1274="","",Q1274-S1274)</f>
        <v/>
      </c>
    </row>
    <row r="1275">
      <c r="A1275" s="7">
        <f>CONCATENATE(C1275,E1275,F1275,I1275)</f>
        <v/>
      </c>
      <c r="B1275" s="7">
        <f>CONCATENATE(C1275,E1275,I1275)</f>
        <v/>
      </c>
      <c r="C1275" s="8" t="n">
        <v>900009292</v>
      </c>
      <c r="D1275" s="7">
        <f>IFERROR(VLOOKUP(C1275,TRAOPE!$G:$H,2,0),"")</f>
        <v/>
      </c>
      <c r="E1275" s="8" t="inlineStr">
        <is>
          <t>DW70</t>
        </is>
      </c>
      <c r="F1275" s="8" t="inlineStr">
        <is>
          <t>D079</t>
        </is>
      </c>
      <c r="G1275" s="8">
        <f>IFERROR(VLOOKUP(A1275,Flete!$A:$E,5,0),"")</f>
        <v/>
      </c>
      <c r="H1275" s="7">
        <f>IFERROR(VLOOKUP(F1275,TRAOPE!$AA:$AB,2,0),"")</f>
        <v/>
      </c>
      <c r="I1275" s="7" t="n">
        <v>10000630</v>
      </c>
      <c r="J1275" s="7">
        <f>IFERROR(VLOOKUP(I1275,Materiales!$A:$H,8,0),"")</f>
        <v/>
      </c>
      <c r="K1275" s="9">
        <f>IFERROR(VLOOKUP(I1275,Materiales!$A:$G,7,0),"")</f>
        <v/>
      </c>
      <c r="L1275" s="8" t="inlineStr">
        <is>
          <t>20250701</t>
        </is>
      </c>
      <c r="M1275" s="8" t="inlineStr">
        <is>
          <t>20251031</t>
        </is>
      </c>
      <c r="N1275" s="10" t="n">
        <v>138.27</v>
      </c>
      <c r="O1275" s="10">
        <f>IFERROR(VLOOKUP(A1275,Flete!$A:$J,10,0),"")</f>
        <v/>
      </c>
      <c r="P1275" s="8" t="inlineStr">
        <is>
          <t>TN</t>
        </is>
      </c>
      <c r="Q1275" s="10">
        <f>IFERROR(IFERROR(VLOOKUP(A1275,TRAOPE!$A:$U,21,0),VLOOKUP(B1275,TRAOPE!$A:$U,21,0)),"")</f>
        <v/>
      </c>
      <c r="R1275" s="8">
        <f>IFERROR(IFERROR(VLOOKUP(A1275,TRAOPE!$A:$W,23,0),VLOOKUP(B1275,TRAOPE!$A:$W,23,0)),"")</f>
        <v/>
      </c>
      <c r="S1275" s="10">
        <f>IF(AND(P1275="TN",R1275="TN"),N1275+N(O1275),IF(G1275&amp;""="1",N(K1275)*N1275,(N1275+N(O1275))*N(K1275)))</f>
        <v/>
      </c>
      <c r="T1275" s="10">
        <f>IF(Q1275="","",Q1275-S1275)</f>
        <v/>
      </c>
    </row>
    <row r="1276">
      <c r="A1276" s="7">
        <f>CONCATENATE(C1276,E1276,F1276,I1276)</f>
        <v/>
      </c>
      <c r="B1276" s="7">
        <f>CONCATENATE(C1276,E1276,I1276)</f>
        <v/>
      </c>
      <c r="C1276" s="8" t="n">
        <v>900009292</v>
      </c>
      <c r="D1276" s="7">
        <f>IFERROR(VLOOKUP(C1276,TRAOPE!$G:$H,2,0),"")</f>
        <v/>
      </c>
      <c r="E1276" s="8" t="inlineStr">
        <is>
          <t>DW70</t>
        </is>
      </c>
      <c r="F1276" s="8" t="inlineStr">
        <is>
          <t>D079</t>
        </is>
      </c>
      <c r="G1276" s="8">
        <f>IFERROR(VLOOKUP(A1276,Flete!$A:$E,5,0),"")</f>
        <v/>
      </c>
      <c r="H1276" s="7">
        <f>IFERROR(VLOOKUP(F1276,TRAOPE!$AA:$AB,2,0),"")</f>
        <v/>
      </c>
      <c r="I1276" s="7" t="n">
        <v>10000811</v>
      </c>
      <c r="J1276" s="7">
        <f>IFERROR(VLOOKUP(I1276,Materiales!$A:$H,8,0),"")</f>
        <v/>
      </c>
      <c r="K1276" s="9">
        <f>IFERROR(VLOOKUP(I1276,Materiales!$A:$G,7,0),"")</f>
        <v/>
      </c>
      <c r="L1276" s="8" t="inlineStr">
        <is>
          <t>20260814</t>
        </is>
      </c>
      <c r="M1276" s="8" t="inlineStr">
        <is>
          <t>99991231</t>
        </is>
      </c>
      <c r="N1276" s="10" t="n">
        <v>155.49</v>
      </c>
      <c r="O1276" s="10">
        <f>IFERROR(VLOOKUP(A1276,Flete!$A:$J,10,0),"")</f>
        <v/>
      </c>
      <c r="P1276" s="8" t="inlineStr">
        <is>
          <t>TN</t>
        </is>
      </c>
      <c r="Q1276" s="10">
        <f>IFERROR(IFERROR(VLOOKUP(A1276,TRAOPE!$A:$U,21,0),VLOOKUP(B1276,TRAOPE!$A:$U,21,0)),"")</f>
        <v/>
      </c>
      <c r="R1276" s="8">
        <f>IFERROR(IFERROR(VLOOKUP(A1276,TRAOPE!$A:$W,23,0),VLOOKUP(B1276,TRAOPE!$A:$W,23,0)),"")</f>
        <v/>
      </c>
      <c r="S1276" s="10">
        <f>IF(AND(P1276="TN",R1276="TN"),N1276+N(O1276),IF(G1276&amp;""="1",N(K1276)*N1276,(N1276+N(O1276))*N(K1276)))</f>
        <v/>
      </c>
      <c r="T1276" s="10">
        <f>IF(Q1276="","",Q1276-S1276)</f>
        <v/>
      </c>
    </row>
    <row r="1277">
      <c r="A1277" s="7">
        <f>CONCATENATE(C1277,E1277,F1277,I1277)</f>
        <v/>
      </c>
      <c r="B1277" s="7">
        <f>CONCATENATE(C1277,E1277,I1277)</f>
        <v/>
      </c>
      <c r="C1277" s="8" t="n">
        <v>900009292</v>
      </c>
      <c r="D1277" s="7">
        <f>IFERROR(VLOOKUP(C1277,TRAOPE!$G:$H,2,0),"")</f>
        <v/>
      </c>
      <c r="E1277" s="8" t="inlineStr">
        <is>
          <t>DW70</t>
        </is>
      </c>
      <c r="F1277" s="8" t="inlineStr">
        <is>
          <t>D079</t>
        </is>
      </c>
      <c r="G1277" s="8">
        <f>IFERROR(VLOOKUP(A1277,Flete!$A:$E,5,0),"")</f>
        <v/>
      </c>
      <c r="H1277" s="7">
        <f>IFERROR(VLOOKUP(F1277,TRAOPE!$AA:$AB,2,0),"")</f>
        <v/>
      </c>
      <c r="I1277" s="7" t="n">
        <v>10058345</v>
      </c>
      <c r="J1277" s="7">
        <f>IFERROR(VLOOKUP(I1277,Materiales!$A:$H,8,0),"")</f>
        <v/>
      </c>
      <c r="K1277" s="9">
        <f>IFERROR(VLOOKUP(I1277,Materiales!$A:$G,7,0),"")</f>
        <v/>
      </c>
      <c r="L1277" s="8" t="inlineStr">
        <is>
          <t>20260814</t>
        </is>
      </c>
      <c r="M1277" s="8" t="inlineStr">
        <is>
          <t>99991231</t>
        </is>
      </c>
      <c r="N1277" s="10" t="n">
        <v>95.23999999999999</v>
      </c>
      <c r="O1277" s="10">
        <f>IFERROR(VLOOKUP(A1277,Flete!$A:$J,10,0),"")</f>
        <v/>
      </c>
      <c r="P1277" s="8" t="inlineStr">
        <is>
          <t>TN</t>
        </is>
      </c>
      <c r="Q1277" s="10">
        <f>IFERROR(IFERROR(VLOOKUP(A1277,TRAOPE!$A:$U,21,0),VLOOKUP(B1277,TRAOPE!$A:$U,21,0)),"")</f>
        <v/>
      </c>
      <c r="R1277" s="8">
        <f>IFERROR(IFERROR(VLOOKUP(A1277,TRAOPE!$A:$W,23,0),VLOOKUP(B1277,TRAOPE!$A:$W,23,0)),"")</f>
        <v/>
      </c>
      <c r="S1277" s="10">
        <f>IF(AND(P1277="TN",R1277="TN"),N1277+N(O1277),IF(G1277&amp;""="1",N(K1277)*N1277,(N1277+N(O1277))*N(K1277)))</f>
        <v/>
      </c>
      <c r="T1277" s="10">
        <f>IF(Q1277="","",Q1277-S1277)</f>
        <v/>
      </c>
    </row>
    <row r="1278">
      <c r="A1278" s="7">
        <f>CONCATENATE(C1278,E1278,F1278,I1278)</f>
        <v/>
      </c>
      <c r="B1278" s="7">
        <f>CONCATENATE(C1278,E1278,I1278)</f>
        <v/>
      </c>
      <c r="C1278" s="8" t="n">
        <v>900009292</v>
      </c>
      <c r="D1278" s="7">
        <f>IFERROR(VLOOKUP(C1278,TRAOPE!$G:$H,2,0),"")</f>
        <v/>
      </c>
      <c r="E1278" s="8" t="inlineStr">
        <is>
          <t>DW70</t>
        </is>
      </c>
      <c r="F1278" s="8" t="inlineStr">
        <is>
          <t>D079</t>
        </is>
      </c>
      <c r="G1278" s="8">
        <f>IFERROR(VLOOKUP(A1278,Flete!$A:$E,5,0),"")</f>
        <v/>
      </c>
      <c r="H1278" s="7">
        <f>IFERROR(VLOOKUP(F1278,TRAOPE!$AA:$AB,2,0),"")</f>
        <v/>
      </c>
      <c r="I1278" s="7" t="n">
        <v>10269245</v>
      </c>
      <c r="J1278" s="7">
        <f>IFERROR(VLOOKUP(I1278,Materiales!$A:$H,8,0),"")</f>
        <v/>
      </c>
      <c r="K1278" s="9">
        <f>IFERROR(VLOOKUP(I1278,Materiales!$A:$G,7,0),"")</f>
        <v/>
      </c>
      <c r="L1278" s="8" t="inlineStr">
        <is>
          <t>20250701</t>
        </is>
      </c>
      <c r="M1278" s="8" t="inlineStr">
        <is>
          <t>20251031</t>
        </is>
      </c>
      <c r="N1278" s="10" t="n">
        <v>141.61</v>
      </c>
      <c r="O1278" s="10">
        <f>IFERROR(VLOOKUP(A1278,Flete!$A:$J,10,0),"")</f>
        <v/>
      </c>
      <c r="P1278" s="8" t="inlineStr">
        <is>
          <t>TN</t>
        </is>
      </c>
      <c r="Q1278" s="10">
        <f>IFERROR(IFERROR(VLOOKUP(A1278,TRAOPE!$A:$U,21,0),VLOOKUP(B1278,TRAOPE!$A:$U,21,0)),"")</f>
        <v/>
      </c>
      <c r="R1278" s="8">
        <f>IFERROR(IFERROR(VLOOKUP(A1278,TRAOPE!$A:$W,23,0),VLOOKUP(B1278,TRAOPE!$A:$W,23,0)),"")</f>
        <v/>
      </c>
      <c r="S1278" s="10">
        <f>IF(AND(P1278="TN",R1278="TN"),N1278+N(O1278),IF(G1278&amp;""="1",N(K1278)*N1278,(N1278+N(O1278))*N(K1278)))</f>
        <v/>
      </c>
      <c r="T1278" s="10">
        <f>IF(Q1278="","",Q1278-S1278)</f>
        <v/>
      </c>
    </row>
    <row r="1279">
      <c r="A1279" s="7">
        <f>CONCATENATE(C1279,E1279,F1279,I1279)</f>
        <v/>
      </c>
      <c r="B1279" s="7">
        <f>CONCATENATE(C1279,E1279,I1279)</f>
        <v/>
      </c>
      <c r="C1279" s="8" t="n">
        <v>900009292</v>
      </c>
      <c r="D1279" s="7">
        <f>IFERROR(VLOOKUP(C1279,TRAOPE!$G:$H,2,0),"")</f>
        <v/>
      </c>
      <c r="E1279" s="8" t="inlineStr">
        <is>
          <t>DW70</t>
        </is>
      </c>
      <c r="F1279" s="8" t="inlineStr">
        <is>
          <t>D079</t>
        </is>
      </c>
      <c r="G1279" s="8">
        <f>IFERROR(VLOOKUP(A1279,Flete!$A:$E,5,0),"")</f>
        <v/>
      </c>
      <c r="H1279" s="7">
        <f>IFERROR(VLOOKUP(F1279,TRAOPE!$AA:$AB,2,0),"")</f>
        <v/>
      </c>
      <c r="I1279" s="7" t="n">
        <v>10269246</v>
      </c>
      <c r="J1279" s="7">
        <f>IFERROR(VLOOKUP(I1279,Materiales!$A:$H,8,0),"")</f>
        <v/>
      </c>
      <c r="K1279" s="9">
        <f>IFERROR(VLOOKUP(I1279,Materiales!$A:$G,7,0),"")</f>
        <v/>
      </c>
      <c r="L1279" s="8" t="inlineStr">
        <is>
          <t>20250701</t>
        </is>
      </c>
      <c r="M1279" s="8" t="inlineStr">
        <is>
          <t>20251031</t>
        </is>
      </c>
      <c r="N1279" s="10" t="n">
        <v>138.27</v>
      </c>
      <c r="O1279" s="10">
        <f>IFERROR(VLOOKUP(A1279,Flete!$A:$J,10,0),"")</f>
        <v/>
      </c>
      <c r="P1279" s="8" t="inlineStr">
        <is>
          <t>TN</t>
        </is>
      </c>
      <c r="Q1279" s="10">
        <f>IFERROR(IFERROR(VLOOKUP(A1279,TRAOPE!$A:$U,21,0),VLOOKUP(B1279,TRAOPE!$A:$U,21,0)),"")</f>
        <v/>
      </c>
      <c r="R1279" s="8">
        <f>IFERROR(IFERROR(VLOOKUP(A1279,TRAOPE!$A:$W,23,0),VLOOKUP(B1279,TRAOPE!$A:$W,23,0)),"")</f>
        <v/>
      </c>
      <c r="S1279" s="10">
        <f>IF(AND(P1279="TN",R1279="TN"),N1279+N(O1279),IF(G1279&amp;""="1",N(K1279)*N1279,(N1279+N(O1279))*N(K1279)))</f>
        <v/>
      </c>
      <c r="T1279" s="10">
        <f>IF(Q1279="","",Q1279-S1279)</f>
        <v/>
      </c>
    </row>
    <row r="1280">
      <c r="A1280" s="7">
        <f>CONCATENATE(C1280,E1280,F1280,I1280)</f>
        <v/>
      </c>
      <c r="B1280" s="7">
        <f>CONCATENATE(C1280,E1280,I1280)</f>
        <v/>
      </c>
      <c r="C1280" s="8" t="n">
        <v>900009292</v>
      </c>
      <c r="D1280" s="7">
        <f>IFERROR(VLOOKUP(C1280,TRAOPE!$G:$H,2,0),"")</f>
        <v/>
      </c>
      <c r="E1280" s="8" t="inlineStr">
        <is>
          <t>DW70</t>
        </is>
      </c>
      <c r="F1280" s="8" t="inlineStr">
        <is>
          <t>D079</t>
        </is>
      </c>
      <c r="G1280" s="8">
        <f>IFERROR(VLOOKUP(A1280,Flete!$A:$E,5,0),"")</f>
        <v/>
      </c>
      <c r="H1280" s="7">
        <f>IFERROR(VLOOKUP(F1280,TRAOPE!$AA:$AB,2,0),"")</f>
        <v/>
      </c>
      <c r="I1280" s="7" t="n">
        <v>10269247</v>
      </c>
      <c r="J1280" s="7">
        <f>IFERROR(VLOOKUP(I1280,Materiales!$A:$H,8,0),"")</f>
        <v/>
      </c>
      <c r="K1280" s="9">
        <f>IFERROR(VLOOKUP(I1280,Materiales!$A:$G,7,0),"")</f>
        <v/>
      </c>
      <c r="L1280" s="8" t="inlineStr">
        <is>
          <t>20250701</t>
        </is>
      </c>
      <c r="M1280" s="8" t="inlineStr">
        <is>
          <t>20251031</t>
        </is>
      </c>
      <c r="N1280" s="10" t="n">
        <v>96.54000000000001</v>
      </c>
      <c r="O1280" s="10">
        <f>IFERROR(VLOOKUP(A1280,Flete!$A:$J,10,0),"")</f>
        <v/>
      </c>
      <c r="P1280" s="8" t="inlineStr">
        <is>
          <t>TN</t>
        </is>
      </c>
      <c r="Q1280" s="10">
        <f>IFERROR(IFERROR(VLOOKUP(A1280,TRAOPE!$A:$U,21,0),VLOOKUP(B1280,TRAOPE!$A:$U,21,0)),"")</f>
        <v/>
      </c>
      <c r="R1280" s="8">
        <f>IFERROR(IFERROR(VLOOKUP(A1280,TRAOPE!$A:$W,23,0),VLOOKUP(B1280,TRAOPE!$A:$W,23,0)),"")</f>
        <v/>
      </c>
      <c r="S1280" s="10">
        <f>IF(AND(P1280="TN",R1280="TN"),N1280+N(O1280),IF(G1280&amp;""="1",N(K1280)*N1280,(N1280+N(O1280))*N(K1280)))</f>
        <v/>
      </c>
      <c r="T1280" s="10">
        <f>IF(Q1280="","",Q1280-S1280)</f>
        <v/>
      </c>
    </row>
    <row r="1281">
      <c r="A1281" s="7">
        <f>CONCATENATE(C1281,E1281,F1281,I1281)</f>
        <v/>
      </c>
      <c r="B1281" s="7">
        <f>CONCATENATE(C1281,E1281,I1281)</f>
        <v/>
      </c>
      <c r="C1281" s="8" t="n">
        <v>900009292</v>
      </c>
      <c r="D1281" s="7">
        <f>IFERROR(VLOOKUP(C1281,TRAOPE!$G:$H,2,0),"")</f>
        <v/>
      </c>
      <c r="E1281" s="8" t="inlineStr">
        <is>
          <t>DW70</t>
        </is>
      </c>
      <c r="F1281" s="8" t="inlineStr">
        <is>
          <t>D080</t>
        </is>
      </c>
      <c r="G1281" s="8">
        <f>IFERROR(VLOOKUP(A1281,Flete!$A:$E,5,0),"")</f>
        <v/>
      </c>
      <c r="H1281" s="7">
        <f>IFERROR(VLOOKUP(F1281,TRAOPE!$AA:$AB,2,0),"")</f>
        <v/>
      </c>
      <c r="I1281" s="7" t="n">
        <v>10000630</v>
      </c>
      <c r="J1281" s="7">
        <f>IFERROR(VLOOKUP(I1281,Materiales!$A:$H,8,0),"")</f>
        <v/>
      </c>
      <c r="K1281" s="9">
        <f>IFERROR(VLOOKUP(I1281,Materiales!$A:$G,7,0),"")</f>
        <v/>
      </c>
      <c r="L1281" s="8" t="inlineStr">
        <is>
          <t>20250701</t>
        </is>
      </c>
      <c r="M1281" s="8" t="inlineStr">
        <is>
          <t>20251031</t>
        </is>
      </c>
      <c r="N1281" s="10" t="n">
        <v>138.27</v>
      </c>
      <c r="O1281" s="10">
        <f>IFERROR(VLOOKUP(A1281,Flete!$A:$J,10,0),"")</f>
        <v/>
      </c>
      <c r="P1281" s="8" t="inlineStr">
        <is>
          <t>TN</t>
        </is>
      </c>
      <c r="Q1281" s="10">
        <f>IFERROR(IFERROR(VLOOKUP(A1281,TRAOPE!$A:$U,21,0),VLOOKUP(B1281,TRAOPE!$A:$U,21,0)),"")</f>
        <v/>
      </c>
      <c r="R1281" s="8">
        <f>IFERROR(IFERROR(VLOOKUP(A1281,TRAOPE!$A:$W,23,0),VLOOKUP(B1281,TRAOPE!$A:$W,23,0)),"")</f>
        <v/>
      </c>
      <c r="S1281" s="10">
        <f>IF(AND(P1281="TN",R1281="TN"),N1281+N(O1281),IF(G1281&amp;""="1",N(K1281)*N1281,(N1281+N(O1281))*N(K1281)))</f>
        <v/>
      </c>
      <c r="T1281" s="10">
        <f>IF(Q1281="","",Q1281-S1281)</f>
        <v/>
      </c>
    </row>
    <row r="1282">
      <c r="A1282" s="7">
        <f>CONCATENATE(C1282,E1282,F1282,I1282)</f>
        <v/>
      </c>
      <c r="B1282" s="7">
        <f>CONCATENATE(C1282,E1282,I1282)</f>
        <v/>
      </c>
      <c r="C1282" s="8" t="n">
        <v>900009292</v>
      </c>
      <c r="D1282" s="7">
        <f>IFERROR(VLOOKUP(C1282,TRAOPE!$G:$H,2,0),"")</f>
        <v/>
      </c>
      <c r="E1282" s="8" t="inlineStr">
        <is>
          <t>DW70</t>
        </is>
      </c>
      <c r="F1282" s="8" t="inlineStr">
        <is>
          <t>D080</t>
        </is>
      </c>
      <c r="G1282" s="8">
        <f>IFERROR(VLOOKUP(A1282,Flete!$A:$E,5,0),"")</f>
        <v/>
      </c>
      <c r="H1282" s="7">
        <f>IFERROR(VLOOKUP(F1282,TRAOPE!$AA:$AB,2,0),"")</f>
        <v/>
      </c>
      <c r="I1282" s="7" t="n">
        <v>10000811</v>
      </c>
      <c r="J1282" s="7">
        <f>IFERROR(VLOOKUP(I1282,Materiales!$A:$H,8,0),"")</f>
        <v/>
      </c>
      <c r="K1282" s="9">
        <f>IFERROR(VLOOKUP(I1282,Materiales!$A:$G,7,0),"")</f>
        <v/>
      </c>
      <c r="L1282" s="8" t="inlineStr">
        <is>
          <t>20260814</t>
        </is>
      </c>
      <c r="M1282" s="8" t="inlineStr">
        <is>
          <t>99991231</t>
        </is>
      </c>
      <c r="N1282" s="10" t="n">
        <v>155.49</v>
      </c>
      <c r="O1282" s="10">
        <f>IFERROR(VLOOKUP(A1282,Flete!$A:$J,10,0),"")</f>
        <v/>
      </c>
      <c r="P1282" s="8" t="inlineStr">
        <is>
          <t>TN</t>
        </is>
      </c>
      <c r="Q1282" s="10">
        <f>IFERROR(IFERROR(VLOOKUP(A1282,TRAOPE!$A:$U,21,0),VLOOKUP(B1282,TRAOPE!$A:$U,21,0)),"")</f>
        <v/>
      </c>
      <c r="R1282" s="8">
        <f>IFERROR(IFERROR(VLOOKUP(A1282,TRAOPE!$A:$W,23,0),VLOOKUP(B1282,TRAOPE!$A:$W,23,0)),"")</f>
        <v/>
      </c>
      <c r="S1282" s="10">
        <f>IF(AND(P1282="TN",R1282="TN"),N1282+N(O1282),IF(G1282&amp;""="1",N(K1282)*N1282,(N1282+N(O1282))*N(K1282)))</f>
        <v/>
      </c>
      <c r="T1282" s="10">
        <f>IF(Q1282="","",Q1282-S1282)</f>
        <v/>
      </c>
    </row>
    <row r="1283">
      <c r="A1283" s="7">
        <f>CONCATENATE(C1283,E1283,F1283,I1283)</f>
        <v/>
      </c>
      <c r="B1283" s="7">
        <f>CONCATENATE(C1283,E1283,I1283)</f>
        <v/>
      </c>
      <c r="C1283" s="8" t="n">
        <v>900009292</v>
      </c>
      <c r="D1283" s="7">
        <f>IFERROR(VLOOKUP(C1283,TRAOPE!$G:$H,2,0),"")</f>
        <v/>
      </c>
      <c r="E1283" s="8" t="inlineStr">
        <is>
          <t>DW70</t>
        </is>
      </c>
      <c r="F1283" s="8" t="inlineStr">
        <is>
          <t>D080</t>
        </is>
      </c>
      <c r="G1283" s="8">
        <f>IFERROR(VLOOKUP(A1283,Flete!$A:$E,5,0),"")</f>
        <v/>
      </c>
      <c r="H1283" s="7">
        <f>IFERROR(VLOOKUP(F1283,TRAOPE!$AA:$AB,2,0),"")</f>
        <v/>
      </c>
      <c r="I1283" s="7" t="n">
        <v>10058345</v>
      </c>
      <c r="J1283" s="7">
        <f>IFERROR(VLOOKUP(I1283,Materiales!$A:$H,8,0),"")</f>
        <v/>
      </c>
      <c r="K1283" s="9">
        <f>IFERROR(VLOOKUP(I1283,Materiales!$A:$G,7,0),"")</f>
        <v/>
      </c>
      <c r="L1283" s="8" t="inlineStr">
        <is>
          <t>20260814</t>
        </is>
      </c>
      <c r="M1283" s="8" t="inlineStr">
        <is>
          <t>99991231</t>
        </is>
      </c>
      <c r="N1283" s="10" t="n">
        <v>95.23999999999999</v>
      </c>
      <c r="O1283" s="10">
        <f>IFERROR(VLOOKUP(A1283,Flete!$A:$J,10,0),"")</f>
        <v/>
      </c>
      <c r="P1283" s="8" t="inlineStr">
        <is>
          <t>TN</t>
        </is>
      </c>
      <c r="Q1283" s="10">
        <f>IFERROR(IFERROR(VLOOKUP(A1283,TRAOPE!$A:$U,21,0),VLOOKUP(B1283,TRAOPE!$A:$U,21,0)),"")</f>
        <v/>
      </c>
      <c r="R1283" s="8">
        <f>IFERROR(IFERROR(VLOOKUP(A1283,TRAOPE!$A:$W,23,0),VLOOKUP(B1283,TRAOPE!$A:$W,23,0)),"")</f>
        <v/>
      </c>
      <c r="S1283" s="10">
        <f>IF(AND(P1283="TN",R1283="TN"),N1283+N(O1283),IF(G1283&amp;""="1",N(K1283)*N1283,(N1283+N(O1283))*N(K1283)))</f>
        <v/>
      </c>
      <c r="T1283" s="10">
        <f>IF(Q1283="","",Q1283-S1283)</f>
        <v/>
      </c>
    </row>
    <row r="1284">
      <c r="A1284" s="7">
        <f>CONCATENATE(C1284,E1284,F1284,I1284)</f>
        <v/>
      </c>
      <c r="B1284" s="7">
        <f>CONCATENATE(C1284,E1284,I1284)</f>
        <v/>
      </c>
      <c r="C1284" s="8" t="n">
        <v>900009292</v>
      </c>
      <c r="D1284" s="7">
        <f>IFERROR(VLOOKUP(C1284,TRAOPE!$G:$H,2,0),"")</f>
        <v/>
      </c>
      <c r="E1284" s="8" t="inlineStr">
        <is>
          <t>DW70</t>
        </is>
      </c>
      <c r="F1284" s="8" t="inlineStr">
        <is>
          <t>D080</t>
        </is>
      </c>
      <c r="G1284" s="8">
        <f>IFERROR(VLOOKUP(A1284,Flete!$A:$E,5,0),"")</f>
        <v/>
      </c>
      <c r="H1284" s="7">
        <f>IFERROR(VLOOKUP(F1284,TRAOPE!$AA:$AB,2,0),"")</f>
        <v/>
      </c>
      <c r="I1284" s="7" t="n">
        <v>10269245</v>
      </c>
      <c r="J1284" s="7">
        <f>IFERROR(VLOOKUP(I1284,Materiales!$A:$H,8,0),"")</f>
        <v/>
      </c>
      <c r="K1284" s="9">
        <f>IFERROR(VLOOKUP(I1284,Materiales!$A:$G,7,0),"")</f>
        <v/>
      </c>
      <c r="L1284" s="8" t="inlineStr">
        <is>
          <t>20250701</t>
        </is>
      </c>
      <c r="M1284" s="8" t="inlineStr">
        <is>
          <t>20251031</t>
        </is>
      </c>
      <c r="N1284" s="10" t="n">
        <v>141.61</v>
      </c>
      <c r="O1284" s="10">
        <f>IFERROR(VLOOKUP(A1284,Flete!$A:$J,10,0),"")</f>
        <v/>
      </c>
      <c r="P1284" s="8" t="inlineStr">
        <is>
          <t>TN</t>
        </is>
      </c>
      <c r="Q1284" s="10">
        <f>IFERROR(IFERROR(VLOOKUP(A1284,TRAOPE!$A:$U,21,0),VLOOKUP(B1284,TRAOPE!$A:$U,21,0)),"")</f>
        <v/>
      </c>
      <c r="R1284" s="8">
        <f>IFERROR(IFERROR(VLOOKUP(A1284,TRAOPE!$A:$W,23,0),VLOOKUP(B1284,TRAOPE!$A:$W,23,0)),"")</f>
        <v/>
      </c>
      <c r="S1284" s="10">
        <f>IF(AND(P1284="TN",R1284="TN"),N1284+N(O1284),IF(G1284&amp;""="1",N(K1284)*N1284,(N1284+N(O1284))*N(K1284)))</f>
        <v/>
      </c>
      <c r="T1284" s="10">
        <f>IF(Q1284="","",Q1284-S1284)</f>
        <v/>
      </c>
    </row>
    <row r="1285">
      <c r="A1285" s="7">
        <f>CONCATENATE(C1285,E1285,F1285,I1285)</f>
        <v/>
      </c>
      <c r="B1285" s="7">
        <f>CONCATENATE(C1285,E1285,I1285)</f>
        <v/>
      </c>
      <c r="C1285" s="8" t="n">
        <v>900009292</v>
      </c>
      <c r="D1285" s="7">
        <f>IFERROR(VLOOKUP(C1285,TRAOPE!$G:$H,2,0),"")</f>
        <v/>
      </c>
      <c r="E1285" s="8" t="inlineStr">
        <is>
          <t>DW70</t>
        </is>
      </c>
      <c r="F1285" s="8" t="inlineStr">
        <is>
          <t>D080</t>
        </is>
      </c>
      <c r="G1285" s="8">
        <f>IFERROR(VLOOKUP(A1285,Flete!$A:$E,5,0),"")</f>
        <v/>
      </c>
      <c r="H1285" s="7">
        <f>IFERROR(VLOOKUP(F1285,TRAOPE!$AA:$AB,2,0),"")</f>
        <v/>
      </c>
      <c r="I1285" s="7" t="n">
        <v>10269246</v>
      </c>
      <c r="J1285" s="7">
        <f>IFERROR(VLOOKUP(I1285,Materiales!$A:$H,8,0),"")</f>
        <v/>
      </c>
      <c r="K1285" s="9">
        <f>IFERROR(VLOOKUP(I1285,Materiales!$A:$G,7,0),"")</f>
        <v/>
      </c>
      <c r="L1285" s="8" t="inlineStr">
        <is>
          <t>20250701</t>
        </is>
      </c>
      <c r="M1285" s="8" t="inlineStr">
        <is>
          <t>20251031</t>
        </is>
      </c>
      <c r="N1285" s="10" t="n">
        <v>138.27</v>
      </c>
      <c r="O1285" s="10">
        <f>IFERROR(VLOOKUP(A1285,Flete!$A:$J,10,0),"")</f>
        <v/>
      </c>
      <c r="P1285" s="8" t="inlineStr">
        <is>
          <t>TN</t>
        </is>
      </c>
      <c r="Q1285" s="10">
        <f>IFERROR(IFERROR(VLOOKUP(A1285,TRAOPE!$A:$U,21,0),VLOOKUP(B1285,TRAOPE!$A:$U,21,0)),"")</f>
        <v/>
      </c>
      <c r="R1285" s="8">
        <f>IFERROR(IFERROR(VLOOKUP(A1285,TRAOPE!$A:$W,23,0),VLOOKUP(B1285,TRAOPE!$A:$W,23,0)),"")</f>
        <v/>
      </c>
      <c r="S1285" s="10">
        <f>IF(AND(P1285="TN",R1285="TN"),N1285+N(O1285),IF(G1285&amp;""="1",N(K1285)*N1285,(N1285+N(O1285))*N(K1285)))</f>
        <v/>
      </c>
      <c r="T1285" s="10">
        <f>IF(Q1285="","",Q1285-S1285)</f>
        <v/>
      </c>
    </row>
    <row r="1286">
      <c r="A1286" s="7">
        <f>CONCATENATE(C1286,E1286,F1286,I1286)</f>
        <v/>
      </c>
      <c r="B1286" s="7">
        <f>CONCATENATE(C1286,E1286,I1286)</f>
        <v/>
      </c>
      <c r="C1286" s="8" t="n">
        <v>900009292</v>
      </c>
      <c r="D1286" s="7">
        <f>IFERROR(VLOOKUP(C1286,TRAOPE!$G:$H,2,0),"")</f>
        <v/>
      </c>
      <c r="E1286" s="8" t="inlineStr">
        <is>
          <t>DW70</t>
        </is>
      </c>
      <c r="F1286" s="8" t="inlineStr">
        <is>
          <t>D080</t>
        </is>
      </c>
      <c r="G1286" s="8">
        <f>IFERROR(VLOOKUP(A1286,Flete!$A:$E,5,0),"")</f>
        <v/>
      </c>
      <c r="H1286" s="7">
        <f>IFERROR(VLOOKUP(F1286,TRAOPE!$AA:$AB,2,0),"")</f>
        <v/>
      </c>
      <c r="I1286" s="7" t="n">
        <v>10269247</v>
      </c>
      <c r="J1286" s="7">
        <f>IFERROR(VLOOKUP(I1286,Materiales!$A:$H,8,0),"")</f>
        <v/>
      </c>
      <c r="K1286" s="9">
        <f>IFERROR(VLOOKUP(I1286,Materiales!$A:$G,7,0),"")</f>
        <v/>
      </c>
      <c r="L1286" s="8" t="inlineStr">
        <is>
          <t>20250701</t>
        </is>
      </c>
      <c r="M1286" s="8" t="inlineStr">
        <is>
          <t>20251031</t>
        </is>
      </c>
      <c r="N1286" s="10" t="n">
        <v>96.54000000000001</v>
      </c>
      <c r="O1286" s="10">
        <f>IFERROR(VLOOKUP(A1286,Flete!$A:$J,10,0),"")</f>
        <v/>
      </c>
      <c r="P1286" s="8" t="inlineStr">
        <is>
          <t>TN</t>
        </is>
      </c>
      <c r="Q1286" s="10">
        <f>IFERROR(IFERROR(VLOOKUP(A1286,TRAOPE!$A:$U,21,0),VLOOKUP(B1286,TRAOPE!$A:$U,21,0)),"")</f>
        <v/>
      </c>
      <c r="R1286" s="8">
        <f>IFERROR(IFERROR(VLOOKUP(A1286,TRAOPE!$A:$W,23,0),VLOOKUP(B1286,TRAOPE!$A:$W,23,0)),"")</f>
        <v/>
      </c>
      <c r="S1286" s="10">
        <f>IF(AND(P1286="TN",R1286="TN"),N1286+N(O1286),IF(G1286&amp;""="1",N(K1286)*N1286,(N1286+N(O1286))*N(K1286)))</f>
        <v/>
      </c>
      <c r="T1286" s="10">
        <f>IF(Q1286="","",Q1286-S1286)</f>
        <v/>
      </c>
    </row>
    <row r="1287">
      <c r="A1287" s="7">
        <f>CONCATENATE(C1287,E1287,F1287,I1287)</f>
        <v/>
      </c>
      <c r="B1287" s="7">
        <f>CONCATENATE(C1287,E1287,I1287)</f>
        <v/>
      </c>
      <c r="C1287" s="8" t="n">
        <v>900009292</v>
      </c>
      <c r="D1287" s="7">
        <f>IFERROR(VLOOKUP(C1287,TRAOPE!$G:$H,2,0),"")</f>
        <v/>
      </c>
      <c r="E1287" s="8" t="inlineStr">
        <is>
          <t>DW70</t>
        </is>
      </c>
      <c r="F1287" s="8" t="inlineStr">
        <is>
          <t>D081</t>
        </is>
      </c>
      <c r="G1287" s="8">
        <f>IFERROR(VLOOKUP(A1287,Flete!$A:$E,5,0),"")</f>
        <v/>
      </c>
      <c r="H1287" s="7">
        <f>IFERROR(VLOOKUP(F1287,TRAOPE!$AA:$AB,2,0),"")</f>
        <v/>
      </c>
      <c r="I1287" s="7" t="n">
        <v>10000630</v>
      </c>
      <c r="J1287" s="7">
        <f>IFERROR(VLOOKUP(I1287,Materiales!$A:$H,8,0),"")</f>
        <v/>
      </c>
      <c r="K1287" s="9">
        <f>IFERROR(VLOOKUP(I1287,Materiales!$A:$G,7,0),"")</f>
        <v/>
      </c>
      <c r="L1287" s="8" t="inlineStr">
        <is>
          <t>20250701</t>
        </is>
      </c>
      <c r="M1287" s="8" t="inlineStr">
        <is>
          <t>20251031</t>
        </is>
      </c>
      <c r="N1287" s="10" t="n">
        <v>138.27</v>
      </c>
      <c r="O1287" s="10">
        <f>IFERROR(VLOOKUP(A1287,Flete!$A:$J,10,0),"")</f>
        <v/>
      </c>
      <c r="P1287" s="8" t="inlineStr">
        <is>
          <t>TN</t>
        </is>
      </c>
      <c r="Q1287" s="10">
        <f>IFERROR(IFERROR(VLOOKUP(A1287,TRAOPE!$A:$U,21,0),VLOOKUP(B1287,TRAOPE!$A:$U,21,0)),"")</f>
        <v/>
      </c>
      <c r="R1287" s="8">
        <f>IFERROR(IFERROR(VLOOKUP(A1287,TRAOPE!$A:$W,23,0),VLOOKUP(B1287,TRAOPE!$A:$W,23,0)),"")</f>
        <v/>
      </c>
      <c r="S1287" s="10">
        <f>IF(AND(P1287="TN",R1287="TN"),N1287+N(O1287),IF(G1287&amp;""="1",N(K1287)*N1287,(N1287+N(O1287))*N(K1287)))</f>
        <v/>
      </c>
      <c r="T1287" s="10">
        <f>IF(Q1287="","",Q1287-S1287)</f>
        <v/>
      </c>
    </row>
    <row r="1288">
      <c r="A1288" s="7">
        <f>CONCATENATE(C1288,E1288,F1288,I1288)</f>
        <v/>
      </c>
      <c r="B1288" s="7">
        <f>CONCATENATE(C1288,E1288,I1288)</f>
        <v/>
      </c>
      <c r="C1288" s="8" t="n">
        <v>900009292</v>
      </c>
      <c r="D1288" s="7">
        <f>IFERROR(VLOOKUP(C1288,TRAOPE!$G:$H,2,0),"")</f>
        <v/>
      </c>
      <c r="E1288" s="8" t="inlineStr">
        <is>
          <t>DW70</t>
        </is>
      </c>
      <c r="F1288" s="8" t="inlineStr">
        <is>
          <t>D081</t>
        </is>
      </c>
      <c r="G1288" s="8">
        <f>IFERROR(VLOOKUP(A1288,Flete!$A:$E,5,0),"")</f>
        <v/>
      </c>
      <c r="H1288" s="7">
        <f>IFERROR(VLOOKUP(F1288,TRAOPE!$AA:$AB,2,0),"")</f>
        <v/>
      </c>
      <c r="I1288" s="7" t="n">
        <v>10000811</v>
      </c>
      <c r="J1288" s="7">
        <f>IFERROR(VLOOKUP(I1288,Materiales!$A:$H,8,0),"")</f>
        <v/>
      </c>
      <c r="K1288" s="9">
        <f>IFERROR(VLOOKUP(I1288,Materiales!$A:$G,7,0),"")</f>
        <v/>
      </c>
      <c r="L1288" s="8" t="inlineStr">
        <is>
          <t>20260814</t>
        </is>
      </c>
      <c r="M1288" s="8" t="inlineStr">
        <is>
          <t>99991231</t>
        </is>
      </c>
      <c r="N1288" s="10" t="n">
        <v>155.49</v>
      </c>
      <c r="O1288" s="10">
        <f>IFERROR(VLOOKUP(A1288,Flete!$A:$J,10,0),"")</f>
        <v/>
      </c>
      <c r="P1288" s="8" t="inlineStr">
        <is>
          <t>TN</t>
        </is>
      </c>
      <c r="Q1288" s="10">
        <f>IFERROR(IFERROR(VLOOKUP(A1288,TRAOPE!$A:$U,21,0),VLOOKUP(B1288,TRAOPE!$A:$U,21,0)),"")</f>
        <v/>
      </c>
      <c r="R1288" s="8">
        <f>IFERROR(IFERROR(VLOOKUP(A1288,TRAOPE!$A:$W,23,0),VLOOKUP(B1288,TRAOPE!$A:$W,23,0)),"")</f>
        <v/>
      </c>
      <c r="S1288" s="10">
        <f>IF(AND(P1288="TN",R1288="TN"),N1288+N(O1288),IF(G1288&amp;""="1",N(K1288)*N1288,(N1288+N(O1288))*N(K1288)))</f>
        <v/>
      </c>
      <c r="T1288" s="10">
        <f>IF(Q1288="","",Q1288-S1288)</f>
        <v/>
      </c>
    </row>
    <row r="1289">
      <c r="A1289" s="7">
        <f>CONCATENATE(C1289,E1289,F1289,I1289)</f>
        <v/>
      </c>
      <c r="B1289" s="7">
        <f>CONCATENATE(C1289,E1289,I1289)</f>
        <v/>
      </c>
      <c r="C1289" s="8" t="n">
        <v>900009292</v>
      </c>
      <c r="D1289" s="7">
        <f>IFERROR(VLOOKUP(C1289,TRAOPE!$G:$H,2,0),"")</f>
        <v/>
      </c>
      <c r="E1289" s="8" t="inlineStr">
        <is>
          <t>DW70</t>
        </is>
      </c>
      <c r="F1289" s="8" t="inlineStr">
        <is>
          <t>D081</t>
        </is>
      </c>
      <c r="G1289" s="8">
        <f>IFERROR(VLOOKUP(A1289,Flete!$A:$E,5,0),"")</f>
        <v/>
      </c>
      <c r="H1289" s="7">
        <f>IFERROR(VLOOKUP(F1289,TRAOPE!$AA:$AB,2,0),"")</f>
        <v/>
      </c>
      <c r="I1289" s="7" t="n">
        <v>10058345</v>
      </c>
      <c r="J1289" s="7">
        <f>IFERROR(VLOOKUP(I1289,Materiales!$A:$H,8,0),"")</f>
        <v/>
      </c>
      <c r="K1289" s="9">
        <f>IFERROR(VLOOKUP(I1289,Materiales!$A:$G,7,0),"")</f>
        <v/>
      </c>
      <c r="L1289" s="8" t="inlineStr">
        <is>
          <t>20260814</t>
        </is>
      </c>
      <c r="M1289" s="8" t="inlineStr">
        <is>
          <t>99991231</t>
        </is>
      </c>
      <c r="N1289" s="10" t="n">
        <v>95.23999999999999</v>
      </c>
      <c r="O1289" s="10">
        <f>IFERROR(VLOOKUP(A1289,Flete!$A:$J,10,0),"")</f>
        <v/>
      </c>
      <c r="P1289" s="8" t="inlineStr">
        <is>
          <t>TN</t>
        </is>
      </c>
      <c r="Q1289" s="10">
        <f>IFERROR(IFERROR(VLOOKUP(A1289,TRAOPE!$A:$U,21,0),VLOOKUP(B1289,TRAOPE!$A:$U,21,0)),"")</f>
        <v/>
      </c>
      <c r="R1289" s="8">
        <f>IFERROR(IFERROR(VLOOKUP(A1289,TRAOPE!$A:$W,23,0),VLOOKUP(B1289,TRAOPE!$A:$W,23,0)),"")</f>
        <v/>
      </c>
      <c r="S1289" s="10">
        <f>IF(AND(P1289="TN",R1289="TN"),N1289+N(O1289),IF(G1289&amp;""="1",N(K1289)*N1289,(N1289+N(O1289))*N(K1289)))</f>
        <v/>
      </c>
      <c r="T1289" s="10">
        <f>IF(Q1289="","",Q1289-S1289)</f>
        <v/>
      </c>
    </row>
    <row r="1290">
      <c r="A1290" s="7">
        <f>CONCATENATE(C1290,E1290,F1290,I1290)</f>
        <v/>
      </c>
      <c r="B1290" s="7">
        <f>CONCATENATE(C1290,E1290,I1290)</f>
        <v/>
      </c>
      <c r="C1290" s="8" t="n">
        <v>900009292</v>
      </c>
      <c r="D1290" s="7">
        <f>IFERROR(VLOOKUP(C1290,TRAOPE!$G:$H,2,0),"")</f>
        <v/>
      </c>
      <c r="E1290" s="8" t="inlineStr">
        <is>
          <t>DW70</t>
        </is>
      </c>
      <c r="F1290" s="8" t="inlineStr">
        <is>
          <t>D081</t>
        </is>
      </c>
      <c r="G1290" s="8">
        <f>IFERROR(VLOOKUP(A1290,Flete!$A:$E,5,0),"")</f>
        <v/>
      </c>
      <c r="H1290" s="7">
        <f>IFERROR(VLOOKUP(F1290,TRAOPE!$AA:$AB,2,0),"")</f>
        <v/>
      </c>
      <c r="I1290" s="7" t="n">
        <v>10269245</v>
      </c>
      <c r="J1290" s="7">
        <f>IFERROR(VLOOKUP(I1290,Materiales!$A:$H,8,0),"")</f>
        <v/>
      </c>
      <c r="K1290" s="9">
        <f>IFERROR(VLOOKUP(I1290,Materiales!$A:$G,7,0),"")</f>
        <v/>
      </c>
      <c r="L1290" s="8" t="inlineStr">
        <is>
          <t>20250701</t>
        </is>
      </c>
      <c r="M1290" s="8" t="inlineStr">
        <is>
          <t>20251031</t>
        </is>
      </c>
      <c r="N1290" s="10" t="n">
        <v>141.61</v>
      </c>
      <c r="O1290" s="10">
        <f>IFERROR(VLOOKUP(A1290,Flete!$A:$J,10,0),"")</f>
        <v/>
      </c>
      <c r="P1290" s="8" t="inlineStr">
        <is>
          <t>TN</t>
        </is>
      </c>
      <c r="Q1290" s="10">
        <f>IFERROR(IFERROR(VLOOKUP(A1290,TRAOPE!$A:$U,21,0),VLOOKUP(B1290,TRAOPE!$A:$U,21,0)),"")</f>
        <v/>
      </c>
      <c r="R1290" s="8">
        <f>IFERROR(IFERROR(VLOOKUP(A1290,TRAOPE!$A:$W,23,0),VLOOKUP(B1290,TRAOPE!$A:$W,23,0)),"")</f>
        <v/>
      </c>
      <c r="S1290" s="10">
        <f>IF(AND(P1290="TN",R1290="TN"),N1290+N(O1290),IF(G1290&amp;""="1",N(K1290)*N1290,(N1290+N(O1290))*N(K1290)))</f>
        <v/>
      </c>
      <c r="T1290" s="10">
        <f>IF(Q1290="","",Q1290-S1290)</f>
        <v/>
      </c>
    </row>
    <row r="1291">
      <c r="A1291" s="7">
        <f>CONCATENATE(C1291,E1291,F1291,I1291)</f>
        <v/>
      </c>
      <c r="B1291" s="7">
        <f>CONCATENATE(C1291,E1291,I1291)</f>
        <v/>
      </c>
      <c r="C1291" s="8" t="n">
        <v>900009292</v>
      </c>
      <c r="D1291" s="7">
        <f>IFERROR(VLOOKUP(C1291,TRAOPE!$G:$H,2,0),"")</f>
        <v/>
      </c>
      <c r="E1291" s="8" t="inlineStr">
        <is>
          <t>DW70</t>
        </is>
      </c>
      <c r="F1291" s="8" t="inlineStr">
        <is>
          <t>D081</t>
        </is>
      </c>
      <c r="G1291" s="8">
        <f>IFERROR(VLOOKUP(A1291,Flete!$A:$E,5,0),"")</f>
        <v/>
      </c>
      <c r="H1291" s="7">
        <f>IFERROR(VLOOKUP(F1291,TRAOPE!$AA:$AB,2,0),"")</f>
        <v/>
      </c>
      <c r="I1291" s="7" t="n">
        <v>10269246</v>
      </c>
      <c r="J1291" s="7">
        <f>IFERROR(VLOOKUP(I1291,Materiales!$A:$H,8,0),"")</f>
        <v/>
      </c>
      <c r="K1291" s="9">
        <f>IFERROR(VLOOKUP(I1291,Materiales!$A:$G,7,0),"")</f>
        <v/>
      </c>
      <c r="L1291" s="8" t="inlineStr">
        <is>
          <t>20250701</t>
        </is>
      </c>
      <c r="M1291" s="8" t="inlineStr">
        <is>
          <t>20251031</t>
        </is>
      </c>
      <c r="N1291" s="10" t="n">
        <v>138.27</v>
      </c>
      <c r="O1291" s="10">
        <f>IFERROR(VLOOKUP(A1291,Flete!$A:$J,10,0),"")</f>
        <v/>
      </c>
      <c r="P1291" s="8" t="inlineStr">
        <is>
          <t>TN</t>
        </is>
      </c>
      <c r="Q1291" s="10">
        <f>IFERROR(IFERROR(VLOOKUP(A1291,TRAOPE!$A:$U,21,0),VLOOKUP(B1291,TRAOPE!$A:$U,21,0)),"")</f>
        <v/>
      </c>
      <c r="R1291" s="8">
        <f>IFERROR(IFERROR(VLOOKUP(A1291,TRAOPE!$A:$W,23,0),VLOOKUP(B1291,TRAOPE!$A:$W,23,0)),"")</f>
        <v/>
      </c>
      <c r="S1291" s="10">
        <f>IF(AND(P1291="TN",R1291="TN"),N1291+N(O1291),IF(G1291&amp;""="1",N(K1291)*N1291,(N1291+N(O1291))*N(K1291)))</f>
        <v/>
      </c>
      <c r="T1291" s="10">
        <f>IF(Q1291="","",Q1291-S1291)</f>
        <v/>
      </c>
    </row>
    <row r="1292">
      <c r="A1292" s="7">
        <f>CONCATENATE(C1292,E1292,F1292,I1292)</f>
        <v/>
      </c>
      <c r="B1292" s="7">
        <f>CONCATENATE(C1292,E1292,I1292)</f>
        <v/>
      </c>
      <c r="C1292" s="8" t="n">
        <v>900009292</v>
      </c>
      <c r="D1292" s="7">
        <f>IFERROR(VLOOKUP(C1292,TRAOPE!$G:$H,2,0),"")</f>
        <v/>
      </c>
      <c r="E1292" s="8" t="inlineStr">
        <is>
          <t>DW70</t>
        </is>
      </c>
      <c r="F1292" s="8" t="inlineStr">
        <is>
          <t>D081</t>
        </is>
      </c>
      <c r="G1292" s="8">
        <f>IFERROR(VLOOKUP(A1292,Flete!$A:$E,5,0),"")</f>
        <v/>
      </c>
      <c r="H1292" s="7">
        <f>IFERROR(VLOOKUP(F1292,TRAOPE!$AA:$AB,2,0),"")</f>
        <v/>
      </c>
      <c r="I1292" s="7" t="n">
        <v>10269247</v>
      </c>
      <c r="J1292" s="7">
        <f>IFERROR(VLOOKUP(I1292,Materiales!$A:$H,8,0),"")</f>
        <v/>
      </c>
      <c r="K1292" s="9">
        <f>IFERROR(VLOOKUP(I1292,Materiales!$A:$G,7,0),"")</f>
        <v/>
      </c>
      <c r="L1292" s="8" t="inlineStr">
        <is>
          <t>20250701</t>
        </is>
      </c>
      <c r="M1292" s="8" t="inlineStr">
        <is>
          <t>20251031</t>
        </is>
      </c>
      <c r="N1292" s="10" t="n">
        <v>96.54000000000001</v>
      </c>
      <c r="O1292" s="10">
        <f>IFERROR(VLOOKUP(A1292,Flete!$A:$J,10,0),"")</f>
        <v/>
      </c>
      <c r="P1292" s="8" t="inlineStr">
        <is>
          <t>TN</t>
        </is>
      </c>
      <c r="Q1292" s="10">
        <f>IFERROR(IFERROR(VLOOKUP(A1292,TRAOPE!$A:$U,21,0),VLOOKUP(B1292,TRAOPE!$A:$U,21,0)),"")</f>
        <v/>
      </c>
      <c r="R1292" s="8">
        <f>IFERROR(IFERROR(VLOOKUP(A1292,TRAOPE!$A:$W,23,0),VLOOKUP(B1292,TRAOPE!$A:$W,23,0)),"")</f>
        <v/>
      </c>
      <c r="S1292" s="10">
        <f>IF(AND(P1292="TN",R1292="TN"),N1292+N(O1292),IF(G1292&amp;""="1",N(K1292)*N1292,(N1292+N(O1292))*N(K1292)))</f>
        <v/>
      </c>
      <c r="T1292" s="10">
        <f>IF(Q1292="","",Q1292-S1292)</f>
        <v/>
      </c>
    </row>
    <row r="1293">
      <c r="A1293" s="7">
        <f>CONCATENATE(C1293,E1293,F1293,I1293)</f>
        <v/>
      </c>
      <c r="B1293" s="7">
        <f>CONCATENATE(C1293,E1293,I1293)</f>
        <v/>
      </c>
      <c r="C1293" s="8" t="n">
        <v>900009292</v>
      </c>
      <c r="D1293" s="7">
        <f>IFERROR(VLOOKUP(C1293,TRAOPE!$G:$H,2,0),"")</f>
        <v/>
      </c>
      <c r="E1293" s="8" t="inlineStr">
        <is>
          <t>DW70</t>
        </is>
      </c>
      <c r="F1293" s="8" t="inlineStr">
        <is>
          <t>D083</t>
        </is>
      </c>
      <c r="G1293" s="8">
        <f>IFERROR(VLOOKUP(A1293,Flete!$A:$E,5,0),"")</f>
        <v/>
      </c>
      <c r="H1293" s="7">
        <f>IFERROR(VLOOKUP(F1293,TRAOPE!$AA:$AB,2,0),"")</f>
        <v/>
      </c>
      <c r="I1293" s="7" t="n">
        <v>10000630</v>
      </c>
      <c r="J1293" s="7">
        <f>IFERROR(VLOOKUP(I1293,Materiales!$A:$H,8,0),"")</f>
        <v/>
      </c>
      <c r="K1293" s="9">
        <f>IFERROR(VLOOKUP(I1293,Materiales!$A:$G,7,0),"")</f>
        <v/>
      </c>
      <c r="L1293" s="8" t="inlineStr">
        <is>
          <t>20250701</t>
        </is>
      </c>
      <c r="M1293" s="8" t="inlineStr">
        <is>
          <t>20251031</t>
        </is>
      </c>
      <c r="N1293" s="10" t="n">
        <v>138.27</v>
      </c>
      <c r="O1293" s="10">
        <f>IFERROR(VLOOKUP(A1293,Flete!$A:$J,10,0),"")</f>
        <v/>
      </c>
      <c r="P1293" s="8" t="inlineStr">
        <is>
          <t>TN</t>
        </is>
      </c>
      <c r="Q1293" s="10">
        <f>IFERROR(IFERROR(VLOOKUP(A1293,TRAOPE!$A:$U,21,0),VLOOKUP(B1293,TRAOPE!$A:$U,21,0)),"")</f>
        <v/>
      </c>
      <c r="R1293" s="8">
        <f>IFERROR(IFERROR(VLOOKUP(A1293,TRAOPE!$A:$W,23,0),VLOOKUP(B1293,TRAOPE!$A:$W,23,0)),"")</f>
        <v/>
      </c>
      <c r="S1293" s="10">
        <f>IF(AND(P1293="TN",R1293="TN"),N1293+N(O1293),IF(G1293&amp;""="1",N(K1293)*N1293,(N1293+N(O1293))*N(K1293)))</f>
        <v/>
      </c>
      <c r="T1293" s="10">
        <f>IF(Q1293="","",Q1293-S1293)</f>
        <v/>
      </c>
    </row>
    <row r="1294">
      <c r="A1294" s="7">
        <f>CONCATENATE(C1294,E1294,F1294,I1294)</f>
        <v/>
      </c>
      <c r="B1294" s="7">
        <f>CONCATENATE(C1294,E1294,I1294)</f>
        <v/>
      </c>
      <c r="C1294" s="8" t="n">
        <v>900009292</v>
      </c>
      <c r="D1294" s="7">
        <f>IFERROR(VLOOKUP(C1294,TRAOPE!$G:$H,2,0),"")</f>
        <v/>
      </c>
      <c r="E1294" s="8" t="inlineStr">
        <is>
          <t>DW70</t>
        </is>
      </c>
      <c r="F1294" s="8" t="inlineStr">
        <is>
          <t>D083</t>
        </is>
      </c>
      <c r="G1294" s="8">
        <f>IFERROR(VLOOKUP(A1294,Flete!$A:$E,5,0),"")</f>
        <v/>
      </c>
      <c r="H1294" s="7">
        <f>IFERROR(VLOOKUP(F1294,TRAOPE!$AA:$AB,2,0),"")</f>
        <v/>
      </c>
      <c r="I1294" s="7" t="n">
        <v>10000811</v>
      </c>
      <c r="J1294" s="7">
        <f>IFERROR(VLOOKUP(I1294,Materiales!$A:$H,8,0),"")</f>
        <v/>
      </c>
      <c r="K1294" s="9">
        <f>IFERROR(VLOOKUP(I1294,Materiales!$A:$G,7,0),"")</f>
        <v/>
      </c>
      <c r="L1294" s="8" t="inlineStr">
        <is>
          <t>20260814</t>
        </is>
      </c>
      <c r="M1294" s="8" t="inlineStr">
        <is>
          <t>99991231</t>
        </is>
      </c>
      <c r="N1294" s="10" t="n">
        <v>155.49</v>
      </c>
      <c r="O1294" s="10">
        <f>IFERROR(VLOOKUP(A1294,Flete!$A:$J,10,0),"")</f>
        <v/>
      </c>
      <c r="P1294" s="8" t="inlineStr">
        <is>
          <t>TN</t>
        </is>
      </c>
      <c r="Q1294" s="10">
        <f>IFERROR(IFERROR(VLOOKUP(A1294,TRAOPE!$A:$U,21,0),VLOOKUP(B1294,TRAOPE!$A:$U,21,0)),"")</f>
        <v/>
      </c>
      <c r="R1294" s="8">
        <f>IFERROR(IFERROR(VLOOKUP(A1294,TRAOPE!$A:$W,23,0),VLOOKUP(B1294,TRAOPE!$A:$W,23,0)),"")</f>
        <v/>
      </c>
      <c r="S1294" s="10">
        <f>IF(AND(P1294="TN",R1294="TN"),N1294+N(O1294),IF(G1294&amp;""="1",N(K1294)*N1294,(N1294+N(O1294))*N(K1294)))</f>
        <v/>
      </c>
      <c r="T1294" s="10">
        <f>IF(Q1294="","",Q1294-S1294)</f>
        <v/>
      </c>
    </row>
    <row r="1295">
      <c r="A1295" s="7">
        <f>CONCATENATE(C1295,E1295,F1295,I1295)</f>
        <v/>
      </c>
      <c r="B1295" s="7">
        <f>CONCATENATE(C1295,E1295,I1295)</f>
        <v/>
      </c>
      <c r="C1295" s="8" t="n">
        <v>900009292</v>
      </c>
      <c r="D1295" s="7">
        <f>IFERROR(VLOOKUP(C1295,TRAOPE!$G:$H,2,0),"")</f>
        <v/>
      </c>
      <c r="E1295" s="8" t="inlineStr">
        <is>
          <t>DW70</t>
        </is>
      </c>
      <c r="F1295" s="8" t="inlineStr">
        <is>
          <t>D083</t>
        </is>
      </c>
      <c r="G1295" s="8">
        <f>IFERROR(VLOOKUP(A1295,Flete!$A:$E,5,0),"")</f>
        <v/>
      </c>
      <c r="H1295" s="7">
        <f>IFERROR(VLOOKUP(F1295,TRAOPE!$AA:$AB,2,0),"")</f>
        <v/>
      </c>
      <c r="I1295" s="7" t="n">
        <v>10058345</v>
      </c>
      <c r="J1295" s="7">
        <f>IFERROR(VLOOKUP(I1295,Materiales!$A:$H,8,0),"")</f>
        <v/>
      </c>
      <c r="K1295" s="9">
        <f>IFERROR(VLOOKUP(I1295,Materiales!$A:$G,7,0),"")</f>
        <v/>
      </c>
      <c r="L1295" s="8" t="inlineStr">
        <is>
          <t>20260814</t>
        </is>
      </c>
      <c r="M1295" s="8" t="inlineStr">
        <is>
          <t>99991231</t>
        </is>
      </c>
      <c r="N1295" s="10" t="n">
        <v>95.23999999999999</v>
      </c>
      <c r="O1295" s="10">
        <f>IFERROR(VLOOKUP(A1295,Flete!$A:$J,10,0),"")</f>
        <v/>
      </c>
      <c r="P1295" s="8" t="inlineStr">
        <is>
          <t>TN</t>
        </is>
      </c>
      <c r="Q1295" s="10">
        <f>IFERROR(IFERROR(VLOOKUP(A1295,TRAOPE!$A:$U,21,0),VLOOKUP(B1295,TRAOPE!$A:$U,21,0)),"")</f>
        <v/>
      </c>
      <c r="R1295" s="8">
        <f>IFERROR(IFERROR(VLOOKUP(A1295,TRAOPE!$A:$W,23,0),VLOOKUP(B1295,TRAOPE!$A:$W,23,0)),"")</f>
        <v/>
      </c>
      <c r="S1295" s="10">
        <f>IF(AND(P1295="TN",R1295="TN"),N1295+N(O1295),IF(G1295&amp;""="1",N(K1295)*N1295,(N1295+N(O1295))*N(K1295)))</f>
        <v/>
      </c>
      <c r="T1295" s="10">
        <f>IF(Q1295="","",Q1295-S1295)</f>
        <v/>
      </c>
    </row>
    <row r="1296">
      <c r="A1296" s="7">
        <f>CONCATENATE(C1296,E1296,F1296,I1296)</f>
        <v/>
      </c>
      <c r="B1296" s="7">
        <f>CONCATENATE(C1296,E1296,I1296)</f>
        <v/>
      </c>
      <c r="C1296" s="8" t="n">
        <v>900009292</v>
      </c>
      <c r="D1296" s="7">
        <f>IFERROR(VLOOKUP(C1296,TRAOPE!$G:$H,2,0),"")</f>
        <v/>
      </c>
      <c r="E1296" s="8" t="inlineStr">
        <is>
          <t>DW70</t>
        </is>
      </c>
      <c r="F1296" s="8" t="inlineStr">
        <is>
          <t>D083</t>
        </is>
      </c>
      <c r="G1296" s="8">
        <f>IFERROR(VLOOKUP(A1296,Flete!$A:$E,5,0),"")</f>
        <v/>
      </c>
      <c r="H1296" s="7">
        <f>IFERROR(VLOOKUP(F1296,TRAOPE!$AA:$AB,2,0),"")</f>
        <v/>
      </c>
      <c r="I1296" s="7" t="n">
        <v>10269245</v>
      </c>
      <c r="J1296" s="7">
        <f>IFERROR(VLOOKUP(I1296,Materiales!$A:$H,8,0),"")</f>
        <v/>
      </c>
      <c r="K1296" s="9">
        <f>IFERROR(VLOOKUP(I1296,Materiales!$A:$G,7,0),"")</f>
        <v/>
      </c>
      <c r="L1296" s="8" t="inlineStr">
        <is>
          <t>20250701</t>
        </is>
      </c>
      <c r="M1296" s="8" t="inlineStr">
        <is>
          <t>20251031</t>
        </is>
      </c>
      <c r="N1296" s="10" t="n">
        <v>141.61</v>
      </c>
      <c r="O1296" s="10">
        <f>IFERROR(VLOOKUP(A1296,Flete!$A:$J,10,0),"")</f>
        <v/>
      </c>
      <c r="P1296" s="8" t="inlineStr">
        <is>
          <t>TN</t>
        </is>
      </c>
      <c r="Q1296" s="10">
        <f>IFERROR(IFERROR(VLOOKUP(A1296,TRAOPE!$A:$U,21,0),VLOOKUP(B1296,TRAOPE!$A:$U,21,0)),"")</f>
        <v/>
      </c>
      <c r="R1296" s="8">
        <f>IFERROR(IFERROR(VLOOKUP(A1296,TRAOPE!$A:$W,23,0),VLOOKUP(B1296,TRAOPE!$A:$W,23,0)),"")</f>
        <v/>
      </c>
      <c r="S1296" s="10">
        <f>IF(AND(P1296="TN",R1296="TN"),N1296+N(O1296),IF(G1296&amp;""="1",N(K1296)*N1296,(N1296+N(O1296))*N(K1296)))</f>
        <v/>
      </c>
      <c r="T1296" s="10">
        <f>IF(Q1296="","",Q1296-S1296)</f>
        <v/>
      </c>
    </row>
    <row r="1297">
      <c r="A1297" s="7">
        <f>CONCATENATE(C1297,E1297,F1297,I1297)</f>
        <v/>
      </c>
      <c r="B1297" s="7">
        <f>CONCATENATE(C1297,E1297,I1297)</f>
        <v/>
      </c>
      <c r="C1297" s="8" t="n">
        <v>900009292</v>
      </c>
      <c r="D1297" s="7">
        <f>IFERROR(VLOOKUP(C1297,TRAOPE!$G:$H,2,0),"")</f>
        <v/>
      </c>
      <c r="E1297" s="8" t="inlineStr">
        <is>
          <t>DW70</t>
        </is>
      </c>
      <c r="F1297" s="8" t="inlineStr">
        <is>
          <t>D083</t>
        </is>
      </c>
      <c r="G1297" s="8">
        <f>IFERROR(VLOOKUP(A1297,Flete!$A:$E,5,0),"")</f>
        <v/>
      </c>
      <c r="H1297" s="7">
        <f>IFERROR(VLOOKUP(F1297,TRAOPE!$AA:$AB,2,0),"")</f>
        <v/>
      </c>
      <c r="I1297" s="7" t="n">
        <v>10269246</v>
      </c>
      <c r="J1297" s="7">
        <f>IFERROR(VLOOKUP(I1297,Materiales!$A:$H,8,0),"")</f>
        <v/>
      </c>
      <c r="K1297" s="9">
        <f>IFERROR(VLOOKUP(I1297,Materiales!$A:$G,7,0),"")</f>
        <v/>
      </c>
      <c r="L1297" s="8" t="inlineStr">
        <is>
          <t>20250701</t>
        </is>
      </c>
      <c r="M1297" s="8" t="inlineStr">
        <is>
          <t>20251031</t>
        </is>
      </c>
      <c r="N1297" s="10" t="n">
        <v>138.27</v>
      </c>
      <c r="O1297" s="10">
        <f>IFERROR(VLOOKUP(A1297,Flete!$A:$J,10,0),"")</f>
        <v/>
      </c>
      <c r="P1297" s="8" t="inlineStr">
        <is>
          <t>TN</t>
        </is>
      </c>
      <c r="Q1297" s="10">
        <f>IFERROR(IFERROR(VLOOKUP(A1297,TRAOPE!$A:$U,21,0),VLOOKUP(B1297,TRAOPE!$A:$U,21,0)),"")</f>
        <v/>
      </c>
      <c r="R1297" s="8">
        <f>IFERROR(IFERROR(VLOOKUP(A1297,TRAOPE!$A:$W,23,0),VLOOKUP(B1297,TRAOPE!$A:$W,23,0)),"")</f>
        <v/>
      </c>
      <c r="S1297" s="10">
        <f>IF(AND(P1297="TN",R1297="TN"),N1297+N(O1297),IF(G1297&amp;""="1",N(K1297)*N1297,(N1297+N(O1297))*N(K1297)))</f>
        <v/>
      </c>
      <c r="T1297" s="10">
        <f>IF(Q1297="","",Q1297-S1297)</f>
        <v/>
      </c>
    </row>
    <row r="1298">
      <c r="A1298" s="7">
        <f>CONCATENATE(C1298,E1298,F1298,I1298)</f>
        <v/>
      </c>
      <c r="B1298" s="7">
        <f>CONCATENATE(C1298,E1298,I1298)</f>
        <v/>
      </c>
      <c r="C1298" s="8" t="n">
        <v>900009292</v>
      </c>
      <c r="D1298" s="7">
        <f>IFERROR(VLOOKUP(C1298,TRAOPE!$G:$H,2,0),"")</f>
        <v/>
      </c>
      <c r="E1298" s="8" t="inlineStr">
        <is>
          <t>DW70</t>
        </is>
      </c>
      <c r="F1298" s="8" t="inlineStr">
        <is>
          <t>D083</t>
        </is>
      </c>
      <c r="G1298" s="8">
        <f>IFERROR(VLOOKUP(A1298,Flete!$A:$E,5,0),"")</f>
        <v/>
      </c>
      <c r="H1298" s="7">
        <f>IFERROR(VLOOKUP(F1298,TRAOPE!$AA:$AB,2,0),"")</f>
        <v/>
      </c>
      <c r="I1298" s="7" t="n">
        <v>10269247</v>
      </c>
      <c r="J1298" s="7">
        <f>IFERROR(VLOOKUP(I1298,Materiales!$A:$H,8,0),"")</f>
        <v/>
      </c>
      <c r="K1298" s="9">
        <f>IFERROR(VLOOKUP(I1298,Materiales!$A:$G,7,0),"")</f>
        <v/>
      </c>
      <c r="L1298" s="8" t="inlineStr">
        <is>
          <t>20250701</t>
        </is>
      </c>
      <c r="M1298" s="8" t="inlineStr">
        <is>
          <t>20251031</t>
        </is>
      </c>
      <c r="N1298" s="10" t="n">
        <v>96.54000000000001</v>
      </c>
      <c r="O1298" s="10">
        <f>IFERROR(VLOOKUP(A1298,Flete!$A:$J,10,0),"")</f>
        <v/>
      </c>
      <c r="P1298" s="8" t="inlineStr">
        <is>
          <t>TN</t>
        </is>
      </c>
      <c r="Q1298" s="10">
        <f>IFERROR(IFERROR(VLOOKUP(A1298,TRAOPE!$A:$U,21,0),VLOOKUP(B1298,TRAOPE!$A:$U,21,0)),"")</f>
        <v/>
      </c>
      <c r="R1298" s="8">
        <f>IFERROR(IFERROR(VLOOKUP(A1298,TRAOPE!$A:$W,23,0),VLOOKUP(B1298,TRAOPE!$A:$W,23,0)),"")</f>
        <v/>
      </c>
      <c r="S1298" s="10">
        <f>IF(AND(P1298="TN",R1298="TN"),N1298+N(O1298),IF(G1298&amp;""="1",N(K1298)*N1298,(N1298+N(O1298))*N(K1298)))</f>
        <v/>
      </c>
      <c r="T1298" s="10">
        <f>IF(Q1298="","",Q1298-S1298)</f>
        <v/>
      </c>
    </row>
    <row r="1299">
      <c r="A1299" s="7">
        <f>CONCATENATE(C1299,E1299,F1299,I1299)</f>
        <v/>
      </c>
      <c r="B1299" s="7">
        <f>CONCATENATE(C1299,E1299,I1299)</f>
        <v/>
      </c>
      <c r="C1299" s="8" t="n">
        <v>900009292</v>
      </c>
      <c r="D1299" s="7">
        <f>IFERROR(VLOOKUP(C1299,TRAOPE!$G:$H,2,0),"")</f>
        <v/>
      </c>
      <c r="E1299" s="8" t="inlineStr">
        <is>
          <t>DW70</t>
        </is>
      </c>
      <c r="F1299" s="8" t="inlineStr">
        <is>
          <t>D084</t>
        </is>
      </c>
      <c r="G1299" s="8">
        <f>IFERROR(VLOOKUP(A1299,Flete!$A:$E,5,0),"")</f>
        <v/>
      </c>
      <c r="H1299" s="7">
        <f>IFERROR(VLOOKUP(F1299,TRAOPE!$AA:$AB,2,0),"")</f>
        <v/>
      </c>
      <c r="I1299" s="7" t="n">
        <v>10000630</v>
      </c>
      <c r="J1299" s="7">
        <f>IFERROR(VLOOKUP(I1299,Materiales!$A:$H,8,0),"")</f>
        <v/>
      </c>
      <c r="K1299" s="9">
        <f>IFERROR(VLOOKUP(I1299,Materiales!$A:$G,7,0),"")</f>
        <v/>
      </c>
      <c r="L1299" s="8" t="inlineStr">
        <is>
          <t>20250701</t>
        </is>
      </c>
      <c r="M1299" s="8" t="inlineStr">
        <is>
          <t>20251031</t>
        </is>
      </c>
      <c r="N1299" s="10" t="n">
        <v>138.27</v>
      </c>
      <c r="O1299" s="10">
        <f>IFERROR(VLOOKUP(A1299,Flete!$A:$J,10,0),"")</f>
        <v/>
      </c>
      <c r="P1299" s="8" t="inlineStr">
        <is>
          <t>TN</t>
        </is>
      </c>
      <c r="Q1299" s="10">
        <f>IFERROR(IFERROR(VLOOKUP(A1299,TRAOPE!$A:$U,21,0),VLOOKUP(B1299,TRAOPE!$A:$U,21,0)),"")</f>
        <v/>
      </c>
      <c r="R1299" s="8">
        <f>IFERROR(IFERROR(VLOOKUP(A1299,TRAOPE!$A:$W,23,0),VLOOKUP(B1299,TRAOPE!$A:$W,23,0)),"")</f>
        <v/>
      </c>
      <c r="S1299" s="10">
        <f>IF(AND(P1299="TN",R1299="TN"),N1299+N(O1299),IF(G1299&amp;""="1",N(K1299)*N1299,(N1299+N(O1299))*N(K1299)))</f>
        <v/>
      </c>
      <c r="T1299" s="10">
        <f>IF(Q1299="","",Q1299-S1299)</f>
        <v/>
      </c>
    </row>
    <row r="1300">
      <c r="A1300" s="7">
        <f>CONCATENATE(C1300,E1300,F1300,I1300)</f>
        <v/>
      </c>
      <c r="B1300" s="7">
        <f>CONCATENATE(C1300,E1300,I1300)</f>
        <v/>
      </c>
      <c r="C1300" s="8" t="n">
        <v>900009292</v>
      </c>
      <c r="D1300" s="7">
        <f>IFERROR(VLOOKUP(C1300,TRAOPE!$G:$H,2,0),"")</f>
        <v/>
      </c>
      <c r="E1300" s="8" t="inlineStr">
        <is>
          <t>DW70</t>
        </is>
      </c>
      <c r="F1300" s="8" t="inlineStr">
        <is>
          <t>D084</t>
        </is>
      </c>
      <c r="G1300" s="8">
        <f>IFERROR(VLOOKUP(A1300,Flete!$A:$E,5,0),"")</f>
        <v/>
      </c>
      <c r="H1300" s="7">
        <f>IFERROR(VLOOKUP(F1300,TRAOPE!$AA:$AB,2,0),"")</f>
        <v/>
      </c>
      <c r="I1300" s="7" t="n">
        <v>10000811</v>
      </c>
      <c r="J1300" s="7">
        <f>IFERROR(VLOOKUP(I1300,Materiales!$A:$H,8,0),"")</f>
        <v/>
      </c>
      <c r="K1300" s="9">
        <f>IFERROR(VLOOKUP(I1300,Materiales!$A:$G,7,0),"")</f>
        <v/>
      </c>
      <c r="L1300" s="8" t="inlineStr">
        <is>
          <t>20260814</t>
        </is>
      </c>
      <c r="M1300" s="8" t="inlineStr">
        <is>
          <t>99991231</t>
        </is>
      </c>
      <c r="N1300" s="10" t="n">
        <v>155.49</v>
      </c>
      <c r="O1300" s="10">
        <f>IFERROR(VLOOKUP(A1300,Flete!$A:$J,10,0),"")</f>
        <v/>
      </c>
      <c r="P1300" s="8" t="inlineStr">
        <is>
          <t>TN</t>
        </is>
      </c>
      <c r="Q1300" s="10">
        <f>IFERROR(IFERROR(VLOOKUP(A1300,TRAOPE!$A:$U,21,0),VLOOKUP(B1300,TRAOPE!$A:$U,21,0)),"")</f>
        <v/>
      </c>
      <c r="R1300" s="8">
        <f>IFERROR(IFERROR(VLOOKUP(A1300,TRAOPE!$A:$W,23,0),VLOOKUP(B1300,TRAOPE!$A:$W,23,0)),"")</f>
        <v/>
      </c>
      <c r="S1300" s="10">
        <f>IF(AND(P1300="TN",R1300="TN"),N1300+N(O1300),IF(G1300&amp;""="1",N(K1300)*N1300,(N1300+N(O1300))*N(K1300)))</f>
        <v/>
      </c>
      <c r="T1300" s="10">
        <f>IF(Q1300="","",Q1300-S1300)</f>
        <v/>
      </c>
    </row>
    <row r="1301">
      <c r="A1301" s="7">
        <f>CONCATENATE(C1301,E1301,F1301,I1301)</f>
        <v/>
      </c>
      <c r="B1301" s="7">
        <f>CONCATENATE(C1301,E1301,I1301)</f>
        <v/>
      </c>
      <c r="C1301" s="8" t="n">
        <v>900009292</v>
      </c>
      <c r="D1301" s="7">
        <f>IFERROR(VLOOKUP(C1301,TRAOPE!$G:$H,2,0),"")</f>
        <v/>
      </c>
      <c r="E1301" s="8" t="inlineStr">
        <is>
          <t>DW70</t>
        </is>
      </c>
      <c r="F1301" s="8" t="inlineStr">
        <is>
          <t>D084</t>
        </is>
      </c>
      <c r="G1301" s="8">
        <f>IFERROR(VLOOKUP(A1301,Flete!$A:$E,5,0),"")</f>
        <v/>
      </c>
      <c r="H1301" s="7">
        <f>IFERROR(VLOOKUP(F1301,TRAOPE!$AA:$AB,2,0),"")</f>
        <v/>
      </c>
      <c r="I1301" s="7" t="n">
        <v>10058345</v>
      </c>
      <c r="J1301" s="7">
        <f>IFERROR(VLOOKUP(I1301,Materiales!$A:$H,8,0),"")</f>
        <v/>
      </c>
      <c r="K1301" s="9">
        <f>IFERROR(VLOOKUP(I1301,Materiales!$A:$G,7,0),"")</f>
        <v/>
      </c>
      <c r="L1301" s="8" t="inlineStr">
        <is>
          <t>20260814</t>
        </is>
      </c>
      <c r="M1301" s="8" t="inlineStr">
        <is>
          <t>99991231</t>
        </is>
      </c>
      <c r="N1301" s="10" t="n">
        <v>95.23999999999999</v>
      </c>
      <c r="O1301" s="10">
        <f>IFERROR(VLOOKUP(A1301,Flete!$A:$J,10,0),"")</f>
        <v/>
      </c>
      <c r="P1301" s="8" t="inlineStr">
        <is>
          <t>TN</t>
        </is>
      </c>
      <c r="Q1301" s="10">
        <f>IFERROR(IFERROR(VLOOKUP(A1301,TRAOPE!$A:$U,21,0),VLOOKUP(B1301,TRAOPE!$A:$U,21,0)),"")</f>
        <v/>
      </c>
      <c r="R1301" s="8">
        <f>IFERROR(IFERROR(VLOOKUP(A1301,TRAOPE!$A:$W,23,0),VLOOKUP(B1301,TRAOPE!$A:$W,23,0)),"")</f>
        <v/>
      </c>
      <c r="S1301" s="10">
        <f>IF(AND(P1301="TN",R1301="TN"),N1301+N(O1301),IF(G1301&amp;""="1",N(K1301)*N1301,(N1301+N(O1301))*N(K1301)))</f>
        <v/>
      </c>
      <c r="T1301" s="10">
        <f>IF(Q1301="","",Q1301-S1301)</f>
        <v/>
      </c>
    </row>
    <row r="1302">
      <c r="A1302" s="7">
        <f>CONCATENATE(C1302,E1302,F1302,I1302)</f>
        <v/>
      </c>
      <c r="B1302" s="7">
        <f>CONCATENATE(C1302,E1302,I1302)</f>
        <v/>
      </c>
      <c r="C1302" s="8" t="n">
        <v>900009292</v>
      </c>
      <c r="D1302" s="7">
        <f>IFERROR(VLOOKUP(C1302,TRAOPE!$G:$H,2,0),"")</f>
        <v/>
      </c>
      <c r="E1302" s="8" t="inlineStr">
        <is>
          <t>DW70</t>
        </is>
      </c>
      <c r="F1302" s="8" t="inlineStr">
        <is>
          <t>D084</t>
        </is>
      </c>
      <c r="G1302" s="8">
        <f>IFERROR(VLOOKUP(A1302,Flete!$A:$E,5,0),"")</f>
        <v/>
      </c>
      <c r="H1302" s="7">
        <f>IFERROR(VLOOKUP(F1302,TRAOPE!$AA:$AB,2,0),"")</f>
        <v/>
      </c>
      <c r="I1302" s="7" t="n">
        <v>10269245</v>
      </c>
      <c r="J1302" s="7">
        <f>IFERROR(VLOOKUP(I1302,Materiales!$A:$H,8,0),"")</f>
        <v/>
      </c>
      <c r="K1302" s="9">
        <f>IFERROR(VLOOKUP(I1302,Materiales!$A:$G,7,0),"")</f>
        <v/>
      </c>
      <c r="L1302" s="8" t="inlineStr">
        <is>
          <t>20250701</t>
        </is>
      </c>
      <c r="M1302" s="8" t="inlineStr">
        <is>
          <t>20251031</t>
        </is>
      </c>
      <c r="N1302" s="10" t="n">
        <v>141.61</v>
      </c>
      <c r="O1302" s="10">
        <f>IFERROR(VLOOKUP(A1302,Flete!$A:$J,10,0),"")</f>
        <v/>
      </c>
      <c r="P1302" s="8" t="inlineStr">
        <is>
          <t>TN</t>
        </is>
      </c>
      <c r="Q1302" s="10">
        <f>IFERROR(IFERROR(VLOOKUP(A1302,TRAOPE!$A:$U,21,0),VLOOKUP(B1302,TRAOPE!$A:$U,21,0)),"")</f>
        <v/>
      </c>
      <c r="R1302" s="8">
        <f>IFERROR(IFERROR(VLOOKUP(A1302,TRAOPE!$A:$W,23,0),VLOOKUP(B1302,TRAOPE!$A:$W,23,0)),"")</f>
        <v/>
      </c>
      <c r="S1302" s="10">
        <f>IF(AND(P1302="TN",R1302="TN"),N1302+N(O1302),IF(G1302&amp;""="1",N(K1302)*N1302,(N1302+N(O1302))*N(K1302)))</f>
        <v/>
      </c>
      <c r="T1302" s="10">
        <f>IF(Q1302="","",Q1302-S1302)</f>
        <v/>
      </c>
    </row>
    <row r="1303">
      <c r="A1303" s="7">
        <f>CONCATENATE(C1303,E1303,F1303,I1303)</f>
        <v/>
      </c>
      <c r="B1303" s="7">
        <f>CONCATENATE(C1303,E1303,I1303)</f>
        <v/>
      </c>
      <c r="C1303" s="8" t="n">
        <v>900009292</v>
      </c>
      <c r="D1303" s="7">
        <f>IFERROR(VLOOKUP(C1303,TRAOPE!$G:$H,2,0),"")</f>
        <v/>
      </c>
      <c r="E1303" s="8" t="inlineStr">
        <is>
          <t>DW70</t>
        </is>
      </c>
      <c r="F1303" s="8" t="inlineStr">
        <is>
          <t>D084</t>
        </is>
      </c>
      <c r="G1303" s="8">
        <f>IFERROR(VLOOKUP(A1303,Flete!$A:$E,5,0),"")</f>
        <v/>
      </c>
      <c r="H1303" s="7">
        <f>IFERROR(VLOOKUP(F1303,TRAOPE!$AA:$AB,2,0),"")</f>
        <v/>
      </c>
      <c r="I1303" s="7" t="n">
        <v>10269246</v>
      </c>
      <c r="J1303" s="7">
        <f>IFERROR(VLOOKUP(I1303,Materiales!$A:$H,8,0),"")</f>
        <v/>
      </c>
      <c r="K1303" s="9">
        <f>IFERROR(VLOOKUP(I1303,Materiales!$A:$G,7,0),"")</f>
        <v/>
      </c>
      <c r="L1303" s="8" t="inlineStr">
        <is>
          <t>20250701</t>
        </is>
      </c>
      <c r="M1303" s="8" t="inlineStr">
        <is>
          <t>20251031</t>
        </is>
      </c>
      <c r="N1303" s="10" t="n">
        <v>138.27</v>
      </c>
      <c r="O1303" s="10">
        <f>IFERROR(VLOOKUP(A1303,Flete!$A:$J,10,0),"")</f>
        <v/>
      </c>
      <c r="P1303" s="8" t="inlineStr">
        <is>
          <t>TN</t>
        </is>
      </c>
      <c r="Q1303" s="10">
        <f>IFERROR(IFERROR(VLOOKUP(A1303,TRAOPE!$A:$U,21,0),VLOOKUP(B1303,TRAOPE!$A:$U,21,0)),"")</f>
        <v/>
      </c>
      <c r="R1303" s="8">
        <f>IFERROR(IFERROR(VLOOKUP(A1303,TRAOPE!$A:$W,23,0),VLOOKUP(B1303,TRAOPE!$A:$W,23,0)),"")</f>
        <v/>
      </c>
      <c r="S1303" s="10">
        <f>IF(AND(P1303="TN",R1303="TN"),N1303+N(O1303),IF(G1303&amp;""="1",N(K1303)*N1303,(N1303+N(O1303))*N(K1303)))</f>
        <v/>
      </c>
      <c r="T1303" s="10">
        <f>IF(Q1303="","",Q1303-S1303)</f>
        <v/>
      </c>
    </row>
    <row r="1304">
      <c r="A1304" s="7">
        <f>CONCATENATE(C1304,E1304,F1304,I1304)</f>
        <v/>
      </c>
      <c r="B1304" s="7">
        <f>CONCATENATE(C1304,E1304,I1304)</f>
        <v/>
      </c>
      <c r="C1304" s="8" t="n">
        <v>900009292</v>
      </c>
      <c r="D1304" s="7">
        <f>IFERROR(VLOOKUP(C1304,TRAOPE!$G:$H,2,0),"")</f>
        <v/>
      </c>
      <c r="E1304" s="8" t="inlineStr">
        <is>
          <t>DW70</t>
        </is>
      </c>
      <c r="F1304" s="8" t="inlineStr">
        <is>
          <t>D084</t>
        </is>
      </c>
      <c r="G1304" s="8">
        <f>IFERROR(VLOOKUP(A1304,Flete!$A:$E,5,0),"")</f>
        <v/>
      </c>
      <c r="H1304" s="7">
        <f>IFERROR(VLOOKUP(F1304,TRAOPE!$AA:$AB,2,0),"")</f>
        <v/>
      </c>
      <c r="I1304" s="7" t="n">
        <v>10269247</v>
      </c>
      <c r="J1304" s="7">
        <f>IFERROR(VLOOKUP(I1304,Materiales!$A:$H,8,0),"")</f>
        <v/>
      </c>
      <c r="K1304" s="9">
        <f>IFERROR(VLOOKUP(I1304,Materiales!$A:$G,7,0),"")</f>
        <v/>
      </c>
      <c r="L1304" s="8" t="inlineStr">
        <is>
          <t>20250701</t>
        </is>
      </c>
      <c r="M1304" s="8" t="inlineStr">
        <is>
          <t>20251031</t>
        </is>
      </c>
      <c r="N1304" s="10" t="n">
        <v>96.54000000000001</v>
      </c>
      <c r="O1304" s="10">
        <f>IFERROR(VLOOKUP(A1304,Flete!$A:$J,10,0),"")</f>
        <v/>
      </c>
      <c r="P1304" s="8" t="inlineStr">
        <is>
          <t>TN</t>
        </is>
      </c>
      <c r="Q1304" s="10">
        <f>IFERROR(IFERROR(VLOOKUP(A1304,TRAOPE!$A:$U,21,0),VLOOKUP(B1304,TRAOPE!$A:$U,21,0)),"")</f>
        <v/>
      </c>
      <c r="R1304" s="8">
        <f>IFERROR(IFERROR(VLOOKUP(A1304,TRAOPE!$A:$W,23,0),VLOOKUP(B1304,TRAOPE!$A:$W,23,0)),"")</f>
        <v/>
      </c>
      <c r="S1304" s="10">
        <f>IF(AND(P1304="TN",R1304="TN"),N1304+N(O1304),IF(G1304&amp;""="1",N(K1304)*N1304,(N1304+N(O1304))*N(K1304)))</f>
        <v/>
      </c>
      <c r="T1304" s="10">
        <f>IF(Q1304="","",Q1304-S1304)</f>
        <v/>
      </c>
    </row>
    <row r="1305">
      <c r="A1305" s="7">
        <f>CONCATENATE(C1305,E1305,F1305,I1305)</f>
        <v/>
      </c>
      <c r="B1305" s="7">
        <f>CONCATENATE(C1305,E1305,I1305)</f>
        <v/>
      </c>
      <c r="C1305" s="8" t="n">
        <v>900009292</v>
      </c>
      <c r="D1305" s="7">
        <f>IFERROR(VLOOKUP(C1305,TRAOPE!$G:$H,2,0),"")</f>
        <v/>
      </c>
      <c r="E1305" s="8" t="inlineStr">
        <is>
          <t>DW70</t>
        </is>
      </c>
      <c r="F1305" s="8" t="inlineStr">
        <is>
          <t>D085</t>
        </is>
      </c>
      <c r="G1305" s="8">
        <f>IFERROR(VLOOKUP(A1305,Flete!$A:$E,5,0),"")</f>
        <v/>
      </c>
      <c r="H1305" s="7">
        <f>IFERROR(VLOOKUP(F1305,TRAOPE!$AA:$AB,2,0),"")</f>
        <v/>
      </c>
      <c r="I1305" s="7" t="n">
        <v>10000630</v>
      </c>
      <c r="J1305" s="7">
        <f>IFERROR(VLOOKUP(I1305,Materiales!$A:$H,8,0),"")</f>
        <v/>
      </c>
      <c r="K1305" s="9">
        <f>IFERROR(VLOOKUP(I1305,Materiales!$A:$G,7,0),"")</f>
        <v/>
      </c>
      <c r="L1305" s="8" t="inlineStr">
        <is>
          <t>20250701</t>
        </is>
      </c>
      <c r="M1305" s="8" t="inlineStr">
        <is>
          <t>20251031</t>
        </is>
      </c>
      <c r="N1305" s="10" t="n">
        <v>138.27</v>
      </c>
      <c r="O1305" s="10">
        <f>IFERROR(VLOOKUP(A1305,Flete!$A:$J,10,0),"")</f>
        <v/>
      </c>
      <c r="P1305" s="8" t="inlineStr">
        <is>
          <t>TN</t>
        </is>
      </c>
      <c r="Q1305" s="10">
        <f>IFERROR(IFERROR(VLOOKUP(A1305,TRAOPE!$A:$U,21,0),VLOOKUP(B1305,TRAOPE!$A:$U,21,0)),"")</f>
        <v/>
      </c>
      <c r="R1305" s="8">
        <f>IFERROR(IFERROR(VLOOKUP(A1305,TRAOPE!$A:$W,23,0),VLOOKUP(B1305,TRAOPE!$A:$W,23,0)),"")</f>
        <v/>
      </c>
      <c r="S1305" s="10">
        <f>IF(AND(P1305="TN",R1305="TN"),N1305+N(O1305),IF(G1305&amp;""="1",N(K1305)*N1305,(N1305+N(O1305))*N(K1305)))</f>
        <v/>
      </c>
      <c r="T1305" s="10">
        <f>IF(Q1305="","",Q1305-S1305)</f>
        <v/>
      </c>
    </row>
    <row r="1306">
      <c r="A1306" s="7">
        <f>CONCATENATE(C1306,E1306,F1306,I1306)</f>
        <v/>
      </c>
      <c r="B1306" s="7">
        <f>CONCATENATE(C1306,E1306,I1306)</f>
        <v/>
      </c>
      <c r="C1306" s="8" t="n">
        <v>900009292</v>
      </c>
      <c r="D1306" s="7">
        <f>IFERROR(VLOOKUP(C1306,TRAOPE!$G:$H,2,0),"")</f>
        <v/>
      </c>
      <c r="E1306" s="8" t="inlineStr">
        <is>
          <t>DW70</t>
        </is>
      </c>
      <c r="F1306" s="8" t="inlineStr">
        <is>
          <t>D085</t>
        </is>
      </c>
      <c r="G1306" s="8">
        <f>IFERROR(VLOOKUP(A1306,Flete!$A:$E,5,0),"")</f>
        <v/>
      </c>
      <c r="H1306" s="7">
        <f>IFERROR(VLOOKUP(F1306,TRAOPE!$AA:$AB,2,0),"")</f>
        <v/>
      </c>
      <c r="I1306" s="7" t="n">
        <v>10000811</v>
      </c>
      <c r="J1306" s="7">
        <f>IFERROR(VLOOKUP(I1306,Materiales!$A:$H,8,0),"")</f>
        <v/>
      </c>
      <c r="K1306" s="9">
        <f>IFERROR(VLOOKUP(I1306,Materiales!$A:$G,7,0),"")</f>
        <v/>
      </c>
      <c r="L1306" s="8" t="inlineStr">
        <is>
          <t>20260814</t>
        </is>
      </c>
      <c r="M1306" s="8" t="inlineStr">
        <is>
          <t>99991231</t>
        </is>
      </c>
      <c r="N1306" s="10" t="n">
        <v>155.49</v>
      </c>
      <c r="O1306" s="10">
        <f>IFERROR(VLOOKUP(A1306,Flete!$A:$J,10,0),"")</f>
        <v/>
      </c>
      <c r="P1306" s="8" t="inlineStr">
        <is>
          <t>TN</t>
        </is>
      </c>
      <c r="Q1306" s="10">
        <f>IFERROR(IFERROR(VLOOKUP(A1306,TRAOPE!$A:$U,21,0),VLOOKUP(B1306,TRAOPE!$A:$U,21,0)),"")</f>
        <v/>
      </c>
      <c r="R1306" s="8">
        <f>IFERROR(IFERROR(VLOOKUP(A1306,TRAOPE!$A:$W,23,0),VLOOKUP(B1306,TRAOPE!$A:$W,23,0)),"")</f>
        <v/>
      </c>
      <c r="S1306" s="10">
        <f>IF(AND(P1306="TN",R1306="TN"),N1306+N(O1306),IF(G1306&amp;""="1",N(K1306)*N1306,(N1306+N(O1306))*N(K1306)))</f>
        <v/>
      </c>
      <c r="T1306" s="10">
        <f>IF(Q1306="","",Q1306-S1306)</f>
        <v/>
      </c>
    </row>
    <row r="1307">
      <c r="A1307" s="7">
        <f>CONCATENATE(C1307,E1307,F1307,I1307)</f>
        <v/>
      </c>
      <c r="B1307" s="7">
        <f>CONCATENATE(C1307,E1307,I1307)</f>
        <v/>
      </c>
      <c r="C1307" s="8" t="n">
        <v>900009292</v>
      </c>
      <c r="D1307" s="7">
        <f>IFERROR(VLOOKUP(C1307,TRAOPE!$G:$H,2,0),"")</f>
        <v/>
      </c>
      <c r="E1307" s="8" t="inlineStr">
        <is>
          <t>DW70</t>
        </is>
      </c>
      <c r="F1307" s="8" t="inlineStr">
        <is>
          <t>D085</t>
        </is>
      </c>
      <c r="G1307" s="8">
        <f>IFERROR(VLOOKUP(A1307,Flete!$A:$E,5,0),"")</f>
        <v/>
      </c>
      <c r="H1307" s="7">
        <f>IFERROR(VLOOKUP(F1307,TRAOPE!$AA:$AB,2,0),"")</f>
        <v/>
      </c>
      <c r="I1307" s="7" t="n">
        <v>10058345</v>
      </c>
      <c r="J1307" s="7">
        <f>IFERROR(VLOOKUP(I1307,Materiales!$A:$H,8,0),"")</f>
        <v/>
      </c>
      <c r="K1307" s="9">
        <f>IFERROR(VLOOKUP(I1307,Materiales!$A:$G,7,0),"")</f>
        <v/>
      </c>
      <c r="L1307" s="8" t="inlineStr">
        <is>
          <t>20260814</t>
        </is>
      </c>
      <c r="M1307" s="8" t="inlineStr">
        <is>
          <t>99991231</t>
        </is>
      </c>
      <c r="N1307" s="10" t="n">
        <v>95.23999999999999</v>
      </c>
      <c r="O1307" s="10">
        <f>IFERROR(VLOOKUP(A1307,Flete!$A:$J,10,0),"")</f>
        <v/>
      </c>
      <c r="P1307" s="8" t="inlineStr">
        <is>
          <t>TN</t>
        </is>
      </c>
      <c r="Q1307" s="10">
        <f>IFERROR(IFERROR(VLOOKUP(A1307,TRAOPE!$A:$U,21,0),VLOOKUP(B1307,TRAOPE!$A:$U,21,0)),"")</f>
        <v/>
      </c>
      <c r="R1307" s="8">
        <f>IFERROR(IFERROR(VLOOKUP(A1307,TRAOPE!$A:$W,23,0),VLOOKUP(B1307,TRAOPE!$A:$W,23,0)),"")</f>
        <v/>
      </c>
      <c r="S1307" s="10">
        <f>IF(AND(P1307="TN",R1307="TN"),N1307+N(O1307),IF(G1307&amp;""="1",N(K1307)*N1307,(N1307+N(O1307))*N(K1307)))</f>
        <v/>
      </c>
      <c r="T1307" s="10">
        <f>IF(Q1307="","",Q1307-S1307)</f>
        <v/>
      </c>
    </row>
    <row r="1308">
      <c r="A1308" s="7">
        <f>CONCATENATE(C1308,E1308,F1308,I1308)</f>
        <v/>
      </c>
      <c r="B1308" s="7">
        <f>CONCATENATE(C1308,E1308,I1308)</f>
        <v/>
      </c>
      <c r="C1308" s="8" t="n">
        <v>900009292</v>
      </c>
      <c r="D1308" s="7">
        <f>IFERROR(VLOOKUP(C1308,TRAOPE!$G:$H,2,0),"")</f>
        <v/>
      </c>
      <c r="E1308" s="8" t="inlineStr">
        <is>
          <t>DW70</t>
        </is>
      </c>
      <c r="F1308" s="8" t="inlineStr">
        <is>
          <t>D085</t>
        </is>
      </c>
      <c r="G1308" s="8">
        <f>IFERROR(VLOOKUP(A1308,Flete!$A:$E,5,0),"")</f>
        <v/>
      </c>
      <c r="H1308" s="7">
        <f>IFERROR(VLOOKUP(F1308,TRAOPE!$AA:$AB,2,0),"")</f>
        <v/>
      </c>
      <c r="I1308" s="7" t="n">
        <v>10269245</v>
      </c>
      <c r="J1308" s="7">
        <f>IFERROR(VLOOKUP(I1308,Materiales!$A:$H,8,0),"")</f>
        <v/>
      </c>
      <c r="K1308" s="9">
        <f>IFERROR(VLOOKUP(I1308,Materiales!$A:$G,7,0),"")</f>
        <v/>
      </c>
      <c r="L1308" s="8" t="inlineStr">
        <is>
          <t>20250701</t>
        </is>
      </c>
      <c r="M1308" s="8" t="inlineStr">
        <is>
          <t>20251031</t>
        </is>
      </c>
      <c r="N1308" s="10" t="n">
        <v>141.61</v>
      </c>
      <c r="O1308" s="10">
        <f>IFERROR(VLOOKUP(A1308,Flete!$A:$J,10,0),"")</f>
        <v/>
      </c>
      <c r="P1308" s="8" t="inlineStr">
        <is>
          <t>TN</t>
        </is>
      </c>
      <c r="Q1308" s="10">
        <f>IFERROR(IFERROR(VLOOKUP(A1308,TRAOPE!$A:$U,21,0),VLOOKUP(B1308,TRAOPE!$A:$U,21,0)),"")</f>
        <v/>
      </c>
      <c r="R1308" s="8">
        <f>IFERROR(IFERROR(VLOOKUP(A1308,TRAOPE!$A:$W,23,0),VLOOKUP(B1308,TRAOPE!$A:$W,23,0)),"")</f>
        <v/>
      </c>
      <c r="S1308" s="10">
        <f>IF(AND(P1308="TN",R1308="TN"),N1308+N(O1308),IF(G1308&amp;""="1",N(K1308)*N1308,(N1308+N(O1308))*N(K1308)))</f>
        <v/>
      </c>
      <c r="T1308" s="10">
        <f>IF(Q1308="","",Q1308-S1308)</f>
        <v/>
      </c>
    </row>
    <row r="1309">
      <c r="A1309" s="7">
        <f>CONCATENATE(C1309,E1309,F1309,I1309)</f>
        <v/>
      </c>
      <c r="B1309" s="7">
        <f>CONCATENATE(C1309,E1309,I1309)</f>
        <v/>
      </c>
      <c r="C1309" s="8" t="n">
        <v>900009292</v>
      </c>
      <c r="D1309" s="7">
        <f>IFERROR(VLOOKUP(C1309,TRAOPE!$G:$H,2,0),"")</f>
        <v/>
      </c>
      <c r="E1309" s="8" t="inlineStr">
        <is>
          <t>DW70</t>
        </is>
      </c>
      <c r="F1309" s="8" t="inlineStr">
        <is>
          <t>D085</t>
        </is>
      </c>
      <c r="G1309" s="8">
        <f>IFERROR(VLOOKUP(A1309,Flete!$A:$E,5,0),"")</f>
        <v/>
      </c>
      <c r="H1309" s="7">
        <f>IFERROR(VLOOKUP(F1309,TRAOPE!$AA:$AB,2,0),"")</f>
        <v/>
      </c>
      <c r="I1309" s="7" t="n">
        <v>10269246</v>
      </c>
      <c r="J1309" s="7">
        <f>IFERROR(VLOOKUP(I1309,Materiales!$A:$H,8,0),"")</f>
        <v/>
      </c>
      <c r="K1309" s="9">
        <f>IFERROR(VLOOKUP(I1309,Materiales!$A:$G,7,0),"")</f>
        <v/>
      </c>
      <c r="L1309" s="8" t="inlineStr">
        <is>
          <t>20250701</t>
        </is>
      </c>
      <c r="M1309" s="8" t="inlineStr">
        <is>
          <t>20251031</t>
        </is>
      </c>
      <c r="N1309" s="10" t="n">
        <v>138.27</v>
      </c>
      <c r="O1309" s="10">
        <f>IFERROR(VLOOKUP(A1309,Flete!$A:$J,10,0),"")</f>
        <v/>
      </c>
      <c r="P1309" s="8" t="inlineStr">
        <is>
          <t>TN</t>
        </is>
      </c>
      <c r="Q1309" s="10">
        <f>IFERROR(IFERROR(VLOOKUP(A1309,TRAOPE!$A:$U,21,0),VLOOKUP(B1309,TRAOPE!$A:$U,21,0)),"")</f>
        <v/>
      </c>
      <c r="R1309" s="8">
        <f>IFERROR(IFERROR(VLOOKUP(A1309,TRAOPE!$A:$W,23,0),VLOOKUP(B1309,TRAOPE!$A:$W,23,0)),"")</f>
        <v/>
      </c>
      <c r="S1309" s="10">
        <f>IF(AND(P1309="TN",R1309="TN"),N1309+N(O1309),IF(G1309&amp;""="1",N(K1309)*N1309,(N1309+N(O1309))*N(K1309)))</f>
        <v/>
      </c>
      <c r="T1309" s="10">
        <f>IF(Q1309="","",Q1309-S1309)</f>
        <v/>
      </c>
    </row>
    <row r="1310">
      <c r="A1310" s="7">
        <f>CONCATENATE(C1310,E1310,F1310,I1310)</f>
        <v/>
      </c>
      <c r="B1310" s="7">
        <f>CONCATENATE(C1310,E1310,I1310)</f>
        <v/>
      </c>
      <c r="C1310" s="8" t="n">
        <v>900009292</v>
      </c>
      <c r="D1310" s="7">
        <f>IFERROR(VLOOKUP(C1310,TRAOPE!$G:$H,2,0),"")</f>
        <v/>
      </c>
      <c r="E1310" s="8" t="inlineStr">
        <is>
          <t>DW70</t>
        </is>
      </c>
      <c r="F1310" s="8" t="inlineStr">
        <is>
          <t>D085</t>
        </is>
      </c>
      <c r="G1310" s="8">
        <f>IFERROR(VLOOKUP(A1310,Flete!$A:$E,5,0),"")</f>
        <v/>
      </c>
      <c r="H1310" s="7">
        <f>IFERROR(VLOOKUP(F1310,TRAOPE!$AA:$AB,2,0),"")</f>
        <v/>
      </c>
      <c r="I1310" s="7" t="n">
        <v>10269247</v>
      </c>
      <c r="J1310" s="7">
        <f>IFERROR(VLOOKUP(I1310,Materiales!$A:$H,8,0),"")</f>
        <v/>
      </c>
      <c r="K1310" s="9">
        <f>IFERROR(VLOOKUP(I1310,Materiales!$A:$G,7,0),"")</f>
        <v/>
      </c>
      <c r="L1310" s="8" t="inlineStr">
        <is>
          <t>20250701</t>
        </is>
      </c>
      <c r="M1310" s="8" t="inlineStr">
        <is>
          <t>20251031</t>
        </is>
      </c>
      <c r="N1310" s="10" t="n">
        <v>96.54000000000001</v>
      </c>
      <c r="O1310" s="10">
        <f>IFERROR(VLOOKUP(A1310,Flete!$A:$J,10,0),"")</f>
        <v/>
      </c>
      <c r="P1310" s="8" t="inlineStr">
        <is>
          <t>TN</t>
        </is>
      </c>
      <c r="Q1310" s="10">
        <f>IFERROR(IFERROR(VLOOKUP(A1310,TRAOPE!$A:$U,21,0),VLOOKUP(B1310,TRAOPE!$A:$U,21,0)),"")</f>
        <v/>
      </c>
      <c r="R1310" s="8">
        <f>IFERROR(IFERROR(VLOOKUP(A1310,TRAOPE!$A:$W,23,0),VLOOKUP(B1310,TRAOPE!$A:$W,23,0)),"")</f>
        <v/>
      </c>
      <c r="S1310" s="10">
        <f>IF(AND(P1310="TN",R1310="TN"),N1310+N(O1310),IF(G1310&amp;""="1",N(K1310)*N1310,(N1310+N(O1310))*N(K1310)))</f>
        <v/>
      </c>
      <c r="T1310" s="10">
        <f>IF(Q1310="","",Q1310-S1310)</f>
        <v/>
      </c>
    </row>
    <row r="1311">
      <c r="A1311" s="7">
        <f>CONCATENATE(C1311,E1311,F1311,I1311)</f>
        <v/>
      </c>
      <c r="B1311" s="7">
        <f>CONCATENATE(C1311,E1311,I1311)</f>
        <v/>
      </c>
      <c r="C1311" s="8" t="n">
        <v>900009292</v>
      </c>
      <c r="D1311" s="7">
        <f>IFERROR(VLOOKUP(C1311,TRAOPE!$G:$H,2,0),"")</f>
        <v/>
      </c>
      <c r="E1311" s="8" t="inlineStr">
        <is>
          <t>DW70</t>
        </is>
      </c>
      <c r="F1311" s="8" t="inlineStr">
        <is>
          <t>D086</t>
        </is>
      </c>
      <c r="G1311" s="8">
        <f>IFERROR(VLOOKUP(A1311,Flete!$A:$E,5,0),"")</f>
        <v/>
      </c>
      <c r="H1311" s="7">
        <f>IFERROR(VLOOKUP(F1311,TRAOPE!$AA:$AB,2,0),"")</f>
        <v/>
      </c>
      <c r="I1311" s="7" t="n">
        <v>10000630</v>
      </c>
      <c r="J1311" s="7">
        <f>IFERROR(VLOOKUP(I1311,Materiales!$A:$H,8,0),"")</f>
        <v/>
      </c>
      <c r="K1311" s="9">
        <f>IFERROR(VLOOKUP(I1311,Materiales!$A:$G,7,0),"")</f>
        <v/>
      </c>
      <c r="L1311" s="8" t="inlineStr">
        <is>
          <t>20250701</t>
        </is>
      </c>
      <c r="M1311" s="8" t="inlineStr">
        <is>
          <t>20251031</t>
        </is>
      </c>
      <c r="N1311" s="10" t="n">
        <v>138.27</v>
      </c>
      <c r="O1311" s="10">
        <f>IFERROR(VLOOKUP(A1311,Flete!$A:$J,10,0),"")</f>
        <v/>
      </c>
      <c r="P1311" s="8" t="inlineStr">
        <is>
          <t>TN</t>
        </is>
      </c>
      <c r="Q1311" s="10">
        <f>IFERROR(IFERROR(VLOOKUP(A1311,TRAOPE!$A:$U,21,0),VLOOKUP(B1311,TRAOPE!$A:$U,21,0)),"")</f>
        <v/>
      </c>
      <c r="R1311" s="8">
        <f>IFERROR(IFERROR(VLOOKUP(A1311,TRAOPE!$A:$W,23,0),VLOOKUP(B1311,TRAOPE!$A:$W,23,0)),"")</f>
        <v/>
      </c>
      <c r="S1311" s="10">
        <f>IF(AND(P1311="TN",R1311="TN"),N1311+N(O1311),IF(G1311&amp;""="1",N(K1311)*N1311,(N1311+N(O1311))*N(K1311)))</f>
        <v/>
      </c>
      <c r="T1311" s="10">
        <f>IF(Q1311="","",Q1311-S1311)</f>
        <v/>
      </c>
    </row>
    <row r="1312">
      <c r="A1312" s="7">
        <f>CONCATENATE(C1312,E1312,F1312,I1312)</f>
        <v/>
      </c>
      <c r="B1312" s="7">
        <f>CONCATENATE(C1312,E1312,I1312)</f>
        <v/>
      </c>
      <c r="C1312" s="8" t="n">
        <v>900009292</v>
      </c>
      <c r="D1312" s="7">
        <f>IFERROR(VLOOKUP(C1312,TRAOPE!$G:$H,2,0),"")</f>
        <v/>
      </c>
      <c r="E1312" s="8" t="inlineStr">
        <is>
          <t>DW70</t>
        </is>
      </c>
      <c r="F1312" s="8" t="inlineStr">
        <is>
          <t>D086</t>
        </is>
      </c>
      <c r="G1312" s="8">
        <f>IFERROR(VLOOKUP(A1312,Flete!$A:$E,5,0),"")</f>
        <v/>
      </c>
      <c r="H1312" s="7">
        <f>IFERROR(VLOOKUP(F1312,TRAOPE!$AA:$AB,2,0),"")</f>
        <v/>
      </c>
      <c r="I1312" s="7" t="n">
        <v>10000811</v>
      </c>
      <c r="J1312" s="7">
        <f>IFERROR(VLOOKUP(I1312,Materiales!$A:$H,8,0),"")</f>
        <v/>
      </c>
      <c r="K1312" s="9">
        <f>IFERROR(VLOOKUP(I1312,Materiales!$A:$G,7,0),"")</f>
        <v/>
      </c>
      <c r="L1312" s="8" t="inlineStr">
        <is>
          <t>20260814</t>
        </is>
      </c>
      <c r="M1312" s="8" t="inlineStr">
        <is>
          <t>99991231</t>
        </is>
      </c>
      <c r="N1312" s="10" t="n">
        <v>155.49</v>
      </c>
      <c r="O1312" s="10">
        <f>IFERROR(VLOOKUP(A1312,Flete!$A:$J,10,0),"")</f>
        <v/>
      </c>
      <c r="P1312" s="8" t="inlineStr">
        <is>
          <t>TN</t>
        </is>
      </c>
      <c r="Q1312" s="10">
        <f>IFERROR(IFERROR(VLOOKUP(A1312,TRAOPE!$A:$U,21,0),VLOOKUP(B1312,TRAOPE!$A:$U,21,0)),"")</f>
        <v/>
      </c>
      <c r="R1312" s="8">
        <f>IFERROR(IFERROR(VLOOKUP(A1312,TRAOPE!$A:$W,23,0),VLOOKUP(B1312,TRAOPE!$A:$W,23,0)),"")</f>
        <v/>
      </c>
      <c r="S1312" s="10">
        <f>IF(AND(P1312="TN",R1312="TN"),N1312+N(O1312),IF(G1312&amp;""="1",N(K1312)*N1312,(N1312+N(O1312))*N(K1312)))</f>
        <v/>
      </c>
      <c r="T1312" s="10">
        <f>IF(Q1312="","",Q1312-S1312)</f>
        <v/>
      </c>
    </row>
    <row r="1313">
      <c r="A1313" s="7">
        <f>CONCATENATE(C1313,E1313,F1313,I1313)</f>
        <v/>
      </c>
      <c r="B1313" s="7">
        <f>CONCATENATE(C1313,E1313,I1313)</f>
        <v/>
      </c>
      <c r="C1313" s="8" t="n">
        <v>900009292</v>
      </c>
      <c r="D1313" s="7">
        <f>IFERROR(VLOOKUP(C1313,TRAOPE!$G:$H,2,0),"")</f>
        <v/>
      </c>
      <c r="E1313" s="8" t="inlineStr">
        <is>
          <t>DW70</t>
        </is>
      </c>
      <c r="F1313" s="8" t="inlineStr">
        <is>
          <t>D086</t>
        </is>
      </c>
      <c r="G1313" s="8">
        <f>IFERROR(VLOOKUP(A1313,Flete!$A:$E,5,0),"")</f>
        <v/>
      </c>
      <c r="H1313" s="7">
        <f>IFERROR(VLOOKUP(F1313,TRAOPE!$AA:$AB,2,0),"")</f>
        <v/>
      </c>
      <c r="I1313" s="7" t="n">
        <v>10058345</v>
      </c>
      <c r="J1313" s="7">
        <f>IFERROR(VLOOKUP(I1313,Materiales!$A:$H,8,0),"")</f>
        <v/>
      </c>
      <c r="K1313" s="9">
        <f>IFERROR(VLOOKUP(I1313,Materiales!$A:$G,7,0),"")</f>
        <v/>
      </c>
      <c r="L1313" s="8" t="inlineStr">
        <is>
          <t>20260814</t>
        </is>
      </c>
      <c r="M1313" s="8" t="inlineStr">
        <is>
          <t>99991231</t>
        </is>
      </c>
      <c r="N1313" s="10" t="n">
        <v>95.23999999999999</v>
      </c>
      <c r="O1313" s="10">
        <f>IFERROR(VLOOKUP(A1313,Flete!$A:$J,10,0),"")</f>
        <v/>
      </c>
      <c r="P1313" s="8" t="inlineStr">
        <is>
          <t>TN</t>
        </is>
      </c>
      <c r="Q1313" s="10">
        <f>IFERROR(IFERROR(VLOOKUP(A1313,TRAOPE!$A:$U,21,0),VLOOKUP(B1313,TRAOPE!$A:$U,21,0)),"")</f>
        <v/>
      </c>
      <c r="R1313" s="8">
        <f>IFERROR(IFERROR(VLOOKUP(A1313,TRAOPE!$A:$W,23,0),VLOOKUP(B1313,TRAOPE!$A:$W,23,0)),"")</f>
        <v/>
      </c>
      <c r="S1313" s="10">
        <f>IF(AND(P1313="TN",R1313="TN"),N1313+N(O1313),IF(G1313&amp;""="1",N(K1313)*N1313,(N1313+N(O1313))*N(K1313)))</f>
        <v/>
      </c>
      <c r="T1313" s="10">
        <f>IF(Q1313="","",Q1313-S1313)</f>
        <v/>
      </c>
    </row>
    <row r="1314">
      <c r="A1314" s="7">
        <f>CONCATENATE(C1314,E1314,F1314,I1314)</f>
        <v/>
      </c>
      <c r="B1314" s="7">
        <f>CONCATENATE(C1314,E1314,I1314)</f>
        <v/>
      </c>
      <c r="C1314" s="8" t="n">
        <v>900009292</v>
      </c>
      <c r="D1314" s="7">
        <f>IFERROR(VLOOKUP(C1314,TRAOPE!$G:$H,2,0),"")</f>
        <v/>
      </c>
      <c r="E1314" s="8" t="inlineStr">
        <is>
          <t>DW70</t>
        </is>
      </c>
      <c r="F1314" s="8" t="inlineStr">
        <is>
          <t>D086</t>
        </is>
      </c>
      <c r="G1314" s="8">
        <f>IFERROR(VLOOKUP(A1314,Flete!$A:$E,5,0),"")</f>
        <v/>
      </c>
      <c r="H1314" s="7">
        <f>IFERROR(VLOOKUP(F1314,TRAOPE!$AA:$AB,2,0),"")</f>
        <v/>
      </c>
      <c r="I1314" s="7" t="n">
        <v>10269245</v>
      </c>
      <c r="J1314" s="7">
        <f>IFERROR(VLOOKUP(I1314,Materiales!$A:$H,8,0),"")</f>
        <v/>
      </c>
      <c r="K1314" s="9">
        <f>IFERROR(VLOOKUP(I1314,Materiales!$A:$G,7,0),"")</f>
        <v/>
      </c>
      <c r="L1314" s="8" t="inlineStr">
        <is>
          <t>20250701</t>
        </is>
      </c>
      <c r="M1314" s="8" t="inlineStr">
        <is>
          <t>20251031</t>
        </is>
      </c>
      <c r="N1314" s="10" t="n">
        <v>141.61</v>
      </c>
      <c r="O1314" s="10">
        <f>IFERROR(VLOOKUP(A1314,Flete!$A:$J,10,0),"")</f>
        <v/>
      </c>
      <c r="P1314" s="8" t="inlineStr">
        <is>
          <t>TN</t>
        </is>
      </c>
      <c r="Q1314" s="10">
        <f>IFERROR(IFERROR(VLOOKUP(A1314,TRAOPE!$A:$U,21,0),VLOOKUP(B1314,TRAOPE!$A:$U,21,0)),"")</f>
        <v/>
      </c>
      <c r="R1314" s="8">
        <f>IFERROR(IFERROR(VLOOKUP(A1314,TRAOPE!$A:$W,23,0),VLOOKUP(B1314,TRAOPE!$A:$W,23,0)),"")</f>
        <v/>
      </c>
      <c r="S1314" s="10">
        <f>IF(AND(P1314="TN",R1314="TN"),N1314+N(O1314),IF(G1314&amp;""="1",N(K1314)*N1314,(N1314+N(O1314))*N(K1314)))</f>
        <v/>
      </c>
      <c r="T1314" s="10">
        <f>IF(Q1314="","",Q1314-S1314)</f>
        <v/>
      </c>
    </row>
    <row r="1315">
      <c r="A1315" s="7">
        <f>CONCATENATE(C1315,E1315,F1315,I1315)</f>
        <v/>
      </c>
      <c r="B1315" s="7">
        <f>CONCATENATE(C1315,E1315,I1315)</f>
        <v/>
      </c>
      <c r="C1315" s="8" t="n">
        <v>900009292</v>
      </c>
      <c r="D1315" s="7">
        <f>IFERROR(VLOOKUP(C1315,TRAOPE!$G:$H,2,0),"")</f>
        <v/>
      </c>
      <c r="E1315" s="8" t="inlineStr">
        <is>
          <t>DW70</t>
        </is>
      </c>
      <c r="F1315" s="8" t="inlineStr">
        <is>
          <t>D086</t>
        </is>
      </c>
      <c r="G1315" s="8">
        <f>IFERROR(VLOOKUP(A1315,Flete!$A:$E,5,0),"")</f>
        <v/>
      </c>
      <c r="H1315" s="7">
        <f>IFERROR(VLOOKUP(F1315,TRAOPE!$AA:$AB,2,0),"")</f>
        <v/>
      </c>
      <c r="I1315" s="7" t="n">
        <v>10269246</v>
      </c>
      <c r="J1315" s="7">
        <f>IFERROR(VLOOKUP(I1315,Materiales!$A:$H,8,0),"")</f>
        <v/>
      </c>
      <c r="K1315" s="9">
        <f>IFERROR(VLOOKUP(I1315,Materiales!$A:$G,7,0),"")</f>
        <v/>
      </c>
      <c r="L1315" s="8" t="inlineStr">
        <is>
          <t>20250701</t>
        </is>
      </c>
      <c r="M1315" s="8" t="inlineStr">
        <is>
          <t>20251031</t>
        </is>
      </c>
      <c r="N1315" s="10" t="n">
        <v>138.27</v>
      </c>
      <c r="O1315" s="10">
        <f>IFERROR(VLOOKUP(A1315,Flete!$A:$J,10,0),"")</f>
        <v/>
      </c>
      <c r="P1315" s="8" t="inlineStr">
        <is>
          <t>TN</t>
        </is>
      </c>
      <c r="Q1315" s="10">
        <f>IFERROR(IFERROR(VLOOKUP(A1315,TRAOPE!$A:$U,21,0),VLOOKUP(B1315,TRAOPE!$A:$U,21,0)),"")</f>
        <v/>
      </c>
      <c r="R1315" s="8">
        <f>IFERROR(IFERROR(VLOOKUP(A1315,TRAOPE!$A:$W,23,0),VLOOKUP(B1315,TRAOPE!$A:$W,23,0)),"")</f>
        <v/>
      </c>
      <c r="S1315" s="10">
        <f>IF(AND(P1315="TN",R1315="TN"),N1315+N(O1315),IF(G1315&amp;""="1",N(K1315)*N1315,(N1315+N(O1315))*N(K1315)))</f>
        <v/>
      </c>
      <c r="T1315" s="10">
        <f>IF(Q1315="","",Q1315-S1315)</f>
        <v/>
      </c>
    </row>
    <row r="1316">
      <c r="A1316" s="7">
        <f>CONCATENATE(C1316,E1316,F1316,I1316)</f>
        <v/>
      </c>
      <c r="B1316" s="7">
        <f>CONCATENATE(C1316,E1316,I1316)</f>
        <v/>
      </c>
      <c r="C1316" s="8" t="n">
        <v>900009292</v>
      </c>
      <c r="D1316" s="7">
        <f>IFERROR(VLOOKUP(C1316,TRAOPE!$G:$H,2,0),"")</f>
        <v/>
      </c>
      <c r="E1316" s="8" t="inlineStr">
        <is>
          <t>DW70</t>
        </is>
      </c>
      <c r="F1316" s="8" t="inlineStr">
        <is>
          <t>D086</t>
        </is>
      </c>
      <c r="G1316" s="8">
        <f>IFERROR(VLOOKUP(A1316,Flete!$A:$E,5,0),"")</f>
        <v/>
      </c>
      <c r="H1316" s="7">
        <f>IFERROR(VLOOKUP(F1316,TRAOPE!$AA:$AB,2,0),"")</f>
        <v/>
      </c>
      <c r="I1316" s="7" t="n">
        <v>10269247</v>
      </c>
      <c r="J1316" s="7">
        <f>IFERROR(VLOOKUP(I1316,Materiales!$A:$H,8,0),"")</f>
        <v/>
      </c>
      <c r="K1316" s="9">
        <f>IFERROR(VLOOKUP(I1316,Materiales!$A:$G,7,0),"")</f>
        <v/>
      </c>
      <c r="L1316" s="8" t="inlineStr">
        <is>
          <t>20250701</t>
        </is>
      </c>
      <c r="M1316" s="8" t="inlineStr">
        <is>
          <t>20251031</t>
        </is>
      </c>
      <c r="N1316" s="10" t="n">
        <v>96.54000000000001</v>
      </c>
      <c r="O1316" s="10">
        <f>IFERROR(VLOOKUP(A1316,Flete!$A:$J,10,0),"")</f>
        <v/>
      </c>
      <c r="P1316" s="8" t="inlineStr">
        <is>
          <t>TN</t>
        </is>
      </c>
      <c r="Q1316" s="10">
        <f>IFERROR(IFERROR(VLOOKUP(A1316,TRAOPE!$A:$U,21,0),VLOOKUP(B1316,TRAOPE!$A:$U,21,0)),"")</f>
        <v/>
      </c>
      <c r="R1316" s="8">
        <f>IFERROR(IFERROR(VLOOKUP(A1316,TRAOPE!$A:$W,23,0),VLOOKUP(B1316,TRAOPE!$A:$W,23,0)),"")</f>
        <v/>
      </c>
      <c r="S1316" s="10">
        <f>IF(AND(P1316="TN",R1316="TN"),N1316+N(O1316),IF(G1316&amp;""="1",N(K1316)*N1316,(N1316+N(O1316))*N(K1316)))</f>
        <v/>
      </c>
      <c r="T1316" s="10">
        <f>IF(Q1316="","",Q1316-S1316)</f>
        <v/>
      </c>
    </row>
    <row r="1317">
      <c r="A1317" s="7">
        <f>CONCATENATE(C1317,E1317,F1317,I1317)</f>
        <v/>
      </c>
      <c r="B1317" s="7">
        <f>CONCATENATE(C1317,E1317,I1317)</f>
        <v/>
      </c>
      <c r="C1317" s="8" t="n">
        <v>900009292</v>
      </c>
      <c r="D1317" s="7">
        <f>IFERROR(VLOOKUP(C1317,TRAOPE!$G:$H,2,0),"")</f>
        <v/>
      </c>
      <c r="E1317" s="8" t="inlineStr">
        <is>
          <t>DW70</t>
        </is>
      </c>
      <c r="F1317" s="8" t="inlineStr">
        <is>
          <t>D093</t>
        </is>
      </c>
      <c r="G1317" s="8">
        <f>IFERROR(VLOOKUP(A1317,Flete!$A:$E,5,0),"")</f>
        <v/>
      </c>
      <c r="H1317" s="7">
        <f>IFERROR(VLOOKUP(F1317,TRAOPE!$AA:$AB,2,0),"")</f>
        <v/>
      </c>
      <c r="I1317" s="7" t="n">
        <v>10000630</v>
      </c>
      <c r="J1317" s="7">
        <f>IFERROR(VLOOKUP(I1317,Materiales!$A:$H,8,0),"")</f>
        <v/>
      </c>
      <c r="K1317" s="9">
        <f>IFERROR(VLOOKUP(I1317,Materiales!$A:$G,7,0),"")</f>
        <v/>
      </c>
      <c r="L1317" s="8" t="inlineStr">
        <is>
          <t>20250701</t>
        </is>
      </c>
      <c r="M1317" s="8" t="inlineStr">
        <is>
          <t>20251031</t>
        </is>
      </c>
      <c r="N1317" s="10" t="n">
        <v>138.27</v>
      </c>
      <c r="O1317" s="10">
        <f>IFERROR(VLOOKUP(A1317,Flete!$A:$J,10,0),"")</f>
        <v/>
      </c>
      <c r="P1317" s="8" t="inlineStr">
        <is>
          <t>TN</t>
        </is>
      </c>
      <c r="Q1317" s="10">
        <f>IFERROR(IFERROR(VLOOKUP(A1317,TRAOPE!$A:$U,21,0),VLOOKUP(B1317,TRAOPE!$A:$U,21,0)),"")</f>
        <v/>
      </c>
      <c r="R1317" s="8">
        <f>IFERROR(IFERROR(VLOOKUP(A1317,TRAOPE!$A:$W,23,0),VLOOKUP(B1317,TRAOPE!$A:$W,23,0)),"")</f>
        <v/>
      </c>
      <c r="S1317" s="10">
        <f>IF(AND(P1317="TN",R1317="TN"),N1317+N(O1317),IF(G1317&amp;""="1",N(K1317)*N1317,(N1317+N(O1317))*N(K1317)))</f>
        <v/>
      </c>
      <c r="T1317" s="10">
        <f>IF(Q1317="","",Q1317-S1317)</f>
        <v/>
      </c>
    </row>
    <row r="1318">
      <c r="A1318" s="7">
        <f>CONCATENATE(C1318,E1318,F1318,I1318)</f>
        <v/>
      </c>
      <c r="B1318" s="7">
        <f>CONCATENATE(C1318,E1318,I1318)</f>
        <v/>
      </c>
      <c r="C1318" s="8" t="n">
        <v>900009292</v>
      </c>
      <c r="D1318" s="7">
        <f>IFERROR(VLOOKUP(C1318,TRAOPE!$G:$H,2,0),"")</f>
        <v/>
      </c>
      <c r="E1318" s="8" t="inlineStr">
        <is>
          <t>DW70</t>
        </is>
      </c>
      <c r="F1318" s="8" t="inlineStr">
        <is>
          <t>D093</t>
        </is>
      </c>
      <c r="G1318" s="8">
        <f>IFERROR(VLOOKUP(A1318,Flete!$A:$E,5,0),"")</f>
        <v/>
      </c>
      <c r="H1318" s="7">
        <f>IFERROR(VLOOKUP(F1318,TRAOPE!$AA:$AB,2,0),"")</f>
        <v/>
      </c>
      <c r="I1318" s="7" t="n">
        <v>10000811</v>
      </c>
      <c r="J1318" s="7">
        <f>IFERROR(VLOOKUP(I1318,Materiales!$A:$H,8,0),"")</f>
        <v/>
      </c>
      <c r="K1318" s="9">
        <f>IFERROR(VLOOKUP(I1318,Materiales!$A:$G,7,0),"")</f>
        <v/>
      </c>
      <c r="L1318" s="8" t="inlineStr">
        <is>
          <t>20260814</t>
        </is>
      </c>
      <c r="M1318" s="8" t="inlineStr">
        <is>
          <t>99991231</t>
        </is>
      </c>
      <c r="N1318" s="10" t="n">
        <v>155.49</v>
      </c>
      <c r="O1318" s="10">
        <f>IFERROR(VLOOKUP(A1318,Flete!$A:$J,10,0),"")</f>
        <v/>
      </c>
      <c r="P1318" s="8" t="inlineStr">
        <is>
          <t>TN</t>
        </is>
      </c>
      <c r="Q1318" s="10">
        <f>IFERROR(IFERROR(VLOOKUP(A1318,TRAOPE!$A:$U,21,0),VLOOKUP(B1318,TRAOPE!$A:$U,21,0)),"")</f>
        <v/>
      </c>
      <c r="R1318" s="8">
        <f>IFERROR(IFERROR(VLOOKUP(A1318,TRAOPE!$A:$W,23,0),VLOOKUP(B1318,TRAOPE!$A:$W,23,0)),"")</f>
        <v/>
      </c>
      <c r="S1318" s="10">
        <f>IF(AND(P1318="TN",R1318="TN"),N1318+N(O1318),IF(G1318&amp;""="1",N(K1318)*N1318,(N1318+N(O1318))*N(K1318)))</f>
        <v/>
      </c>
      <c r="T1318" s="10">
        <f>IF(Q1318="","",Q1318-S1318)</f>
        <v/>
      </c>
    </row>
    <row r="1319">
      <c r="A1319" s="7">
        <f>CONCATENATE(C1319,E1319,F1319,I1319)</f>
        <v/>
      </c>
      <c r="B1319" s="7">
        <f>CONCATENATE(C1319,E1319,I1319)</f>
        <v/>
      </c>
      <c r="C1319" s="8" t="n">
        <v>900009292</v>
      </c>
      <c r="D1319" s="7">
        <f>IFERROR(VLOOKUP(C1319,TRAOPE!$G:$H,2,0),"")</f>
        <v/>
      </c>
      <c r="E1319" s="8" t="inlineStr">
        <is>
          <t>DW70</t>
        </is>
      </c>
      <c r="F1319" s="8" t="inlineStr">
        <is>
          <t>D093</t>
        </is>
      </c>
      <c r="G1319" s="8">
        <f>IFERROR(VLOOKUP(A1319,Flete!$A:$E,5,0),"")</f>
        <v/>
      </c>
      <c r="H1319" s="7">
        <f>IFERROR(VLOOKUP(F1319,TRAOPE!$AA:$AB,2,0),"")</f>
        <v/>
      </c>
      <c r="I1319" s="7" t="n">
        <v>10058345</v>
      </c>
      <c r="J1319" s="7">
        <f>IFERROR(VLOOKUP(I1319,Materiales!$A:$H,8,0),"")</f>
        <v/>
      </c>
      <c r="K1319" s="9">
        <f>IFERROR(VLOOKUP(I1319,Materiales!$A:$G,7,0),"")</f>
        <v/>
      </c>
      <c r="L1319" s="8" t="inlineStr">
        <is>
          <t>20260814</t>
        </is>
      </c>
      <c r="M1319" s="8" t="inlineStr">
        <is>
          <t>99991231</t>
        </is>
      </c>
      <c r="N1319" s="10" t="n">
        <v>95.23999999999999</v>
      </c>
      <c r="O1319" s="10">
        <f>IFERROR(VLOOKUP(A1319,Flete!$A:$J,10,0),"")</f>
        <v/>
      </c>
      <c r="P1319" s="8" t="inlineStr">
        <is>
          <t>TN</t>
        </is>
      </c>
      <c r="Q1319" s="10">
        <f>IFERROR(IFERROR(VLOOKUP(A1319,TRAOPE!$A:$U,21,0),VLOOKUP(B1319,TRAOPE!$A:$U,21,0)),"")</f>
        <v/>
      </c>
      <c r="R1319" s="8">
        <f>IFERROR(IFERROR(VLOOKUP(A1319,TRAOPE!$A:$W,23,0),VLOOKUP(B1319,TRAOPE!$A:$W,23,0)),"")</f>
        <v/>
      </c>
      <c r="S1319" s="10">
        <f>IF(AND(P1319="TN",R1319="TN"),N1319+N(O1319),IF(G1319&amp;""="1",N(K1319)*N1319,(N1319+N(O1319))*N(K1319)))</f>
        <v/>
      </c>
      <c r="T1319" s="10">
        <f>IF(Q1319="","",Q1319-S1319)</f>
        <v/>
      </c>
    </row>
    <row r="1320">
      <c r="A1320" s="7">
        <f>CONCATENATE(C1320,E1320,F1320,I1320)</f>
        <v/>
      </c>
      <c r="B1320" s="7">
        <f>CONCATENATE(C1320,E1320,I1320)</f>
        <v/>
      </c>
      <c r="C1320" s="8" t="n">
        <v>900009292</v>
      </c>
      <c r="D1320" s="7">
        <f>IFERROR(VLOOKUP(C1320,TRAOPE!$G:$H,2,0),"")</f>
        <v/>
      </c>
      <c r="E1320" s="8" t="inlineStr">
        <is>
          <t>DW70</t>
        </is>
      </c>
      <c r="F1320" s="8" t="inlineStr">
        <is>
          <t>D093</t>
        </is>
      </c>
      <c r="G1320" s="8">
        <f>IFERROR(VLOOKUP(A1320,Flete!$A:$E,5,0),"")</f>
        <v/>
      </c>
      <c r="H1320" s="7">
        <f>IFERROR(VLOOKUP(F1320,TRAOPE!$AA:$AB,2,0),"")</f>
        <v/>
      </c>
      <c r="I1320" s="7" t="n">
        <v>10269245</v>
      </c>
      <c r="J1320" s="7">
        <f>IFERROR(VLOOKUP(I1320,Materiales!$A:$H,8,0),"")</f>
        <v/>
      </c>
      <c r="K1320" s="9">
        <f>IFERROR(VLOOKUP(I1320,Materiales!$A:$G,7,0),"")</f>
        <v/>
      </c>
      <c r="L1320" s="8" t="inlineStr">
        <is>
          <t>20250701</t>
        </is>
      </c>
      <c r="M1320" s="8" t="inlineStr">
        <is>
          <t>20251031</t>
        </is>
      </c>
      <c r="N1320" s="10" t="n">
        <v>141.61</v>
      </c>
      <c r="O1320" s="10">
        <f>IFERROR(VLOOKUP(A1320,Flete!$A:$J,10,0),"")</f>
        <v/>
      </c>
      <c r="P1320" s="8" t="inlineStr">
        <is>
          <t>TN</t>
        </is>
      </c>
      <c r="Q1320" s="10">
        <f>IFERROR(IFERROR(VLOOKUP(A1320,TRAOPE!$A:$U,21,0),VLOOKUP(B1320,TRAOPE!$A:$U,21,0)),"")</f>
        <v/>
      </c>
      <c r="R1320" s="8">
        <f>IFERROR(IFERROR(VLOOKUP(A1320,TRAOPE!$A:$W,23,0),VLOOKUP(B1320,TRAOPE!$A:$W,23,0)),"")</f>
        <v/>
      </c>
      <c r="S1320" s="10">
        <f>IF(AND(P1320="TN",R1320="TN"),N1320+N(O1320),IF(G1320&amp;""="1",N(K1320)*N1320,(N1320+N(O1320))*N(K1320)))</f>
        <v/>
      </c>
      <c r="T1320" s="10">
        <f>IF(Q1320="","",Q1320-S1320)</f>
        <v/>
      </c>
    </row>
    <row r="1321">
      <c r="A1321" s="7">
        <f>CONCATENATE(C1321,E1321,F1321,I1321)</f>
        <v/>
      </c>
      <c r="B1321" s="7">
        <f>CONCATENATE(C1321,E1321,I1321)</f>
        <v/>
      </c>
      <c r="C1321" s="8" t="n">
        <v>900009292</v>
      </c>
      <c r="D1321" s="7">
        <f>IFERROR(VLOOKUP(C1321,TRAOPE!$G:$H,2,0),"")</f>
        <v/>
      </c>
      <c r="E1321" s="8" t="inlineStr">
        <is>
          <t>DW70</t>
        </is>
      </c>
      <c r="F1321" s="8" t="inlineStr">
        <is>
          <t>D093</t>
        </is>
      </c>
      <c r="G1321" s="8">
        <f>IFERROR(VLOOKUP(A1321,Flete!$A:$E,5,0),"")</f>
        <v/>
      </c>
      <c r="H1321" s="7">
        <f>IFERROR(VLOOKUP(F1321,TRAOPE!$AA:$AB,2,0),"")</f>
        <v/>
      </c>
      <c r="I1321" s="7" t="n">
        <v>10269246</v>
      </c>
      <c r="J1321" s="7">
        <f>IFERROR(VLOOKUP(I1321,Materiales!$A:$H,8,0),"")</f>
        <v/>
      </c>
      <c r="K1321" s="9">
        <f>IFERROR(VLOOKUP(I1321,Materiales!$A:$G,7,0),"")</f>
        <v/>
      </c>
      <c r="L1321" s="8" t="inlineStr">
        <is>
          <t>20250701</t>
        </is>
      </c>
      <c r="M1321" s="8" t="inlineStr">
        <is>
          <t>20251031</t>
        </is>
      </c>
      <c r="N1321" s="10" t="n">
        <v>138.27</v>
      </c>
      <c r="O1321" s="10">
        <f>IFERROR(VLOOKUP(A1321,Flete!$A:$J,10,0),"")</f>
        <v/>
      </c>
      <c r="P1321" s="8" t="inlineStr">
        <is>
          <t>TN</t>
        </is>
      </c>
      <c r="Q1321" s="10">
        <f>IFERROR(IFERROR(VLOOKUP(A1321,TRAOPE!$A:$U,21,0),VLOOKUP(B1321,TRAOPE!$A:$U,21,0)),"")</f>
        <v/>
      </c>
      <c r="R1321" s="8">
        <f>IFERROR(IFERROR(VLOOKUP(A1321,TRAOPE!$A:$W,23,0),VLOOKUP(B1321,TRAOPE!$A:$W,23,0)),"")</f>
        <v/>
      </c>
      <c r="S1321" s="10">
        <f>IF(AND(P1321="TN",R1321="TN"),N1321+N(O1321),IF(G1321&amp;""="1",N(K1321)*N1321,(N1321+N(O1321))*N(K1321)))</f>
        <v/>
      </c>
      <c r="T1321" s="10">
        <f>IF(Q1321="","",Q1321-S1321)</f>
        <v/>
      </c>
    </row>
    <row r="1322">
      <c r="A1322" s="7">
        <f>CONCATENATE(C1322,E1322,F1322,I1322)</f>
        <v/>
      </c>
      <c r="B1322" s="7">
        <f>CONCATENATE(C1322,E1322,I1322)</f>
        <v/>
      </c>
      <c r="C1322" s="8" t="n">
        <v>900009292</v>
      </c>
      <c r="D1322" s="7">
        <f>IFERROR(VLOOKUP(C1322,TRAOPE!$G:$H,2,0),"")</f>
        <v/>
      </c>
      <c r="E1322" s="8" t="inlineStr">
        <is>
          <t>DW70</t>
        </is>
      </c>
      <c r="F1322" s="8" t="inlineStr">
        <is>
          <t>D093</t>
        </is>
      </c>
      <c r="G1322" s="8">
        <f>IFERROR(VLOOKUP(A1322,Flete!$A:$E,5,0),"")</f>
        <v/>
      </c>
      <c r="H1322" s="7">
        <f>IFERROR(VLOOKUP(F1322,TRAOPE!$AA:$AB,2,0),"")</f>
        <v/>
      </c>
      <c r="I1322" s="7" t="n">
        <v>10269247</v>
      </c>
      <c r="J1322" s="7">
        <f>IFERROR(VLOOKUP(I1322,Materiales!$A:$H,8,0),"")</f>
        <v/>
      </c>
      <c r="K1322" s="9">
        <f>IFERROR(VLOOKUP(I1322,Materiales!$A:$G,7,0),"")</f>
        <v/>
      </c>
      <c r="L1322" s="8" t="inlineStr">
        <is>
          <t>20250701</t>
        </is>
      </c>
      <c r="M1322" s="8" t="inlineStr">
        <is>
          <t>20251031</t>
        </is>
      </c>
      <c r="N1322" s="10" t="n">
        <v>96.54000000000001</v>
      </c>
      <c r="O1322" s="10">
        <f>IFERROR(VLOOKUP(A1322,Flete!$A:$J,10,0),"")</f>
        <v/>
      </c>
      <c r="P1322" s="8" t="inlineStr">
        <is>
          <t>TN</t>
        </is>
      </c>
      <c r="Q1322" s="10">
        <f>IFERROR(IFERROR(VLOOKUP(A1322,TRAOPE!$A:$U,21,0),VLOOKUP(B1322,TRAOPE!$A:$U,21,0)),"")</f>
        <v/>
      </c>
      <c r="R1322" s="8">
        <f>IFERROR(IFERROR(VLOOKUP(A1322,TRAOPE!$A:$W,23,0),VLOOKUP(B1322,TRAOPE!$A:$W,23,0)),"")</f>
        <v/>
      </c>
      <c r="S1322" s="10">
        <f>IF(AND(P1322="TN",R1322="TN"),N1322+N(O1322),IF(G1322&amp;""="1",N(K1322)*N1322,(N1322+N(O1322))*N(K1322)))</f>
        <v/>
      </c>
      <c r="T1322" s="10">
        <f>IF(Q1322="","",Q1322-S1322)</f>
        <v/>
      </c>
    </row>
    <row r="1323">
      <c r="A1323" s="7">
        <f>CONCATENATE(C1323,E1323,F1323,I1323)</f>
        <v/>
      </c>
      <c r="B1323" s="7">
        <f>CONCATENATE(C1323,E1323,I1323)</f>
        <v/>
      </c>
      <c r="C1323" s="8" t="n">
        <v>900009292</v>
      </c>
      <c r="D1323" s="7">
        <f>IFERROR(VLOOKUP(C1323,TRAOPE!$G:$H,2,0),"")</f>
        <v/>
      </c>
      <c r="E1323" s="8" t="inlineStr">
        <is>
          <t>DW70</t>
        </is>
      </c>
      <c r="F1323" s="8" t="inlineStr">
        <is>
          <t>D098</t>
        </is>
      </c>
      <c r="G1323" s="8">
        <f>IFERROR(VLOOKUP(A1323,Flete!$A:$E,5,0),"")</f>
        <v/>
      </c>
      <c r="H1323" s="7">
        <f>IFERROR(VLOOKUP(F1323,TRAOPE!$AA:$AB,2,0),"")</f>
        <v/>
      </c>
      <c r="I1323" s="7" t="n">
        <v>10000630</v>
      </c>
      <c r="J1323" s="7">
        <f>IFERROR(VLOOKUP(I1323,Materiales!$A:$H,8,0),"")</f>
        <v/>
      </c>
      <c r="K1323" s="9">
        <f>IFERROR(VLOOKUP(I1323,Materiales!$A:$G,7,0),"")</f>
        <v/>
      </c>
      <c r="L1323" s="8" t="inlineStr">
        <is>
          <t>20250701</t>
        </is>
      </c>
      <c r="M1323" s="8" t="inlineStr">
        <is>
          <t>20251031</t>
        </is>
      </c>
      <c r="N1323" s="10" t="n">
        <v>138.27</v>
      </c>
      <c r="O1323" s="10">
        <f>IFERROR(VLOOKUP(A1323,Flete!$A:$J,10,0),"")</f>
        <v/>
      </c>
      <c r="P1323" s="8" t="inlineStr">
        <is>
          <t>TN</t>
        </is>
      </c>
      <c r="Q1323" s="10">
        <f>IFERROR(IFERROR(VLOOKUP(A1323,TRAOPE!$A:$U,21,0),VLOOKUP(B1323,TRAOPE!$A:$U,21,0)),"")</f>
        <v/>
      </c>
      <c r="R1323" s="8">
        <f>IFERROR(IFERROR(VLOOKUP(A1323,TRAOPE!$A:$W,23,0),VLOOKUP(B1323,TRAOPE!$A:$W,23,0)),"")</f>
        <v/>
      </c>
      <c r="S1323" s="10">
        <f>IF(AND(P1323="TN",R1323="TN"),N1323+N(O1323),IF(G1323&amp;""="1",N(K1323)*N1323,(N1323+N(O1323))*N(K1323)))</f>
        <v/>
      </c>
      <c r="T1323" s="10">
        <f>IF(Q1323="","",Q1323-S1323)</f>
        <v/>
      </c>
    </row>
    <row r="1324">
      <c r="A1324" s="7">
        <f>CONCATENATE(C1324,E1324,F1324,I1324)</f>
        <v/>
      </c>
      <c r="B1324" s="7">
        <f>CONCATENATE(C1324,E1324,I1324)</f>
        <v/>
      </c>
      <c r="C1324" s="8" t="n">
        <v>900009292</v>
      </c>
      <c r="D1324" s="7">
        <f>IFERROR(VLOOKUP(C1324,TRAOPE!$G:$H,2,0),"")</f>
        <v/>
      </c>
      <c r="E1324" s="8" t="inlineStr">
        <is>
          <t>DW70</t>
        </is>
      </c>
      <c r="F1324" s="8" t="inlineStr">
        <is>
          <t>D098</t>
        </is>
      </c>
      <c r="G1324" s="8">
        <f>IFERROR(VLOOKUP(A1324,Flete!$A:$E,5,0),"")</f>
        <v/>
      </c>
      <c r="H1324" s="7">
        <f>IFERROR(VLOOKUP(F1324,TRAOPE!$AA:$AB,2,0),"")</f>
        <v/>
      </c>
      <c r="I1324" s="7" t="n">
        <v>10000811</v>
      </c>
      <c r="J1324" s="7">
        <f>IFERROR(VLOOKUP(I1324,Materiales!$A:$H,8,0),"")</f>
        <v/>
      </c>
      <c r="K1324" s="9">
        <f>IFERROR(VLOOKUP(I1324,Materiales!$A:$G,7,0),"")</f>
        <v/>
      </c>
      <c r="L1324" s="8" t="inlineStr">
        <is>
          <t>20260814</t>
        </is>
      </c>
      <c r="M1324" s="8" t="inlineStr">
        <is>
          <t>99991231</t>
        </is>
      </c>
      <c r="N1324" s="10" t="n">
        <v>155.49</v>
      </c>
      <c r="O1324" s="10">
        <f>IFERROR(VLOOKUP(A1324,Flete!$A:$J,10,0),"")</f>
        <v/>
      </c>
      <c r="P1324" s="8" t="inlineStr">
        <is>
          <t>TN</t>
        </is>
      </c>
      <c r="Q1324" s="10">
        <f>IFERROR(IFERROR(VLOOKUP(A1324,TRAOPE!$A:$U,21,0),VLOOKUP(B1324,TRAOPE!$A:$U,21,0)),"")</f>
        <v/>
      </c>
      <c r="R1324" s="8">
        <f>IFERROR(IFERROR(VLOOKUP(A1324,TRAOPE!$A:$W,23,0),VLOOKUP(B1324,TRAOPE!$A:$W,23,0)),"")</f>
        <v/>
      </c>
      <c r="S1324" s="10">
        <f>IF(AND(P1324="TN",R1324="TN"),N1324+N(O1324),IF(G1324&amp;""="1",N(K1324)*N1324,(N1324+N(O1324))*N(K1324)))</f>
        <v/>
      </c>
      <c r="T1324" s="10">
        <f>IF(Q1324="","",Q1324-S1324)</f>
        <v/>
      </c>
    </row>
    <row r="1325">
      <c r="A1325" s="7">
        <f>CONCATENATE(C1325,E1325,F1325,I1325)</f>
        <v/>
      </c>
      <c r="B1325" s="7">
        <f>CONCATENATE(C1325,E1325,I1325)</f>
        <v/>
      </c>
      <c r="C1325" s="8" t="n">
        <v>900009292</v>
      </c>
      <c r="D1325" s="7">
        <f>IFERROR(VLOOKUP(C1325,TRAOPE!$G:$H,2,0),"")</f>
        <v/>
      </c>
      <c r="E1325" s="8" t="inlineStr">
        <is>
          <t>DW70</t>
        </is>
      </c>
      <c r="F1325" s="8" t="inlineStr">
        <is>
          <t>D098</t>
        </is>
      </c>
      <c r="G1325" s="8">
        <f>IFERROR(VLOOKUP(A1325,Flete!$A:$E,5,0),"")</f>
        <v/>
      </c>
      <c r="H1325" s="7">
        <f>IFERROR(VLOOKUP(F1325,TRAOPE!$AA:$AB,2,0),"")</f>
        <v/>
      </c>
      <c r="I1325" s="7" t="n">
        <v>10058345</v>
      </c>
      <c r="J1325" s="7">
        <f>IFERROR(VLOOKUP(I1325,Materiales!$A:$H,8,0),"")</f>
        <v/>
      </c>
      <c r="K1325" s="9">
        <f>IFERROR(VLOOKUP(I1325,Materiales!$A:$G,7,0),"")</f>
        <v/>
      </c>
      <c r="L1325" s="8" t="inlineStr">
        <is>
          <t>20260814</t>
        </is>
      </c>
      <c r="M1325" s="8" t="inlineStr">
        <is>
          <t>99991231</t>
        </is>
      </c>
      <c r="N1325" s="10" t="n">
        <v>95.23999999999999</v>
      </c>
      <c r="O1325" s="10">
        <f>IFERROR(VLOOKUP(A1325,Flete!$A:$J,10,0),"")</f>
        <v/>
      </c>
      <c r="P1325" s="8" t="inlineStr">
        <is>
          <t>TN</t>
        </is>
      </c>
      <c r="Q1325" s="10">
        <f>IFERROR(IFERROR(VLOOKUP(A1325,TRAOPE!$A:$U,21,0),VLOOKUP(B1325,TRAOPE!$A:$U,21,0)),"")</f>
        <v/>
      </c>
      <c r="R1325" s="8">
        <f>IFERROR(IFERROR(VLOOKUP(A1325,TRAOPE!$A:$W,23,0),VLOOKUP(B1325,TRAOPE!$A:$W,23,0)),"")</f>
        <v/>
      </c>
      <c r="S1325" s="10">
        <f>IF(AND(P1325="TN",R1325="TN"),N1325+N(O1325),IF(G1325&amp;""="1",N(K1325)*N1325,(N1325+N(O1325))*N(K1325)))</f>
        <v/>
      </c>
      <c r="T1325" s="10">
        <f>IF(Q1325="","",Q1325-S1325)</f>
        <v/>
      </c>
    </row>
    <row r="1326">
      <c r="A1326" s="7">
        <f>CONCATENATE(C1326,E1326,F1326,I1326)</f>
        <v/>
      </c>
      <c r="B1326" s="7">
        <f>CONCATENATE(C1326,E1326,I1326)</f>
        <v/>
      </c>
      <c r="C1326" s="8" t="n">
        <v>900009292</v>
      </c>
      <c r="D1326" s="7">
        <f>IFERROR(VLOOKUP(C1326,TRAOPE!$G:$H,2,0),"")</f>
        <v/>
      </c>
      <c r="E1326" s="8" t="inlineStr">
        <is>
          <t>DW70</t>
        </is>
      </c>
      <c r="F1326" s="8" t="inlineStr">
        <is>
          <t>D098</t>
        </is>
      </c>
      <c r="G1326" s="8">
        <f>IFERROR(VLOOKUP(A1326,Flete!$A:$E,5,0),"")</f>
        <v/>
      </c>
      <c r="H1326" s="7">
        <f>IFERROR(VLOOKUP(F1326,TRAOPE!$AA:$AB,2,0),"")</f>
        <v/>
      </c>
      <c r="I1326" s="7" t="n">
        <v>10269245</v>
      </c>
      <c r="J1326" s="7">
        <f>IFERROR(VLOOKUP(I1326,Materiales!$A:$H,8,0),"")</f>
        <v/>
      </c>
      <c r="K1326" s="9">
        <f>IFERROR(VLOOKUP(I1326,Materiales!$A:$G,7,0),"")</f>
        <v/>
      </c>
      <c r="L1326" s="8" t="inlineStr">
        <is>
          <t>20250701</t>
        </is>
      </c>
      <c r="M1326" s="8" t="inlineStr">
        <is>
          <t>20251031</t>
        </is>
      </c>
      <c r="N1326" s="10" t="n">
        <v>141.61</v>
      </c>
      <c r="O1326" s="10">
        <f>IFERROR(VLOOKUP(A1326,Flete!$A:$J,10,0),"")</f>
        <v/>
      </c>
      <c r="P1326" s="8" t="inlineStr">
        <is>
          <t>TN</t>
        </is>
      </c>
      <c r="Q1326" s="10">
        <f>IFERROR(IFERROR(VLOOKUP(A1326,TRAOPE!$A:$U,21,0),VLOOKUP(B1326,TRAOPE!$A:$U,21,0)),"")</f>
        <v/>
      </c>
      <c r="R1326" s="8">
        <f>IFERROR(IFERROR(VLOOKUP(A1326,TRAOPE!$A:$W,23,0),VLOOKUP(B1326,TRAOPE!$A:$W,23,0)),"")</f>
        <v/>
      </c>
      <c r="S1326" s="10">
        <f>IF(AND(P1326="TN",R1326="TN"),N1326+N(O1326),IF(G1326&amp;""="1",N(K1326)*N1326,(N1326+N(O1326))*N(K1326)))</f>
        <v/>
      </c>
      <c r="T1326" s="10">
        <f>IF(Q1326="","",Q1326-S1326)</f>
        <v/>
      </c>
    </row>
    <row r="1327">
      <c r="A1327" s="7">
        <f>CONCATENATE(C1327,E1327,F1327,I1327)</f>
        <v/>
      </c>
      <c r="B1327" s="7">
        <f>CONCATENATE(C1327,E1327,I1327)</f>
        <v/>
      </c>
      <c r="C1327" s="8" t="n">
        <v>900009292</v>
      </c>
      <c r="D1327" s="7">
        <f>IFERROR(VLOOKUP(C1327,TRAOPE!$G:$H,2,0),"")</f>
        <v/>
      </c>
      <c r="E1327" s="8" t="inlineStr">
        <is>
          <t>DW70</t>
        </is>
      </c>
      <c r="F1327" s="8" t="inlineStr">
        <is>
          <t>D098</t>
        </is>
      </c>
      <c r="G1327" s="8">
        <f>IFERROR(VLOOKUP(A1327,Flete!$A:$E,5,0),"")</f>
        <v/>
      </c>
      <c r="H1327" s="7">
        <f>IFERROR(VLOOKUP(F1327,TRAOPE!$AA:$AB,2,0),"")</f>
        <v/>
      </c>
      <c r="I1327" s="7" t="n">
        <v>10269246</v>
      </c>
      <c r="J1327" s="7">
        <f>IFERROR(VLOOKUP(I1327,Materiales!$A:$H,8,0),"")</f>
        <v/>
      </c>
      <c r="K1327" s="9">
        <f>IFERROR(VLOOKUP(I1327,Materiales!$A:$G,7,0),"")</f>
        <v/>
      </c>
      <c r="L1327" s="8" t="inlineStr">
        <is>
          <t>20250701</t>
        </is>
      </c>
      <c r="M1327" s="8" t="inlineStr">
        <is>
          <t>20251031</t>
        </is>
      </c>
      <c r="N1327" s="10" t="n">
        <v>138.27</v>
      </c>
      <c r="O1327" s="10">
        <f>IFERROR(VLOOKUP(A1327,Flete!$A:$J,10,0),"")</f>
        <v/>
      </c>
      <c r="P1327" s="8" t="inlineStr">
        <is>
          <t>TN</t>
        </is>
      </c>
      <c r="Q1327" s="10">
        <f>IFERROR(IFERROR(VLOOKUP(A1327,TRAOPE!$A:$U,21,0),VLOOKUP(B1327,TRAOPE!$A:$U,21,0)),"")</f>
        <v/>
      </c>
      <c r="R1327" s="8">
        <f>IFERROR(IFERROR(VLOOKUP(A1327,TRAOPE!$A:$W,23,0),VLOOKUP(B1327,TRAOPE!$A:$W,23,0)),"")</f>
        <v/>
      </c>
      <c r="S1327" s="10">
        <f>IF(AND(P1327="TN",R1327="TN"),N1327+N(O1327),IF(G1327&amp;""="1",N(K1327)*N1327,(N1327+N(O1327))*N(K1327)))</f>
        <v/>
      </c>
      <c r="T1327" s="10">
        <f>IF(Q1327="","",Q1327-S1327)</f>
        <v/>
      </c>
    </row>
    <row r="1328">
      <c r="A1328" s="7">
        <f>CONCATENATE(C1328,E1328,F1328,I1328)</f>
        <v/>
      </c>
      <c r="B1328" s="7">
        <f>CONCATENATE(C1328,E1328,I1328)</f>
        <v/>
      </c>
      <c r="C1328" s="8" t="n">
        <v>900009292</v>
      </c>
      <c r="D1328" s="7">
        <f>IFERROR(VLOOKUP(C1328,TRAOPE!$G:$H,2,0),"")</f>
        <v/>
      </c>
      <c r="E1328" s="8" t="inlineStr">
        <is>
          <t>DW70</t>
        </is>
      </c>
      <c r="F1328" s="8" t="inlineStr">
        <is>
          <t>D098</t>
        </is>
      </c>
      <c r="G1328" s="8">
        <f>IFERROR(VLOOKUP(A1328,Flete!$A:$E,5,0),"")</f>
        <v/>
      </c>
      <c r="H1328" s="7">
        <f>IFERROR(VLOOKUP(F1328,TRAOPE!$AA:$AB,2,0),"")</f>
        <v/>
      </c>
      <c r="I1328" s="7" t="n">
        <v>10269247</v>
      </c>
      <c r="J1328" s="7">
        <f>IFERROR(VLOOKUP(I1328,Materiales!$A:$H,8,0),"")</f>
        <v/>
      </c>
      <c r="K1328" s="9">
        <f>IFERROR(VLOOKUP(I1328,Materiales!$A:$G,7,0),"")</f>
        <v/>
      </c>
      <c r="L1328" s="8" t="inlineStr">
        <is>
          <t>20250701</t>
        </is>
      </c>
      <c r="M1328" s="8" t="inlineStr">
        <is>
          <t>20251031</t>
        </is>
      </c>
      <c r="N1328" s="10" t="n">
        <v>96.54000000000001</v>
      </c>
      <c r="O1328" s="10">
        <f>IFERROR(VLOOKUP(A1328,Flete!$A:$J,10,0),"")</f>
        <v/>
      </c>
      <c r="P1328" s="8" t="inlineStr">
        <is>
          <t>TN</t>
        </is>
      </c>
      <c r="Q1328" s="10">
        <f>IFERROR(IFERROR(VLOOKUP(A1328,TRAOPE!$A:$U,21,0),VLOOKUP(B1328,TRAOPE!$A:$U,21,0)),"")</f>
        <v/>
      </c>
      <c r="R1328" s="8">
        <f>IFERROR(IFERROR(VLOOKUP(A1328,TRAOPE!$A:$W,23,0),VLOOKUP(B1328,TRAOPE!$A:$W,23,0)),"")</f>
        <v/>
      </c>
      <c r="S1328" s="10">
        <f>IF(AND(P1328="TN",R1328="TN"),N1328+N(O1328),IF(G1328&amp;""="1",N(K1328)*N1328,(N1328+N(O1328))*N(K1328)))</f>
        <v/>
      </c>
      <c r="T1328" s="10">
        <f>IF(Q1328="","",Q1328-S1328)</f>
        <v/>
      </c>
    </row>
    <row r="1329">
      <c r="A1329" s="7">
        <f>CONCATENATE(C1329,E1329,F1329,I1329)</f>
        <v/>
      </c>
      <c r="B1329" s="7">
        <f>CONCATENATE(C1329,E1329,I1329)</f>
        <v/>
      </c>
      <c r="C1329" s="8" t="n">
        <v>900009292</v>
      </c>
      <c r="D1329" s="7">
        <f>IFERROR(VLOOKUP(C1329,TRAOPE!$G:$H,2,0),"")</f>
        <v/>
      </c>
      <c r="E1329" s="8" t="inlineStr">
        <is>
          <t>DW70</t>
        </is>
      </c>
      <c r="F1329" s="8" t="inlineStr">
        <is>
          <t>D105</t>
        </is>
      </c>
      <c r="G1329" s="8">
        <f>IFERROR(VLOOKUP(A1329,Flete!$A:$E,5,0),"")</f>
        <v/>
      </c>
      <c r="H1329" s="7">
        <f>IFERROR(VLOOKUP(F1329,TRAOPE!$AA:$AB,2,0),"")</f>
        <v/>
      </c>
      <c r="I1329" s="7" t="n">
        <v>10000630</v>
      </c>
      <c r="J1329" s="7">
        <f>IFERROR(VLOOKUP(I1329,Materiales!$A:$H,8,0),"")</f>
        <v/>
      </c>
      <c r="K1329" s="9">
        <f>IFERROR(VLOOKUP(I1329,Materiales!$A:$G,7,0),"")</f>
        <v/>
      </c>
      <c r="L1329" s="8" t="inlineStr">
        <is>
          <t>20250701</t>
        </is>
      </c>
      <c r="M1329" s="8" t="inlineStr">
        <is>
          <t>20251031</t>
        </is>
      </c>
      <c r="N1329" s="10" t="n">
        <v>138.27</v>
      </c>
      <c r="O1329" s="10">
        <f>IFERROR(VLOOKUP(A1329,Flete!$A:$J,10,0),"")</f>
        <v/>
      </c>
      <c r="P1329" s="8" t="inlineStr">
        <is>
          <t>TN</t>
        </is>
      </c>
      <c r="Q1329" s="10">
        <f>IFERROR(IFERROR(VLOOKUP(A1329,TRAOPE!$A:$U,21,0),VLOOKUP(B1329,TRAOPE!$A:$U,21,0)),"")</f>
        <v/>
      </c>
      <c r="R1329" s="8">
        <f>IFERROR(IFERROR(VLOOKUP(A1329,TRAOPE!$A:$W,23,0),VLOOKUP(B1329,TRAOPE!$A:$W,23,0)),"")</f>
        <v/>
      </c>
      <c r="S1329" s="10">
        <f>IF(AND(P1329="TN",R1329="TN"),N1329+N(O1329),IF(G1329&amp;""="1",N(K1329)*N1329,(N1329+N(O1329))*N(K1329)))</f>
        <v/>
      </c>
      <c r="T1329" s="10">
        <f>IF(Q1329="","",Q1329-S1329)</f>
        <v/>
      </c>
    </row>
    <row r="1330">
      <c r="A1330" s="7">
        <f>CONCATENATE(C1330,E1330,F1330,I1330)</f>
        <v/>
      </c>
      <c r="B1330" s="7">
        <f>CONCATENATE(C1330,E1330,I1330)</f>
        <v/>
      </c>
      <c r="C1330" s="8" t="n">
        <v>900009292</v>
      </c>
      <c r="D1330" s="7">
        <f>IFERROR(VLOOKUP(C1330,TRAOPE!$G:$H,2,0),"")</f>
        <v/>
      </c>
      <c r="E1330" s="8" t="inlineStr">
        <is>
          <t>DW70</t>
        </is>
      </c>
      <c r="F1330" s="8" t="inlineStr">
        <is>
          <t>D105</t>
        </is>
      </c>
      <c r="G1330" s="8">
        <f>IFERROR(VLOOKUP(A1330,Flete!$A:$E,5,0),"")</f>
        <v/>
      </c>
      <c r="H1330" s="7">
        <f>IFERROR(VLOOKUP(F1330,TRAOPE!$AA:$AB,2,0),"")</f>
        <v/>
      </c>
      <c r="I1330" s="7" t="n">
        <v>10000811</v>
      </c>
      <c r="J1330" s="7">
        <f>IFERROR(VLOOKUP(I1330,Materiales!$A:$H,8,0),"")</f>
        <v/>
      </c>
      <c r="K1330" s="9">
        <f>IFERROR(VLOOKUP(I1330,Materiales!$A:$G,7,0),"")</f>
        <v/>
      </c>
      <c r="L1330" s="8" t="inlineStr">
        <is>
          <t>20260814</t>
        </is>
      </c>
      <c r="M1330" s="8" t="inlineStr">
        <is>
          <t>99991231</t>
        </is>
      </c>
      <c r="N1330" s="10" t="n">
        <v>155.49</v>
      </c>
      <c r="O1330" s="10">
        <f>IFERROR(VLOOKUP(A1330,Flete!$A:$J,10,0),"")</f>
        <v/>
      </c>
      <c r="P1330" s="8" t="inlineStr">
        <is>
          <t>TN</t>
        </is>
      </c>
      <c r="Q1330" s="10">
        <f>IFERROR(IFERROR(VLOOKUP(A1330,TRAOPE!$A:$U,21,0),VLOOKUP(B1330,TRAOPE!$A:$U,21,0)),"")</f>
        <v/>
      </c>
      <c r="R1330" s="8">
        <f>IFERROR(IFERROR(VLOOKUP(A1330,TRAOPE!$A:$W,23,0),VLOOKUP(B1330,TRAOPE!$A:$W,23,0)),"")</f>
        <v/>
      </c>
      <c r="S1330" s="10">
        <f>IF(AND(P1330="TN",R1330="TN"),N1330+N(O1330),IF(G1330&amp;""="1",N(K1330)*N1330,(N1330+N(O1330))*N(K1330)))</f>
        <v/>
      </c>
      <c r="T1330" s="10">
        <f>IF(Q1330="","",Q1330-S1330)</f>
        <v/>
      </c>
    </row>
    <row r="1331">
      <c r="A1331" s="7">
        <f>CONCATENATE(C1331,E1331,F1331,I1331)</f>
        <v/>
      </c>
      <c r="B1331" s="7">
        <f>CONCATENATE(C1331,E1331,I1331)</f>
        <v/>
      </c>
      <c r="C1331" s="8" t="n">
        <v>900009292</v>
      </c>
      <c r="D1331" s="7">
        <f>IFERROR(VLOOKUP(C1331,TRAOPE!$G:$H,2,0),"")</f>
        <v/>
      </c>
      <c r="E1331" s="8" t="inlineStr">
        <is>
          <t>DW70</t>
        </is>
      </c>
      <c r="F1331" s="8" t="inlineStr">
        <is>
          <t>D105</t>
        </is>
      </c>
      <c r="G1331" s="8">
        <f>IFERROR(VLOOKUP(A1331,Flete!$A:$E,5,0),"")</f>
        <v/>
      </c>
      <c r="H1331" s="7">
        <f>IFERROR(VLOOKUP(F1331,TRAOPE!$AA:$AB,2,0),"")</f>
        <v/>
      </c>
      <c r="I1331" s="7" t="n">
        <v>10058345</v>
      </c>
      <c r="J1331" s="7">
        <f>IFERROR(VLOOKUP(I1331,Materiales!$A:$H,8,0),"")</f>
        <v/>
      </c>
      <c r="K1331" s="9">
        <f>IFERROR(VLOOKUP(I1331,Materiales!$A:$G,7,0),"")</f>
        <v/>
      </c>
      <c r="L1331" s="8" t="inlineStr">
        <is>
          <t>20260814</t>
        </is>
      </c>
      <c r="M1331" s="8" t="inlineStr">
        <is>
          <t>99991231</t>
        </is>
      </c>
      <c r="N1331" s="10" t="n">
        <v>95.23999999999999</v>
      </c>
      <c r="O1331" s="10">
        <f>IFERROR(VLOOKUP(A1331,Flete!$A:$J,10,0),"")</f>
        <v/>
      </c>
      <c r="P1331" s="8" t="inlineStr">
        <is>
          <t>TN</t>
        </is>
      </c>
      <c r="Q1331" s="10">
        <f>IFERROR(IFERROR(VLOOKUP(A1331,TRAOPE!$A:$U,21,0),VLOOKUP(B1331,TRAOPE!$A:$U,21,0)),"")</f>
        <v/>
      </c>
      <c r="R1331" s="8">
        <f>IFERROR(IFERROR(VLOOKUP(A1331,TRAOPE!$A:$W,23,0),VLOOKUP(B1331,TRAOPE!$A:$W,23,0)),"")</f>
        <v/>
      </c>
      <c r="S1331" s="10">
        <f>IF(AND(P1331="TN",R1331="TN"),N1331+N(O1331),IF(G1331&amp;""="1",N(K1331)*N1331,(N1331+N(O1331))*N(K1331)))</f>
        <v/>
      </c>
      <c r="T1331" s="10">
        <f>IF(Q1331="","",Q1331-S1331)</f>
        <v/>
      </c>
    </row>
    <row r="1332">
      <c r="A1332" s="7">
        <f>CONCATENATE(C1332,E1332,F1332,I1332)</f>
        <v/>
      </c>
      <c r="B1332" s="7">
        <f>CONCATENATE(C1332,E1332,I1332)</f>
        <v/>
      </c>
      <c r="C1332" s="8" t="n">
        <v>900009292</v>
      </c>
      <c r="D1332" s="7">
        <f>IFERROR(VLOOKUP(C1332,TRAOPE!$G:$H,2,0),"")</f>
        <v/>
      </c>
      <c r="E1332" s="8" t="inlineStr">
        <is>
          <t>DW70</t>
        </is>
      </c>
      <c r="F1332" s="8" t="inlineStr">
        <is>
          <t>D105</t>
        </is>
      </c>
      <c r="G1332" s="8">
        <f>IFERROR(VLOOKUP(A1332,Flete!$A:$E,5,0),"")</f>
        <v/>
      </c>
      <c r="H1332" s="7">
        <f>IFERROR(VLOOKUP(F1332,TRAOPE!$AA:$AB,2,0),"")</f>
        <v/>
      </c>
      <c r="I1332" s="7" t="n">
        <v>10269245</v>
      </c>
      <c r="J1332" s="7">
        <f>IFERROR(VLOOKUP(I1332,Materiales!$A:$H,8,0),"")</f>
        <v/>
      </c>
      <c r="K1332" s="9">
        <f>IFERROR(VLOOKUP(I1332,Materiales!$A:$G,7,0),"")</f>
        <v/>
      </c>
      <c r="L1332" s="8" t="inlineStr">
        <is>
          <t>20250701</t>
        </is>
      </c>
      <c r="M1332" s="8" t="inlineStr">
        <is>
          <t>20251031</t>
        </is>
      </c>
      <c r="N1332" s="10" t="n">
        <v>141.61</v>
      </c>
      <c r="O1332" s="10">
        <f>IFERROR(VLOOKUP(A1332,Flete!$A:$J,10,0),"")</f>
        <v/>
      </c>
      <c r="P1332" s="8" t="inlineStr">
        <is>
          <t>TN</t>
        </is>
      </c>
      <c r="Q1332" s="10">
        <f>IFERROR(IFERROR(VLOOKUP(A1332,TRAOPE!$A:$U,21,0),VLOOKUP(B1332,TRAOPE!$A:$U,21,0)),"")</f>
        <v/>
      </c>
      <c r="R1332" s="8">
        <f>IFERROR(IFERROR(VLOOKUP(A1332,TRAOPE!$A:$W,23,0),VLOOKUP(B1332,TRAOPE!$A:$W,23,0)),"")</f>
        <v/>
      </c>
      <c r="S1332" s="10">
        <f>IF(AND(P1332="TN",R1332="TN"),N1332+N(O1332),IF(G1332&amp;""="1",N(K1332)*N1332,(N1332+N(O1332))*N(K1332)))</f>
        <v/>
      </c>
      <c r="T1332" s="10">
        <f>IF(Q1332="","",Q1332-S1332)</f>
        <v/>
      </c>
    </row>
    <row r="1333">
      <c r="A1333" s="7">
        <f>CONCATENATE(C1333,E1333,F1333,I1333)</f>
        <v/>
      </c>
      <c r="B1333" s="7">
        <f>CONCATENATE(C1333,E1333,I1333)</f>
        <v/>
      </c>
      <c r="C1333" s="8" t="n">
        <v>900009292</v>
      </c>
      <c r="D1333" s="7">
        <f>IFERROR(VLOOKUP(C1333,TRAOPE!$G:$H,2,0),"")</f>
        <v/>
      </c>
      <c r="E1333" s="8" t="inlineStr">
        <is>
          <t>DW70</t>
        </is>
      </c>
      <c r="F1333" s="8" t="inlineStr">
        <is>
          <t>D105</t>
        </is>
      </c>
      <c r="G1333" s="8">
        <f>IFERROR(VLOOKUP(A1333,Flete!$A:$E,5,0),"")</f>
        <v/>
      </c>
      <c r="H1333" s="7">
        <f>IFERROR(VLOOKUP(F1333,TRAOPE!$AA:$AB,2,0),"")</f>
        <v/>
      </c>
      <c r="I1333" s="7" t="n">
        <v>10269246</v>
      </c>
      <c r="J1333" s="7">
        <f>IFERROR(VLOOKUP(I1333,Materiales!$A:$H,8,0),"")</f>
        <v/>
      </c>
      <c r="K1333" s="9">
        <f>IFERROR(VLOOKUP(I1333,Materiales!$A:$G,7,0),"")</f>
        <v/>
      </c>
      <c r="L1333" s="8" t="inlineStr">
        <is>
          <t>20250701</t>
        </is>
      </c>
      <c r="M1333" s="8" t="inlineStr">
        <is>
          <t>20251031</t>
        </is>
      </c>
      <c r="N1333" s="10" t="n">
        <v>138.27</v>
      </c>
      <c r="O1333" s="10">
        <f>IFERROR(VLOOKUP(A1333,Flete!$A:$J,10,0),"")</f>
        <v/>
      </c>
      <c r="P1333" s="8" t="inlineStr">
        <is>
          <t>TN</t>
        </is>
      </c>
      <c r="Q1333" s="10">
        <f>IFERROR(IFERROR(VLOOKUP(A1333,TRAOPE!$A:$U,21,0),VLOOKUP(B1333,TRAOPE!$A:$U,21,0)),"")</f>
        <v/>
      </c>
      <c r="R1333" s="8">
        <f>IFERROR(IFERROR(VLOOKUP(A1333,TRAOPE!$A:$W,23,0),VLOOKUP(B1333,TRAOPE!$A:$W,23,0)),"")</f>
        <v/>
      </c>
      <c r="S1333" s="10">
        <f>IF(AND(P1333="TN",R1333="TN"),N1333+N(O1333),IF(G1333&amp;""="1",N(K1333)*N1333,(N1333+N(O1333))*N(K1333)))</f>
        <v/>
      </c>
      <c r="T1333" s="10">
        <f>IF(Q1333="","",Q1333-S1333)</f>
        <v/>
      </c>
    </row>
    <row r="1334">
      <c r="A1334" s="7">
        <f>CONCATENATE(C1334,E1334,F1334,I1334)</f>
        <v/>
      </c>
      <c r="B1334" s="7">
        <f>CONCATENATE(C1334,E1334,I1334)</f>
        <v/>
      </c>
      <c r="C1334" s="8" t="n">
        <v>900009292</v>
      </c>
      <c r="D1334" s="7">
        <f>IFERROR(VLOOKUP(C1334,TRAOPE!$G:$H,2,0),"")</f>
        <v/>
      </c>
      <c r="E1334" s="8" t="inlineStr">
        <is>
          <t>DW70</t>
        </is>
      </c>
      <c r="F1334" s="8" t="inlineStr">
        <is>
          <t>D105</t>
        </is>
      </c>
      <c r="G1334" s="8">
        <f>IFERROR(VLOOKUP(A1334,Flete!$A:$E,5,0),"")</f>
        <v/>
      </c>
      <c r="H1334" s="7">
        <f>IFERROR(VLOOKUP(F1334,TRAOPE!$AA:$AB,2,0),"")</f>
        <v/>
      </c>
      <c r="I1334" s="7" t="n">
        <v>10269247</v>
      </c>
      <c r="J1334" s="7">
        <f>IFERROR(VLOOKUP(I1334,Materiales!$A:$H,8,0),"")</f>
        <v/>
      </c>
      <c r="K1334" s="9">
        <f>IFERROR(VLOOKUP(I1334,Materiales!$A:$G,7,0),"")</f>
        <v/>
      </c>
      <c r="L1334" s="8" t="inlineStr">
        <is>
          <t>20250701</t>
        </is>
      </c>
      <c r="M1334" s="8" t="inlineStr">
        <is>
          <t>20251031</t>
        </is>
      </c>
      <c r="N1334" s="10" t="n">
        <v>96.54000000000001</v>
      </c>
      <c r="O1334" s="10">
        <f>IFERROR(VLOOKUP(A1334,Flete!$A:$J,10,0),"")</f>
        <v/>
      </c>
      <c r="P1334" s="8" t="inlineStr">
        <is>
          <t>TN</t>
        </is>
      </c>
      <c r="Q1334" s="10">
        <f>IFERROR(IFERROR(VLOOKUP(A1334,TRAOPE!$A:$U,21,0),VLOOKUP(B1334,TRAOPE!$A:$U,21,0)),"")</f>
        <v/>
      </c>
      <c r="R1334" s="8">
        <f>IFERROR(IFERROR(VLOOKUP(A1334,TRAOPE!$A:$W,23,0),VLOOKUP(B1334,TRAOPE!$A:$W,23,0)),"")</f>
        <v/>
      </c>
      <c r="S1334" s="10">
        <f>IF(AND(P1334="TN",R1334="TN"),N1334+N(O1334),IF(G1334&amp;""="1",N(K1334)*N1334,(N1334+N(O1334))*N(K1334)))</f>
        <v/>
      </c>
      <c r="T1334" s="10">
        <f>IF(Q1334="","",Q1334-S1334)</f>
        <v/>
      </c>
    </row>
    <row r="1335">
      <c r="A1335" s="7">
        <f>CONCATENATE(C1335,E1335,F1335,I1335)</f>
        <v/>
      </c>
      <c r="B1335" s="7">
        <f>CONCATENATE(C1335,E1335,I1335)</f>
        <v/>
      </c>
      <c r="C1335" s="8" t="n">
        <v>900009292</v>
      </c>
      <c r="D1335" s="7">
        <f>IFERROR(VLOOKUP(C1335,TRAOPE!$G:$H,2,0),"")</f>
        <v/>
      </c>
      <c r="E1335" s="8" t="inlineStr">
        <is>
          <t>DW70</t>
        </is>
      </c>
      <c r="F1335" s="8" t="inlineStr">
        <is>
          <t>D136</t>
        </is>
      </c>
      <c r="G1335" s="8">
        <f>IFERROR(VLOOKUP(A1335,Flete!$A:$E,5,0),"")</f>
        <v/>
      </c>
      <c r="H1335" s="7">
        <f>IFERROR(VLOOKUP(F1335,TRAOPE!$AA:$AB,2,0),"")</f>
        <v/>
      </c>
      <c r="I1335" s="7" t="n">
        <v>10000630</v>
      </c>
      <c r="J1335" s="7">
        <f>IFERROR(VLOOKUP(I1335,Materiales!$A:$H,8,0),"")</f>
        <v/>
      </c>
      <c r="K1335" s="9">
        <f>IFERROR(VLOOKUP(I1335,Materiales!$A:$G,7,0),"")</f>
        <v/>
      </c>
      <c r="L1335" s="8" t="inlineStr">
        <is>
          <t>20250701</t>
        </is>
      </c>
      <c r="M1335" s="8" t="inlineStr">
        <is>
          <t>20251031</t>
        </is>
      </c>
      <c r="N1335" s="10" t="n">
        <v>138.27</v>
      </c>
      <c r="O1335" s="10">
        <f>IFERROR(VLOOKUP(A1335,Flete!$A:$J,10,0),"")</f>
        <v/>
      </c>
      <c r="P1335" s="8" t="inlineStr">
        <is>
          <t>TN</t>
        </is>
      </c>
      <c r="Q1335" s="10">
        <f>IFERROR(IFERROR(VLOOKUP(A1335,TRAOPE!$A:$U,21,0),VLOOKUP(B1335,TRAOPE!$A:$U,21,0)),"")</f>
        <v/>
      </c>
      <c r="R1335" s="8">
        <f>IFERROR(IFERROR(VLOOKUP(A1335,TRAOPE!$A:$W,23,0),VLOOKUP(B1335,TRAOPE!$A:$W,23,0)),"")</f>
        <v/>
      </c>
      <c r="S1335" s="10">
        <f>IF(AND(P1335="TN",R1335="TN"),N1335+N(O1335),IF(G1335&amp;""="1",N(K1335)*N1335,(N1335+N(O1335))*N(K1335)))</f>
        <v/>
      </c>
      <c r="T1335" s="10">
        <f>IF(Q1335="","",Q1335-S1335)</f>
        <v/>
      </c>
    </row>
    <row r="1336">
      <c r="A1336" s="7">
        <f>CONCATENATE(C1336,E1336,F1336,I1336)</f>
        <v/>
      </c>
      <c r="B1336" s="7">
        <f>CONCATENATE(C1336,E1336,I1336)</f>
        <v/>
      </c>
      <c r="C1336" s="8" t="n">
        <v>900009292</v>
      </c>
      <c r="D1336" s="7">
        <f>IFERROR(VLOOKUP(C1336,TRAOPE!$G:$H,2,0),"")</f>
        <v/>
      </c>
      <c r="E1336" s="8" t="inlineStr">
        <is>
          <t>DW70</t>
        </is>
      </c>
      <c r="F1336" s="8" t="inlineStr">
        <is>
          <t>D136</t>
        </is>
      </c>
      <c r="G1336" s="8">
        <f>IFERROR(VLOOKUP(A1336,Flete!$A:$E,5,0),"")</f>
        <v/>
      </c>
      <c r="H1336" s="7">
        <f>IFERROR(VLOOKUP(F1336,TRAOPE!$AA:$AB,2,0),"")</f>
        <v/>
      </c>
      <c r="I1336" s="7" t="n">
        <v>10000811</v>
      </c>
      <c r="J1336" s="7">
        <f>IFERROR(VLOOKUP(I1336,Materiales!$A:$H,8,0),"")</f>
        <v/>
      </c>
      <c r="K1336" s="9">
        <f>IFERROR(VLOOKUP(I1336,Materiales!$A:$G,7,0),"")</f>
        <v/>
      </c>
      <c r="L1336" s="8" t="inlineStr">
        <is>
          <t>20260814</t>
        </is>
      </c>
      <c r="M1336" s="8" t="inlineStr">
        <is>
          <t>99991231</t>
        </is>
      </c>
      <c r="N1336" s="10" t="n">
        <v>155.49</v>
      </c>
      <c r="O1336" s="10">
        <f>IFERROR(VLOOKUP(A1336,Flete!$A:$J,10,0),"")</f>
        <v/>
      </c>
      <c r="P1336" s="8" t="inlineStr">
        <is>
          <t>TN</t>
        </is>
      </c>
      <c r="Q1336" s="10">
        <f>IFERROR(IFERROR(VLOOKUP(A1336,TRAOPE!$A:$U,21,0),VLOOKUP(B1336,TRAOPE!$A:$U,21,0)),"")</f>
        <v/>
      </c>
      <c r="R1336" s="8">
        <f>IFERROR(IFERROR(VLOOKUP(A1336,TRAOPE!$A:$W,23,0),VLOOKUP(B1336,TRAOPE!$A:$W,23,0)),"")</f>
        <v/>
      </c>
      <c r="S1336" s="10">
        <f>IF(AND(P1336="TN",R1336="TN"),N1336+N(O1336),IF(G1336&amp;""="1",N(K1336)*N1336,(N1336+N(O1336))*N(K1336)))</f>
        <v/>
      </c>
      <c r="T1336" s="10">
        <f>IF(Q1336="","",Q1336-S1336)</f>
        <v/>
      </c>
    </row>
    <row r="1337">
      <c r="A1337" s="7">
        <f>CONCATENATE(C1337,E1337,F1337,I1337)</f>
        <v/>
      </c>
      <c r="B1337" s="7">
        <f>CONCATENATE(C1337,E1337,I1337)</f>
        <v/>
      </c>
      <c r="C1337" s="8" t="n">
        <v>900009292</v>
      </c>
      <c r="D1337" s="7">
        <f>IFERROR(VLOOKUP(C1337,TRAOPE!$G:$H,2,0),"")</f>
        <v/>
      </c>
      <c r="E1337" s="8" t="inlineStr">
        <is>
          <t>DW70</t>
        </is>
      </c>
      <c r="F1337" s="8" t="inlineStr">
        <is>
          <t>D136</t>
        </is>
      </c>
      <c r="G1337" s="8">
        <f>IFERROR(VLOOKUP(A1337,Flete!$A:$E,5,0),"")</f>
        <v/>
      </c>
      <c r="H1337" s="7">
        <f>IFERROR(VLOOKUP(F1337,TRAOPE!$AA:$AB,2,0),"")</f>
        <v/>
      </c>
      <c r="I1337" s="7" t="n">
        <v>10058345</v>
      </c>
      <c r="J1337" s="7">
        <f>IFERROR(VLOOKUP(I1337,Materiales!$A:$H,8,0),"")</f>
        <v/>
      </c>
      <c r="K1337" s="9">
        <f>IFERROR(VLOOKUP(I1337,Materiales!$A:$G,7,0),"")</f>
        <v/>
      </c>
      <c r="L1337" s="8" t="inlineStr">
        <is>
          <t>20260814</t>
        </is>
      </c>
      <c r="M1337" s="8" t="inlineStr">
        <is>
          <t>99991231</t>
        </is>
      </c>
      <c r="N1337" s="10" t="n">
        <v>95.23999999999999</v>
      </c>
      <c r="O1337" s="10">
        <f>IFERROR(VLOOKUP(A1337,Flete!$A:$J,10,0),"")</f>
        <v/>
      </c>
      <c r="P1337" s="8" t="inlineStr">
        <is>
          <t>TN</t>
        </is>
      </c>
      <c r="Q1337" s="10">
        <f>IFERROR(IFERROR(VLOOKUP(A1337,TRAOPE!$A:$U,21,0),VLOOKUP(B1337,TRAOPE!$A:$U,21,0)),"")</f>
        <v/>
      </c>
      <c r="R1337" s="8">
        <f>IFERROR(IFERROR(VLOOKUP(A1337,TRAOPE!$A:$W,23,0),VLOOKUP(B1337,TRAOPE!$A:$W,23,0)),"")</f>
        <v/>
      </c>
      <c r="S1337" s="10">
        <f>IF(AND(P1337="TN",R1337="TN"),N1337+N(O1337),IF(G1337&amp;""="1",N(K1337)*N1337,(N1337+N(O1337))*N(K1337)))</f>
        <v/>
      </c>
      <c r="T1337" s="10">
        <f>IF(Q1337="","",Q1337-S1337)</f>
        <v/>
      </c>
    </row>
    <row r="1338">
      <c r="A1338" s="7">
        <f>CONCATENATE(C1338,E1338,F1338,I1338)</f>
        <v/>
      </c>
      <c r="B1338" s="7">
        <f>CONCATENATE(C1338,E1338,I1338)</f>
        <v/>
      </c>
      <c r="C1338" s="8" t="n">
        <v>900009292</v>
      </c>
      <c r="D1338" s="7">
        <f>IFERROR(VLOOKUP(C1338,TRAOPE!$G:$H,2,0),"")</f>
        <v/>
      </c>
      <c r="E1338" s="8" t="inlineStr">
        <is>
          <t>DW70</t>
        </is>
      </c>
      <c r="F1338" s="8" t="inlineStr">
        <is>
          <t>D136</t>
        </is>
      </c>
      <c r="G1338" s="8">
        <f>IFERROR(VLOOKUP(A1338,Flete!$A:$E,5,0),"")</f>
        <v/>
      </c>
      <c r="H1338" s="7">
        <f>IFERROR(VLOOKUP(F1338,TRAOPE!$AA:$AB,2,0),"")</f>
        <v/>
      </c>
      <c r="I1338" s="7" t="n">
        <v>10269245</v>
      </c>
      <c r="J1338" s="7">
        <f>IFERROR(VLOOKUP(I1338,Materiales!$A:$H,8,0),"")</f>
        <v/>
      </c>
      <c r="K1338" s="9">
        <f>IFERROR(VLOOKUP(I1338,Materiales!$A:$G,7,0),"")</f>
        <v/>
      </c>
      <c r="L1338" s="8" t="inlineStr">
        <is>
          <t>20250701</t>
        </is>
      </c>
      <c r="M1338" s="8" t="inlineStr">
        <is>
          <t>20251031</t>
        </is>
      </c>
      <c r="N1338" s="10" t="n">
        <v>141.61</v>
      </c>
      <c r="O1338" s="10">
        <f>IFERROR(VLOOKUP(A1338,Flete!$A:$J,10,0),"")</f>
        <v/>
      </c>
      <c r="P1338" s="8" t="inlineStr">
        <is>
          <t>TN</t>
        </is>
      </c>
      <c r="Q1338" s="10">
        <f>IFERROR(IFERROR(VLOOKUP(A1338,TRAOPE!$A:$U,21,0),VLOOKUP(B1338,TRAOPE!$A:$U,21,0)),"")</f>
        <v/>
      </c>
      <c r="R1338" s="8">
        <f>IFERROR(IFERROR(VLOOKUP(A1338,TRAOPE!$A:$W,23,0),VLOOKUP(B1338,TRAOPE!$A:$W,23,0)),"")</f>
        <v/>
      </c>
      <c r="S1338" s="10">
        <f>IF(AND(P1338="TN",R1338="TN"),N1338+N(O1338),IF(G1338&amp;""="1",N(K1338)*N1338,(N1338+N(O1338))*N(K1338)))</f>
        <v/>
      </c>
      <c r="T1338" s="10">
        <f>IF(Q1338="","",Q1338-S1338)</f>
        <v/>
      </c>
    </row>
    <row r="1339">
      <c r="A1339" s="7">
        <f>CONCATENATE(C1339,E1339,F1339,I1339)</f>
        <v/>
      </c>
      <c r="B1339" s="7">
        <f>CONCATENATE(C1339,E1339,I1339)</f>
        <v/>
      </c>
      <c r="C1339" s="8" t="n">
        <v>900009292</v>
      </c>
      <c r="D1339" s="7">
        <f>IFERROR(VLOOKUP(C1339,TRAOPE!$G:$H,2,0),"")</f>
        <v/>
      </c>
      <c r="E1339" s="8" t="inlineStr">
        <is>
          <t>DW70</t>
        </is>
      </c>
      <c r="F1339" s="8" t="inlineStr">
        <is>
          <t>D136</t>
        </is>
      </c>
      <c r="G1339" s="8">
        <f>IFERROR(VLOOKUP(A1339,Flete!$A:$E,5,0),"")</f>
        <v/>
      </c>
      <c r="H1339" s="7">
        <f>IFERROR(VLOOKUP(F1339,TRAOPE!$AA:$AB,2,0),"")</f>
        <v/>
      </c>
      <c r="I1339" s="7" t="n">
        <v>10269246</v>
      </c>
      <c r="J1339" s="7">
        <f>IFERROR(VLOOKUP(I1339,Materiales!$A:$H,8,0),"")</f>
        <v/>
      </c>
      <c r="K1339" s="9">
        <f>IFERROR(VLOOKUP(I1339,Materiales!$A:$G,7,0),"")</f>
        <v/>
      </c>
      <c r="L1339" s="8" t="inlineStr">
        <is>
          <t>20250701</t>
        </is>
      </c>
      <c r="M1339" s="8" t="inlineStr">
        <is>
          <t>20251031</t>
        </is>
      </c>
      <c r="N1339" s="10" t="n">
        <v>138.27</v>
      </c>
      <c r="O1339" s="10">
        <f>IFERROR(VLOOKUP(A1339,Flete!$A:$J,10,0),"")</f>
        <v/>
      </c>
      <c r="P1339" s="8" t="inlineStr">
        <is>
          <t>TN</t>
        </is>
      </c>
      <c r="Q1339" s="10">
        <f>IFERROR(IFERROR(VLOOKUP(A1339,TRAOPE!$A:$U,21,0),VLOOKUP(B1339,TRAOPE!$A:$U,21,0)),"")</f>
        <v/>
      </c>
      <c r="R1339" s="8">
        <f>IFERROR(IFERROR(VLOOKUP(A1339,TRAOPE!$A:$W,23,0),VLOOKUP(B1339,TRAOPE!$A:$W,23,0)),"")</f>
        <v/>
      </c>
      <c r="S1339" s="10">
        <f>IF(AND(P1339="TN",R1339="TN"),N1339+N(O1339),IF(G1339&amp;""="1",N(K1339)*N1339,(N1339+N(O1339))*N(K1339)))</f>
        <v/>
      </c>
      <c r="T1339" s="10">
        <f>IF(Q1339="","",Q1339-S1339)</f>
        <v/>
      </c>
    </row>
    <row r="1340">
      <c r="A1340" s="7">
        <f>CONCATENATE(C1340,E1340,F1340,I1340)</f>
        <v/>
      </c>
      <c r="B1340" s="7">
        <f>CONCATENATE(C1340,E1340,I1340)</f>
        <v/>
      </c>
      <c r="C1340" s="8" t="n">
        <v>900009292</v>
      </c>
      <c r="D1340" s="7">
        <f>IFERROR(VLOOKUP(C1340,TRAOPE!$G:$H,2,0),"")</f>
        <v/>
      </c>
      <c r="E1340" s="8" t="inlineStr">
        <is>
          <t>DW70</t>
        </is>
      </c>
      <c r="F1340" s="8" t="inlineStr">
        <is>
          <t>D136</t>
        </is>
      </c>
      <c r="G1340" s="8">
        <f>IFERROR(VLOOKUP(A1340,Flete!$A:$E,5,0),"")</f>
        <v/>
      </c>
      <c r="H1340" s="7">
        <f>IFERROR(VLOOKUP(F1340,TRAOPE!$AA:$AB,2,0),"")</f>
        <v/>
      </c>
      <c r="I1340" s="7" t="n">
        <v>10269247</v>
      </c>
      <c r="J1340" s="7">
        <f>IFERROR(VLOOKUP(I1340,Materiales!$A:$H,8,0),"")</f>
        <v/>
      </c>
      <c r="K1340" s="9">
        <f>IFERROR(VLOOKUP(I1340,Materiales!$A:$G,7,0),"")</f>
        <v/>
      </c>
      <c r="L1340" s="8" t="inlineStr">
        <is>
          <t>20250701</t>
        </is>
      </c>
      <c r="M1340" s="8" t="inlineStr">
        <is>
          <t>20251031</t>
        </is>
      </c>
      <c r="N1340" s="10" t="n">
        <v>96.54000000000001</v>
      </c>
      <c r="O1340" s="10">
        <f>IFERROR(VLOOKUP(A1340,Flete!$A:$J,10,0),"")</f>
        <v/>
      </c>
      <c r="P1340" s="8" t="inlineStr">
        <is>
          <t>TN</t>
        </is>
      </c>
      <c r="Q1340" s="10">
        <f>IFERROR(IFERROR(VLOOKUP(A1340,TRAOPE!$A:$U,21,0),VLOOKUP(B1340,TRAOPE!$A:$U,21,0)),"")</f>
        <v/>
      </c>
      <c r="R1340" s="8">
        <f>IFERROR(IFERROR(VLOOKUP(A1340,TRAOPE!$A:$W,23,0),VLOOKUP(B1340,TRAOPE!$A:$W,23,0)),"")</f>
        <v/>
      </c>
      <c r="S1340" s="10">
        <f>IF(AND(P1340="TN",R1340="TN"),N1340+N(O1340),IF(G1340&amp;""="1",N(K1340)*N1340,(N1340+N(O1340))*N(K1340)))</f>
        <v/>
      </c>
      <c r="T1340" s="10">
        <f>IF(Q1340="","",Q1340-S1340)</f>
        <v/>
      </c>
    </row>
    <row r="1341">
      <c r="A1341" s="7">
        <f>CONCATENATE(C1341,E1341,F1341,I1341)</f>
        <v/>
      </c>
      <c r="B1341" s="7">
        <f>CONCATENATE(C1341,E1341,I1341)</f>
        <v/>
      </c>
      <c r="C1341" s="8" t="n">
        <v>900009292</v>
      </c>
      <c r="D1341" s="7">
        <f>IFERROR(VLOOKUP(C1341,TRAOPE!$G:$H,2,0),"")</f>
        <v/>
      </c>
      <c r="E1341" s="8" t="inlineStr">
        <is>
          <t>DW70</t>
        </is>
      </c>
      <c r="F1341" s="8" t="inlineStr">
        <is>
          <t>D145</t>
        </is>
      </c>
      <c r="G1341" s="8">
        <f>IFERROR(VLOOKUP(A1341,Flete!$A:$E,5,0),"")</f>
        <v/>
      </c>
      <c r="H1341" s="7">
        <f>IFERROR(VLOOKUP(F1341,TRAOPE!$AA:$AB,2,0),"")</f>
        <v/>
      </c>
      <c r="I1341" s="7" t="n">
        <v>10000630</v>
      </c>
      <c r="J1341" s="7">
        <f>IFERROR(VLOOKUP(I1341,Materiales!$A:$H,8,0),"")</f>
        <v/>
      </c>
      <c r="K1341" s="9">
        <f>IFERROR(VLOOKUP(I1341,Materiales!$A:$G,7,0),"")</f>
        <v/>
      </c>
      <c r="L1341" s="8" t="inlineStr">
        <is>
          <t>20250701</t>
        </is>
      </c>
      <c r="M1341" s="8" t="inlineStr">
        <is>
          <t>20251031</t>
        </is>
      </c>
      <c r="N1341" s="10" t="n">
        <v>138.27</v>
      </c>
      <c r="O1341" s="10">
        <f>IFERROR(VLOOKUP(A1341,Flete!$A:$J,10,0),"")</f>
        <v/>
      </c>
      <c r="P1341" s="8" t="inlineStr">
        <is>
          <t>TN</t>
        </is>
      </c>
      <c r="Q1341" s="10">
        <f>IFERROR(IFERROR(VLOOKUP(A1341,TRAOPE!$A:$U,21,0),VLOOKUP(B1341,TRAOPE!$A:$U,21,0)),"")</f>
        <v/>
      </c>
      <c r="R1341" s="8">
        <f>IFERROR(IFERROR(VLOOKUP(A1341,TRAOPE!$A:$W,23,0),VLOOKUP(B1341,TRAOPE!$A:$W,23,0)),"")</f>
        <v/>
      </c>
      <c r="S1341" s="10">
        <f>IF(AND(P1341="TN",R1341="TN"),N1341+N(O1341),IF(G1341&amp;""="1",N(K1341)*N1341,(N1341+N(O1341))*N(K1341)))</f>
        <v/>
      </c>
      <c r="T1341" s="10">
        <f>IF(Q1341="","",Q1341-S1341)</f>
        <v/>
      </c>
    </row>
    <row r="1342">
      <c r="A1342" s="7">
        <f>CONCATENATE(C1342,E1342,F1342,I1342)</f>
        <v/>
      </c>
      <c r="B1342" s="7">
        <f>CONCATENATE(C1342,E1342,I1342)</f>
        <v/>
      </c>
      <c r="C1342" s="8" t="n">
        <v>900009292</v>
      </c>
      <c r="D1342" s="7">
        <f>IFERROR(VLOOKUP(C1342,TRAOPE!$G:$H,2,0),"")</f>
        <v/>
      </c>
      <c r="E1342" s="8" t="inlineStr">
        <is>
          <t>DW70</t>
        </is>
      </c>
      <c r="F1342" s="8" t="inlineStr">
        <is>
          <t>D145</t>
        </is>
      </c>
      <c r="G1342" s="8">
        <f>IFERROR(VLOOKUP(A1342,Flete!$A:$E,5,0),"")</f>
        <v/>
      </c>
      <c r="H1342" s="7">
        <f>IFERROR(VLOOKUP(F1342,TRAOPE!$AA:$AB,2,0),"")</f>
        <v/>
      </c>
      <c r="I1342" s="7" t="n">
        <v>10000811</v>
      </c>
      <c r="J1342" s="7">
        <f>IFERROR(VLOOKUP(I1342,Materiales!$A:$H,8,0),"")</f>
        <v/>
      </c>
      <c r="K1342" s="9">
        <f>IFERROR(VLOOKUP(I1342,Materiales!$A:$G,7,0),"")</f>
        <v/>
      </c>
      <c r="L1342" s="8" t="inlineStr">
        <is>
          <t>20260814</t>
        </is>
      </c>
      <c r="M1342" s="8" t="inlineStr">
        <is>
          <t>99991231</t>
        </is>
      </c>
      <c r="N1342" s="10" t="n">
        <v>155.49</v>
      </c>
      <c r="O1342" s="10">
        <f>IFERROR(VLOOKUP(A1342,Flete!$A:$J,10,0),"")</f>
        <v/>
      </c>
      <c r="P1342" s="8" t="inlineStr">
        <is>
          <t>TN</t>
        </is>
      </c>
      <c r="Q1342" s="10">
        <f>IFERROR(IFERROR(VLOOKUP(A1342,TRAOPE!$A:$U,21,0),VLOOKUP(B1342,TRAOPE!$A:$U,21,0)),"")</f>
        <v/>
      </c>
      <c r="R1342" s="8">
        <f>IFERROR(IFERROR(VLOOKUP(A1342,TRAOPE!$A:$W,23,0),VLOOKUP(B1342,TRAOPE!$A:$W,23,0)),"")</f>
        <v/>
      </c>
      <c r="S1342" s="10">
        <f>IF(AND(P1342="TN",R1342="TN"),N1342+N(O1342),IF(G1342&amp;""="1",N(K1342)*N1342,(N1342+N(O1342))*N(K1342)))</f>
        <v/>
      </c>
      <c r="T1342" s="10">
        <f>IF(Q1342="","",Q1342-S1342)</f>
        <v/>
      </c>
    </row>
    <row r="1343">
      <c r="A1343" s="7">
        <f>CONCATENATE(C1343,E1343,F1343,I1343)</f>
        <v/>
      </c>
      <c r="B1343" s="7">
        <f>CONCATENATE(C1343,E1343,I1343)</f>
        <v/>
      </c>
      <c r="C1343" s="8" t="n">
        <v>900009292</v>
      </c>
      <c r="D1343" s="7">
        <f>IFERROR(VLOOKUP(C1343,TRAOPE!$G:$H,2,0),"")</f>
        <v/>
      </c>
      <c r="E1343" s="8" t="inlineStr">
        <is>
          <t>DW70</t>
        </is>
      </c>
      <c r="F1343" s="8" t="inlineStr">
        <is>
          <t>D145</t>
        </is>
      </c>
      <c r="G1343" s="8">
        <f>IFERROR(VLOOKUP(A1343,Flete!$A:$E,5,0),"")</f>
        <v/>
      </c>
      <c r="H1343" s="7">
        <f>IFERROR(VLOOKUP(F1343,TRAOPE!$AA:$AB,2,0),"")</f>
        <v/>
      </c>
      <c r="I1343" s="7" t="n">
        <v>10058345</v>
      </c>
      <c r="J1343" s="7">
        <f>IFERROR(VLOOKUP(I1343,Materiales!$A:$H,8,0),"")</f>
        <v/>
      </c>
      <c r="K1343" s="9">
        <f>IFERROR(VLOOKUP(I1343,Materiales!$A:$G,7,0),"")</f>
        <v/>
      </c>
      <c r="L1343" s="8" t="inlineStr">
        <is>
          <t>20260814</t>
        </is>
      </c>
      <c r="M1343" s="8" t="inlineStr">
        <is>
          <t>99991231</t>
        </is>
      </c>
      <c r="N1343" s="10" t="n">
        <v>95.23999999999999</v>
      </c>
      <c r="O1343" s="10">
        <f>IFERROR(VLOOKUP(A1343,Flete!$A:$J,10,0),"")</f>
        <v/>
      </c>
      <c r="P1343" s="8" t="inlineStr">
        <is>
          <t>TN</t>
        </is>
      </c>
      <c r="Q1343" s="10">
        <f>IFERROR(IFERROR(VLOOKUP(A1343,TRAOPE!$A:$U,21,0),VLOOKUP(B1343,TRAOPE!$A:$U,21,0)),"")</f>
        <v/>
      </c>
      <c r="R1343" s="8">
        <f>IFERROR(IFERROR(VLOOKUP(A1343,TRAOPE!$A:$W,23,0),VLOOKUP(B1343,TRAOPE!$A:$W,23,0)),"")</f>
        <v/>
      </c>
      <c r="S1343" s="10">
        <f>IF(AND(P1343="TN",R1343="TN"),N1343+N(O1343),IF(G1343&amp;""="1",N(K1343)*N1343,(N1343+N(O1343))*N(K1343)))</f>
        <v/>
      </c>
      <c r="T1343" s="10">
        <f>IF(Q1343="","",Q1343-S1343)</f>
        <v/>
      </c>
    </row>
    <row r="1344">
      <c r="A1344" s="7">
        <f>CONCATENATE(C1344,E1344,F1344,I1344)</f>
        <v/>
      </c>
      <c r="B1344" s="7">
        <f>CONCATENATE(C1344,E1344,I1344)</f>
        <v/>
      </c>
      <c r="C1344" s="8" t="n">
        <v>900009292</v>
      </c>
      <c r="D1344" s="7">
        <f>IFERROR(VLOOKUP(C1344,TRAOPE!$G:$H,2,0),"")</f>
        <v/>
      </c>
      <c r="E1344" s="8" t="inlineStr">
        <is>
          <t>DW70</t>
        </is>
      </c>
      <c r="F1344" s="8" t="inlineStr">
        <is>
          <t>D145</t>
        </is>
      </c>
      <c r="G1344" s="8">
        <f>IFERROR(VLOOKUP(A1344,Flete!$A:$E,5,0),"")</f>
        <v/>
      </c>
      <c r="H1344" s="7">
        <f>IFERROR(VLOOKUP(F1344,TRAOPE!$AA:$AB,2,0),"")</f>
        <v/>
      </c>
      <c r="I1344" s="7" t="n">
        <v>10269245</v>
      </c>
      <c r="J1344" s="7">
        <f>IFERROR(VLOOKUP(I1344,Materiales!$A:$H,8,0),"")</f>
        <v/>
      </c>
      <c r="K1344" s="9">
        <f>IFERROR(VLOOKUP(I1344,Materiales!$A:$G,7,0),"")</f>
        <v/>
      </c>
      <c r="L1344" s="8" t="inlineStr">
        <is>
          <t>20250701</t>
        </is>
      </c>
      <c r="M1344" s="8" t="inlineStr">
        <is>
          <t>20251031</t>
        </is>
      </c>
      <c r="N1344" s="10" t="n">
        <v>141.61</v>
      </c>
      <c r="O1344" s="10">
        <f>IFERROR(VLOOKUP(A1344,Flete!$A:$J,10,0),"")</f>
        <v/>
      </c>
      <c r="P1344" s="8" t="inlineStr">
        <is>
          <t>TN</t>
        </is>
      </c>
      <c r="Q1344" s="10">
        <f>IFERROR(IFERROR(VLOOKUP(A1344,TRAOPE!$A:$U,21,0),VLOOKUP(B1344,TRAOPE!$A:$U,21,0)),"")</f>
        <v/>
      </c>
      <c r="R1344" s="8">
        <f>IFERROR(IFERROR(VLOOKUP(A1344,TRAOPE!$A:$W,23,0),VLOOKUP(B1344,TRAOPE!$A:$W,23,0)),"")</f>
        <v/>
      </c>
      <c r="S1344" s="10">
        <f>IF(AND(P1344="TN",R1344="TN"),N1344+N(O1344),IF(G1344&amp;""="1",N(K1344)*N1344,(N1344+N(O1344))*N(K1344)))</f>
        <v/>
      </c>
      <c r="T1344" s="10">
        <f>IF(Q1344="","",Q1344-S1344)</f>
        <v/>
      </c>
    </row>
    <row r="1345">
      <c r="A1345" s="7">
        <f>CONCATENATE(C1345,E1345,F1345,I1345)</f>
        <v/>
      </c>
      <c r="B1345" s="7">
        <f>CONCATENATE(C1345,E1345,I1345)</f>
        <v/>
      </c>
      <c r="C1345" s="8" t="n">
        <v>900009292</v>
      </c>
      <c r="D1345" s="7">
        <f>IFERROR(VLOOKUP(C1345,TRAOPE!$G:$H,2,0),"")</f>
        <v/>
      </c>
      <c r="E1345" s="8" t="inlineStr">
        <is>
          <t>DW70</t>
        </is>
      </c>
      <c r="F1345" s="8" t="inlineStr">
        <is>
          <t>D145</t>
        </is>
      </c>
      <c r="G1345" s="8">
        <f>IFERROR(VLOOKUP(A1345,Flete!$A:$E,5,0),"")</f>
        <v/>
      </c>
      <c r="H1345" s="7">
        <f>IFERROR(VLOOKUP(F1345,TRAOPE!$AA:$AB,2,0),"")</f>
        <v/>
      </c>
      <c r="I1345" s="7" t="n">
        <v>10269246</v>
      </c>
      <c r="J1345" s="7">
        <f>IFERROR(VLOOKUP(I1345,Materiales!$A:$H,8,0),"")</f>
        <v/>
      </c>
      <c r="K1345" s="9">
        <f>IFERROR(VLOOKUP(I1345,Materiales!$A:$G,7,0),"")</f>
        <v/>
      </c>
      <c r="L1345" s="8" t="inlineStr">
        <is>
          <t>20250701</t>
        </is>
      </c>
      <c r="M1345" s="8" t="inlineStr">
        <is>
          <t>20251031</t>
        </is>
      </c>
      <c r="N1345" s="10" t="n">
        <v>138.27</v>
      </c>
      <c r="O1345" s="10">
        <f>IFERROR(VLOOKUP(A1345,Flete!$A:$J,10,0),"")</f>
        <v/>
      </c>
      <c r="P1345" s="8" t="inlineStr">
        <is>
          <t>TN</t>
        </is>
      </c>
      <c r="Q1345" s="10">
        <f>IFERROR(IFERROR(VLOOKUP(A1345,TRAOPE!$A:$U,21,0),VLOOKUP(B1345,TRAOPE!$A:$U,21,0)),"")</f>
        <v/>
      </c>
      <c r="R1345" s="8">
        <f>IFERROR(IFERROR(VLOOKUP(A1345,TRAOPE!$A:$W,23,0),VLOOKUP(B1345,TRAOPE!$A:$W,23,0)),"")</f>
        <v/>
      </c>
      <c r="S1345" s="10">
        <f>IF(AND(P1345="TN",R1345="TN"),N1345+N(O1345),IF(G1345&amp;""="1",N(K1345)*N1345,(N1345+N(O1345))*N(K1345)))</f>
        <v/>
      </c>
      <c r="T1345" s="10">
        <f>IF(Q1345="","",Q1345-S1345)</f>
        <v/>
      </c>
    </row>
    <row r="1346">
      <c r="A1346" s="7">
        <f>CONCATENATE(C1346,E1346,F1346,I1346)</f>
        <v/>
      </c>
      <c r="B1346" s="7">
        <f>CONCATENATE(C1346,E1346,I1346)</f>
        <v/>
      </c>
      <c r="C1346" s="8" t="n">
        <v>900009292</v>
      </c>
      <c r="D1346" s="7">
        <f>IFERROR(VLOOKUP(C1346,TRAOPE!$G:$H,2,0),"")</f>
        <v/>
      </c>
      <c r="E1346" s="8" t="inlineStr">
        <is>
          <t>DW70</t>
        </is>
      </c>
      <c r="F1346" s="8" t="inlineStr">
        <is>
          <t>D145</t>
        </is>
      </c>
      <c r="G1346" s="8">
        <f>IFERROR(VLOOKUP(A1346,Flete!$A:$E,5,0),"")</f>
        <v/>
      </c>
      <c r="H1346" s="7">
        <f>IFERROR(VLOOKUP(F1346,TRAOPE!$AA:$AB,2,0),"")</f>
        <v/>
      </c>
      <c r="I1346" s="7" t="n">
        <v>10269247</v>
      </c>
      <c r="J1346" s="7">
        <f>IFERROR(VLOOKUP(I1346,Materiales!$A:$H,8,0),"")</f>
        <v/>
      </c>
      <c r="K1346" s="9">
        <f>IFERROR(VLOOKUP(I1346,Materiales!$A:$G,7,0),"")</f>
        <v/>
      </c>
      <c r="L1346" s="8" t="inlineStr">
        <is>
          <t>20250701</t>
        </is>
      </c>
      <c r="M1346" s="8" t="inlineStr">
        <is>
          <t>20251031</t>
        </is>
      </c>
      <c r="N1346" s="10" t="n">
        <v>96.54000000000001</v>
      </c>
      <c r="O1346" s="10">
        <f>IFERROR(VLOOKUP(A1346,Flete!$A:$J,10,0),"")</f>
        <v/>
      </c>
      <c r="P1346" s="8" t="inlineStr">
        <is>
          <t>TN</t>
        </is>
      </c>
      <c r="Q1346" s="10">
        <f>IFERROR(IFERROR(VLOOKUP(A1346,TRAOPE!$A:$U,21,0),VLOOKUP(B1346,TRAOPE!$A:$U,21,0)),"")</f>
        <v/>
      </c>
      <c r="R1346" s="8">
        <f>IFERROR(IFERROR(VLOOKUP(A1346,TRAOPE!$A:$W,23,0),VLOOKUP(B1346,TRAOPE!$A:$W,23,0)),"")</f>
        <v/>
      </c>
      <c r="S1346" s="10">
        <f>IF(AND(P1346="TN",R1346="TN"),N1346+N(O1346),IF(G1346&amp;""="1",N(K1346)*N1346,(N1346+N(O1346))*N(K1346)))</f>
        <v/>
      </c>
      <c r="T1346" s="10">
        <f>IF(Q1346="","",Q1346-S1346)</f>
        <v/>
      </c>
    </row>
    <row r="1347">
      <c r="A1347" s="7">
        <f>CONCATENATE(C1347,E1347,F1347,I1347)</f>
        <v/>
      </c>
      <c r="B1347" s="7">
        <f>CONCATENATE(C1347,E1347,I1347)</f>
        <v/>
      </c>
      <c r="C1347" s="8" t="n">
        <v>900009292</v>
      </c>
      <c r="D1347" s="7">
        <f>IFERROR(VLOOKUP(C1347,TRAOPE!$G:$H,2,0),"")</f>
        <v/>
      </c>
      <c r="E1347" s="8" t="inlineStr">
        <is>
          <t>DW70</t>
        </is>
      </c>
      <c r="F1347" s="8" t="inlineStr">
        <is>
          <t>D681</t>
        </is>
      </c>
      <c r="G1347" s="8">
        <f>IFERROR(VLOOKUP(A1347,Flete!$A:$E,5,0),"")</f>
        <v/>
      </c>
      <c r="H1347" s="7">
        <f>IFERROR(VLOOKUP(F1347,TRAOPE!$AA:$AB,2,0),"")</f>
        <v/>
      </c>
      <c r="I1347" s="7" t="n">
        <v>10000630</v>
      </c>
      <c r="J1347" s="7">
        <f>IFERROR(VLOOKUP(I1347,Materiales!$A:$H,8,0),"")</f>
        <v/>
      </c>
      <c r="K1347" s="9">
        <f>IFERROR(VLOOKUP(I1347,Materiales!$A:$G,7,0),"")</f>
        <v/>
      </c>
      <c r="L1347" s="8" t="inlineStr">
        <is>
          <t>20250701</t>
        </is>
      </c>
      <c r="M1347" s="8" t="inlineStr">
        <is>
          <t>20251031</t>
        </is>
      </c>
      <c r="N1347" s="10" t="n">
        <v>138.27</v>
      </c>
      <c r="O1347" s="10">
        <f>IFERROR(VLOOKUP(A1347,Flete!$A:$J,10,0),"")</f>
        <v/>
      </c>
      <c r="P1347" s="8" t="inlineStr">
        <is>
          <t>TN</t>
        </is>
      </c>
      <c r="Q1347" s="10">
        <f>IFERROR(IFERROR(VLOOKUP(A1347,TRAOPE!$A:$U,21,0),VLOOKUP(B1347,TRAOPE!$A:$U,21,0)),"")</f>
        <v/>
      </c>
      <c r="R1347" s="8">
        <f>IFERROR(IFERROR(VLOOKUP(A1347,TRAOPE!$A:$W,23,0),VLOOKUP(B1347,TRAOPE!$A:$W,23,0)),"")</f>
        <v/>
      </c>
      <c r="S1347" s="10">
        <f>IF(AND(P1347="TN",R1347="TN"),N1347+N(O1347),IF(G1347&amp;""="1",N(K1347)*N1347,(N1347+N(O1347))*N(K1347)))</f>
        <v/>
      </c>
      <c r="T1347" s="10">
        <f>IF(Q1347="","",Q1347-S1347)</f>
        <v/>
      </c>
    </row>
    <row r="1348">
      <c r="A1348" s="7">
        <f>CONCATENATE(C1348,E1348,F1348,I1348)</f>
        <v/>
      </c>
      <c r="B1348" s="7">
        <f>CONCATENATE(C1348,E1348,I1348)</f>
        <v/>
      </c>
      <c r="C1348" s="8" t="n">
        <v>900009292</v>
      </c>
      <c r="D1348" s="7">
        <f>IFERROR(VLOOKUP(C1348,TRAOPE!$G:$H,2,0),"")</f>
        <v/>
      </c>
      <c r="E1348" s="8" t="inlineStr">
        <is>
          <t>DW70</t>
        </is>
      </c>
      <c r="F1348" s="8" t="inlineStr">
        <is>
          <t>D681</t>
        </is>
      </c>
      <c r="G1348" s="8">
        <f>IFERROR(VLOOKUP(A1348,Flete!$A:$E,5,0),"")</f>
        <v/>
      </c>
      <c r="H1348" s="7">
        <f>IFERROR(VLOOKUP(F1348,TRAOPE!$AA:$AB,2,0),"")</f>
        <v/>
      </c>
      <c r="I1348" s="7" t="n">
        <v>10000811</v>
      </c>
      <c r="J1348" s="7">
        <f>IFERROR(VLOOKUP(I1348,Materiales!$A:$H,8,0),"")</f>
        <v/>
      </c>
      <c r="K1348" s="9">
        <f>IFERROR(VLOOKUP(I1348,Materiales!$A:$G,7,0),"")</f>
        <v/>
      </c>
      <c r="L1348" s="8" t="inlineStr">
        <is>
          <t>20260814</t>
        </is>
      </c>
      <c r="M1348" s="8" t="inlineStr">
        <is>
          <t>99991231</t>
        </is>
      </c>
      <c r="N1348" s="10" t="n">
        <v>155.49</v>
      </c>
      <c r="O1348" s="10">
        <f>IFERROR(VLOOKUP(A1348,Flete!$A:$J,10,0),"")</f>
        <v/>
      </c>
      <c r="P1348" s="8" t="inlineStr">
        <is>
          <t>TN</t>
        </is>
      </c>
      <c r="Q1348" s="10">
        <f>IFERROR(IFERROR(VLOOKUP(A1348,TRAOPE!$A:$U,21,0),VLOOKUP(B1348,TRAOPE!$A:$U,21,0)),"")</f>
        <v/>
      </c>
      <c r="R1348" s="8">
        <f>IFERROR(IFERROR(VLOOKUP(A1348,TRAOPE!$A:$W,23,0),VLOOKUP(B1348,TRAOPE!$A:$W,23,0)),"")</f>
        <v/>
      </c>
      <c r="S1348" s="10">
        <f>IF(AND(P1348="TN",R1348="TN"),N1348+N(O1348),IF(G1348&amp;""="1",N(K1348)*N1348,(N1348+N(O1348))*N(K1348)))</f>
        <v/>
      </c>
      <c r="T1348" s="10">
        <f>IF(Q1348="","",Q1348-S1348)</f>
        <v/>
      </c>
    </row>
    <row r="1349">
      <c r="A1349" s="7">
        <f>CONCATENATE(C1349,E1349,F1349,I1349)</f>
        <v/>
      </c>
      <c r="B1349" s="7">
        <f>CONCATENATE(C1349,E1349,I1349)</f>
        <v/>
      </c>
      <c r="C1349" s="8" t="n">
        <v>900009292</v>
      </c>
      <c r="D1349" s="7">
        <f>IFERROR(VLOOKUP(C1349,TRAOPE!$G:$H,2,0),"")</f>
        <v/>
      </c>
      <c r="E1349" s="8" t="inlineStr">
        <is>
          <t>DW70</t>
        </is>
      </c>
      <c r="F1349" s="8" t="inlineStr">
        <is>
          <t>D681</t>
        </is>
      </c>
      <c r="G1349" s="8">
        <f>IFERROR(VLOOKUP(A1349,Flete!$A:$E,5,0),"")</f>
        <v/>
      </c>
      <c r="H1349" s="7">
        <f>IFERROR(VLOOKUP(F1349,TRAOPE!$AA:$AB,2,0),"")</f>
        <v/>
      </c>
      <c r="I1349" s="7" t="n">
        <v>10058345</v>
      </c>
      <c r="J1349" s="7">
        <f>IFERROR(VLOOKUP(I1349,Materiales!$A:$H,8,0),"")</f>
        <v/>
      </c>
      <c r="K1349" s="9">
        <f>IFERROR(VLOOKUP(I1349,Materiales!$A:$G,7,0),"")</f>
        <v/>
      </c>
      <c r="L1349" s="8" t="inlineStr">
        <is>
          <t>20260814</t>
        </is>
      </c>
      <c r="M1349" s="8" t="inlineStr">
        <is>
          <t>99991231</t>
        </is>
      </c>
      <c r="N1349" s="10" t="n">
        <v>95.23999999999999</v>
      </c>
      <c r="O1349" s="10">
        <f>IFERROR(VLOOKUP(A1349,Flete!$A:$J,10,0),"")</f>
        <v/>
      </c>
      <c r="P1349" s="8" t="inlineStr">
        <is>
          <t>TN</t>
        </is>
      </c>
      <c r="Q1349" s="10">
        <f>IFERROR(IFERROR(VLOOKUP(A1349,TRAOPE!$A:$U,21,0),VLOOKUP(B1349,TRAOPE!$A:$U,21,0)),"")</f>
        <v/>
      </c>
      <c r="R1349" s="8">
        <f>IFERROR(IFERROR(VLOOKUP(A1349,TRAOPE!$A:$W,23,0),VLOOKUP(B1349,TRAOPE!$A:$W,23,0)),"")</f>
        <v/>
      </c>
      <c r="S1349" s="10">
        <f>IF(AND(P1349="TN",R1349="TN"),N1349+N(O1349),IF(G1349&amp;""="1",N(K1349)*N1349,(N1349+N(O1349))*N(K1349)))</f>
        <v/>
      </c>
      <c r="T1349" s="10">
        <f>IF(Q1349="","",Q1349-S1349)</f>
        <v/>
      </c>
    </row>
    <row r="1350">
      <c r="A1350" s="7">
        <f>CONCATENATE(C1350,E1350,F1350,I1350)</f>
        <v/>
      </c>
      <c r="B1350" s="7">
        <f>CONCATENATE(C1350,E1350,I1350)</f>
        <v/>
      </c>
      <c r="C1350" s="8" t="n">
        <v>900009292</v>
      </c>
      <c r="D1350" s="7">
        <f>IFERROR(VLOOKUP(C1350,TRAOPE!$G:$H,2,0),"")</f>
        <v/>
      </c>
      <c r="E1350" s="8" t="inlineStr">
        <is>
          <t>DW70</t>
        </is>
      </c>
      <c r="F1350" s="8" t="inlineStr">
        <is>
          <t>D681</t>
        </is>
      </c>
      <c r="G1350" s="8">
        <f>IFERROR(VLOOKUP(A1350,Flete!$A:$E,5,0),"")</f>
        <v/>
      </c>
      <c r="H1350" s="7">
        <f>IFERROR(VLOOKUP(F1350,TRAOPE!$AA:$AB,2,0),"")</f>
        <v/>
      </c>
      <c r="I1350" s="7" t="n">
        <v>10269245</v>
      </c>
      <c r="J1350" s="7">
        <f>IFERROR(VLOOKUP(I1350,Materiales!$A:$H,8,0),"")</f>
        <v/>
      </c>
      <c r="K1350" s="9">
        <f>IFERROR(VLOOKUP(I1350,Materiales!$A:$G,7,0),"")</f>
        <v/>
      </c>
      <c r="L1350" s="8" t="inlineStr">
        <is>
          <t>20250701</t>
        </is>
      </c>
      <c r="M1350" s="8" t="inlineStr">
        <is>
          <t>20251031</t>
        </is>
      </c>
      <c r="N1350" s="10" t="n">
        <v>141.61</v>
      </c>
      <c r="O1350" s="10">
        <f>IFERROR(VLOOKUP(A1350,Flete!$A:$J,10,0),"")</f>
        <v/>
      </c>
      <c r="P1350" s="8" t="inlineStr">
        <is>
          <t>TN</t>
        </is>
      </c>
      <c r="Q1350" s="10">
        <f>IFERROR(IFERROR(VLOOKUP(A1350,TRAOPE!$A:$U,21,0),VLOOKUP(B1350,TRAOPE!$A:$U,21,0)),"")</f>
        <v/>
      </c>
      <c r="R1350" s="8">
        <f>IFERROR(IFERROR(VLOOKUP(A1350,TRAOPE!$A:$W,23,0),VLOOKUP(B1350,TRAOPE!$A:$W,23,0)),"")</f>
        <v/>
      </c>
      <c r="S1350" s="10">
        <f>IF(AND(P1350="TN",R1350="TN"),N1350+N(O1350),IF(G1350&amp;""="1",N(K1350)*N1350,(N1350+N(O1350))*N(K1350)))</f>
        <v/>
      </c>
      <c r="T1350" s="10">
        <f>IF(Q1350="","",Q1350-S1350)</f>
        <v/>
      </c>
    </row>
    <row r="1351">
      <c r="A1351" s="7">
        <f>CONCATENATE(C1351,E1351,F1351,I1351)</f>
        <v/>
      </c>
      <c r="B1351" s="7">
        <f>CONCATENATE(C1351,E1351,I1351)</f>
        <v/>
      </c>
      <c r="C1351" s="8" t="n">
        <v>900009292</v>
      </c>
      <c r="D1351" s="7">
        <f>IFERROR(VLOOKUP(C1351,TRAOPE!$G:$H,2,0),"")</f>
        <v/>
      </c>
      <c r="E1351" s="8" t="inlineStr">
        <is>
          <t>DW70</t>
        </is>
      </c>
      <c r="F1351" s="8" t="inlineStr">
        <is>
          <t>D681</t>
        </is>
      </c>
      <c r="G1351" s="8">
        <f>IFERROR(VLOOKUP(A1351,Flete!$A:$E,5,0),"")</f>
        <v/>
      </c>
      <c r="H1351" s="7">
        <f>IFERROR(VLOOKUP(F1351,TRAOPE!$AA:$AB,2,0),"")</f>
        <v/>
      </c>
      <c r="I1351" s="7" t="n">
        <v>10269246</v>
      </c>
      <c r="J1351" s="7">
        <f>IFERROR(VLOOKUP(I1351,Materiales!$A:$H,8,0),"")</f>
        <v/>
      </c>
      <c r="K1351" s="9">
        <f>IFERROR(VLOOKUP(I1351,Materiales!$A:$G,7,0),"")</f>
        <v/>
      </c>
      <c r="L1351" s="8" t="inlineStr">
        <is>
          <t>20250701</t>
        </is>
      </c>
      <c r="M1351" s="8" t="inlineStr">
        <is>
          <t>20251031</t>
        </is>
      </c>
      <c r="N1351" s="10" t="n">
        <v>138.27</v>
      </c>
      <c r="O1351" s="10">
        <f>IFERROR(VLOOKUP(A1351,Flete!$A:$J,10,0),"")</f>
        <v/>
      </c>
      <c r="P1351" s="8" t="inlineStr">
        <is>
          <t>TN</t>
        </is>
      </c>
      <c r="Q1351" s="10">
        <f>IFERROR(IFERROR(VLOOKUP(A1351,TRAOPE!$A:$U,21,0),VLOOKUP(B1351,TRAOPE!$A:$U,21,0)),"")</f>
        <v/>
      </c>
      <c r="R1351" s="8">
        <f>IFERROR(IFERROR(VLOOKUP(A1351,TRAOPE!$A:$W,23,0),VLOOKUP(B1351,TRAOPE!$A:$W,23,0)),"")</f>
        <v/>
      </c>
      <c r="S1351" s="10">
        <f>IF(AND(P1351="TN",R1351="TN"),N1351+N(O1351),IF(G1351&amp;""="1",N(K1351)*N1351,(N1351+N(O1351))*N(K1351)))</f>
        <v/>
      </c>
      <c r="T1351" s="10">
        <f>IF(Q1351="","",Q1351-S1351)</f>
        <v/>
      </c>
    </row>
    <row r="1352">
      <c r="A1352" s="7">
        <f>CONCATENATE(C1352,E1352,F1352,I1352)</f>
        <v/>
      </c>
      <c r="B1352" s="7">
        <f>CONCATENATE(C1352,E1352,I1352)</f>
        <v/>
      </c>
      <c r="C1352" s="8" t="n">
        <v>900009292</v>
      </c>
      <c r="D1352" s="7">
        <f>IFERROR(VLOOKUP(C1352,TRAOPE!$G:$H,2,0),"")</f>
        <v/>
      </c>
      <c r="E1352" s="8" t="inlineStr">
        <is>
          <t>DW70</t>
        </is>
      </c>
      <c r="F1352" s="8" t="inlineStr">
        <is>
          <t>D681</t>
        </is>
      </c>
      <c r="G1352" s="8">
        <f>IFERROR(VLOOKUP(A1352,Flete!$A:$E,5,0),"")</f>
        <v/>
      </c>
      <c r="H1352" s="7">
        <f>IFERROR(VLOOKUP(F1352,TRAOPE!$AA:$AB,2,0),"")</f>
        <v/>
      </c>
      <c r="I1352" s="7" t="n">
        <v>10269247</v>
      </c>
      <c r="J1352" s="7">
        <f>IFERROR(VLOOKUP(I1352,Materiales!$A:$H,8,0),"")</f>
        <v/>
      </c>
      <c r="K1352" s="9">
        <f>IFERROR(VLOOKUP(I1352,Materiales!$A:$G,7,0),"")</f>
        <v/>
      </c>
      <c r="L1352" s="8" t="inlineStr">
        <is>
          <t>20250701</t>
        </is>
      </c>
      <c r="M1352" s="8" t="inlineStr">
        <is>
          <t>20251031</t>
        </is>
      </c>
      <c r="N1352" s="10" t="n">
        <v>96.54000000000001</v>
      </c>
      <c r="O1352" s="10">
        <f>IFERROR(VLOOKUP(A1352,Flete!$A:$J,10,0),"")</f>
        <v/>
      </c>
      <c r="P1352" s="8" t="inlineStr">
        <is>
          <t>TN</t>
        </is>
      </c>
      <c r="Q1352" s="10">
        <f>IFERROR(IFERROR(VLOOKUP(A1352,TRAOPE!$A:$U,21,0),VLOOKUP(B1352,TRAOPE!$A:$U,21,0)),"")</f>
        <v/>
      </c>
      <c r="R1352" s="8">
        <f>IFERROR(IFERROR(VLOOKUP(A1352,TRAOPE!$A:$W,23,0),VLOOKUP(B1352,TRAOPE!$A:$W,23,0)),"")</f>
        <v/>
      </c>
      <c r="S1352" s="10">
        <f>IF(AND(P1352="TN",R1352="TN"),N1352+N(O1352),IF(G1352&amp;""="1",N(K1352)*N1352,(N1352+N(O1352))*N(K1352)))</f>
        <v/>
      </c>
      <c r="T1352" s="10">
        <f>IF(Q1352="","",Q1352-S1352)</f>
        <v/>
      </c>
    </row>
    <row r="1353">
      <c r="A1353" s="7">
        <f>CONCATENATE(C1353,E1353,F1353,I1353)</f>
        <v/>
      </c>
      <c r="B1353" s="7">
        <f>CONCATENATE(C1353,E1353,I1353)</f>
        <v/>
      </c>
      <c r="C1353" s="8" t="n">
        <v>900009480</v>
      </c>
      <c r="D1353" s="7">
        <f>IFERROR(VLOOKUP(C1353,TRAOPE!$G:$H,2,0),"")</f>
        <v/>
      </c>
      <c r="E1353" s="8" t="inlineStr">
        <is>
          <t>DW70</t>
        </is>
      </c>
      <c r="F1353" s="8" t="inlineStr">
        <is>
          <t>D074</t>
        </is>
      </c>
      <c r="G1353" s="8">
        <f>IFERROR(VLOOKUP(A1353,Flete!$A:$E,5,0),"")</f>
        <v/>
      </c>
      <c r="H1353" s="7">
        <f>IFERROR(VLOOKUP(F1353,TRAOPE!$AA:$AB,2,0),"")</f>
        <v/>
      </c>
      <c r="I1353" s="7" t="n">
        <v>10000160</v>
      </c>
      <c r="J1353" s="7">
        <f>IFERROR(VLOOKUP(I1353,Materiales!$A:$H,8,0),"")</f>
        <v/>
      </c>
      <c r="K1353" s="9">
        <f>IFERROR(VLOOKUP(I1353,Materiales!$A:$G,7,0),"")</f>
        <v/>
      </c>
      <c r="L1353" s="8" t="inlineStr">
        <is>
          <t>20260211</t>
        </is>
      </c>
      <c r="M1353" s="8" t="inlineStr">
        <is>
          <t>20260309</t>
        </is>
      </c>
      <c r="N1353" s="10" t="n">
        <v>63.17</v>
      </c>
      <c r="O1353" s="10">
        <f>IFERROR(VLOOKUP(A1353,Flete!$A:$J,10,0),"")</f>
        <v/>
      </c>
      <c r="P1353" s="8" t="inlineStr">
        <is>
          <t>TN</t>
        </is>
      </c>
      <c r="Q1353" s="10">
        <f>IFERROR(IFERROR(VLOOKUP(A1353,TRAOPE!$A:$U,21,0),VLOOKUP(B1353,TRAOPE!$A:$U,21,0)),"")</f>
        <v/>
      </c>
      <c r="R1353" s="8">
        <f>IFERROR(IFERROR(VLOOKUP(A1353,TRAOPE!$A:$W,23,0),VLOOKUP(B1353,TRAOPE!$A:$W,23,0)),"")</f>
        <v/>
      </c>
      <c r="S1353" s="10">
        <f>IF(AND(P1353="TN",R1353="TN"),N1353+N(O1353),IF(G1353&amp;""="1",N(K1353)*N1353,(N1353+N(O1353))*N(K1353)))</f>
        <v/>
      </c>
      <c r="T1353" s="10">
        <f>IF(Q1353="","",Q1353-S1353)</f>
        <v/>
      </c>
    </row>
    <row r="1354">
      <c r="A1354" s="7">
        <f>CONCATENATE(C1354,E1354,F1354,I1354)</f>
        <v/>
      </c>
      <c r="B1354" s="7">
        <f>CONCATENATE(C1354,E1354,I1354)</f>
        <v/>
      </c>
      <c r="C1354" s="8" t="n">
        <v>900009480</v>
      </c>
      <c r="D1354" s="7">
        <f>IFERROR(VLOOKUP(C1354,TRAOPE!$G:$H,2,0),"")</f>
        <v/>
      </c>
      <c r="E1354" s="8" t="inlineStr">
        <is>
          <t>DW70</t>
        </is>
      </c>
      <c r="F1354" s="8" t="inlineStr">
        <is>
          <t>D074</t>
        </is>
      </c>
      <c r="G1354" s="8">
        <f>IFERROR(VLOOKUP(A1354,Flete!$A:$E,5,0),"")</f>
        <v/>
      </c>
      <c r="H1354" s="7">
        <f>IFERROR(VLOOKUP(F1354,TRAOPE!$AA:$AB,2,0),"")</f>
        <v/>
      </c>
      <c r="I1354" s="7" t="n">
        <v>10000357</v>
      </c>
      <c r="J1354" s="7">
        <f>IFERROR(VLOOKUP(I1354,Materiales!$A:$H,8,0),"")</f>
        <v/>
      </c>
      <c r="K1354" s="9">
        <f>IFERROR(VLOOKUP(I1354,Materiales!$A:$G,7,0),"")</f>
        <v/>
      </c>
      <c r="L1354" s="8" t="inlineStr">
        <is>
          <t>20260302</t>
        </is>
      </c>
      <c r="M1354" s="8" t="inlineStr">
        <is>
          <t>99991231</t>
        </is>
      </c>
      <c r="N1354" s="10" t="n">
        <v>86.73</v>
      </c>
      <c r="O1354" s="10">
        <f>IFERROR(VLOOKUP(A1354,Flete!$A:$J,10,0),"")</f>
        <v/>
      </c>
      <c r="P1354" s="8" t="inlineStr">
        <is>
          <t>TN</t>
        </is>
      </c>
      <c r="Q1354" s="10">
        <f>IFERROR(IFERROR(VLOOKUP(A1354,TRAOPE!$A:$U,21,0),VLOOKUP(B1354,TRAOPE!$A:$U,21,0)),"")</f>
        <v/>
      </c>
      <c r="R1354" s="8">
        <f>IFERROR(IFERROR(VLOOKUP(A1354,TRAOPE!$A:$W,23,0),VLOOKUP(B1354,TRAOPE!$A:$W,23,0)),"")</f>
        <v/>
      </c>
      <c r="S1354" s="10">
        <f>IF(AND(P1354="TN",R1354="TN"),N1354+N(O1354),IF(G1354&amp;""="1",N(K1354)*N1354,(N1354+N(O1354))*N(K1354)))</f>
        <v/>
      </c>
      <c r="T1354" s="10">
        <f>IF(Q1354="","",Q1354-S1354)</f>
        <v/>
      </c>
    </row>
    <row r="1355">
      <c r="A1355" s="7">
        <f>CONCATENATE(C1355,E1355,F1355,I1355)</f>
        <v/>
      </c>
      <c r="B1355" s="7">
        <f>CONCATENATE(C1355,E1355,I1355)</f>
        <v/>
      </c>
      <c r="C1355" s="8" t="n">
        <v>900009480</v>
      </c>
      <c r="D1355" s="7">
        <f>IFERROR(VLOOKUP(C1355,TRAOPE!$G:$H,2,0),"")</f>
        <v/>
      </c>
      <c r="E1355" s="8" t="inlineStr">
        <is>
          <t>DW70</t>
        </is>
      </c>
      <c r="F1355" s="8" t="inlineStr">
        <is>
          <t>D074</t>
        </is>
      </c>
      <c r="G1355" s="8">
        <f>IFERROR(VLOOKUP(A1355,Flete!$A:$E,5,0),"")</f>
        <v/>
      </c>
      <c r="H1355" s="7">
        <f>IFERROR(VLOOKUP(F1355,TRAOPE!$AA:$AB,2,0),"")</f>
        <v/>
      </c>
      <c r="I1355" s="7" t="n">
        <v>10275115</v>
      </c>
      <c r="J1355" s="7">
        <f>IFERROR(VLOOKUP(I1355,Materiales!$A:$H,8,0),"")</f>
        <v/>
      </c>
      <c r="K1355" s="9">
        <f>IFERROR(VLOOKUP(I1355,Materiales!$A:$G,7,0),"")</f>
        <v/>
      </c>
      <c r="L1355" s="8" t="inlineStr">
        <is>
          <t>20260302</t>
        </is>
      </c>
      <c r="M1355" s="8" t="inlineStr">
        <is>
          <t>99991231</t>
        </is>
      </c>
      <c r="N1355" s="10" t="n">
        <v>70.69</v>
      </c>
      <c r="O1355" s="10">
        <f>IFERROR(VLOOKUP(A1355,Flete!$A:$J,10,0),"")</f>
        <v/>
      </c>
      <c r="P1355" s="8" t="inlineStr">
        <is>
          <t>TN</t>
        </is>
      </c>
      <c r="Q1355" s="10">
        <f>IFERROR(IFERROR(VLOOKUP(A1355,TRAOPE!$A:$U,21,0),VLOOKUP(B1355,TRAOPE!$A:$U,21,0)),"")</f>
        <v/>
      </c>
      <c r="R1355" s="8">
        <f>IFERROR(IFERROR(VLOOKUP(A1355,TRAOPE!$A:$W,23,0),VLOOKUP(B1355,TRAOPE!$A:$W,23,0)),"")</f>
        <v/>
      </c>
      <c r="S1355" s="10">
        <f>IF(AND(P1355="TN",R1355="TN"),N1355+N(O1355),IF(G1355&amp;""="1",N(K1355)*N1355,(N1355+N(O1355))*N(K1355)))</f>
        <v/>
      </c>
      <c r="T1355" s="10">
        <f>IF(Q1355="","",Q1355-S1355)</f>
        <v/>
      </c>
    </row>
    <row r="1356">
      <c r="A1356" s="7">
        <f>CONCATENATE(C1356,E1356,F1356,I1356)</f>
        <v/>
      </c>
      <c r="B1356" s="7">
        <f>CONCATENATE(C1356,E1356,I1356)</f>
        <v/>
      </c>
      <c r="C1356" s="8" t="n">
        <v>900009480</v>
      </c>
      <c r="D1356" s="7">
        <f>IFERROR(VLOOKUP(C1356,TRAOPE!$G:$H,2,0),"")</f>
        <v/>
      </c>
      <c r="E1356" s="8" t="inlineStr">
        <is>
          <t>DW70</t>
        </is>
      </c>
      <c r="F1356" s="8" t="inlineStr">
        <is>
          <t>D075</t>
        </is>
      </c>
      <c r="G1356" s="8">
        <f>IFERROR(VLOOKUP(A1356,Flete!$A:$E,5,0),"")</f>
        <v/>
      </c>
      <c r="H1356" s="7">
        <f>IFERROR(VLOOKUP(F1356,TRAOPE!$AA:$AB,2,0),"")</f>
        <v/>
      </c>
      <c r="I1356" s="7" t="n">
        <v>10000160</v>
      </c>
      <c r="J1356" s="7">
        <f>IFERROR(VLOOKUP(I1356,Materiales!$A:$H,8,0),"")</f>
        <v/>
      </c>
      <c r="K1356" s="9">
        <f>IFERROR(VLOOKUP(I1356,Materiales!$A:$G,7,0),"")</f>
        <v/>
      </c>
      <c r="L1356" s="8" t="inlineStr">
        <is>
          <t>20260211</t>
        </is>
      </c>
      <c r="M1356" s="8" t="inlineStr">
        <is>
          <t>20260309</t>
        </is>
      </c>
      <c r="N1356" s="10" t="n">
        <v>63.17</v>
      </c>
      <c r="O1356" s="10">
        <f>IFERROR(VLOOKUP(A1356,Flete!$A:$J,10,0),"")</f>
        <v/>
      </c>
      <c r="P1356" s="8" t="inlineStr">
        <is>
          <t>TN</t>
        </is>
      </c>
      <c r="Q1356" s="10">
        <f>IFERROR(IFERROR(VLOOKUP(A1356,TRAOPE!$A:$U,21,0),VLOOKUP(B1356,TRAOPE!$A:$U,21,0)),"")</f>
        <v/>
      </c>
      <c r="R1356" s="8">
        <f>IFERROR(IFERROR(VLOOKUP(A1356,TRAOPE!$A:$W,23,0),VLOOKUP(B1356,TRAOPE!$A:$W,23,0)),"")</f>
        <v/>
      </c>
      <c r="S1356" s="10">
        <f>IF(AND(P1356="TN",R1356="TN"),N1356+N(O1356),IF(G1356&amp;""="1",N(K1356)*N1356,(N1356+N(O1356))*N(K1356)))</f>
        <v/>
      </c>
      <c r="T1356" s="10">
        <f>IF(Q1356="","",Q1356-S1356)</f>
        <v/>
      </c>
    </row>
    <row r="1357">
      <c r="A1357" s="7">
        <f>CONCATENATE(C1357,E1357,F1357,I1357)</f>
        <v/>
      </c>
      <c r="B1357" s="7">
        <f>CONCATENATE(C1357,E1357,I1357)</f>
        <v/>
      </c>
      <c r="C1357" s="8" t="n">
        <v>900009480</v>
      </c>
      <c r="D1357" s="7">
        <f>IFERROR(VLOOKUP(C1357,TRAOPE!$G:$H,2,0),"")</f>
        <v/>
      </c>
      <c r="E1357" s="8" t="inlineStr">
        <is>
          <t>DW70</t>
        </is>
      </c>
      <c r="F1357" s="8" t="inlineStr">
        <is>
          <t>D075</t>
        </is>
      </c>
      <c r="G1357" s="8">
        <f>IFERROR(VLOOKUP(A1357,Flete!$A:$E,5,0),"")</f>
        <v/>
      </c>
      <c r="H1357" s="7">
        <f>IFERROR(VLOOKUP(F1357,TRAOPE!$AA:$AB,2,0),"")</f>
        <v/>
      </c>
      <c r="I1357" s="7" t="n">
        <v>10000357</v>
      </c>
      <c r="J1357" s="7">
        <f>IFERROR(VLOOKUP(I1357,Materiales!$A:$H,8,0),"")</f>
        <v/>
      </c>
      <c r="K1357" s="9">
        <f>IFERROR(VLOOKUP(I1357,Materiales!$A:$G,7,0),"")</f>
        <v/>
      </c>
      <c r="L1357" s="8" t="inlineStr">
        <is>
          <t>20260302</t>
        </is>
      </c>
      <c r="M1357" s="8" t="inlineStr">
        <is>
          <t>99991231</t>
        </is>
      </c>
      <c r="N1357" s="10" t="n">
        <v>86.73</v>
      </c>
      <c r="O1357" s="10">
        <f>IFERROR(VLOOKUP(A1357,Flete!$A:$J,10,0),"")</f>
        <v/>
      </c>
      <c r="P1357" s="8" t="inlineStr">
        <is>
          <t>TN</t>
        </is>
      </c>
      <c r="Q1357" s="10">
        <f>IFERROR(IFERROR(VLOOKUP(A1357,TRAOPE!$A:$U,21,0),VLOOKUP(B1357,TRAOPE!$A:$U,21,0)),"")</f>
        <v/>
      </c>
      <c r="R1357" s="8">
        <f>IFERROR(IFERROR(VLOOKUP(A1357,TRAOPE!$A:$W,23,0),VLOOKUP(B1357,TRAOPE!$A:$W,23,0)),"")</f>
        <v/>
      </c>
      <c r="S1357" s="10">
        <f>IF(AND(P1357="TN",R1357="TN"),N1357+N(O1357),IF(G1357&amp;""="1",N(K1357)*N1357,(N1357+N(O1357))*N(K1357)))</f>
        <v/>
      </c>
      <c r="T1357" s="10">
        <f>IF(Q1357="","",Q1357-S1357)</f>
        <v/>
      </c>
    </row>
    <row r="1358">
      <c r="A1358" s="7">
        <f>CONCATENATE(C1358,E1358,F1358,I1358)</f>
        <v/>
      </c>
      <c r="B1358" s="7">
        <f>CONCATENATE(C1358,E1358,I1358)</f>
        <v/>
      </c>
      <c r="C1358" s="8" t="n">
        <v>900009480</v>
      </c>
      <c r="D1358" s="7">
        <f>IFERROR(VLOOKUP(C1358,TRAOPE!$G:$H,2,0),"")</f>
        <v/>
      </c>
      <c r="E1358" s="8" t="inlineStr">
        <is>
          <t>DW70</t>
        </is>
      </c>
      <c r="F1358" s="8" t="inlineStr">
        <is>
          <t>D075</t>
        </is>
      </c>
      <c r="G1358" s="8">
        <f>IFERROR(VLOOKUP(A1358,Flete!$A:$E,5,0),"")</f>
        <v/>
      </c>
      <c r="H1358" s="7">
        <f>IFERROR(VLOOKUP(F1358,TRAOPE!$AA:$AB,2,0),"")</f>
        <v/>
      </c>
      <c r="I1358" s="7" t="n">
        <v>10275115</v>
      </c>
      <c r="J1358" s="7">
        <f>IFERROR(VLOOKUP(I1358,Materiales!$A:$H,8,0),"")</f>
        <v/>
      </c>
      <c r="K1358" s="9">
        <f>IFERROR(VLOOKUP(I1358,Materiales!$A:$G,7,0),"")</f>
        <v/>
      </c>
      <c r="L1358" s="8" t="inlineStr">
        <is>
          <t>20260302</t>
        </is>
      </c>
      <c r="M1358" s="8" t="inlineStr">
        <is>
          <t>99991231</t>
        </is>
      </c>
      <c r="N1358" s="10" t="n">
        <v>70.69</v>
      </c>
      <c r="O1358" s="10">
        <f>IFERROR(VLOOKUP(A1358,Flete!$A:$J,10,0),"")</f>
        <v/>
      </c>
      <c r="P1358" s="8" t="inlineStr">
        <is>
          <t>TN</t>
        </is>
      </c>
      <c r="Q1358" s="10">
        <f>IFERROR(IFERROR(VLOOKUP(A1358,TRAOPE!$A:$U,21,0),VLOOKUP(B1358,TRAOPE!$A:$U,21,0)),"")</f>
        <v/>
      </c>
      <c r="R1358" s="8">
        <f>IFERROR(IFERROR(VLOOKUP(A1358,TRAOPE!$A:$W,23,0),VLOOKUP(B1358,TRAOPE!$A:$W,23,0)),"")</f>
        <v/>
      </c>
      <c r="S1358" s="10">
        <f>IF(AND(P1358="TN",R1358="TN"),N1358+N(O1358),IF(G1358&amp;""="1",N(K1358)*N1358,(N1358+N(O1358))*N(K1358)))</f>
        <v/>
      </c>
      <c r="T1358" s="10">
        <f>IF(Q1358="","",Q1358-S1358)</f>
        <v/>
      </c>
    </row>
    <row r="1359">
      <c r="A1359" s="7">
        <f>CONCATENATE(C1359,E1359,F1359,I1359)</f>
        <v/>
      </c>
      <c r="B1359" s="7">
        <f>CONCATENATE(C1359,E1359,I1359)</f>
        <v/>
      </c>
      <c r="C1359" s="8" t="n">
        <v>900009480</v>
      </c>
      <c r="D1359" s="7">
        <f>IFERROR(VLOOKUP(C1359,TRAOPE!$G:$H,2,0),"")</f>
        <v/>
      </c>
      <c r="E1359" s="8" t="inlineStr">
        <is>
          <t>DW70</t>
        </is>
      </c>
      <c r="F1359" s="8" t="inlineStr">
        <is>
          <t>D077</t>
        </is>
      </c>
      <c r="G1359" s="8">
        <f>IFERROR(VLOOKUP(A1359,Flete!$A:$E,5,0),"")</f>
        <v/>
      </c>
      <c r="H1359" s="7">
        <f>IFERROR(VLOOKUP(F1359,TRAOPE!$AA:$AB,2,0),"")</f>
        <v/>
      </c>
      <c r="I1359" s="7" t="n">
        <v>10000160</v>
      </c>
      <c r="J1359" s="7">
        <f>IFERROR(VLOOKUP(I1359,Materiales!$A:$H,8,0),"")</f>
        <v/>
      </c>
      <c r="K1359" s="9">
        <f>IFERROR(VLOOKUP(I1359,Materiales!$A:$G,7,0),"")</f>
        <v/>
      </c>
      <c r="L1359" s="8" t="inlineStr">
        <is>
          <t>20260211</t>
        </is>
      </c>
      <c r="M1359" s="8" t="inlineStr">
        <is>
          <t>20260309</t>
        </is>
      </c>
      <c r="N1359" s="10" t="n">
        <v>63.17</v>
      </c>
      <c r="O1359" s="10">
        <f>IFERROR(VLOOKUP(A1359,Flete!$A:$J,10,0),"")</f>
        <v/>
      </c>
      <c r="P1359" s="8" t="inlineStr">
        <is>
          <t>TN</t>
        </is>
      </c>
      <c r="Q1359" s="10">
        <f>IFERROR(IFERROR(VLOOKUP(A1359,TRAOPE!$A:$U,21,0),VLOOKUP(B1359,TRAOPE!$A:$U,21,0)),"")</f>
        <v/>
      </c>
      <c r="R1359" s="8">
        <f>IFERROR(IFERROR(VLOOKUP(A1359,TRAOPE!$A:$W,23,0),VLOOKUP(B1359,TRAOPE!$A:$W,23,0)),"")</f>
        <v/>
      </c>
      <c r="S1359" s="10">
        <f>IF(AND(P1359="TN",R1359="TN"),N1359+N(O1359),IF(G1359&amp;""="1",N(K1359)*N1359,(N1359+N(O1359))*N(K1359)))</f>
        <v/>
      </c>
      <c r="T1359" s="10">
        <f>IF(Q1359="","",Q1359-S1359)</f>
        <v/>
      </c>
    </row>
    <row r="1360">
      <c r="A1360" s="7">
        <f>CONCATENATE(C1360,E1360,F1360,I1360)</f>
        <v/>
      </c>
      <c r="B1360" s="7">
        <f>CONCATENATE(C1360,E1360,I1360)</f>
        <v/>
      </c>
      <c r="C1360" s="8" t="n">
        <v>900009480</v>
      </c>
      <c r="D1360" s="7">
        <f>IFERROR(VLOOKUP(C1360,TRAOPE!$G:$H,2,0),"")</f>
        <v/>
      </c>
      <c r="E1360" s="8" t="inlineStr">
        <is>
          <t>DW70</t>
        </is>
      </c>
      <c r="F1360" s="8" t="inlineStr">
        <is>
          <t>D077</t>
        </is>
      </c>
      <c r="G1360" s="8">
        <f>IFERROR(VLOOKUP(A1360,Flete!$A:$E,5,0),"")</f>
        <v/>
      </c>
      <c r="H1360" s="7">
        <f>IFERROR(VLOOKUP(F1360,TRAOPE!$AA:$AB,2,0),"")</f>
        <v/>
      </c>
      <c r="I1360" s="7" t="n">
        <v>10000357</v>
      </c>
      <c r="J1360" s="7">
        <f>IFERROR(VLOOKUP(I1360,Materiales!$A:$H,8,0),"")</f>
        <v/>
      </c>
      <c r="K1360" s="9">
        <f>IFERROR(VLOOKUP(I1360,Materiales!$A:$G,7,0),"")</f>
        <v/>
      </c>
      <c r="L1360" s="8" t="inlineStr">
        <is>
          <t>20260302</t>
        </is>
      </c>
      <c r="M1360" s="8" t="inlineStr">
        <is>
          <t>99991231</t>
        </is>
      </c>
      <c r="N1360" s="10" t="n">
        <v>86.73</v>
      </c>
      <c r="O1360" s="10">
        <f>IFERROR(VLOOKUP(A1360,Flete!$A:$J,10,0),"")</f>
        <v/>
      </c>
      <c r="P1360" s="8" t="inlineStr">
        <is>
          <t>TN</t>
        </is>
      </c>
      <c r="Q1360" s="10">
        <f>IFERROR(IFERROR(VLOOKUP(A1360,TRAOPE!$A:$U,21,0),VLOOKUP(B1360,TRAOPE!$A:$U,21,0)),"")</f>
        <v/>
      </c>
      <c r="R1360" s="8">
        <f>IFERROR(IFERROR(VLOOKUP(A1360,TRAOPE!$A:$W,23,0),VLOOKUP(B1360,TRAOPE!$A:$W,23,0)),"")</f>
        <v/>
      </c>
      <c r="S1360" s="10">
        <f>IF(AND(P1360="TN",R1360="TN"),N1360+N(O1360),IF(G1360&amp;""="1",N(K1360)*N1360,(N1360+N(O1360))*N(K1360)))</f>
        <v/>
      </c>
      <c r="T1360" s="10">
        <f>IF(Q1360="","",Q1360-S1360)</f>
        <v/>
      </c>
    </row>
    <row r="1361">
      <c r="A1361" s="7">
        <f>CONCATENATE(C1361,E1361,F1361,I1361)</f>
        <v/>
      </c>
      <c r="B1361" s="7">
        <f>CONCATENATE(C1361,E1361,I1361)</f>
        <v/>
      </c>
      <c r="C1361" s="8" t="n">
        <v>900009480</v>
      </c>
      <c r="D1361" s="7">
        <f>IFERROR(VLOOKUP(C1361,TRAOPE!$G:$H,2,0),"")</f>
        <v/>
      </c>
      <c r="E1361" s="8" t="inlineStr">
        <is>
          <t>DW70</t>
        </is>
      </c>
      <c r="F1361" s="8" t="inlineStr">
        <is>
          <t>D077</t>
        </is>
      </c>
      <c r="G1361" s="8">
        <f>IFERROR(VLOOKUP(A1361,Flete!$A:$E,5,0),"")</f>
        <v/>
      </c>
      <c r="H1361" s="7">
        <f>IFERROR(VLOOKUP(F1361,TRAOPE!$AA:$AB,2,0),"")</f>
        <v/>
      </c>
      <c r="I1361" s="7" t="n">
        <v>10275115</v>
      </c>
      <c r="J1361" s="7">
        <f>IFERROR(VLOOKUP(I1361,Materiales!$A:$H,8,0),"")</f>
        <v/>
      </c>
      <c r="K1361" s="9">
        <f>IFERROR(VLOOKUP(I1361,Materiales!$A:$G,7,0),"")</f>
        <v/>
      </c>
      <c r="L1361" s="8" t="inlineStr">
        <is>
          <t>20260302</t>
        </is>
      </c>
      <c r="M1361" s="8" t="inlineStr">
        <is>
          <t>99991231</t>
        </is>
      </c>
      <c r="N1361" s="10" t="n">
        <v>70.69</v>
      </c>
      <c r="O1361" s="10">
        <f>IFERROR(VLOOKUP(A1361,Flete!$A:$J,10,0),"")</f>
        <v/>
      </c>
      <c r="P1361" s="8" t="inlineStr">
        <is>
          <t>TN</t>
        </is>
      </c>
      <c r="Q1361" s="10">
        <f>IFERROR(IFERROR(VLOOKUP(A1361,TRAOPE!$A:$U,21,0),VLOOKUP(B1361,TRAOPE!$A:$U,21,0)),"")</f>
        <v/>
      </c>
      <c r="R1361" s="8">
        <f>IFERROR(IFERROR(VLOOKUP(A1361,TRAOPE!$A:$W,23,0),VLOOKUP(B1361,TRAOPE!$A:$W,23,0)),"")</f>
        <v/>
      </c>
      <c r="S1361" s="10">
        <f>IF(AND(P1361="TN",R1361="TN"),N1361+N(O1361),IF(G1361&amp;""="1",N(K1361)*N1361,(N1361+N(O1361))*N(K1361)))</f>
        <v/>
      </c>
      <c r="T1361" s="10">
        <f>IF(Q1361="","",Q1361-S1361)</f>
        <v/>
      </c>
    </row>
    <row r="1362">
      <c r="A1362" s="7">
        <f>CONCATENATE(C1362,E1362,F1362,I1362)</f>
        <v/>
      </c>
      <c r="B1362" s="7">
        <f>CONCATENATE(C1362,E1362,I1362)</f>
        <v/>
      </c>
      <c r="C1362" s="8" t="n">
        <v>900009480</v>
      </c>
      <c r="D1362" s="7">
        <f>IFERROR(VLOOKUP(C1362,TRAOPE!$G:$H,2,0),"")</f>
        <v/>
      </c>
      <c r="E1362" s="8" t="inlineStr">
        <is>
          <t>DW70</t>
        </is>
      </c>
      <c r="F1362" s="8" t="inlineStr">
        <is>
          <t>D079</t>
        </is>
      </c>
      <c r="G1362" s="8">
        <f>IFERROR(VLOOKUP(A1362,Flete!$A:$E,5,0),"")</f>
        <v/>
      </c>
      <c r="H1362" s="7">
        <f>IFERROR(VLOOKUP(F1362,TRAOPE!$AA:$AB,2,0),"")</f>
        <v/>
      </c>
      <c r="I1362" s="7" t="n">
        <v>10000160</v>
      </c>
      <c r="J1362" s="7">
        <f>IFERROR(VLOOKUP(I1362,Materiales!$A:$H,8,0),"")</f>
        <v/>
      </c>
      <c r="K1362" s="9">
        <f>IFERROR(VLOOKUP(I1362,Materiales!$A:$G,7,0),"")</f>
        <v/>
      </c>
      <c r="L1362" s="8" t="inlineStr">
        <is>
          <t>20260211</t>
        </is>
      </c>
      <c r="M1362" s="8" t="inlineStr">
        <is>
          <t>20260309</t>
        </is>
      </c>
      <c r="N1362" s="10" t="n">
        <v>63.17</v>
      </c>
      <c r="O1362" s="10">
        <f>IFERROR(VLOOKUP(A1362,Flete!$A:$J,10,0),"")</f>
        <v/>
      </c>
      <c r="P1362" s="8" t="inlineStr">
        <is>
          <t>TN</t>
        </is>
      </c>
      <c r="Q1362" s="10">
        <f>IFERROR(IFERROR(VLOOKUP(A1362,TRAOPE!$A:$U,21,0),VLOOKUP(B1362,TRAOPE!$A:$U,21,0)),"")</f>
        <v/>
      </c>
      <c r="R1362" s="8">
        <f>IFERROR(IFERROR(VLOOKUP(A1362,TRAOPE!$A:$W,23,0),VLOOKUP(B1362,TRAOPE!$A:$W,23,0)),"")</f>
        <v/>
      </c>
      <c r="S1362" s="10">
        <f>IF(AND(P1362="TN",R1362="TN"),N1362+N(O1362),IF(G1362&amp;""="1",N(K1362)*N1362,(N1362+N(O1362))*N(K1362)))</f>
        <v/>
      </c>
      <c r="T1362" s="10">
        <f>IF(Q1362="","",Q1362-S1362)</f>
        <v/>
      </c>
    </row>
    <row r="1363">
      <c r="A1363" s="7">
        <f>CONCATENATE(C1363,E1363,F1363,I1363)</f>
        <v/>
      </c>
      <c r="B1363" s="7">
        <f>CONCATENATE(C1363,E1363,I1363)</f>
        <v/>
      </c>
      <c r="C1363" s="8" t="n">
        <v>900009480</v>
      </c>
      <c r="D1363" s="7">
        <f>IFERROR(VLOOKUP(C1363,TRAOPE!$G:$H,2,0),"")</f>
        <v/>
      </c>
      <c r="E1363" s="8" t="inlineStr">
        <is>
          <t>DW70</t>
        </is>
      </c>
      <c r="F1363" s="8" t="inlineStr">
        <is>
          <t>D079</t>
        </is>
      </c>
      <c r="G1363" s="8">
        <f>IFERROR(VLOOKUP(A1363,Flete!$A:$E,5,0),"")</f>
        <v/>
      </c>
      <c r="H1363" s="7">
        <f>IFERROR(VLOOKUP(F1363,TRAOPE!$AA:$AB,2,0),"")</f>
        <v/>
      </c>
      <c r="I1363" s="7" t="n">
        <v>10000357</v>
      </c>
      <c r="J1363" s="7">
        <f>IFERROR(VLOOKUP(I1363,Materiales!$A:$H,8,0),"")</f>
        <v/>
      </c>
      <c r="K1363" s="9">
        <f>IFERROR(VLOOKUP(I1363,Materiales!$A:$G,7,0),"")</f>
        <v/>
      </c>
      <c r="L1363" s="8" t="inlineStr">
        <is>
          <t>20260302</t>
        </is>
      </c>
      <c r="M1363" s="8" t="inlineStr">
        <is>
          <t>99991231</t>
        </is>
      </c>
      <c r="N1363" s="10" t="n">
        <v>86.73</v>
      </c>
      <c r="O1363" s="10">
        <f>IFERROR(VLOOKUP(A1363,Flete!$A:$J,10,0),"")</f>
        <v/>
      </c>
      <c r="P1363" s="8" t="inlineStr">
        <is>
          <t>TN</t>
        </is>
      </c>
      <c r="Q1363" s="10">
        <f>IFERROR(IFERROR(VLOOKUP(A1363,TRAOPE!$A:$U,21,0),VLOOKUP(B1363,TRAOPE!$A:$U,21,0)),"")</f>
        <v/>
      </c>
      <c r="R1363" s="8">
        <f>IFERROR(IFERROR(VLOOKUP(A1363,TRAOPE!$A:$W,23,0),VLOOKUP(B1363,TRAOPE!$A:$W,23,0)),"")</f>
        <v/>
      </c>
      <c r="S1363" s="10">
        <f>IF(AND(P1363="TN",R1363="TN"),N1363+N(O1363),IF(G1363&amp;""="1",N(K1363)*N1363,(N1363+N(O1363))*N(K1363)))</f>
        <v/>
      </c>
      <c r="T1363" s="10">
        <f>IF(Q1363="","",Q1363-S1363)</f>
        <v/>
      </c>
    </row>
    <row r="1364">
      <c r="A1364" s="7">
        <f>CONCATENATE(C1364,E1364,F1364,I1364)</f>
        <v/>
      </c>
      <c r="B1364" s="7">
        <f>CONCATENATE(C1364,E1364,I1364)</f>
        <v/>
      </c>
      <c r="C1364" s="8" t="n">
        <v>900009480</v>
      </c>
      <c r="D1364" s="7">
        <f>IFERROR(VLOOKUP(C1364,TRAOPE!$G:$H,2,0),"")</f>
        <v/>
      </c>
      <c r="E1364" s="8" t="inlineStr">
        <is>
          <t>DW70</t>
        </is>
      </c>
      <c r="F1364" s="8" t="inlineStr">
        <is>
          <t>D079</t>
        </is>
      </c>
      <c r="G1364" s="8">
        <f>IFERROR(VLOOKUP(A1364,Flete!$A:$E,5,0),"")</f>
        <v/>
      </c>
      <c r="H1364" s="7">
        <f>IFERROR(VLOOKUP(F1364,TRAOPE!$AA:$AB,2,0),"")</f>
        <v/>
      </c>
      <c r="I1364" s="7" t="n">
        <v>10275115</v>
      </c>
      <c r="J1364" s="7">
        <f>IFERROR(VLOOKUP(I1364,Materiales!$A:$H,8,0),"")</f>
        <v/>
      </c>
      <c r="K1364" s="9">
        <f>IFERROR(VLOOKUP(I1364,Materiales!$A:$G,7,0),"")</f>
        <v/>
      </c>
      <c r="L1364" s="8" t="inlineStr">
        <is>
          <t>20260302</t>
        </is>
      </c>
      <c r="M1364" s="8" t="inlineStr">
        <is>
          <t>99991231</t>
        </is>
      </c>
      <c r="N1364" s="10" t="n">
        <v>70.69</v>
      </c>
      <c r="O1364" s="10">
        <f>IFERROR(VLOOKUP(A1364,Flete!$A:$J,10,0),"")</f>
        <v/>
      </c>
      <c r="P1364" s="8" t="inlineStr">
        <is>
          <t>TN</t>
        </is>
      </c>
      <c r="Q1364" s="10">
        <f>IFERROR(IFERROR(VLOOKUP(A1364,TRAOPE!$A:$U,21,0),VLOOKUP(B1364,TRAOPE!$A:$U,21,0)),"")</f>
        <v/>
      </c>
      <c r="R1364" s="8">
        <f>IFERROR(IFERROR(VLOOKUP(A1364,TRAOPE!$A:$W,23,0),VLOOKUP(B1364,TRAOPE!$A:$W,23,0)),"")</f>
        <v/>
      </c>
      <c r="S1364" s="10">
        <f>IF(AND(P1364="TN",R1364="TN"),N1364+N(O1364),IF(G1364&amp;""="1",N(K1364)*N1364,(N1364+N(O1364))*N(K1364)))</f>
        <v/>
      </c>
      <c r="T1364" s="10">
        <f>IF(Q1364="","",Q1364-S1364)</f>
        <v/>
      </c>
    </row>
    <row r="1365">
      <c r="A1365" s="7">
        <f>CONCATENATE(C1365,E1365,F1365,I1365)</f>
        <v/>
      </c>
      <c r="B1365" s="7">
        <f>CONCATENATE(C1365,E1365,I1365)</f>
        <v/>
      </c>
      <c r="C1365" s="8" t="n">
        <v>900009480</v>
      </c>
      <c r="D1365" s="7">
        <f>IFERROR(VLOOKUP(C1365,TRAOPE!$G:$H,2,0),"")</f>
        <v/>
      </c>
      <c r="E1365" s="8" t="inlineStr">
        <is>
          <t>DW70</t>
        </is>
      </c>
      <c r="F1365" s="8" t="inlineStr">
        <is>
          <t>D080</t>
        </is>
      </c>
      <c r="G1365" s="8">
        <f>IFERROR(VLOOKUP(A1365,Flete!$A:$E,5,0),"")</f>
        <v/>
      </c>
      <c r="H1365" s="7">
        <f>IFERROR(VLOOKUP(F1365,TRAOPE!$AA:$AB,2,0),"")</f>
        <v/>
      </c>
      <c r="I1365" s="7" t="n">
        <v>10000160</v>
      </c>
      <c r="J1365" s="7">
        <f>IFERROR(VLOOKUP(I1365,Materiales!$A:$H,8,0),"")</f>
        <v/>
      </c>
      <c r="K1365" s="9">
        <f>IFERROR(VLOOKUP(I1365,Materiales!$A:$G,7,0),"")</f>
        <v/>
      </c>
      <c r="L1365" s="8" t="inlineStr">
        <is>
          <t>20260211</t>
        </is>
      </c>
      <c r="M1365" s="8" t="inlineStr">
        <is>
          <t>20260309</t>
        </is>
      </c>
      <c r="N1365" s="10" t="n">
        <v>63.17</v>
      </c>
      <c r="O1365" s="10">
        <f>IFERROR(VLOOKUP(A1365,Flete!$A:$J,10,0),"")</f>
        <v/>
      </c>
      <c r="P1365" s="8" t="inlineStr">
        <is>
          <t>TN</t>
        </is>
      </c>
      <c r="Q1365" s="10">
        <f>IFERROR(IFERROR(VLOOKUP(A1365,TRAOPE!$A:$U,21,0),VLOOKUP(B1365,TRAOPE!$A:$U,21,0)),"")</f>
        <v/>
      </c>
      <c r="R1365" s="8">
        <f>IFERROR(IFERROR(VLOOKUP(A1365,TRAOPE!$A:$W,23,0),VLOOKUP(B1365,TRAOPE!$A:$W,23,0)),"")</f>
        <v/>
      </c>
      <c r="S1365" s="10">
        <f>IF(AND(P1365="TN",R1365="TN"),N1365+N(O1365),IF(G1365&amp;""="1",N(K1365)*N1365,(N1365+N(O1365))*N(K1365)))</f>
        <v/>
      </c>
      <c r="T1365" s="10">
        <f>IF(Q1365="","",Q1365-S1365)</f>
        <v/>
      </c>
    </row>
    <row r="1366">
      <c r="A1366" s="7">
        <f>CONCATENATE(C1366,E1366,F1366,I1366)</f>
        <v/>
      </c>
      <c r="B1366" s="7">
        <f>CONCATENATE(C1366,E1366,I1366)</f>
        <v/>
      </c>
      <c r="C1366" s="8" t="n">
        <v>900009480</v>
      </c>
      <c r="D1366" s="7">
        <f>IFERROR(VLOOKUP(C1366,TRAOPE!$G:$H,2,0),"")</f>
        <v/>
      </c>
      <c r="E1366" s="8" t="inlineStr">
        <is>
          <t>DW70</t>
        </is>
      </c>
      <c r="F1366" s="8" t="inlineStr">
        <is>
          <t>D080</t>
        </is>
      </c>
      <c r="G1366" s="8">
        <f>IFERROR(VLOOKUP(A1366,Flete!$A:$E,5,0),"")</f>
        <v/>
      </c>
      <c r="H1366" s="7">
        <f>IFERROR(VLOOKUP(F1366,TRAOPE!$AA:$AB,2,0),"")</f>
        <v/>
      </c>
      <c r="I1366" s="7" t="n">
        <v>10000357</v>
      </c>
      <c r="J1366" s="7">
        <f>IFERROR(VLOOKUP(I1366,Materiales!$A:$H,8,0),"")</f>
        <v/>
      </c>
      <c r="K1366" s="9">
        <f>IFERROR(VLOOKUP(I1366,Materiales!$A:$G,7,0),"")</f>
        <v/>
      </c>
      <c r="L1366" s="8" t="inlineStr">
        <is>
          <t>20260302</t>
        </is>
      </c>
      <c r="M1366" s="8" t="inlineStr">
        <is>
          <t>99991231</t>
        </is>
      </c>
      <c r="N1366" s="10" t="n">
        <v>86.73</v>
      </c>
      <c r="O1366" s="10">
        <f>IFERROR(VLOOKUP(A1366,Flete!$A:$J,10,0),"")</f>
        <v/>
      </c>
      <c r="P1366" s="8" t="inlineStr">
        <is>
          <t>TN</t>
        </is>
      </c>
      <c r="Q1366" s="10">
        <f>IFERROR(IFERROR(VLOOKUP(A1366,TRAOPE!$A:$U,21,0),VLOOKUP(B1366,TRAOPE!$A:$U,21,0)),"")</f>
        <v/>
      </c>
      <c r="R1366" s="8">
        <f>IFERROR(IFERROR(VLOOKUP(A1366,TRAOPE!$A:$W,23,0),VLOOKUP(B1366,TRAOPE!$A:$W,23,0)),"")</f>
        <v/>
      </c>
      <c r="S1366" s="10">
        <f>IF(AND(P1366="TN",R1366="TN"),N1366+N(O1366),IF(G1366&amp;""="1",N(K1366)*N1366,(N1366+N(O1366))*N(K1366)))</f>
        <v/>
      </c>
      <c r="T1366" s="10">
        <f>IF(Q1366="","",Q1366-S1366)</f>
        <v/>
      </c>
    </row>
    <row r="1367">
      <c r="A1367" s="7">
        <f>CONCATENATE(C1367,E1367,F1367,I1367)</f>
        <v/>
      </c>
      <c r="B1367" s="7">
        <f>CONCATENATE(C1367,E1367,I1367)</f>
        <v/>
      </c>
      <c r="C1367" s="8" t="n">
        <v>900009480</v>
      </c>
      <c r="D1367" s="7">
        <f>IFERROR(VLOOKUP(C1367,TRAOPE!$G:$H,2,0),"")</f>
        <v/>
      </c>
      <c r="E1367" s="8" t="inlineStr">
        <is>
          <t>DW70</t>
        </is>
      </c>
      <c r="F1367" s="8" t="inlineStr">
        <is>
          <t>D080</t>
        </is>
      </c>
      <c r="G1367" s="8">
        <f>IFERROR(VLOOKUP(A1367,Flete!$A:$E,5,0),"")</f>
        <v/>
      </c>
      <c r="H1367" s="7">
        <f>IFERROR(VLOOKUP(F1367,TRAOPE!$AA:$AB,2,0),"")</f>
        <v/>
      </c>
      <c r="I1367" s="7" t="n">
        <v>10275115</v>
      </c>
      <c r="J1367" s="7">
        <f>IFERROR(VLOOKUP(I1367,Materiales!$A:$H,8,0),"")</f>
        <v/>
      </c>
      <c r="K1367" s="9">
        <f>IFERROR(VLOOKUP(I1367,Materiales!$A:$G,7,0),"")</f>
        <v/>
      </c>
      <c r="L1367" s="8" t="inlineStr">
        <is>
          <t>20260302</t>
        </is>
      </c>
      <c r="M1367" s="8" t="inlineStr">
        <is>
          <t>99991231</t>
        </is>
      </c>
      <c r="N1367" s="10" t="n">
        <v>70.69</v>
      </c>
      <c r="O1367" s="10">
        <f>IFERROR(VLOOKUP(A1367,Flete!$A:$J,10,0),"")</f>
        <v/>
      </c>
      <c r="P1367" s="8" t="inlineStr">
        <is>
          <t>TN</t>
        </is>
      </c>
      <c r="Q1367" s="10">
        <f>IFERROR(IFERROR(VLOOKUP(A1367,TRAOPE!$A:$U,21,0),VLOOKUP(B1367,TRAOPE!$A:$U,21,0)),"")</f>
        <v/>
      </c>
      <c r="R1367" s="8">
        <f>IFERROR(IFERROR(VLOOKUP(A1367,TRAOPE!$A:$W,23,0),VLOOKUP(B1367,TRAOPE!$A:$W,23,0)),"")</f>
        <v/>
      </c>
      <c r="S1367" s="10">
        <f>IF(AND(P1367="TN",R1367="TN"),N1367+N(O1367),IF(G1367&amp;""="1",N(K1367)*N1367,(N1367+N(O1367))*N(K1367)))</f>
        <v/>
      </c>
      <c r="T1367" s="10">
        <f>IF(Q1367="","",Q1367-S1367)</f>
        <v/>
      </c>
    </row>
    <row r="1368">
      <c r="A1368" s="7">
        <f>CONCATENATE(C1368,E1368,F1368,I1368)</f>
        <v/>
      </c>
      <c r="B1368" s="7">
        <f>CONCATENATE(C1368,E1368,I1368)</f>
        <v/>
      </c>
      <c r="C1368" s="8" t="n">
        <v>900009480</v>
      </c>
      <c r="D1368" s="7">
        <f>IFERROR(VLOOKUP(C1368,TRAOPE!$G:$H,2,0),"")</f>
        <v/>
      </c>
      <c r="E1368" s="8" t="inlineStr">
        <is>
          <t>DW70</t>
        </is>
      </c>
      <c r="F1368" s="8" t="inlineStr">
        <is>
          <t>D081</t>
        </is>
      </c>
      <c r="G1368" s="8">
        <f>IFERROR(VLOOKUP(A1368,Flete!$A:$E,5,0),"")</f>
        <v/>
      </c>
      <c r="H1368" s="7">
        <f>IFERROR(VLOOKUP(F1368,TRAOPE!$AA:$AB,2,0),"")</f>
        <v/>
      </c>
      <c r="I1368" s="7" t="n">
        <v>10000160</v>
      </c>
      <c r="J1368" s="7">
        <f>IFERROR(VLOOKUP(I1368,Materiales!$A:$H,8,0),"")</f>
        <v/>
      </c>
      <c r="K1368" s="9">
        <f>IFERROR(VLOOKUP(I1368,Materiales!$A:$G,7,0),"")</f>
        <v/>
      </c>
      <c r="L1368" s="8" t="inlineStr">
        <is>
          <t>20260211</t>
        </is>
      </c>
      <c r="M1368" s="8" t="inlineStr">
        <is>
          <t>20260309</t>
        </is>
      </c>
      <c r="N1368" s="10" t="n">
        <v>63.17</v>
      </c>
      <c r="O1368" s="10">
        <f>IFERROR(VLOOKUP(A1368,Flete!$A:$J,10,0),"")</f>
        <v/>
      </c>
      <c r="P1368" s="8" t="inlineStr">
        <is>
          <t>TN</t>
        </is>
      </c>
      <c r="Q1368" s="10">
        <f>IFERROR(IFERROR(VLOOKUP(A1368,TRAOPE!$A:$U,21,0),VLOOKUP(B1368,TRAOPE!$A:$U,21,0)),"")</f>
        <v/>
      </c>
      <c r="R1368" s="8">
        <f>IFERROR(IFERROR(VLOOKUP(A1368,TRAOPE!$A:$W,23,0),VLOOKUP(B1368,TRAOPE!$A:$W,23,0)),"")</f>
        <v/>
      </c>
      <c r="S1368" s="10">
        <f>IF(AND(P1368="TN",R1368="TN"),N1368+N(O1368),IF(G1368&amp;""="1",N(K1368)*N1368,(N1368+N(O1368))*N(K1368)))</f>
        <v/>
      </c>
      <c r="T1368" s="10">
        <f>IF(Q1368="","",Q1368-S1368)</f>
        <v/>
      </c>
    </row>
    <row r="1369">
      <c r="A1369" s="7">
        <f>CONCATENATE(C1369,E1369,F1369,I1369)</f>
        <v/>
      </c>
      <c r="B1369" s="7">
        <f>CONCATENATE(C1369,E1369,I1369)</f>
        <v/>
      </c>
      <c r="C1369" s="8" t="n">
        <v>900009480</v>
      </c>
      <c r="D1369" s="7">
        <f>IFERROR(VLOOKUP(C1369,TRAOPE!$G:$H,2,0),"")</f>
        <v/>
      </c>
      <c r="E1369" s="8" t="inlineStr">
        <is>
          <t>DW70</t>
        </is>
      </c>
      <c r="F1369" s="8" t="inlineStr">
        <is>
          <t>D081</t>
        </is>
      </c>
      <c r="G1369" s="8">
        <f>IFERROR(VLOOKUP(A1369,Flete!$A:$E,5,0),"")</f>
        <v/>
      </c>
      <c r="H1369" s="7">
        <f>IFERROR(VLOOKUP(F1369,TRAOPE!$AA:$AB,2,0),"")</f>
        <v/>
      </c>
      <c r="I1369" s="7" t="n">
        <v>10000357</v>
      </c>
      <c r="J1369" s="7">
        <f>IFERROR(VLOOKUP(I1369,Materiales!$A:$H,8,0),"")</f>
        <v/>
      </c>
      <c r="K1369" s="9">
        <f>IFERROR(VLOOKUP(I1369,Materiales!$A:$G,7,0),"")</f>
        <v/>
      </c>
      <c r="L1369" s="8" t="inlineStr">
        <is>
          <t>20260302</t>
        </is>
      </c>
      <c r="M1369" s="8" t="inlineStr">
        <is>
          <t>99991231</t>
        </is>
      </c>
      <c r="N1369" s="10" t="n">
        <v>86.73</v>
      </c>
      <c r="O1369" s="10">
        <f>IFERROR(VLOOKUP(A1369,Flete!$A:$J,10,0),"")</f>
        <v/>
      </c>
      <c r="P1369" s="8" t="inlineStr">
        <is>
          <t>TN</t>
        </is>
      </c>
      <c r="Q1369" s="10">
        <f>IFERROR(IFERROR(VLOOKUP(A1369,TRAOPE!$A:$U,21,0),VLOOKUP(B1369,TRAOPE!$A:$U,21,0)),"")</f>
        <v/>
      </c>
      <c r="R1369" s="8">
        <f>IFERROR(IFERROR(VLOOKUP(A1369,TRAOPE!$A:$W,23,0),VLOOKUP(B1369,TRAOPE!$A:$W,23,0)),"")</f>
        <v/>
      </c>
      <c r="S1369" s="10">
        <f>IF(AND(P1369="TN",R1369="TN"),N1369+N(O1369),IF(G1369&amp;""="1",N(K1369)*N1369,(N1369+N(O1369))*N(K1369)))</f>
        <v/>
      </c>
      <c r="T1369" s="10">
        <f>IF(Q1369="","",Q1369-S1369)</f>
        <v/>
      </c>
    </row>
    <row r="1370">
      <c r="A1370" s="7">
        <f>CONCATENATE(C1370,E1370,F1370,I1370)</f>
        <v/>
      </c>
      <c r="B1370" s="7">
        <f>CONCATENATE(C1370,E1370,I1370)</f>
        <v/>
      </c>
      <c r="C1370" s="8" t="n">
        <v>900009480</v>
      </c>
      <c r="D1370" s="7">
        <f>IFERROR(VLOOKUP(C1370,TRAOPE!$G:$H,2,0),"")</f>
        <v/>
      </c>
      <c r="E1370" s="8" t="inlineStr">
        <is>
          <t>DW70</t>
        </is>
      </c>
      <c r="F1370" s="8" t="inlineStr">
        <is>
          <t>D081</t>
        </is>
      </c>
      <c r="G1370" s="8">
        <f>IFERROR(VLOOKUP(A1370,Flete!$A:$E,5,0),"")</f>
        <v/>
      </c>
      <c r="H1370" s="7">
        <f>IFERROR(VLOOKUP(F1370,TRAOPE!$AA:$AB,2,0),"")</f>
        <v/>
      </c>
      <c r="I1370" s="7" t="n">
        <v>10275115</v>
      </c>
      <c r="J1370" s="7">
        <f>IFERROR(VLOOKUP(I1370,Materiales!$A:$H,8,0),"")</f>
        <v/>
      </c>
      <c r="K1370" s="9">
        <f>IFERROR(VLOOKUP(I1370,Materiales!$A:$G,7,0),"")</f>
        <v/>
      </c>
      <c r="L1370" s="8" t="inlineStr">
        <is>
          <t>20260302</t>
        </is>
      </c>
      <c r="M1370" s="8" t="inlineStr">
        <is>
          <t>99991231</t>
        </is>
      </c>
      <c r="N1370" s="10" t="n">
        <v>70.69</v>
      </c>
      <c r="O1370" s="10">
        <f>IFERROR(VLOOKUP(A1370,Flete!$A:$J,10,0),"")</f>
        <v/>
      </c>
      <c r="P1370" s="8" t="inlineStr">
        <is>
          <t>TN</t>
        </is>
      </c>
      <c r="Q1370" s="10">
        <f>IFERROR(IFERROR(VLOOKUP(A1370,TRAOPE!$A:$U,21,0),VLOOKUP(B1370,TRAOPE!$A:$U,21,0)),"")</f>
        <v/>
      </c>
      <c r="R1370" s="8">
        <f>IFERROR(IFERROR(VLOOKUP(A1370,TRAOPE!$A:$W,23,0),VLOOKUP(B1370,TRAOPE!$A:$W,23,0)),"")</f>
        <v/>
      </c>
      <c r="S1370" s="10">
        <f>IF(AND(P1370="TN",R1370="TN"),N1370+N(O1370),IF(G1370&amp;""="1",N(K1370)*N1370,(N1370+N(O1370))*N(K1370)))</f>
        <v/>
      </c>
      <c r="T1370" s="10">
        <f>IF(Q1370="","",Q1370-S1370)</f>
        <v/>
      </c>
    </row>
    <row r="1371">
      <c r="A1371" s="7">
        <f>CONCATENATE(C1371,E1371,F1371,I1371)</f>
        <v/>
      </c>
      <c r="B1371" s="7">
        <f>CONCATENATE(C1371,E1371,I1371)</f>
        <v/>
      </c>
      <c r="C1371" s="8" t="n">
        <v>900009480</v>
      </c>
      <c r="D1371" s="7">
        <f>IFERROR(VLOOKUP(C1371,TRAOPE!$G:$H,2,0),"")</f>
        <v/>
      </c>
      <c r="E1371" s="8" t="inlineStr">
        <is>
          <t>DW70</t>
        </is>
      </c>
      <c r="F1371" s="8" t="inlineStr">
        <is>
          <t>D083</t>
        </is>
      </c>
      <c r="G1371" s="8">
        <f>IFERROR(VLOOKUP(A1371,Flete!$A:$E,5,0),"")</f>
        <v/>
      </c>
      <c r="H1371" s="7">
        <f>IFERROR(VLOOKUP(F1371,TRAOPE!$AA:$AB,2,0),"")</f>
        <v/>
      </c>
      <c r="I1371" s="7" t="n">
        <v>10000160</v>
      </c>
      <c r="J1371" s="7">
        <f>IFERROR(VLOOKUP(I1371,Materiales!$A:$H,8,0),"")</f>
        <v/>
      </c>
      <c r="K1371" s="9">
        <f>IFERROR(VLOOKUP(I1371,Materiales!$A:$G,7,0),"")</f>
        <v/>
      </c>
      <c r="L1371" s="8" t="inlineStr">
        <is>
          <t>20260211</t>
        </is>
      </c>
      <c r="M1371" s="8" t="inlineStr">
        <is>
          <t>20260309</t>
        </is>
      </c>
      <c r="N1371" s="10" t="n">
        <v>63.17</v>
      </c>
      <c r="O1371" s="10">
        <f>IFERROR(VLOOKUP(A1371,Flete!$A:$J,10,0),"")</f>
        <v/>
      </c>
      <c r="P1371" s="8" t="inlineStr">
        <is>
          <t>TN</t>
        </is>
      </c>
      <c r="Q1371" s="10">
        <f>IFERROR(IFERROR(VLOOKUP(A1371,TRAOPE!$A:$U,21,0),VLOOKUP(B1371,TRAOPE!$A:$U,21,0)),"")</f>
        <v/>
      </c>
      <c r="R1371" s="8">
        <f>IFERROR(IFERROR(VLOOKUP(A1371,TRAOPE!$A:$W,23,0),VLOOKUP(B1371,TRAOPE!$A:$W,23,0)),"")</f>
        <v/>
      </c>
      <c r="S1371" s="10">
        <f>IF(AND(P1371="TN",R1371="TN"),N1371+N(O1371),IF(G1371&amp;""="1",N(K1371)*N1371,(N1371+N(O1371))*N(K1371)))</f>
        <v/>
      </c>
      <c r="T1371" s="10">
        <f>IF(Q1371="","",Q1371-S1371)</f>
        <v/>
      </c>
    </row>
    <row r="1372">
      <c r="A1372" s="7">
        <f>CONCATENATE(C1372,E1372,F1372,I1372)</f>
        <v/>
      </c>
      <c r="B1372" s="7">
        <f>CONCATENATE(C1372,E1372,I1372)</f>
        <v/>
      </c>
      <c r="C1372" s="8" t="n">
        <v>900009480</v>
      </c>
      <c r="D1372" s="7">
        <f>IFERROR(VLOOKUP(C1372,TRAOPE!$G:$H,2,0),"")</f>
        <v/>
      </c>
      <c r="E1372" s="8" t="inlineStr">
        <is>
          <t>DW70</t>
        </is>
      </c>
      <c r="F1372" s="8" t="inlineStr">
        <is>
          <t>D083</t>
        </is>
      </c>
      <c r="G1372" s="8">
        <f>IFERROR(VLOOKUP(A1372,Flete!$A:$E,5,0),"")</f>
        <v/>
      </c>
      <c r="H1372" s="7">
        <f>IFERROR(VLOOKUP(F1372,TRAOPE!$AA:$AB,2,0),"")</f>
        <v/>
      </c>
      <c r="I1372" s="7" t="n">
        <v>10000357</v>
      </c>
      <c r="J1372" s="7">
        <f>IFERROR(VLOOKUP(I1372,Materiales!$A:$H,8,0),"")</f>
        <v/>
      </c>
      <c r="K1372" s="9">
        <f>IFERROR(VLOOKUP(I1372,Materiales!$A:$G,7,0),"")</f>
        <v/>
      </c>
      <c r="L1372" s="8" t="inlineStr">
        <is>
          <t>20260302</t>
        </is>
      </c>
      <c r="M1372" s="8" t="inlineStr">
        <is>
          <t>99991231</t>
        </is>
      </c>
      <c r="N1372" s="10" t="n">
        <v>86.73</v>
      </c>
      <c r="O1372" s="10">
        <f>IFERROR(VLOOKUP(A1372,Flete!$A:$J,10,0),"")</f>
        <v/>
      </c>
      <c r="P1372" s="8" t="inlineStr">
        <is>
          <t>TN</t>
        </is>
      </c>
      <c r="Q1372" s="10">
        <f>IFERROR(IFERROR(VLOOKUP(A1372,TRAOPE!$A:$U,21,0),VLOOKUP(B1372,TRAOPE!$A:$U,21,0)),"")</f>
        <v/>
      </c>
      <c r="R1372" s="8">
        <f>IFERROR(IFERROR(VLOOKUP(A1372,TRAOPE!$A:$W,23,0),VLOOKUP(B1372,TRAOPE!$A:$W,23,0)),"")</f>
        <v/>
      </c>
      <c r="S1372" s="10">
        <f>IF(AND(P1372="TN",R1372="TN"),N1372+N(O1372),IF(G1372&amp;""="1",N(K1372)*N1372,(N1372+N(O1372))*N(K1372)))</f>
        <v/>
      </c>
      <c r="T1372" s="10">
        <f>IF(Q1372="","",Q1372-S1372)</f>
        <v/>
      </c>
    </row>
    <row r="1373">
      <c r="A1373" s="7">
        <f>CONCATENATE(C1373,E1373,F1373,I1373)</f>
        <v/>
      </c>
      <c r="B1373" s="7">
        <f>CONCATENATE(C1373,E1373,I1373)</f>
        <v/>
      </c>
      <c r="C1373" s="8" t="n">
        <v>900009480</v>
      </c>
      <c r="D1373" s="7">
        <f>IFERROR(VLOOKUP(C1373,TRAOPE!$G:$H,2,0),"")</f>
        <v/>
      </c>
      <c r="E1373" s="8" t="inlineStr">
        <is>
          <t>DW70</t>
        </is>
      </c>
      <c r="F1373" s="8" t="inlineStr">
        <is>
          <t>D083</t>
        </is>
      </c>
      <c r="G1373" s="8">
        <f>IFERROR(VLOOKUP(A1373,Flete!$A:$E,5,0),"")</f>
        <v/>
      </c>
      <c r="H1373" s="7">
        <f>IFERROR(VLOOKUP(F1373,TRAOPE!$AA:$AB,2,0),"")</f>
        <v/>
      </c>
      <c r="I1373" s="7" t="n">
        <v>10275115</v>
      </c>
      <c r="J1373" s="7">
        <f>IFERROR(VLOOKUP(I1373,Materiales!$A:$H,8,0),"")</f>
        <v/>
      </c>
      <c r="K1373" s="9">
        <f>IFERROR(VLOOKUP(I1373,Materiales!$A:$G,7,0),"")</f>
        <v/>
      </c>
      <c r="L1373" s="8" t="inlineStr">
        <is>
          <t>20260302</t>
        </is>
      </c>
      <c r="M1373" s="8" t="inlineStr">
        <is>
          <t>99991231</t>
        </is>
      </c>
      <c r="N1373" s="10" t="n">
        <v>70.69</v>
      </c>
      <c r="O1373" s="10">
        <f>IFERROR(VLOOKUP(A1373,Flete!$A:$J,10,0),"")</f>
        <v/>
      </c>
      <c r="P1373" s="8" t="inlineStr">
        <is>
          <t>TN</t>
        </is>
      </c>
      <c r="Q1373" s="10">
        <f>IFERROR(IFERROR(VLOOKUP(A1373,TRAOPE!$A:$U,21,0),VLOOKUP(B1373,TRAOPE!$A:$U,21,0)),"")</f>
        <v/>
      </c>
      <c r="R1373" s="8">
        <f>IFERROR(IFERROR(VLOOKUP(A1373,TRAOPE!$A:$W,23,0),VLOOKUP(B1373,TRAOPE!$A:$W,23,0)),"")</f>
        <v/>
      </c>
      <c r="S1373" s="10">
        <f>IF(AND(P1373="TN",R1373="TN"),N1373+N(O1373),IF(G1373&amp;""="1",N(K1373)*N1373,(N1373+N(O1373))*N(K1373)))</f>
        <v/>
      </c>
      <c r="T1373" s="10">
        <f>IF(Q1373="","",Q1373-S1373)</f>
        <v/>
      </c>
    </row>
    <row r="1374">
      <c r="A1374" s="7">
        <f>CONCATENATE(C1374,E1374,F1374,I1374)</f>
        <v/>
      </c>
      <c r="B1374" s="7">
        <f>CONCATENATE(C1374,E1374,I1374)</f>
        <v/>
      </c>
      <c r="C1374" s="8" t="n">
        <v>900009480</v>
      </c>
      <c r="D1374" s="7">
        <f>IFERROR(VLOOKUP(C1374,TRAOPE!$G:$H,2,0),"")</f>
        <v/>
      </c>
      <c r="E1374" s="8" t="inlineStr">
        <is>
          <t>DW70</t>
        </is>
      </c>
      <c r="F1374" s="8" t="inlineStr">
        <is>
          <t>D084</t>
        </is>
      </c>
      <c r="G1374" s="8">
        <f>IFERROR(VLOOKUP(A1374,Flete!$A:$E,5,0),"")</f>
        <v/>
      </c>
      <c r="H1374" s="7">
        <f>IFERROR(VLOOKUP(F1374,TRAOPE!$AA:$AB,2,0),"")</f>
        <v/>
      </c>
      <c r="I1374" s="7" t="n">
        <v>10000160</v>
      </c>
      <c r="J1374" s="7">
        <f>IFERROR(VLOOKUP(I1374,Materiales!$A:$H,8,0),"")</f>
        <v/>
      </c>
      <c r="K1374" s="9">
        <f>IFERROR(VLOOKUP(I1374,Materiales!$A:$G,7,0),"")</f>
        <v/>
      </c>
      <c r="L1374" s="8" t="inlineStr">
        <is>
          <t>20260211</t>
        </is>
      </c>
      <c r="M1374" s="8" t="inlineStr">
        <is>
          <t>20260309</t>
        </is>
      </c>
      <c r="N1374" s="10" t="n">
        <v>63.17</v>
      </c>
      <c r="O1374" s="10">
        <f>IFERROR(VLOOKUP(A1374,Flete!$A:$J,10,0),"")</f>
        <v/>
      </c>
      <c r="P1374" s="8" t="inlineStr">
        <is>
          <t>TN</t>
        </is>
      </c>
      <c r="Q1374" s="10">
        <f>IFERROR(IFERROR(VLOOKUP(A1374,TRAOPE!$A:$U,21,0),VLOOKUP(B1374,TRAOPE!$A:$U,21,0)),"")</f>
        <v/>
      </c>
      <c r="R1374" s="8">
        <f>IFERROR(IFERROR(VLOOKUP(A1374,TRAOPE!$A:$W,23,0),VLOOKUP(B1374,TRAOPE!$A:$W,23,0)),"")</f>
        <v/>
      </c>
      <c r="S1374" s="10">
        <f>IF(AND(P1374="TN",R1374="TN"),N1374+N(O1374),IF(G1374&amp;""="1",N(K1374)*N1374,(N1374+N(O1374))*N(K1374)))</f>
        <v/>
      </c>
      <c r="T1374" s="10">
        <f>IF(Q1374="","",Q1374-S1374)</f>
        <v/>
      </c>
    </row>
    <row r="1375">
      <c r="A1375" s="7">
        <f>CONCATENATE(C1375,E1375,F1375,I1375)</f>
        <v/>
      </c>
      <c r="B1375" s="7">
        <f>CONCATENATE(C1375,E1375,I1375)</f>
        <v/>
      </c>
      <c r="C1375" s="8" t="n">
        <v>900009480</v>
      </c>
      <c r="D1375" s="7">
        <f>IFERROR(VLOOKUP(C1375,TRAOPE!$G:$H,2,0),"")</f>
        <v/>
      </c>
      <c r="E1375" s="8" t="inlineStr">
        <is>
          <t>DW70</t>
        </is>
      </c>
      <c r="F1375" s="8" t="inlineStr">
        <is>
          <t>D084</t>
        </is>
      </c>
      <c r="G1375" s="8">
        <f>IFERROR(VLOOKUP(A1375,Flete!$A:$E,5,0),"")</f>
        <v/>
      </c>
      <c r="H1375" s="7">
        <f>IFERROR(VLOOKUP(F1375,TRAOPE!$AA:$AB,2,0),"")</f>
        <v/>
      </c>
      <c r="I1375" s="7" t="n">
        <v>10000357</v>
      </c>
      <c r="J1375" s="7">
        <f>IFERROR(VLOOKUP(I1375,Materiales!$A:$H,8,0),"")</f>
        <v/>
      </c>
      <c r="K1375" s="9">
        <f>IFERROR(VLOOKUP(I1375,Materiales!$A:$G,7,0),"")</f>
        <v/>
      </c>
      <c r="L1375" s="8" t="inlineStr">
        <is>
          <t>20260302</t>
        </is>
      </c>
      <c r="M1375" s="8" t="inlineStr">
        <is>
          <t>99991231</t>
        </is>
      </c>
      <c r="N1375" s="10" t="n">
        <v>86.73</v>
      </c>
      <c r="O1375" s="10">
        <f>IFERROR(VLOOKUP(A1375,Flete!$A:$J,10,0),"")</f>
        <v/>
      </c>
      <c r="P1375" s="8" t="inlineStr">
        <is>
          <t>TN</t>
        </is>
      </c>
      <c r="Q1375" s="10">
        <f>IFERROR(IFERROR(VLOOKUP(A1375,TRAOPE!$A:$U,21,0),VLOOKUP(B1375,TRAOPE!$A:$U,21,0)),"")</f>
        <v/>
      </c>
      <c r="R1375" s="8">
        <f>IFERROR(IFERROR(VLOOKUP(A1375,TRAOPE!$A:$W,23,0),VLOOKUP(B1375,TRAOPE!$A:$W,23,0)),"")</f>
        <v/>
      </c>
      <c r="S1375" s="10">
        <f>IF(AND(P1375="TN",R1375="TN"),N1375+N(O1375),IF(G1375&amp;""="1",N(K1375)*N1375,(N1375+N(O1375))*N(K1375)))</f>
        <v/>
      </c>
      <c r="T1375" s="10">
        <f>IF(Q1375="","",Q1375-S1375)</f>
        <v/>
      </c>
    </row>
    <row r="1376">
      <c r="A1376" s="7">
        <f>CONCATENATE(C1376,E1376,F1376,I1376)</f>
        <v/>
      </c>
      <c r="B1376" s="7">
        <f>CONCATENATE(C1376,E1376,I1376)</f>
        <v/>
      </c>
      <c r="C1376" s="8" t="n">
        <v>900009480</v>
      </c>
      <c r="D1376" s="7">
        <f>IFERROR(VLOOKUP(C1376,TRAOPE!$G:$H,2,0),"")</f>
        <v/>
      </c>
      <c r="E1376" s="8" t="inlineStr">
        <is>
          <t>DW70</t>
        </is>
      </c>
      <c r="F1376" s="8" t="inlineStr">
        <is>
          <t>D084</t>
        </is>
      </c>
      <c r="G1376" s="8">
        <f>IFERROR(VLOOKUP(A1376,Flete!$A:$E,5,0),"")</f>
        <v/>
      </c>
      <c r="H1376" s="7">
        <f>IFERROR(VLOOKUP(F1376,TRAOPE!$AA:$AB,2,0),"")</f>
        <v/>
      </c>
      <c r="I1376" s="7" t="n">
        <v>10275115</v>
      </c>
      <c r="J1376" s="7">
        <f>IFERROR(VLOOKUP(I1376,Materiales!$A:$H,8,0),"")</f>
        <v/>
      </c>
      <c r="K1376" s="9">
        <f>IFERROR(VLOOKUP(I1376,Materiales!$A:$G,7,0),"")</f>
        <v/>
      </c>
      <c r="L1376" s="8" t="inlineStr">
        <is>
          <t>20260302</t>
        </is>
      </c>
      <c r="M1376" s="8" t="inlineStr">
        <is>
          <t>99991231</t>
        </is>
      </c>
      <c r="N1376" s="10" t="n">
        <v>70.69</v>
      </c>
      <c r="O1376" s="10">
        <f>IFERROR(VLOOKUP(A1376,Flete!$A:$J,10,0),"")</f>
        <v/>
      </c>
      <c r="P1376" s="8" t="inlineStr">
        <is>
          <t>TN</t>
        </is>
      </c>
      <c r="Q1376" s="10">
        <f>IFERROR(IFERROR(VLOOKUP(A1376,TRAOPE!$A:$U,21,0),VLOOKUP(B1376,TRAOPE!$A:$U,21,0)),"")</f>
        <v/>
      </c>
      <c r="R1376" s="8">
        <f>IFERROR(IFERROR(VLOOKUP(A1376,TRAOPE!$A:$W,23,0),VLOOKUP(B1376,TRAOPE!$A:$W,23,0)),"")</f>
        <v/>
      </c>
      <c r="S1376" s="10">
        <f>IF(AND(P1376="TN",R1376="TN"),N1376+N(O1376),IF(G1376&amp;""="1",N(K1376)*N1376,(N1376+N(O1376))*N(K1376)))</f>
        <v/>
      </c>
      <c r="T1376" s="10">
        <f>IF(Q1376="","",Q1376-S1376)</f>
        <v/>
      </c>
    </row>
    <row r="1377">
      <c r="A1377" s="7">
        <f>CONCATENATE(C1377,E1377,F1377,I1377)</f>
        <v/>
      </c>
      <c r="B1377" s="7">
        <f>CONCATENATE(C1377,E1377,I1377)</f>
        <v/>
      </c>
      <c r="C1377" s="8" t="n">
        <v>900009480</v>
      </c>
      <c r="D1377" s="7">
        <f>IFERROR(VLOOKUP(C1377,TRAOPE!$G:$H,2,0),"")</f>
        <v/>
      </c>
      <c r="E1377" s="8" t="inlineStr">
        <is>
          <t>DW70</t>
        </is>
      </c>
      <c r="F1377" s="8" t="inlineStr">
        <is>
          <t>D085</t>
        </is>
      </c>
      <c r="G1377" s="8">
        <f>IFERROR(VLOOKUP(A1377,Flete!$A:$E,5,0),"")</f>
        <v/>
      </c>
      <c r="H1377" s="7">
        <f>IFERROR(VLOOKUP(F1377,TRAOPE!$AA:$AB,2,0),"")</f>
        <v/>
      </c>
      <c r="I1377" s="7" t="n">
        <v>10000160</v>
      </c>
      <c r="J1377" s="7">
        <f>IFERROR(VLOOKUP(I1377,Materiales!$A:$H,8,0),"")</f>
        <v/>
      </c>
      <c r="K1377" s="9">
        <f>IFERROR(VLOOKUP(I1377,Materiales!$A:$G,7,0),"")</f>
        <v/>
      </c>
      <c r="L1377" s="8" t="inlineStr">
        <is>
          <t>20260211</t>
        </is>
      </c>
      <c r="M1377" s="8" t="inlineStr">
        <is>
          <t>20260309</t>
        </is>
      </c>
      <c r="N1377" s="10" t="n">
        <v>63.17</v>
      </c>
      <c r="O1377" s="10">
        <f>IFERROR(VLOOKUP(A1377,Flete!$A:$J,10,0),"")</f>
        <v/>
      </c>
      <c r="P1377" s="8" t="inlineStr">
        <is>
          <t>TN</t>
        </is>
      </c>
      <c r="Q1377" s="10">
        <f>IFERROR(IFERROR(VLOOKUP(A1377,TRAOPE!$A:$U,21,0),VLOOKUP(B1377,TRAOPE!$A:$U,21,0)),"")</f>
        <v/>
      </c>
      <c r="R1377" s="8">
        <f>IFERROR(IFERROR(VLOOKUP(A1377,TRAOPE!$A:$W,23,0),VLOOKUP(B1377,TRAOPE!$A:$W,23,0)),"")</f>
        <v/>
      </c>
      <c r="S1377" s="10">
        <f>IF(AND(P1377="TN",R1377="TN"),N1377+N(O1377),IF(G1377&amp;""="1",N(K1377)*N1377,(N1377+N(O1377))*N(K1377)))</f>
        <v/>
      </c>
      <c r="T1377" s="10">
        <f>IF(Q1377="","",Q1377-S1377)</f>
        <v/>
      </c>
    </row>
    <row r="1378">
      <c r="A1378" s="7">
        <f>CONCATENATE(C1378,E1378,F1378,I1378)</f>
        <v/>
      </c>
      <c r="B1378" s="7">
        <f>CONCATENATE(C1378,E1378,I1378)</f>
        <v/>
      </c>
      <c r="C1378" s="8" t="n">
        <v>900009480</v>
      </c>
      <c r="D1378" s="7">
        <f>IFERROR(VLOOKUP(C1378,TRAOPE!$G:$H,2,0),"")</f>
        <v/>
      </c>
      <c r="E1378" s="8" t="inlineStr">
        <is>
          <t>DW70</t>
        </is>
      </c>
      <c r="F1378" s="8" t="inlineStr">
        <is>
          <t>D085</t>
        </is>
      </c>
      <c r="G1378" s="8">
        <f>IFERROR(VLOOKUP(A1378,Flete!$A:$E,5,0),"")</f>
        <v/>
      </c>
      <c r="H1378" s="7">
        <f>IFERROR(VLOOKUP(F1378,TRAOPE!$AA:$AB,2,0),"")</f>
        <v/>
      </c>
      <c r="I1378" s="7" t="n">
        <v>10000357</v>
      </c>
      <c r="J1378" s="7">
        <f>IFERROR(VLOOKUP(I1378,Materiales!$A:$H,8,0),"")</f>
        <v/>
      </c>
      <c r="K1378" s="9">
        <f>IFERROR(VLOOKUP(I1378,Materiales!$A:$G,7,0),"")</f>
        <v/>
      </c>
      <c r="L1378" s="8" t="inlineStr">
        <is>
          <t>20260302</t>
        </is>
      </c>
      <c r="M1378" s="8" t="inlineStr">
        <is>
          <t>99991231</t>
        </is>
      </c>
      <c r="N1378" s="10" t="n">
        <v>86.73</v>
      </c>
      <c r="O1378" s="10">
        <f>IFERROR(VLOOKUP(A1378,Flete!$A:$J,10,0),"")</f>
        <v/>
      </c>
      <c r="P1378" s="8" t="inlineStr">
        <is>
          <t>TN</t>
        </is>
      </c>
      <c r="Q1378" s="10">
        <f>IFERROR(IFERROR(VLOOKUP(A1378,TRAOPE!$A:$U,21,0),VLOOKUP(B1378,TRAOPE!$A:$U,21,0)),"")</f>
        <v/>
      </c>
      <c r="R1378" s="8">
        <f>IFERROR(IFERROR(VLOOKUP(A1378,TRAOPE!$A:$W,23,0),VLOOKUP(B1378,TRAOPE!$A:$W,23,0)),"")</f>
        <v/>
      </c>
      <c r="S1378" s="10">
        <f>IF(AND(P1378="TN",R1378="TN"),N1378+N(O1378),IF(G1378&amp;""="1",N(K1378)*N1378,(N1378+N(O1378))*N(K1378)))</f>
        <v/>
      </c>
      <c r="T1378" s="10">
        <f>IF(Q1378="","",Q1378-S1378)</f>
        <v/>
      </c>
    </row>
    <row r="1379">
      <c r="A1379" s="7">
        <f>CONCATENATE(C1379,E1379,F1379,I1379)</f>
        <v/>
      </c>
      <c r="B1379" s="7">
        <f>CONCATENATE(C1379,E1379,I1379)</f>
        <v/>
      </c>
      <c r="C1379" s="8" t="n">
        <v>900009480</v>
      </c>
      <c r="D1379" s="7">
        <f>IFERROR(VLOOKUP(C1379,TRAOPE!$G:$H,2,0),"")</f>
        <v/>
      </c>
      <c r="E1379" s="8" t="inlineStr">
        <is>
          <t>DW70</t>
        </is>
      </c>
      <c r="F1379" s="8" t="inlineStr">
        <is>
          <t>D085</t>
        </is>
      </c>
      <c r="G1379" s="8">
        <f>IFERROR(VLOOKUP(A1379,Flete!$A:$E,5,0),"")</f>
        <v/>
      </c>
      <c r="H1379" s="7">
        <f>IFERROR(VLOOKUP(F1379,TRAOPE!$AA:$AB,2,0),"")</f>
        <v/>
      </c>
      <c r="I1379" s="7" t="n">
        <v>10275115</v>
      </c>
      <c r="J1379" s="7">
        <f>IFERROR(VLOOKUP(I1379,Materiales!$A:$H,8,0),"")</f>
        <v/>
      </c>
      <c r="K1379" s="9">
        <f>IFERROR(VLOOKUP(I1379,Materiales!$A:$G,7,0),"")</f>
        <v/>
      </c>
      <c r="L1379" s="8" t="inlineStr">
        <is>
          <t>20260302</t>
        </is>
      </c>
      <c r="M1379" s="8" t="inlineStr">
        <is>
          <t>99991231</t>
        </is>
      </c>
      <c r="N1379" s="10" t="n">
        <v>70.69</v>
      </c>
      <c r="O1379" s="10">
        <f>IFERROR(VLOOKUP(A1379,Flete!$A:$J,10,0),"")</f>
        <v/>
      </c>
      <c r="P1379" s="8" t="inlineStr">
        <is>
          <t>TN</t>
        </is>
      </c>
      <c r="Q1379" s="10">
        <f>IFERROR(IFERROR(VLOOKUP(A1379,TRAOPE!$A:$U,21,0),VLOOKUP(B1379,TRAOPE!$A:$U,21,0)),"")</f>
        <v/>
      </c>
      <c r="R1379" s="8">
        <f>IFERROR(IFERROR(VLOOKUP(A1379,TRAOPE!$A:$W,23,0),VLOOKUP(B1379,TRAOPE!$A:$W,23,0)),"")</f>
        <v/>
      </c>
      <c r="S1379" s="10">
        <f>IF(AND(P1379="TN",R1379="TN"),N1379+N(O1379),IF(G1379&amp;""="1",N(K1379)*N1379,(N1379+N(O1379))*N(K1379)))</f>
        <v/>
      </c>
      <c r="T1379" s="10">
        <f>IF(Q1379="","",Q1379-S1379)</f>
        <v/>
      </c>
    </row>
    <row r="1380">
      <c r="A1380" s="7">
        <f>CONCATENATE(C1380,E1380,F1380,I1380)</f>
        <v/>
      </c>
      <c r="B1380" s="7">
        <f>CONCATENATE(C1380,E1380,I1380)</f>
        <v/>
      </c>
      <c r="C1380" s="8" t="n">
        <v>900009480</v>
      </c>
      <c r="D1380" s="7">
        <f>IFERROR(VLOOKUP(C1380,TRAOPE!$G:$H,2,0),"")</f>
        <v/>
      </c>
      <c r="E1380" s="8" t="inlineStr">
        <is>
          <t>DW70</t>
        </is>
      </c>
      <c r="F1380" s="8" t="inlineStr">
        <is>
          <t>D086</t>
        </is>
      </c>
      <c r="G1380" s="8">
        <f>IFERROR(VLOOKUP(A1380,Flete!$A:$E,5,0),"")</f>
        <v/>
      </c>
      <c r="H1380" s="7">
        <f>IFERROR(VLOOKUP(F1380,TRAOPE!$AA:$AB,2,0),"")</f>
        <v/>
      </c>
      <c r="I1380" s="7" t="n">
        <v>10000160</v>
      </c>
      <c r="J1380" s="7">
        <f>IFERROR(VLOOKUP(I1380,Materiales!$A:$H,8,0),"")</f>
        <v/>
      </c>
      <c r="K1380" s="9">
        <f>IFERROR(VLOOKUP(I1380,Materiales!$A:$G,7,0),"")</f>
        <v/>
      </c>
      <c r="L1380" s="8" t="inlineStr">
        <is>
          <t>20260211</t>
        </is>
      </c>
      <c r="M1380" s="8" t="inlineStr">
        <is>
          <t>20260309</t>
        </is>
      </c>
      <c r="N1380" s="10" t="n">
        <v>63.17</v>
      </c>
      <c r="O1380" s="10">
        <f>IFERROR(VLOOKUP(A1380,Flete!$A:$J,10,0),"")</f>
        <v/>
      </c>
      <c r="P1380" s="8" t="inlineStr">
        <is>
          <t>TN</t>
        </is>
      </c>
      <c r="Q1380" s="10">
        <f>IFERROR(IFERROR(VLOOKUP(A1380,TRAOPE!$A:$U,21,0),VLOOKUP(B1380,TRAOPE!$A:$U,21,0)),"")</f>
        <v/>
      </c>
      <c r="R1380" s="8">
        <f>IFERROR(IFERROR(VLOOKUP(A1380,TRAOPE!$A:$W,23,0),VLOOKUP(B1380,TRAOPE!$A:$W,23,0)),"")</f>
        <v/>
      </c>
      <c r="S1380" s="10">
        <f>IF(AND(P1380="TN",R1380="TN"),N1380+N(O1380),IF(G1380&amp;""="1",N(K1380)*N1380,(N1380+N(O1380))*N(K1380)))</f>
        <v/>
      </c>
      <c r="T1380" s="10">
        <f>IF(Q1380="","",Q1380-S1380)</f>
        <v/>
      </c>
    </row>
    <row r="1381">
      <c r="A1381" s="7">
        <f>CONCATENATE(C1381,E1381,F1381,I1381)</f>
        <v/>
      </c>
      <c r="B1381" s="7">
        <f>CONCATENATE(C1381,E1381,I1381)</f>
        <v/>
      </c>
      <c r="C1381" s="8" t="n">
        <v>900009480</v>
      </c>
      <c r="D1381" s="7">
        <f>IFERROR(VLOOKUP(C1381,TRAOPE!$G:$H,2,0),"")</f>
        <v/>
      </c>
      <c r="E1381" s="8" t="inlineStr">
        <is>
          <t>DW70</t>
        </is>
      </c>
      <c r="F1381" s="8" t="inlineStr">
        <is>
          <t>D086</t>
        </is>
      </c>
      <c r="G1381" s="8">
        <f>IFERROR(VLOOKUP(A1381,Flete!$A:$E,5,0),"")</f>
        <v/>
      </c>
      <c r="H1381" s="7">
        <f>IFERROR(VLOOKUP(F1381,TRAOPE!$AA:$AB,2,0),"")</f>
        <v/>
      </c>
      <c r="I1381" s="7" t="n">
        <v>10000357</v>
      </c>
      <c r="J1381" s="7">
        <f>IFERROR(VLOOKUP(I1381,Materiales!$A:$H,8,0),"")</f>
        <v/>
      </c>
      <c r="K1381" s="9">
        <f>IFERROR(VLOOKUP(I1381,Materiales!$A:$G,7,0),"")</f>
        <v/>
      </c>
      <c r="L1381" s="8" t="inlineStr">
        <is>
          <t>20260302</t>
        </is>
      </c>
      <c r="M1381" s="8" t="inlineStr">
        <is>
          <t>99991231</t>
        </is>
      </c>
      <c r="N1381" s="10" t="n">
        <v>86.73</v>
      </c>
      <c r="O1381" s="10">
        <f>IFERROR(VLOOKUP(A1381,Flete!$A:$J,10,0),"")</f>
        <v/>
      </c>
      <c r="P1381" s="8" t="inlineStr">
        <is>
          <t>TN</t>
        </is>
      </c>
      <c r="Q1381" s="10">
        <f>IFERROR(IFERROR(VLOOKUP(A1381,TRAOPE!$A:$U,21,0),VLOOKUP(B1381,TRAOPE!$A:$U,21,0)),"")</f>
        <v/>
      </c>
      <c r="R1381" s="8">
        <f>IFERROR(IFERROR(VLOOKUP(A1381,TRAOPE!$A:$W,23,0),VLOOKUP(B1381,TRAOPE!$A:$W,23,0)),"")</f>
        <v/>
      </c>
      <c r="S1381" s="10">
        <f>IF(AND(P1381="TN",R1381="TN"),N1381+N(O1381),IF(G1381&amp;""="1",N(K1381)*N1381,(N1381+N(O1381))*N(K1381)))</f>
        <v/>
      </c>
      <c r="T1381" s="10">
        <f>IF(Q1381="","",Q1381-S1381)</f>
        <v/>
      </c>
    </row>
    <row r="1382">
      <c r="A1382" s="7">
        <f>CONCATENATE(C1382,E1382,F1382,I1382)</f>
        <v/>
      </c>
      <c r="B1382" s="7">
        <f>CONCATENATE(C1382,E1382,I1382)</f>
        <v/>
      </c>
      <c r="C1382" s="8" t="n">
        <v>900009480</v>
      </c>
      <c r="D1382" s="7">
        <f>IFERROR(VLOOKUP(C1382,TRAOPE!$G:$H,2,0),"")</f>
        <v/>
      </c>
      <c r="E1382" s="8" t="inlineStr">
        <is>
          <t>DW70</t>
        </is>
      </c>
      <c r="F1382" s="8" t="inlineStr">
        <is>
          <t>D086</t>
        </is>
      </c>
      <c r="G1382" s="8">
        <f>IFERROR(VLOOKUP(A1382,Flete!$A:$E,5,0),"")</f>
        <v/>
      </c>
      <c r="H1382" s="7">
        <f>IFERROR(VLOOKUP(F1382,TRAOPE!$AA:$AB,2,0),"")</f>
        <v/>
      </c>
      <c r="I1382" s="7" t="n">
        <v>10275115</v>
      </c>
      <c r="J1382" s="7">
        <f>IFERROR(VLOOKUP(I1382,Materiales!$A:$H,8,0),"")</f>
        <v/>
      </c>
      <c r="K1382" s="9">
        <f>IFERROR(VLOOKUP(I1382,Materiales!$A:$G,7,0),"")</f>
        <v/>
      </c>
      <c r="L1382" s="8" t="inlineStr">
        <is>
          <t>20260302</t>
        </is>
      </c>
      <c r="M1382" s="8" t="inlineStr">
        <is>
          <t>99991231</t>
        </is>
      </c>
      <c r="N1382" s="10" t="n">
        <v>70.69</v>
      </c>
      <c r="O1382" s="10">
        <f>IFERROR(VLOOKUP(A1382,Flete!$A:$J,10,0),"")</f>
        <v/>
      </c>
      <c r="P1382" s="8" t="inlineStr">
        <is>
          <t>TN</t>
        </is>
      </c>
      <c r="Q1382" s="10">
        <f>IFERROR(IFERROR(VLOOKUP(A1382,TRAOPE!$A:$U,21,0),VLOOKUP(B1382,TRAOPE!$A:$U,21,0)),"")</f>
        <v/>
      </c>
      <c r="R1382" s="8">
        <f>IFERROR(IFERROR(VLOOKUP(A1382,TRAOPE!$A:$W,23,0),VLOOKUP(B1382,TRAOPE!$A:$W,23,0)),"")</f>
        <v/>
      </c>
      <c r="S1382" s="10">
        <f>IF(AND(P1382="TN",R1382="TN"),N1382+N(O1382),IF(G1382&amp;""="1",N(K1382)*N1382,(N1382+N(O1382))*N(K1382)))</f>
        <v/>
      </c>
      <c r="T1382" s="10">
        <f>IF(Q1382="","",Q1382-S1382)</f>
        <v/>
      </c>
    </row>
    <row r="1383">
      <c r="A1383" s="7">
        <f>CONCATENATE(C1383,E1383,F1383,I1383)</f>
        <v/>
      </c>
      <c r="B1383" s="7">
        <f>CONCATENATE(C1383,E1383,I1383)</f>
        <v/>
      </c>
      <c r="C1383" s="8" t="n">
        <v>900009480</v>
      </c>
      <c r="D1383" s="7">
        <f>IFERROR(VLOOKUP(C1383,TRAOPE!$G:$H,2,0),"")</f>
        <v/>
      </c>
      <c r="E1383" s="8" t="inlineStr">
        <is>
          <t>DW70</t>
        </is>
      </c>
      <c r="F1383" s="8" t="inlineStr">
        <is>
          <t>D093</t>
        </is>
      </c>
      <c r="G1383" s="8">
        <f>IFERROR(VLOOKUP(A1383,Flete!$A:$E,5,0),"")</f>
        <v/>
      </c>
      <c r="H1383" s="7">
        <f>IFERROR(VLOOKUP(F1383,TRAOPE!$AA:$AB,2,0),"")</f>
        <v/>
      </c>
      <c r="I1383" s="7" t="n">
        <v>10000160</v>
      </c>
      <c r="J1383" s="7">
        <f>IFERROR(VLOOKUP(I1383,Materiales!$A:$H,8,0),"")</f>
        <v/>
      </c>
      <c r="K1383" s="9">
        <f>IFERROR(VLOOKUP(I1383,Materiales!$A:$G,7,0),"")</f>
        <v/>
      </c>
      <c r="L1383" s="8" t="inlineStr">
        <is>
          <t>20260211</t>
        </is>
      </c>
      <c r="M1383" s="8" t="inlineStr">
        <is>
          <t>20260309</t>
        </is>
      </c>
      <c r="N1383" s="10" t="n">
        <v>63.17</v>
      </c>
      <c r="O1383" s="10">
        <f>IFERROR(VLOOKUP(A1383,Flete!$A:$J,10,0),"")</f>
        <v/>
      </c>
      <c r="P1383" s="8" t="inlineStr">
        <is>
          <t>TN</t>
        </is>
      </c>
      <c r="Q1383" s="10">
        <f>IFERROR(IFERROR(VLOOKUP(A1383,TRAOPE!$A:$U,21,0),VLOOKUP(B1383,TRAOPE!$A:$U,21,0)),"")</f>
        <v/>
      </c>
      <c r="R1383" s="8">
        <f>IFERROR(IFERROR(VLOOKUP(A1383,TRAOPE!$A:$W,23,0),VLOOKUP(B1383,TRAOPE!$A:$W,23,0)),"")</f>
        <v/>
      </c>
      <c r="S1383" s="10">
        <f>IF(AND(P1383="TN",R1383="TN"),N1383+N(O1383),IF(G1383&amp;""="1",N(K1383)*N1383,(N1383+N(O1383))*N(K1383)))</f>
        <v/>
      </c>
      <c r="T1383" s="10">
        <f>IF(Q1383="","",Q1383-S1383)</f>
        <v/>
      </c>
    </row>
    <row r="1384">
      <c r="A1384" s="7">
        <f>CONCATENATE(C1384,E1384,F1384,I1384)</f>
        <v/>
      </c>
      <c r="B1384" s="7">
        <f>CONCATENATE(C1384,E1384,I1384)</f>
        <v/>
      </c>
      <c r="C1384" s="8" t="n">
        <v>900009480</v>
      </c>
      <c r="D1384" s="7">
        <f>IFERROR(VLOOKUP(C1384,TRAOPE!$G:$H,2,0),"")</f>
        <v/>
      </c>
      <c r="E1384" s="8" t="inlineStr">
        <is>
          <t>DW70</t>
        </is>
      </c>
      <c r="F1384" s="8" t="inlineStr">
        <is>
          <t>D093</t>
        </is>
      </c>
      <c r="G1384" s="8">
        <f>IFERROR(VLOOKUP(A1384,Flete!$A:$E,5,0),"")</f>
        <v/>
      </c>
      <c r="H1384" s="7">
        <f>IFERROR(VLOOKUP(F1384,TRAOPE!$AA:$AB,2,0),"")</f>
        <v/>
      </c>
      <c r="I1384" s="7" t="n">
        <v>10000357</v>
      </c>
      <c r="J1384" s="7">
        <f>IFERROR(VLOOKUP(I1384,Materiales!$A:$H,8,0),"")</f>
        <v/>
      </c>
      <c r="K1384" s="9">
        <f>IFERROR(VLOOKUP(I1384,Materiales!$A:$G,7,0),"")</f>
        <v/>
      </c>
      <c r="L1384" s="8" t="inlineStr">
        <is>
          <t>20260302</t>
        </is>
      </c>
      <c r="M1384" s="8" t="inlineStr">
        <is>
          <t>99991231</t>
        </is>
      </c>
      <c r="N1384" s="10" t="n">
        <v>86.73</v>
      </c>
      <c r="O1384" s="10">
        <f>IFERROR(VLOOKUP(A1384,Flete!$A:$J,10,0),"")</f>
        <v/>
      </c>
      <c r="P1384" s="8" t="inlineStr">
        <is>
          <t>TN</t>
        </is>
      </c>
      <c r="Q1384" s="10">
        <f>IFERROR(IFERROR(VLOOKUP(A1384,TRAOPE!$A:$U,21,0),VLOOKUP(B1384,TRAOPE!$A:$U,21,0)),"")</f>
        <v/>
      </c>
      <c r="R1384" s="8">
        <f>IFERROR(IFERROR(VLOOKUP(A1384,TRAOPE!$A:$W,23,0),VLOOKUP(B1384,TRAOPE!$A:$W,23,0)),"")</f>
        <v/>
      </c>
      <c r="S1384" s="10">
        <f>IF(AND(P1384="TN",R1384="TN"),N1384+N(O1384),IF(G1384&amp;""="1",N(K1384)*N1384,(N1384+N(O1384))*N(K1384)))</f>
        <v/>
      </c>
      <c r="T1384" s="10">
        <f>IF(Q1384="","",Q1384-S1384)</f>
        <v/>
      </c>
    </row>
    <row r="1385">
      <c r="A1385" s="7">
        <f>CONCATENATE(C1385,E1385,F1385,I1385)</f>
        <v/>
      </c>
      <c r="B1385" s="7">
        <f>CONCATENATE(C1385,E1385,I1385)</f>
        <v/>
      </c>
      <c r="C1385" s="8" t="n">
        <v>900009480</v>
      </c>
      <c r="D1385" s="7">
        <f>IFERROR(VLOOKUP(C1385,TRAOPE!$G:$H,2,0),"")</f>
        <v/>
      </c>
      <c r="E1385" s="8" t="inlineStr">
        <is>
          <t>DW70</t>
        </is>
      </c>
      <c r="F1385" s="8" t="inlineStr">
        <is>
          <t>D093</t>
        </is>
      </c>
      <c r="G1385" s="8">
        <f>IFERROR(VLOOKUP(A1385,Flete!$A:$E,5,0),"")</f>
        <v/>
      </c>
      <c r="H1385" s="7">
        <f>IFERROR(VLOOKUP(F1385,TRAOPE!$AA:$AB,2,0),"")</f>
        <v/>
      </c>
      <c r="I1385" s="7" t="n">
        <v>10275115</v>
      </c>
      <c r="J1385" s="7">
        <f>IFERROR(VLOOKUP(I1385,Materiales!$A:$H,8,0),"")</f>
        <v/>
      </c>
      <c r="K1385" s="9">
        <f>IFERROR(VLOOKUP(I1385,Materiales!$A:$G,7,0),"")</f>
        <v/>
      </c>
      <c r="L1385" s="8" t="inlineStr">
        <is>
          <t>20260302</t>
        </is>
      </c>
      <c r="M1385" s="8" t="inlineStr">
        <is>
          <t>99991231</t>
        </is>
      </c>
      <c r="N1385" s="10" t="n">
        <v>70.69</v>
      </c>
      <c r="O1385" s="10">
        <f>IFERROR(VLOOKUP(A1385,Flete!$A:$J,10,0),"")</f>
        <v/>
      </c>
      <c r="P1385" s="8" t="inlineStr">
        <is>
          <t>TN</t>
        </is>
      </c>
      <c r="Q1385" s="10">
        <f>IFERROR(IFERROR(VLOOKUP(A1385,TRAOPE!$A:$U,21,0),VLOOKUP(B1385,TRAOPE!$A:$U,21,0)),"")</f>
        <v/>
      </c>
      <c r="R1385" s="8">
        <f>IFERROR(IFERROR(VLOOKUP(A1385,TRAOPE!$A:$W,23,0),VLOOKUP(B1385,TRAOPE!$A:$W,23,0)),"")</f>
        <v/>
      </c>
      <c r="S1385" s="10">
        <f>IF(AND(P1385="TN",R1385="TN"),N1385+N(O1385),IF(G1385&amp;""="1",N(K1385)*N1385,(N1385+N(O1385))*N(K1385)))</f>
        <v/>
      </c>
      <c r="T1385" s="10">
        <f>IF(Q1385="","",Q1385-S1385)</f>
        <v/>
      </c>
    </row>
    <row r="1386">
      <c r="A1386" s="7">
        <f>CONCATENATE(C1386,E1386,F1386,I1386)</f>
        <v/>
      </c>
      <c r="B1386" s="7">
        <f>CONCATENATE(C1386,E1386,I1386)</f>
        <v/>
      </c>
      <c r="C1386" s="8" t="n">
        <v>900009480</v>
      </c>
      <c r="D1386" s="7">
        <f>IFERROR(VLOOKUP(C1386,TRAOPE!$G:$H,2,0),"")</f>
        <v/>
      </c>
      <c r="E1386" s="8" t="inlineStr">
        <is>
          <t>DW70</t>
        </is>
      </c>
      <c r="F1386" s="8" t="inlineStr">
        <is>
          <t>D098</t>
        </is>
      </c>
      <c r="G1386" s="8">
        <f>IFERROR(VLOOKUP(A1386,Flete!$A:$E,5,0),"")</f>
        <v/>
      </c>
      <c r="H1386" s="7">
        <f>IFERROR(VLOOKUP(F1386,TRAOPE!$AA:$AB,2,0),"")</f>
        <v/>
      </c>
      <c r="I1386" s="7" t="n">
        <v>10000160</v>
      </c>
      <c r="J1386" s="7">
        <f>IFERROR(VLOOKUP(I1386,Materiales!$A:$H,8,0),"")</f>
        <v/>
      </c>
      <c r="K1386" s="9">
        <f>IFERROR(VLOOKUP(I1386,Materiales!$A:$G,7,0),"")</f>
        <v/>
      </c>
      <c r="L1386" s="8" t="inlineStr">
        <is>
          <t>20260211</t>
        </is>
      </c>
      <c r="M1386" s="8" t="inlineStr">
        <is>
          <t>20260309</t>
        </is>
      </c>
      <c r="N1386" s="10" t="n">
        <v>63.17</v>
      </c>
      <c r="O1386" s="10">
        <f>IFERROR(VLOOKUP(A1386,Flete!$A:$J,10,0),"")</f>
        <v/>
      </c>
      <c r="P1386" s="8" t="inlineStr">
        <is>
          <t>TN</t>
        </is>
      </c>
      <c r="Q1386" s="10">
        <f>IFERROR(IFERROR(VLOOKUP(A1386,TRAOPE!$A:$U,21,0),VLOOKUP(B1386,TRAOPE!$A:$U,21,0)),"")</f>
        <v/>
      </c>
      <c r="R1386" s="8">
        <f>IFERROR(IFERROR(VLOOKUP(A1386,TRAOPE!$A:$W,23,0),VLOOKUP(B1386,TRAOPE!$A:$W,23,0)),"")</f>
        <v/>
      </c>
      <c r="S1386" s="10">
        <f>IF(AND(P1386="TN",R1386="TN"),N1386+N(O1386),IF(G1386&amp;""="1",N(K1386)*N1386,(N1386+N(O1386))*N(K1386)))</f>
        <v/>
      </c>
      <c r="T1386" s="10">
        <f>IF(Q1386="","",Q1386-S1386)</f>
        <v/>
      </c>
    </row>
    <row r="1387">
      <c r="A1387" s="7">
        <f>CONCATENATE(C1387,E1387,F1387,I1387)</f>
        <v/>
      </c>
      <c r="B1387" s="7">
        <f>CONCATENATE(C1387,E1387,I1387)</f>
        <v/>
      </c>
      <c r="C1387" s="8" t="n">
        <v>900009480</v>
      </c>
      <c r="D1387" s="7">
        <f>IFERROR(VLOOKUP(C1387,TRAOPE!$G:$H,2,0),"")</f>
        <v/>
      </c>
      <c r="E1387" s="8" t="inlineStr">
        <is>
          <t>DW70</t>
        </is>
      </c>
      <c r="F1387" s="8" t="inlineStr">
        <is>
          <t>D098</t>
        </is>
      </c>
      <c r="G1387" s="8">
        <f>IFERROR(VLOOKUP(A1387,Flete!$A:$E,5,0),"")</f>
        <v/>
      </c>
      <c r="H1387" s="7">
        <f>IFERROR(VLOOKUP(F1387,TRAOPE!$AA:$AB,2,0),"")</f>
        <v/>
      </c>
      <c r="I1387" s="7" t="n">
        <v>10000357</v>
      </c>
      <c r="J1387" s="7">
        <f>IFERROR(VLOOKUP(I1387,Materiales!$A:$H,8,0),"")</f>
        <v/>
      </c>
      <c r="K1387" s="9">
        <f>IFERROR(VLOOKUP(I1387,Materiales!$A:$G,7,0),"")</f>
        <v/>
      </c>
      <c r="L1387" s="8" t="inlineStr">
        <is>
          <t>20260302</t>
        </is>
      </c>
      <c r="M1387" s="8" t="inlineStr">
        <is>
          <t>99991231</t>
        </is>
      </c>
      <c r="N1387" s="10" t="n">
        <v>86.73</v>
      </c>
      <c r="O1387" s="10">
        <f>IFERROR(VLOOKUP(A1387,Flete!$A:$J,10,0),"")</f>
        <v/>
      </c>
      <c r="P1387" s="8" t="inlineStr">
        <is>
          <t>TN</t>
        </is>
      </c>
      <c r="Q1387" s="10">
        <f>IFERROR(IFERROR(VLOOKUP(A1387,TRAOPE!$A:$U,21,0),VLOOKUP(B1387,TRAOPE!$A:$U,21,0)),"")</f>
        <v/>
      </c>
      <c r="R1387" s="8">
        <f>IFERROR(IFERROR(VLOOKUP(A1387,TRAOPE!$A:$W,23,0),VLOOKUP(B1387,TRAOPE!$A:$W,23,0)),"")</f>
        <v/>
      </c>
      <c r="S1387" s="10">
        <f>IF(AND(P1387="TN",R1387="TN"),N1387+N(O1387),IF(G1387&amp;""="1",N(K1387)*N1387,(N1387+N(O1387))*N(K1387)))</f>
        <v/>
      </c>
      <c r="T1387" s="10">
        <f>IF(Q1387="","",Q1387-S1387)</f>
        <v/>
      </c>
    </row>
    <row r="1388">
      <c r="A1388" s="7">
        <f>CONCATENATE(C1388,E1388,F1388,I1388)</f>
        <v/>
      </c>
      <c r="B1388" s="7">
        <f>CONCATENATE(C1388,E1388,I1388)</f>
        <v/>
      </c>
      <c r="C1388" s="8" t="n">
        <v>900009480</v>
      </c>
      <c r="D1388" s="7">
        <f>IFERROR(VLOOKUP(C1388,TRAOPE!$G:$H,2,0),"")</f>
        <v/>
      </c>
      <c r="E1388" s="8" t="inlineStr">
        <is>
          <t>DW70</t>
        </is>
      </c>
      <c r="F1388" s="8" t="inlineStr">
        <is>
          <t>D098</t>
        </is>
      </c>
      <c r="G1388" s="8">
        <f>IFERROR(VLOOKUP(A1388,Flete!$A:$E,5,0),"")</f>
        <v/>
      </c>
      <c r="H1388" s="7">
        <f>IFERROR(VLOOKUP(F1388,TRAOPE!$AA:$AB,2,0),"")</f>
        <v/>
      </c>
      <c r="I1388" s="7" t="n">
        <v>10275115</v>
      </c>
      <c r="J1388" s="7">
        <f>IFERROR(VLOOKUP(I1388,Materiales!$A:$H,8,0),"")</f>
        <v/>
      </c>
      <c r="K1388" s="9">
        <f>IFERROR(VLOOKUP(I1388,Materiales!$A:$G,7,0),"")</f>
        <v/>
      </c>
      <c r="L1388" s="8" t="inlineStr">
        <is>
          <t>20260302</t>
        </is>
      </c>
      <c r="M1388" s="8" t="inlineStr">
        <is>
          <t>99991231</t>
        </is>
      </c>
      <c r="N1388" s="10" t="n">
        <v>70.69</v>
      </c>
      <c r="O1388" s="10">
        <f>IFERROR(VLOOKUP(A1388,Flete!$A:$J,10,0),"")</f>
        <v/>
      </c>
      <c r="P1388" s="8" t="inlineStr">
        <is>
          <t>TN</t>
        </is>
      </c>
      <c r="Q1388" s="10">
        <f>IFERROR(IFERROR(VLOOKUP(A1388,TRAOPE!$A:$U,21,0),VLOOKUP(B1388,TRAOPE!$A:$U,21,0)),"")</f>
        <v/>
      </c>
      <c r="R1388" s="8">
        <f>IFERROR(IFERROR(VLOOKUP(A1388,TRAOPE!$A:$W,23,0),VLOOKUP(B1388,TRAOPE!$A:$W,23,0)),"")</f>
        <v/>
      </c>
      <c r="S1388" s="10">
        <f>IF(AND(P1388="TN",R1388="TN"),N1388+N(O1388),IF(G1388&amp;""="1",N(K1388)*N1388,(N1388+N(O1388))*N(K1388)))</f>
        <v/>
      </c>
      <c r="T1388" s="10">
        <f>IF(Q1388="","",Q1388-S1388)</f>
        <v/>
      </c>
    </row>
    <row r="1389">
      <c r="A1389" s="7">
        <f>CONCATENATE(C1389,E1389,F1389,I1389)</f>
        <v/>
      </c>
      <c r="B1389" s="7">
        <f>CONCATENATE(C1389,E1389,I1389)</f>
        <v/>
      </c>
      <c r="C1389" s="8" t="n">
        <v>900009480</v>
      </c>
      <c r="D1389" s="7">
        <f>IFERROR(VLOOKUP(C1389,TRAOPE!$G:$H,2,0),"")</f>
        <v/>
      </c>
      <c r="E1389" s="8" t="inlineStr">
        <is>
          <t>DW70</t>
        </is>
      </c>
      <c r="F1389" s="8" t="inlineStr">
        <is>
          <t>D105</t>
        </is>
      </c>
      <c r="G1389" s="8">
        <f>IFERROR(VLOOKUP(A1389,Flete!$A:$E,5,0),"")</f>
        <v/>
      </c>
      <c r="H1389" s="7">
        <f>IFERROR(VLOOKUP(F1389,TRAOPE!$AA:$AB,2,0),"")</f>
        <v/>
      </c>
      <c r="I1389" s="7" t="n">
        <v>10000160</v>
      </c>
      <c r="J1389" s="7">
        <f>IFERROR(VLOOKUP(I1389,Materiales!$A:$H,8,0),"")</f>
        <v/>
      </c>
      <c r="K1389" s="9">
        <f>IFERROR(VLOOKUP(I1389,Materiales!$A:$G,7,0),"")</f>
        <v/>
      </c>
      <c r="L1389" s="8" t="inlineStr">
        <is>
          <t>20260211</t>
        </is>
      </c>
      <c r="M1389" s="8" t="inlineStr">
        <is>
          <t>20260309</t>
        </is>
      </c>
      <c r="N1389" s="10" t="n">
        <v>63.17</v>
      </c>
      <c r="O1389" s="10">
        <f>IFERROR(VLOOKUP(A1389,Flete!$A:$J,10,0),"")</f>
        <v/>
      </c>
      <c r="P1389" s="8" t="inlineStr">
        <is>
          <t>TN</t>
        </is>
      </c>
      <c r="Q1389" s="10">
        <f>IFERROR(IFERROR(VLOOKUP(A1389,TRAOPE!$A:$U,21,0),VLOOKUP(B1389,TRAOPE!$A:$U,21,0)),"")</f>
        <v/>
      </c>
      <c r="R1389" s="8">
        <f>IFERROR(IFERROR(VLOOKUP(A1389,TRAOPE!$A:$W,23,0),VLOOKUP(B1389,TRAOPE!$A:$W,23,0)),"")</f>
        <v/>
      </c>
      <c r="S1389" s="10">
        <f>IF(AND(P1389="TN",R1389="TN"),N1389+N(O1389),IF(G1389&amp;""="1",N(K1389)*N1389,(N1389+N(O1389))*N(K1389)))</f>
        <v/>
      </c>
      <c r="T1389" s="10">
        <f>IF(Q1389="","",Q1389-S1389)</f>
        <v/>
      </c>
    </row>
    <row r="1390">
      <c r="A1390" s="7">
        <f>CONCATENATE(C1390,E1390,F1390,I1390)</f>
        <v/>
      </c>
      <c r="B1390" s="7">
        <f>CONCATENATE(C1390,E1390,I1390)</f>
        <v/>
      </c>
      <c r="C1390" s="8" t="n">
        <v>900009480</v>
      </c>
      <c r="D1390" s="7">
        <f>IFERROR(VLOOKUP(C1390,TRAOPE!$G:$H,2,0),"")</f>
        <v/>
      </c>
      <c r="E1390" s="8" t="inlineStr">
        <is>
          <t>DW70</t>
        </is>
      </c>
      <c r="F1390" s="8" t="inlineStr">
        <is>
          <t>D105</t>
        </is>
      </c>
      <c r="G1390" s="8">
        <f>IFERROR(VLOOKUP(A1390,Flete!$A:$E,5,0),"")</f>
        <v/>
      </c>
      <c r="H1390" s="7">
        <f>IFERROR(VLOOKUP(F1390,TRAOPE!$AA:$AB,2,0),"")</f>
        <v/>
      </c>
      <c r="I1390" s="7" t="n">
        <v>10000357</v>
      </c>
      <c r="J1390" s="7">
        <f>IFERROR(VLOOKUP(I1390,Materiales!$A:$H,8,0),"")</f>
        <v/>
      </c>
      <c r="K1390" s="9">
        <f>IFERROR(VLOOKUP(I1390,Materiales!$A:$G,7,0),"")</f>
        <v/>
      </c>
      <c r="L1390" s="8" t="inlineStr">
        <is>
          <t>20260302</t>
        </is>
      </c>
      <c r="M1390" s="8" t="inlineStr">
        <is>
          <t>99991231</t>
        </is>
      </c>
      <c r="N1390" s="10" t="n">
        <v>86.73</v>
      </c>
      <c r="O1390" s="10">
        <f>IFERROR(VLOOKUP(A1390,Flete!$A:$J,10,0),"")</f>
        <v/>
      </c>
      <c r="P1390" s="8" t="inlineStr">
        <is>
          <t>TN</t>
        </is>
      </c>
      <c r="Q1390" s="10">
        <f>IFERROR(IFERROR(VLOOKUP(A1390,TRAOPE!$A:$U,21,0),VLOOKUP(B1390,TRAOPE!$A:$U,21,0)),"")</f>
        <v/>
      </c>
      <c r="R1390" s="8">
        <f>IFERROR(IFERROR(VLOOKUP(A1390,TRAOPE!$A:$W,23,0),VLOOKUP(B1390,TRAOPE!$A:$W,23,0)),"")</f>
        <v/>
      </c>
      <c r="S1390" s="10">
        <f>IF(AND(P1390="TN",R1390="TN"),N1390+N(O1390),IF(G1390&amp;""="1",N(K1390)*N1390,(N1390+N(O1390))*N(K1390)))</f>
        <v/>
      </c>
      <c r="T1390" s="10">
        <f>IF(Q1390="","",Q1390-S1390)</f>
        <v/>
      </c>
    </row>
    <row r="1391">
      <c r="A1391" s="7">
        <f>CONCATENATE(C1391,E1391,F1391,I1391)</f>
        <v/>
      </c>
      <c r="B1391" s="7">
        <f>CONCATENATE(C1391,E1391,I1391)</f>
        <v/>
      </c>
      <c r="C1391" s="8" t="n">
        <v>900009480</v>
      </c>
      <c r="D1391" s="7">
        <f>IFERROR(VLOOKUP(C1391,TRAOPE!$G:$H,2,0),"")</f>
        <v/>
      </c>
      <c r="E1391" s="8" t="inlineStr">
        <is>
          <t>DW70</t>
        </is>
      </c>
      <c r="F1391" s="8" t="inlineStr">
        <is>
          <t>D105</t>
        </is>
      </c>
      <c r="G1391" s="8">
        <f>IFERROR(VLOOKUP(A1391,Flete!$A:$E,5,0),"")</f>
        <v/>
      </c>
      <c r="H1391" s="7">
        <f>IFERROR(VLOOKUP(F1391,TRAOPE!$AA:$AB,2,0),"")</f>
        <v/>
      </c>
      <c r="I1391" s="7" t="n">
        <v>10275115</v>
      </c>
      <c r="J1391" s="7">
        <f>IFERROR(VLOOKUP(I1391,Materiales!$A:$H,8,0),"")</f>
        <v/>
      </c>
      <c r="K1391" s="9">
        <f>IFERROR(VLOOKUP(I1391,Materiales!$A:$G,7,0),"")</f>
        <v/>
      </c>
      <c r="L1391" s="8" t="inlineStr">
        <is>
          <t>20260302</t>
        </is>
      </c>
      <c r="M1391" s="8" t="inlineStr">
        <is>
          <t>99991231</t>
        </is>
      </c>
      <c r="N1391" s="10" t="n">
        <v>70.69</v>
      </c>
      <c r="O1391" s="10">
        <f>IFERROR(VLOOKUP(A1391,Flete!$A:$J,10,0),"")</f>
        <v/>
      </c>
      <c r="P1391" s="8" t="inlineStr">
        <is>
          <t>TN</t>
        </is>
      </c>
      <c r="Q1391" s="10">
        <f>IFERROR(IFERROR(VLOOKUP(A1391,TRAOPE!$A:$U,21,0),VLOOKUP(B1391,TRAOPE!$A:$U,21,0)),"")</f>
        <v/>
      </c>
      <c r="R1391" s="8">
        <f>IFERROR(IFERROR(VLOOKUP(A1391,TRAOPE!$A:$W,23,0),VLOOKUP(B1391,TRAOPE!$A:$W,23,0)),"")</f>
        <v/>
      </c>
      <c r="S1391" s="10">
        <f>IF(AND(P1391="TN",R1391="TN"),N1391+N(O1391),IF(G1391&amp;""="1",N(K1391)*N1391,(N1391+N(O1391))*N(K1391)))</f>
        <v/>
      </c>
      <c r="T1391" s="10">
        <f>IF(Q1391="","",Q1391-S1391)</f>
        <v/>
      </c>
    </row>
    <row r="1392">
      <c r="A1392" s="7">
        <f>CONCATENATE(C1392,E1392,F1392,I1392)</f>
        <v/>
      </c>
      <c r="B1392" s="7">
        <f>CONCATENATE(C1392,E1392,I1392)</f>
        <v/>
      </c>
      <c r="C1392" s="8" t="n">
        <v>900009480</v>
      </c>
      <c r="D1392" s="7">
        <f>IFERROR(VLOOKUP(C1392,TRAOPE!$G:$H,2,0),"")</f>
        <v/>
      </c>
      <c r="E1392" s="8" t="inlineStr">
        <is>
          <t>DW70</t>
        </is>
      </c>
      <c r="F1392" s="8" t="inlineStr">
        <is>
          <t>D136</t>
        </is>
      </c>
      <c r="G1392" s="8">
        <f>IFERROR(VLOOKUP(A1392,Flete!$A:$E,5,0),"")</f>
        <v/>
      </c>
      <c r="H1392" s="7">
        <f>IFERROR(VLOOKUP(F1392,TRAOPE!$AA:$AB,2,0),"")</f>
        <v/>
      </c>
      <c r="I1392" s="7" t="n">
        <v>10000160</v>
      </c>
      <c r="J1392" s="7">
        <f>IFERROR(VLOOKUP(I1392,Materiales!$A:$H,8,0),"")</f>
        <v/>
      </c>
      <c r="K1392" s="9">
        <f>IFERROR(VLOOKUP(I1392,Materiales!$A:$G,7,0),"")</f>
        <v/>
      </c>
      <c r="L1392" s="8" t="inlineStr">
        <is>
          <t>20260211</t>
        </is>
      </c>
      <c r="M1392" s="8" t="inlineStr">
        <is>
          <t>20260309</t>
        </is>
      </c>
      <c r="N1392" s="10" t="n">
        <v>63.17</v>
      </c>
      <c r="O1392" s="10">
        <f>IFERROR(VLOOKUP(A1392,Flete!$A:$J,10,0),"")</f>
        <v/>
      </c>
      <c r="P1392" s="8" t="inlineStr">
        <is>
          <t>TN</t>
        </is>
      </c>
      <c r="Q1392" s="10">
        <f>IFERROR(IFERROR(VLOOKUP(A1392,TRAOPE!$A:$U,21,0),VLOOKUP(B1392,TRAOPE!$A:$U,21,0)),"")</f>
        <v/>
      </c>
      <c r="R1392" s="8">
        <f>IFERROR(IFERROR(VLOOKUP(A1392,TRAOPE!$A:$W,23,0),VLOOKUP(B1392,TRAOPE!$A:$W,23,0)),"")</f>
        <v/>
      </c>
      <c r="S1392" s="10">
        <f>IF(AND(P1392="TN",R1392="TN"),N1392+N(O1392),IF(G1392&amp;""="1",N(K1392)*N1392,(N1392+N(O1392))*N(K1392)))</f>
        <v/>
      </c>
      <c r="T1392" s="10">
        <f>IF(Q1392="","",Q1392-S1392)</f>
        <v/>
      </c>
    </row>
    <row r="1393">
      <c r="A1393" s="7">
        <f>CONCATENATE(C1393,E1393,F1393,I1393)</f>
        <v/>
      </c>
      <c r="B1393" s="7">
        <f>CONCATENATE(C1393,E1393,I1393)</f>
        <v/>
      </c>
      <c r="C1393" s="8" t="n">
        <v>900009480</v>
      </c>
      <c r="D1393" s="7">
        <f>IFERROR(VLOOKUP(C1393,TRAOPE!$G:$H,2,0),"")</f>
        <v/>
      </c>
      <c r="E1393" s="8" t="inlineStr">
        <is>
          <t>DW70</t>
        </is>
      </c>
      <c r="F1393" s="8" t="inlineStr">
        <is>
          <t>D136</t>
        </is>
      </c>
      <c r="G1393" s="8">
        <f>IFERROR(VLOOKUP(A1393,Flete!$A:$E,5,0),"")</f>
        <v/>
      </c>
      <c r="H1393" s="7">
        <f>IFERROR(VLOOKUP(F1393,TRAOPE!$AA:$AB,2,0),"")</f>
        <v/>
      </c>
      <c r="I1393" s="7" t="n">
        <v>10000357</v>
      </c>
      <c r="J1393" s="7">
        <f>IFERROR(VLOOKUP(I1393,Materiales!$A:$H,8,0),"")</f>
        <v/>
      </c>
      <c r="K1393" s="9">
        <f>IFERROR(VLOOKUP(I1393,Materiales!$A:$G,7,0),"")</f>
        <v/>
      </c>
      <c r="L1393" s="8" t="inlineStr">
        <is>
          <t>20260302</t>
        </is>
      </c>
      <c r="M1393" s="8" t="inlineStr">
        <is>
          <t>99991231</t>
        </is>
      </c>
      <c r="N1393" s="10" t="n">
        <v>86.73</v>
      </c>
      <c r="O1393" s="10">
        <f>IFERROR(VLOOKUP(A1393,Flete!$A:$J,10,0),"")</f>
        <v/>
      </c>
      <c r="P1393" s="8" t="inlineStr">
        <is>
          <t>TN</t>
        </is>
      </c>
      <c r="Q1393" s="10">
        <f>IFERROR(IFERROR(VLOOKUP(A1393,TRAOPE!$A:$U,21,0),VLOOKUP(B1393,TRAOPE!$A:$U,21,0)),"")</f>
        <v/>
      </c>
      <c r="R1393" s="8">
        <f>IFERROR(IFERROR(VLOOKUP(A1393,TRAOPE!$A:$W,23,0),VLOOKUP(B1393,TRAOPE!$A:$W,23,0)),"")</f>
        <v/>
      </c>
      <c r="S1393" s="10">
        <f>IF(AND(P1393="TN",R1393="TN"),N1393+N(O1393),IF(G1393&amp;""="1",N(K1393)*N1393,(N1393+N(O1393))*N(K1393)))</f>
        <v/>
      </c>
      <c r="T1393" s="10">
        <f>IF(Q1393="","",Q1393-S1393)</f>
        <v/>
      </c>
    </row>
    <row r="1394">
      <c r="A1394" s="7">
        <f>CONCATENATE(C1394,E1394,F1394,I1394)</f>
        <v/>
      </c>
      <c r="B1394" s="7">
        <f>CONCATENATE(C1394,E1394,I1394)</f>
        <v/>
      </c>
      <c r="C1394" s="8" t="n">
        <v>900009480</v>
      </c>
      <c r="D1394" s="7">
        <f>IFERROR(VLOOKUP(C1394,TRAOPE!$G:$H,2,0),"")</f>
        <v/>
      </c>
      <c r="E1394" s="8" t="inlineStr">
        <is>
          <t>DW70</t>
        </is>
      </c>
      <c r="F1394" s="8" t="inlineStr">
        <is>
          <t>D136</t>
        </is>
      </c>
      <c r="G1394" s="8">
        <f>IFERROR(VLOOKUP(A1394,Flete!$A:$E,5,0),"")</f>
        <v/>
      </c>
      <c r="H1394" s="7">
        <f>IFERROR(VLOOKUP(F1394,TRAOPE!$AA:$AB,2,0),"")</f>
        <v/>
      </c>
      <c r="I1394" s="7" t="n">
        <v>10275115</v>
      </c>
      <c r="J1394" s="7">
        <f>IFERROR(VLOOKUP(I1394,Materiales!$A:$H,8,0),"")</f>
        <v/>
      </c>
      <c r="K1394" s="9">
        <f>IFERROR(VLOOKUP(I1394,Materiales!$A:$G,7,0),"")</f>
        <v/>
      </c>
      <c r="L1394" s="8" t="inlineStr">
        <is>
          <t>20260302</t>
        </is>
      </c>
      <c r="M1394" s="8" t="inlineStr">
        <is>
          <t>99991231</t>
        </is>
      </c>
      <c r="N1394" s="10" t="n">
        <v>70.69</v>
      </c>
      <c r="O1394" s="10">
        <f>IFERROR(VLOOKUP(A1394,Flete!$A:$J,10,0),"")</f>
        <v/>
      </c>
      <c r="P1394" s="8" t="inlineStr">
        <is>
          <t>TN</t>
        </is>
      </c>
      <c r="Q1394" s="10">
        <f>IFERROR(IFERROR(VLOOKUP(A1394,TRAOPE!$A:$U,21,0),VLOOKUP(B1394,TRAOPE!$A:$U,21,0)),"")</f>
        <v/>
      </c>
      <c r="R1394" s="8">
        <f>IFERROR(IFERROR(VLOOKUP(A1394,TRAOPE!$A:$W,23,0),VLOOKUP(B1394,TRAOPE!$A:$W,23,0)),"")</f>
        <v/>
      </c>
      <c r="S1394" s="10">
        <f>IF(AND(P1394="TN",R1394="TN"),N1394+N(O1394),IF(G1394&amp;""="1",N(K1394)*N1394,(N1394+N(O1394))*N(K1394)))</f>
        <v/>
      </c>
      <c r="T1394" s="10">
        <f>IF(Q1394="","",Q1394-S1394)</f>
        <v/>
      </c>
    </row>
    <row r="1395">
      <c r="A1395" s="7">
        <f>CONCATENATE(C1395,E1395,F1395,I1395)</f>
        <v/>
      </c>
      <c r="B1395" s="7">
        <f>CONCATENATE(C1395,E1395,I1395)</f>
        <v/>
      </c>
      <c r="C1395" s="8" t="n">
        <v>900009480</v>
      </c>
      <c r="D1395" s="7">
        <f>IFERROR(VLOOKUP(C1395,TRAOPE!$G:$H,2,0),"")</f>
        <v/>
      </c>
      <c r="E1395" s="8" t="inlineStr">
        <is>
          <t>DW70</t>
        </is>
      </c>
      <c r="F1395" s="8" t="inlineStr">
        <is>
          <t>D145</t>
        </is>
      </c>
      <c r="G1395" s="8">
        <f>IFERROR(VLOOKUP(A1395,Flete!$A:$E,5,0),"")</f>
        <v/>
      </c>
      <c r="H1395" s="7">
        <f>IFERROR(VLOOKUP(F1395,TRAOPE!$AA:$AB,2,0),"")</f>
        <v/>
      </c>
      <c r="I1395" s="7" t="n">
        <v>10000160</v>
      </c>
      <c r="J1395" s="7">
        <f>IFERROR(VLOOKUP(I1395,Materiales!$A:$H,8,0),"")</f>
        <v/>
      </c>
      <c r="K1395" s="9">
        <f>IFERROR(VLOOKUP(I1395,Materiales!$A:$G,7,0),"")</f>
        <v/>
      </c>
      <c r="L1395" s="8" t="inlineStr">
        <is>
          <t>20260211</t>
        </is>
      </c>
      <c r="M1395" s="8" t="inlineStr">
        <is>
          <t>20260309</t>
        </is>
      </c>
      <c r="N1395" s="10" t="n">
        <v>63.17</v>
      </c>
      <c r="O1395" s="10">
        <f>IFERROR(VLOOKUP(A1395,Flete!$A:$J,10,0),"")</f>
        <v/>
      </c>
      <c r="P1395" s="8" t="inlineStr">
        <is>
          <t>TN</t>
        </is>
      </c>
      <c r="Q1395" s="10">
        <f>IFERROR(IFERROR(VLOOKUP(A1395,TRAOPE!$A:$U,21,0),VLOOKUP(B1395,TRAOPE!$A:$U,21,0)),"")</f>
        <v/>
      </c>
      <c r="R1395" s="8">
        <f>IFERROR(IFERROR(VLOOKUP(A1395,TRAOPE!$A:$W,23,0),VLOOKUP(B1395,TRAOPE!$A:$W,23,0)),"")</f>
        <v/>
      </c>
      <c r="S1395" s="10">
        <f>IF(AND(P1395="TN",R1395="TN"),N1395+N(O1395),IF(G1395&amp;""="1",N(K1395)*N1395,(N1395+N(O1395))*N(K1395)))</f>
        <v/>
      </c>
      <c r="T1395" s="10">
        <f>IF(Q1395="","",Q1395-S1395)</f>
        <v/>
      </c>
    </row>
    <row r="1396">
      <c r="A1396" s="7">
        <f>CONCATENATE(C1396,E1396,F1396,I1396)</f>
        <v/>
      </c>
      <c r="B1396" s="7">
        <f>CONCATENATE(C1396,E1396,I1396)</f>
        <v/>
      </c>
      <c r="C1396" s="8" t="n">
        <v>900009480</v>
      </c>
      <c r="D1396" s="7">
        <f>IFERROR(VLOOKUP(C1396,TRAOPE!$G:$H,2,0),"")</f>
        <v/>
      </c>
      <c r="E1396" s="8" t="inlineStr">
        <is>
          <t>DW70</t>
        </is>
      </c>
      <c r="F1396" s="8" t="inlineStr">
        <is>
          <t>D145</t>
        </is>
      </c>
      <c r="G1396" s="8">
        <f>IFERROR(VLOOKUP(A1396,Flete!$A:$E,5,0),"")</f>
        <v/>
      </c>
      <c r="H1396" s="7">
        <f>IFERROR(VLOOKUP(F1396,TRAOPE!$AA:$AB,2,0),"")</f>
        <v/>
      </c>
      <c r="I1396" s="7" t="n">
        <v>10000357</v>
      </c>
      <c r="J1396" s="7">
        <f>IFERROR(VLOOKUP(I1396,Materiales!$A:$H,8,0),"")</f>
        <v/>
      </c>
      <c r="K1396" s="9">
        <f>IFERROR(VLOOKUP(I1396,Materiales!$A:$G,7,0),"")</f>
        <v/>
      </c>
      <c r="L1396" s="8" t="inlineStr">
        <is>
          <t>20260302</t>
        </is>
      </c>
      <c r="M1396" s="8" t="inlineStr">
        <is>
          <t>99991231</t>
        </is>
      </c>
      <c r="N1396" s="10" t="n">
        <v>86.73</v>
      </c>
      <c r="O1396" s="10">
        <f>IFERROR(VLOOKUP(A1396,Flete!$A:$J,10,0),"")</f>
        <v/>
      </c>
      <c r="P1396" s="8" t="inlineStr">
        <is>
          <t>TN</t>
        </is>
      </c>
      <c r="Q1396" s="10">
        <f>IFERROR(IFERROR(VLOOKUP(A1396,TRAOPE!$A:$U,21,0),VLOOKUP(B1396,TRAOPE!$A:$U,21,0)),"")</f>
        <v/>
      </c>
      <c r="R1396" s="8">
        <f>IFERROR(IFERROR(VLOOKUP(A1396,TRAOPE!$A:$W,23,0),VLOOKUP(B1396,TRAOPE!$A:$W,23,0)),"")</f>
        <v/>
      </c>
      <c r="S1396" s="10">
        <f>IF(AND(P1396="TN",R1396="TN"),N1396+N(O1396),IF(G1396&amp;""="1",N(K1396)*N1396,(N1396+N(O1396))*N(K1396)))</f>
        <v/>
      </c>
      <c r="T1396" s="10">
        <f>IF(Q1396="","",Q1396-S1396)</f>
        <v/>
      </c>
    </row>
    <row r="1397">
      <c r="A1397" s="7">
        <f>CONCATENATE(C1397,E1397,F1397,I1397)</f>
        <v/>
      </c>
      <c r="B1397" s="7">
        <f>CONCATENATE(C1397,E1397,I1397)</f>
        <v/>
      </c>
      <c r="C1397" s="8" t="n">
        <v>900009480</v>
      </c>
      <c r="D1397" s="7">
        <f>IFERROR(VLOOKUP(C1397,TRAOPE!$G:$H,2,0),"")</f>
        <v/>
      </c>
      <c r="E1397" s="8" t="inlineStr">
        <is>
          <t>DW70</t>
        </is>
      </c>
      <c r="F1397" s="8" t="inlineStr">
        <is>
          <t>D145</t>
        </is>
      </c>
      <c r="G1397" s="8">
        <f>IFERROR(VLOOKUP(A1397,Flete!$A:$E,5,0),"")</f>
        <v/>
      </c>
      <c r="H1397" s="7">
        <f>IFERROR(VLOOKUP(F1397,TRAOPE!$AA:$AB,2,0),"")</f>
        <v/>
      </c>
      <c r="I1397" s="7" t="n">
        <v>10275115</v>
      </c>
      <c r="J1397" s="7">
        <f>IFERROR(VLOOKUP(I1397,Materiales!$A:$H,8,0),"")</f>
        <v/>
      </c>
      <c r="K1397" s="9">
        <f>IFERROR(VLOOKUP(I1397,Materiales!$A:$G,7,0),"")</f>
        <v/>
      </c>
      <c r="L1397" s="8" t="inlineStr">
        <is>
          <t>20260302</t>
        </is>
      </c>
      <c r="M1397" s="8" t="inlineStr">
        <is>
          <t>99991231</t>
        </is>
      </c>
      <c r="N1397" s="10" t="n">
        <v>70.69</v>
      </c>
      <c r="O1397" s="10">
        <f>IFERROR(VLOOKUP(A1397,Flete!$A:$J,10,0),"")</f>
        <v/>
      </c>
      <c r="P1397" s="8" t="inlineStr">
        <is>
          <t>TN</t>
        </is>
      </c>
      <c r="Q1397" s="10">
        <f>IFERROR(IFERROR(VLOOKUP(A1397,TRAOPE!$A:$U,21,0),VLOOKUP(B1397,TRAOPE!$A:$U,21,0)),"")</f>
        <v/>
      </c>
      <c r="R1397" s="8">
        <f>IFERROR(IFERROR(VLOOKUP(A1397,TRAOPE!$A:$W,23,0),VLOOKUP(B1397,TRAOPE!$A:$W,23,0)),"")</f>
        <v/>
      </c>
      <c r="S1397" s="10">
        <f>IF(AND(P1397="TN",R1397="TN"),N1397+N(O1397),IF(G1397&amp;""="1",N(K1397)*N1397,(N1397+N(O1397))*N(K1397)))</f>
        <v/>
      </c>
      <c r="T1397" s="10">
        <f>IF(Q1397="","",Q1397-S1397)</f>
        <v/>
      </c>
    </row>
    <row r="1398">
      <c r="A1398" s="7">
        <f>CONCATENATE(C1398,E1398,F1398,I1398)</f>
        <v/>
      </c>
      <c r="B1398" s="7">
        <f>CONCATENATE(C1398,E1398,I1398)</f>
        <v/>
      </c>
      <c r="C1398" s="8" t="n">
        <v>900009480</v>
      </c>
      <c r="D1398" s="7">
        <f>IFERROR(VLOOKUP(C1398,TRAOPE!$G:$H,2,0),"")</f>
        <v/>
      </c>
      <c r="E1398" s="8" t="inlineStr">
        <is>
          <t>DW70</t>
        </is>
      </c>
      <c r="F1398" s="8" t="inlineStr">
        <is>
          <t>D681</t>
        </is>
      </c>
      <c r="G1398" s="8">
        <f>IFERROR(VLOOKUP(A1398,Flete!$A:$E,5,0),"")</f>
        <v/>
      </c>
      <c r="H1398" s="7">
        <f>IFERROR(VLOOKUP(F1398,TRAOPE!$AA:$AB,2,0),"")</f>
        <v/>
      </c>
      <c r="I1398" s="7" t="n">
        <v>10000160</v>
      </c>
      <c r="J1398" s="7">
        <f>IFERROR(VLOOKUP(I1398,Materiales!$A:$H,8,0),"")</f>
        <v/>
      </c>
      <c r="K1398" s="9">
        <f>IFERROR(VLOOKUP(I1398,Materiales!$A:$G,7,0),"")</f>
        <v/>
      </c>
      <c r="L1398" s="8" t="inlineStr">
        <is>
          <t>20260211</t>
        </is>
      </c>
      <c r="M1398" s="8" t="inlineStr">
        <is>
          <t>20260309</t>
        </is>
      </c>
      <c r="N1398" s="10" t="n">
        <v>63.17</v>
      </c>
      <c r="O1398" s="10">
        <f>IFERROR(VLOOKUP(A1398,Flete!$A:$J,10,0),"")</f>
        <v/>
      </c>
      <c r="P1398" s="8" t="inlineStr">
        <is>
          <t>TN</t>
        </is>
      </c>
      <c r="Q1398" s="10">
        <f>IFERROR(IFERROR(VLOOKUP(A1398,TRAOPE!$A:$U,21,0),VLOOKUP(B1398,TRAOPE!$A:$U,21,0)),"")</f>
        <v/>
      </c>
      <c r="R1398" s="8">
        <f>IFERROR(IFERROR(VLOOKUP(A1398,TRAOPE!$A:$W,23,0),VLOOKUP(B1398,TRAOPE!$A:$W,23,0)),"")</f>
        <v/>
      </c>
      <c r="S1398" s="10">
        <f>IF(AND(P1398="TN",R1398="TN"),N1398+N(O1398),IF(G1398&amp;""="1",N(K1398)*N1398,(N1398+N(O1398))*N(K1398)))</f>
        <v/>
      </c>
      <c r="T1398" s="10">
        <f>IF(Q1398="","",Q1398-S1398)</f>
        <v/>
      </c>
    </row>
    <row r="1399">
      <c r="A1399" s="7">
        <f>CONCATENATE(C1399,E1399,F1399,I1399)</f>
        <v/>
      </c>
      <c r="B1399" s="7">
        <f>CONCATENATE(C1399,E1399,I1399)</f>
        <v/>
      </c>
      <c r="C1399" s="8" t="n">
        <v>900009480</v>
      </c>
      <c r="D1399" s="7">
        <f>IFERROR(VLOOKUP(C1399,TRAOPE!$G:$H,2,0),"")</f>
        <v/>
      </c>
      <c r="E1399" s="8" t="inlineStr">
        <is>
          <t>DW70</t>
        </is>
      </c>
      <c r="F1399" s="8" t="inlineStr">
        <is>
          <t>D681</t>
        </is>
      </c>
      <c r="G1399" s="8">
        <f>IFERROR(VLOOKUP(A1399,Flete!$A:$E,5,0),"")</f>
        <v/>
      </c>
      <c r="H1399" s="7">
        <f>IFERROR(VLOOKUP(F1399,TRAOPE!$AA:$AB,2,0),"")</f>
        <v/>
      </c>
      <c r="I1399" s="7" t="n">
        <v>10000357</v>
      </c>
      <c r="J1399" s="7">
        <f>IFERROR(VLOOKUP(I1399,Materiales!$A:$H,8,0),"")</f>
        <v/>
      </c>
      <c r="K1399" s="9">
        <f>IFERROR(VLOOKUP(I1399,Materiales!$A:$G,7,0),"")</f>
        <v/>
      </c>
      <c r="L1399" s="8" t="inlineStr">
        <is>
          <t>20260302</t>
        </is>
      </c>
      <c r="M1399" s="8" t="inlineStr">
        <is>
          <t>99991231</t>
        </is>
      </c>
      <c r="N1399" s="10" t="n">
        <v>86.73</v>
      </c>
      <c r="O1399" s="10">
        <f>IFERROR(VLOOKUP(A1399,Flete!$A:$J,10,0),"")</f>
        <v/>
      </c>
      <c r="P1399" s="8" t="inlineStr">
        <is>
          <t>TN</t>
        </is>
      </c>
      <c r="Q1399" s="10">
        <f>IFERROR(IFERROR(VLOOKUP(A1399,TRAOPE!$A:$U,21,0),VLOOKUP(B1399,TRAOPE!$A:$U,21,0)),"")</f>
        <v/>
      </c>
      <c r="R1399" s="8">
        <f>IFERROR(IFERROR(VLOOKUP(A1399,TRAOPE!$A:$W,23,0),VLOOKUP(B1399,TRAOPE!$A:$W,23,0)),"")</f>
        <v/>
      </c>
      <c r="S1399" s="10">
        <f>IF(AND(P1399="TN",R1399="TN"),N1399+N(O1399),IF(G1399&amp;""="1",N(K1399)*N1399,(N1399+N(O1399))*N(K1399)))</f>
        <v/>
      </c>
      <c r="T1399" s="10">
        <f>IF(Q1399="","",Q1399-S1399)</f>
        <v/>
      </c>
    </row>
    <row r="1400">
      <c r="A1400" s="7">
        <f>CONCATENATE(C1400,E1400,F1400,I1400)</f>
        <v/>
      </c>
      <c r="B1400" s="7">
        <f>CONCATENATE(C1400,E1400,I1400)</f>
        <v/>
      </c>
      <c r="C1400" s="8" t="n">
        <v>900009480</v>
      </c>
      <c r="D1400" s="7">
        <f>IFERROR(VLOOKUP(C1400,TRAOPE!$G:$H,2,0),"")</f>
        <v/>
      </c>
      <c r="E1400" s="8" t="inlineStr">
        <is>
          <t>DW70</t>
        </is>
      </c>
      <c r="F1400" s="8" t="inlineStr">
        <is>
          <t>D681</t>
        </is>
      </c>
      <c r="G1400" s="8">
        <f>IFERROR(VLOOKUP(A1400,Flete!$A:$E,5,0),"")</f>
        <v/>
      </c>
      <c r="H1400" s="7">
        <f>IFERROR(VLOOKUP(F1400,TRAOPE!$AA:$AB,2,0),"")</f>
        <v/>
      </c>
      <c r="I1400" s="7" t="n">
        <v>10275115</v>
      </c>
      <c r="J1400" s="7">
        <f>IFERROR(VLOOKUP(I1400,Materiales!$A:$H,8,0),"")</f>
        <v/>
      </c>
      <c r="K1400" s="9">
        <f>IFERROR(VLOOKUP(I1400,Materiales!$A:$G,7,0),"")</f>
        <v/>
      </c>
      <c r="L1400" s="8" t="inlineStr">
        <is>
          <t>20260302</t>
        </is>
      </c>
      <c r="M1400" s="8" t="inlineStr">
        <is>
          <t>99991231</t>
        </is>
      </c>
      <c r="N1400" s="10" t="n">
        <v>70.69</v>
      </c>
      <c r="O1400" s="10">
        <f>IFERROR(VLOOKUP(A1400,Flete!$A:$J,10,0),"")</f>
        <v/>
      </c>
      <c r="P1400" s="8" t="inlineStr">
        <is>
          <t>TN</t>
        </is>
      </c>
      <c r="Q1400" s="10">
        <f>IFERROR(IFERROR(VLOOKUP(A1400,TRAOPE!$A:$U,21,0),VLOOKUP(B1400,TRAOPE!$A:$U,21,0)),"")</f>
        <v/>
      </c>
      <c r="R1400" s="8">
        <f>IFERROR(IFERROR(VLOOKUP(A1400,TRAOPE!$A:$W,23,0),VLOOKUP(B1400,TRAOPE!$A:$W,23,0)),"")</f>
        <v/>
      </c>
      <c r="S1400" s="10">
        <f>IF(AND(P1400="TN",R1400="TN"),N1400+N(O1400),IF(G1400&amp;""="1",N(K1400)*N1400,(N1400+N(O1400))*N(K1400)))</f>
        <v/>
      </c>
      <c r="T1400" s="10">
        <f>IF(Q1400="","",Q1400-S1400)</f>
        <v/>
      </c>
    </row>
    <row r="1401">
      <c r="A1401" s="7">
        <f>CONCATENATE(C1401,E1401,F1401,I1401)</f>
        <v/>
      </c>
      <c r="B1401" s="7">
        <f>CONCATENATE(C1401,E1401,I1401)</f>
        <v/>
      </c>
      <c r="C1401" s="8" t="n">
        <v>900009585</v>
      </c>
      <c r="D1401" s="7">
        <f>IFERROR(VLOOKUP(C1401,TRAOPE!$G:$H,2,0),"")</f>
        <v/>
      </c>
      <c r="E1401" s="8" t="inlineStr">
        <is>
          <t>DW70</t>
        </is>
      </c>
      <c r="F1401" s="8" t="inlineStr">
        <is>
          <t>D093</t>
        </is>
      </c>
      <c r="G1401" s="8">
        <f>IFERROR(VLOOKUP(A1401,Flete!$A:$E,5,0),"")</f>
        <v/>
      </c>
      <c r="H1401" s="7">
        <f>IFERROR(VLOOKUP(F1401,TRAOPE!$AA:$AB,2,0),"")</f>
        <v/>
      </c>
      <c r="I1401" s="7" t="n">
        <v>10000811</v>
      </c>
      <c r="J1401" s="7">
        <f>IFERROR(VLOOKUP(I1401,Materiales!$A:$H,8,0),"")</f>
        <v/>
      </c>
      <c r="K1401" s="9">
        <f>IFERROR(VLOOKUP(I1401,Materiales!$A:$G,7,0),"")</f>
        <v/>
      </c>
      <c r="L1401" s="8" t="inlineStr">
        <is>
          <t>20260814</t>
        </is>
      </c>
      <c r="M1401" s="8" t="inlineStr">
        <is>
          <t>99991231</t>
        </is>
      </c>
      <c r="N1401" s="10" t="n">
        <v>155.49</v>
      </c>
      <c r="O1401" s="10">
        <f>IFERROR(VLOOKUP(A1401,Flete!$A:$J,10,0),"")</f>
        <v/>
      </c>
      <c r="P1401" s="8" t="inlineStr">
        <is>
          <t>TN</t>
        </is>
      </c>
      <c r="Q1401" s="10">
        <f>IFERROR(IFERROR(VLOOKUP(A1401,TRAOPE!$A:$U,21,0),VLOOKUP(B1401,TRAOPE!$A:$U,21,0)),"")</f>
        <v/>
      </c>
      <c r="R1401" s="8">
        <f>IFERROR(IFERROR(VLOOKUP(A1401,TRAOPE!$A:$W,23,0),VLOOKUP(B1401,TRAOPE!$A:$W,23,0)),"")</f>
        <v/>
      </c>
      <c r="S1401" s="10">
        <f>IF(AND(P1401="TN",R1401="TN"),N1401+N(O1401),IF(G1401&amp;""="1",N(K1401)*N1401,(N1401+N(O1401))*N(K1401)))</f>
        <v/>
      </c>
      <c r="T1401" s="10">
        <f>IF(Q1401="","",Q1401-S1401)</f>
        <v/>
      </c>
    </row>
    <row r="1402">
      <c r="A1402" s="7">
        <f>CONCATENATE(C1402,E1402,F1402,I1402)</f>
        <v/>
      </c>
      <c r="B1402" s="7">
        <f>CONCATENATE(C1402,E1402,I1402)</f>
        <v/>
      </c>
      <c r="C1402" s="8" t="n">
        <v>900009585</v>
      </c>
      <c r="D1402" s="7">
        <f>IFERROR(VLOOKUP(C1402,TRAOPE!$G:$H,2,0),"")</f>
        <v/>
      </c>
      <c r="E1402" s="8" t="inlineStr">
        <is>
          <t>DW70</t>
        </is>
      </c>
      <c r="F1402" s="8" t="inlineStr">
        <is>
          <t>D145</t>
        </is>
      </c>
      <c r="G1402" s="8">
        <f>IFERROR(VLOOKUP(A1402,Flete!$A:$E,5,0),"")</f>
        <v/>
      </c>
      <c r="H1402" s="7">
        <f>IFERROR(VLOOKUP(F1402,TRAOPE!$AA:$AB,2,0),"")</f>
        <v/>
      </c>
      <c r="I1402" s="7" t="n">
        <v>10000811</v>
      </c>
      <c r="J1402" s="7">
        <f>IFERROR(VLOOKUP(I1402,Materiales!$A:$H,8,0),"")</f>
        <v/>
      </c>
      <c r="K1402" s="9">
        <f>IFERROR(VLOOKUP(I1402,Materiales!$A:$G,7,0),"")</f>
        <v/>
      </c>
      <c r="L1402" s="8" t="inlineStr">
        <is>
          <t>20260814</t>
        </is>
      </c>
      <c r="M1402" s="8" t="inlineStr">
        <is>
          <t>99991231</t>
        </is>
      </c>
      <c r="N1402" s="10" t="n">
        <v>155.49</v>
      </c>
      <c r="O1402" s="10">
        <f>IFERROR(VLOOKUP(A1402,Flete!$A:$J,10,0),"")</f>
        <v/>
      </c>
      <c r="P1402" s="8" t="inlineStr">
        <is>
          <t>TN</t>
        </is>
      </c>
      <c r="Q1402" s="10">
        <f>IFERROR(IFERROR(VLOOKUP(A1402,TRAOPE!$A:$U,21,0),VLOOKUP(B1402,TRAOPE!$A:$U,21,0)),"")</f>
        <v/>
      </c>
      <c r="R1402" s="8">
        <f>IFERROR(IFERROR(VLOOKUP(A1402,TRAOPE!$A:$W,23,0),VLOOKUP(B1402,TRAOPE!$A:$W,23,0)),"")</f>
        <v/>
      </c>
      <c r="S1402" s="10">
        <f>IF(AND(P1402="TN",R1402="TN"),N1402+N(O1402),IF(G1402&amp;""="1",N(K1402)*N1402,(N1402+N(O1402))*N(K1402)))</f>
        <v/>
      </c>
      <c r="T1402" s="10">
        <f>IF(Q1402="","",Q1402-S1402)</f>
        <v/>
      </c>
    </row>
    <row r="1403">
      <c r="A1403" s="7">
        <f>CONCATENATE(C1403,E1403,F1403,I1403)</f>
        <v/>
      </c>
      <c r="B1403" s="7">
        <f>CONCATENATE(C1403,E1403,I1403)</f>
        <v/>
      </c>
      <c r="C1403" s="8" t="n">
        <v>900009585</v>
      </c>
      <c r="D1403" s="7">
        <f>IFERROR(VLOOKUP(C1403,TRAOPE!$G:$H,2,0),"")</f>
        <v/>
      </c>
      <c r="E1403" s="8" t="inlineStr">
        <is>
          <t>DW70</t>
        </is>
      </c>
      <c r="F1403" s="8" t="inlineStr">
        <is>
          <t>D681</t>
        </is>
      </c>
      <c r="G1403" s="8">
        <f>IFERROR(VLOOKUP(A1403,Flete!$A:$E,5,0),"")</f>
        <v/>
      </c>
      <c r="H1403" s="7">
        <f>IFERROR(VLOOKUP(F1403,TRAOPE!$AA:$AB,2,0),"")</f>
        <v/>
      </c>
      <c r="I1403" s="7" t="n">
        <v>10000811</v>
      </c>
      <c r="J1403" s="7">
        <f>IFERROR(VLOOKUP(I1403,Materiales!$A:$H,8,0),"")</f>
        <v/>
      </c>
      <c r="K1403" s="9">
        <f>IFERROR(VLOOKUP(I1403,Materiales!$A:$G,7,0),"")</f>
        <v/>
      </c>
      <c r="L1403" s="8" t="inlineStr">
        <is>
          <t>20260814</t>
        </is>
      </c>
      <c r="M1403" s="8" t="inlineStr">
        <is>
          <t>99991231</t>
        </is>
      </c>
      <c r="N1403" s="10" t="n">
        <v>155.49</v>
      </c>
      <c r="O1403" s="10">
        <f>IFERROR(VLOOKUP(A1403,Flete!$A:$J,10,0),"")</f>
        <v/>
      </c>
      <c r="P1403" s="8" t="inlineStr">
        <is>
          <t>TN</t>
        </is>
      </c>
      <c r="Q1403" s="10">
        <f>IFERROR(IFERROR(VLOOKUP(A1403,TRAOPE!$A:$U,21,0),VLOOKUP(B1403,TRAOPE!$A:$U,21,0)),"")</f>
        <v/>
      </c>
      <c r="R1403" s="8">
        <f>IFERROR(IFERROR(VLOOKUP(A1403,TRAOPE!$A:$W,23,0),VLOOKUP(B1403,TRAOPE!$A:$W,23,0)),"")</f>
        <v/>
      </c>
      <c r="S1403" s="10">
        <f>IF(AND(P1403="TN",R1403="TN"),N1403+N(O1403),IF(G1403&amp;""="1",N(K1403)*N1403,(N1403+N(O1403))*N(K1403)))</f>
        <v/>
      </c>
      <c r="T1403" s="10">
        <f>IF(Q1403="","",Q1403-S1403)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900000034</t>
        </is>
      </c>
      <c r="B2" t="inlineStr">
        <is>
          <t>DW70</t>
        </is>
      </c>
      <c r="C2" t="inlineStr">
        <is>
          <t>D074</t>
        </is>
      </c>
      <c r="D2" t="inlineStr">
        <is>
          <t>10000623</t>
        </is>
      </c>
      <c r="E2" t="inlineStr"/>
      <c r="F2" s="11" t="n">
        <v>100</v>
      </c>
      <c r="G2" t="inlineStr"/>
      <c r="I2" t="inlineStr">
        <is>
          <t>TN</t>
        </is>
      </c>
      <c r="J2" t="inlineStr"/>
      <c r="K2" t="inlineStr">
        <is>
          <t>20250701</t>
        </is>
      </c>
      <c r="L2" t="inlineStr">
        <is>
          <t>99991231</t>
        </is>
      </c>
    </row>
    <row r="3">
      <c r="A3" t="inlineStr">
        <is>
          <t>900000034</t>
        </is>
      </c>
      <c r="B3" t="inlineStr">
        <is>
          <t>DW70</t>
        </is>
      </c>
      <c r="C3" t="inlineStr">
        <is>
          <t>D074</t>
        </is>
      </c>
      <c r="D3" t="inlineStr">
        <is>
          <t>10000811</t>
        </is>
      </c>
      <c r="E3" t="inlineStr"/>
      <c r="F3" s="11" t="n">
        <v>100.01</v>
      </c>
      <c r="G3" t="inlineStr"/>
      <c r="I3" t="inlineStr">
        <is>
          <t>TN</t>
        </is>
      </c>
      <c r="J3" t="inlineStr"/>
      <c r="K3" t="inlineStr">
        <is>
          <t>20230501</t>
        </is>
      </c>
      <c r="L3" t="inlineStr">
        <is>
          <t>20250131</t>
        </is>
      </c>
    </row>
    <row r="4">
      <c r="A4" t="inlineStr">
        <is>
          <t>900000034</t>
        </is>
      </c>
      <c r="B4" t="inlineStr">
        <is>
          <t>DW70</t>
        </is>
      </c>
      <c r="C4" t="inlineStr">
        <is>
          <t>D075</t>
        </is>
      </c>
      <c r="D4" t="inlineStr">
        <is>
          <t>10000623</t>
        </is>
      </c>
      <c r="E4" t="inlineStr"/>
      <c r="F4" s="11" t="n">
        <v>100</v>
      </c>
      <c r="G4" t="inlineStr"/>
      <c r="I4" t="inlineStr">
        <is>
          <t>TN</t>
        </is>
      </c>
      <c r="J4" t="inlineStr"/>
      <c r="K4" t="inlineStr">
        <is>
          <t>20250701</t>
        </is>
      </c>
      <c r="L4" t="inlineStr">
        <is>
          <t>99991231</t>
        </is>
      </c>
    </row>
    <row r="5">
      <c r="A5" t="inlineStr">
        <is>
          <t>900000034</t>
        </is>
      </c>
      <c r="B5" t="inlineStr">
        <is>
          <t>DW70</t>
        </is>
      </c>
      <c r="C5" t="inlineStr">
        <is>
          <t>D075</t>
        </is>
      </c>
      <c r="D5" t="inlineStr">
        <is>
          <t>10000811</t>
        </is>
      </c>
      <c r="E5" t="inlineStr"/>
      <c r="F5" s="11" t="n">
        <v>100.01</v>
      </c>
      <c r="G5" t="inlineStr"/>
      <c r="I5" t="inlineStr">
        <is>
          <t>TN</t>
        </is>
      </c>
      <c r="J5" t="inlineStr"/>
      <c r="K5" t="inlineStr">
        <is>
          <t>20230501</t>
        </is>
      </c>
      <c r="L5" t="inlineStr">
        <is>
          <t>20250131</t>
        </is>
      </c>
    </row>
    <row r="6">
      <c r="A6" t="inlineStr">
        <is>
          <t>900000034</t>
        </is>
      </c>
      <c r="B6" t="inlineStr">
        <is>
          <t>DW70</t>
        </is>
      </c>
      <c r="C6" t="inlineStr">
        <is>
          <t>D077</t>
        </is>
      </c>
      <c r="D6" t="inlineStr">
        <is>
          <t>10000623</t>
        </is>
      </c>
      <c r="E6" t="inlineStr"/>
      <c r="F6" s="11" t="n">
        <v>100</v>
      </c>
      <c r="G6" t="inlineStr"/>
      <c r="I6" t="inlineStr">
        <is>
          <t>TN</t>
        </is>
      </c>
      <c r="J6" t="inlineStr"/>
      <c r="K6" t="inlineStr">
        <is>
          <t>20260508</t>
        </is>
      </c>
      <c r="L6" t="inlineStr">
        <is>
          <t>99991231</t>
        </is>
      </c>
    </row>
    <row r="7">
      <c r="A7" t="inlineStr">
        <is>
          <t>900000034</t>
        </is>
      </c>
      <c r="B7" t="inlineStr">
        <is>
          <t>DW70</t>
        </is>
      </c>
      <c r="C7" t="inlineStr">
        <is>
          <t>D077</t>
        </is>
      </c>
      <c r="D7" t="inlineStr">
        <is>
          <t>10000811</t>
        </is>
      </c>
      <c r="E7" t="inlineStr"/>
      <c r="F7" s="11" t="n">
        <v>100.01</v>
      </c>
      <c r="G7" t="inlineStr"/>
      <c r="I7" t="inlineStr">
        <is>
          <t>TN</t>
        </is>
      </c>
      <c r="J7" t="inlineStr"/>
      <c r="K7" t="inlineStr">
        <is>
          <t>20230501</t>
        </is>
      </c>
      <c r="L7" t="inlineStr">
        <is>
          <t>20250131</t>
        </is>
      </c>
    </row>
    <row r="8">
      <c r="A8" t="inlineStr">
        <is>
          <t>900000034</t>
        </is>
      </c>
      <c r="B8" t="inlineStr">
        <is>
          <t>DW70</t>
        </is>
      </c>
      <c r="C8" t="inlineStr">
        <is>
          <t>D079</t>
        </is>
      </c>
      <c r="D8" t="inlineStr">
        <is>
          <t>10000623</t>
        </is>
      </c>
      <c r="E8" t="inlineStr"/>
      <c r="F8" s="11" t="n">
        <v>100</v>
      </c>
      <c r="G8" t="inlineStr"/>
      <c r="I8" t="inlineStr">
        <is>
          <t>TN</t>
        </is>
      </c>
      <c r="J8" t="inlineStr"/>
      <c r="K8" t="inlineStr">
        <is>
          <t>20250701</t>
        </is>
      </c>
      <c r="L8" t="inlineStr">
        <is>
          <t>99991231</t>
        </is>
      </c>
    </row>
    <row r="9">
      <c r="A9" t="inlineStr">
        <is>
          <t>900000034</t>
        </is>
      </c>
      <c r="B9" t="inlineStr">
        <is>
          <t>DW70</t>
        </is>
      </c>
      <c r="C9" t="inlineStr">
        <is>
          <t>D079</t>
        </is>
      </c>
      <c r="D9" t="inlineStr">
        <is>
          <t>10000811</t>
        </is>
      </c>
      <c r="E9" t="inlineStr"/>
      <c r="F9" s="11" t="n">
        <v>100.01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900000034</t>
        </is>
      </c>
      <c r="B10" t="inlineStr">
        <is>
          <t>DW70</t>
        </is>
      </c>
      <c r="C10" t="inlineStr">
        <is>
          <t>D080</t>
        </is>
      </c>
      <c r="D10" t="inlineStr">
        <is>
          <t>10000623</t>
        </is>
      </c>
      <c r="E10" t="inlineStr"/>
      <c r="F10" s="11" t="n">
        <v>100</v>
      </c>
      <c r="G10" t="inlineStr"/>
      <c r="I10" t="inlineStr">
        <is>
          <t>TN</t>
        </is>
      </c>
      <c r="J10" t="inlineStr"/>
      <c r="K10" t="inlineStr">
        <is>
          <t>20250701</t>
        </is>
      </c>
      <c r="L10" t="inlineStr">
        <is>
          <t>99991231</t>
        </is>
      </c>
    </row>
    <row r="11">
      <c r="A11" t="inlineStr">
        <is>
          <t>900000034</t>
        </is>
      </c>
      <c r="B11" t="inlineStr">
        <is>
          <t>DW70</t>
        </is>
      </c>
      <c r="C11" t="inlineStr">
        <is>
          <t>D080</t>
        </is>
      </c>
      <c r="D11" t="inlineStr">
        <is>
          <t>10000811</t>
        </is>
      </c>
      <c r="E11" t="inlineStr"/>
      <c r="F11" s="11" t="n">
        <v>100.01</v>
      </c>
      <c r="G11" t="inlineStr"/>
      <c r="I11" t="inlineStr">
        <is>
          <t>TN</t>
        </is>
      </c>
      <c r="J11" t="inlineStr"/>
      <c r="K11" t="inlineStr">
        <is>
          <t>20230501</t>
        </is>
      </c>
      <c r="L11" t="inlineStr">
        <is>
          <t>20250131</t>
        </is>
      </c>
    </row>
    <row r="12">
      <c r="A12" t="inlineStr">
        <is>
          <t>900000034</t>
        </is>
      </c>
      <c r="B12" t="inlineStr">
        <is>
          <t>DW70</t>
        </is>
      </c>
      <c r="C12" t="inlineStr">
        <is>
          <t>D081</t>
        </is>
      </c>
      <c r="D12" t="inlineStr">
        <is>
          <t>10000623</t>
        </is>
      </c>
      <c r="E12" t="inlineStr"/>
      <c r="F12" s="11" t="n">
        <v>100</v>
      </c>
      <c r="G12" t="inlineStr"/>
      <c r="I12" t="inlineStr">
        <is>
          <t>TN</t>
        </is>
      </c>
      <c r="J12" t="inlineStr"/>
      <c r="K12" t="inlineStr">
        <is>
          <t>20250701</t>
        </is>
      </c>
      <c r="L12" t="inlineStr">
        <is>
          <t>99991231</t>
        </is>
      </c>
    </row>
    <row r="13">
      <c r="A13" t="inlineStr">
        <is>
          <t>900000034</t>
        </is>
      </c>
      <c r="B13" t="inlineStr">
        <is>
          <t>DW70</t>
        </is>
      </c>
      <c r="C13" t="inlineStr">
        <is>
          <t>D081</t>
        </is>
      </c>
      <c r="D13" t="inlineStr">
        <is>
          <t>10000811</t>
        </is>
      </c>
      <c r="E13" t="inlineStr"/>
      <c r="F13" s="11" t="n">
        <v>100.01</v>
      </c>
      <c r="G13" t="inlineStr"/>
      <c r="I13" t="inlineStr">
        <is>
          <t>TN</t>
        </is>
      </c>
      <c r="J13" t="inlineStr"/>
      <c r="K13" t="inlineStr">
        <is>
          <t>20230501</t>
        </is>
      </c>
      <c r="L13" t="inlineStr">
        <is>
          <t>20250131</t>
        </is>
      </c>
    </row>
    <row r="14">
      <c r="A14" t="inlineStr">
        <is>
          <t>900000034</t>
        </is>
      </c>
      <c r="B14" t="inlineStr">
        <is>
          <t>DW70</t>
        </is>
      </c>
      <c r="C14" t="inlineStr">
        <is>
          <t>D083</t>
        </is>
      </c>
      <c r="D14" t="inlineStr">
        <is>
          <t>10000623</t>
        </is>
      </c>
      <c r="E14" t="inlineStr"/>
      <c r="F14" s="11" t="n">
        <v>100</v>
      </c>
      <c r="G14" t="inlineStr"/>
      <c r="I14" t="inlineStr">
        <is>
          <t>TN</t>
        </is>
      </c>
      <c r="J14" t="inlineStr"/>
      <c r="K14" t="inlineStr">
        <is>
          <t>20250701</t>
        </is>
      </c>
      <c r="L14" t="inlineStr">
        <is>
          <t>99991231</t>
        </is>
      </c>
    </row>
    <row r="15">
      <c r="A15" t="inlineStr">
        <is>
          <t>900000034</t>
        </is>
      </c>
      <c r="B15" t="inlineStr">
        <is>
          <t>DW70</t>
        </is>
      </c>
      <c r="C15" t="inlineStr">
        <is>
          <t>D083</t>
        </is>
      </c>
      <c r="D15" t="inlineStr">
        <is>
          <t>10000811</t>
        </is>
      </c>
      <c r="E15" t="inlineStr"/>
      <c r="F15" s="11" t="n">
        <v>100.01</v>
      </c>
      <c r="G15" t="inlineStr"/>
      <c r="I15" t="inlineStr">
        <is>
          <t>TN</t>
        </is>
      </c>
      <c r="J15" t="inlineStr"/>
      <c r="K15" t="inlineStr">
        <is>
          <t>20230501</t>
        </is>
      </c>
      <c r="L15" t="inlineStr">
        <is>
          <t>20250131</t>
        </is>
      </c>
    </row>
    <row r="16">
      <c r="A16" t="inlineStr">
        <is>
          <t>900000034</t>
        </is>
      </c>
      <c r="B16" t="inlineStr">
        <is>
          <t>DW70</t>
        </is>
      </c>
      <c r="C16" t="inlineStr">
        <is>
          <t>D084</t>
        </is>
      </c>
      <c r="D16" t="inlineStr">
        <is>
          <t>10000623</t>
        </is>
      </c>
      <c r="E16" t="inlineStr"/>
      <c r="F16" s="11" t="n">
        <v>100</v>
      </c>
      <c r="G16" t="inlineStr"/>
      <c r="I16" t="inlineStr">
        <is>
          <t>TN</t>
        </is>
      </c>
      <c r="J16" t="inlineStr"/>
      <c r="K16" t="inlineStr">
        <is>
          <t>20250701</t>
        </is>
      </c>
      <c r="L16" t="inlineStr">
        <is>
          <t>99991231</t>
        </is>
      </c>
    </row>
    <row r="17">
      <c r="A17" t="inlineStr">
        <is>
          <t>900000034</t>
        </is>
      </c>
      <c r="B17" t="inlineStr">
        <is>
          <t>DW70</t>
        </is>
      </c>
      <c r="C17" t="inlineStr">
        <is>
          <t>D084</t>
        </is>
      </c>
      <c r="D17" t="inlineStr">
        <is>
          <t>10000811</t>
        </is>
      </c>
      <c r="E17" t="inlineStr"/>
      <c r="F17" s="11" t="n">
        <v>100.01</v>
      </c>
      <c r="G17" t="inlineStr"/>
      <c r="I17" t="inlineStr">
        <is>
          <t>TN</t>
        </is>
      </c>
      <c r="J17" t="inlineStr"/>
      <c r="K17" t="inlineStr">
        <is>
          <t>20230501</t>
        </is>
      </c>
      <c r="L17" t="inlineStr">
        <is>
          <t>20250131</t>
        </is>
      </c>
    </row>
    <row r="18">
      <c r="A18" t="inlineStr">
        <is>
          <t>900000034</t>
        </is>
      </c>
      <c r="B18" t="inlineStr">
        <is>
          <t>DW70</t>
        </is>
      </c>
      <c r="C18" t="inlineStr">
        <is>
          <t>D085</t>
        </is>
      </c>
      <c r="D18" t="inlineStr">
        <is>
          <t>10000623</t>
        </is>
      </c>
      <c r="E18" t="inlineStr"/>
      <c r="F18" s="11" t="n">
        <v>100</v>
      </c>
      <c r="G18" t="inlineStr"/>
      <c r="I18" t="inlineStr">
        <is>
          <t>TN</t>
        </is>
      </c>
      <c r="J18" t="inlineStr"/>
      <c r="K18" t="inlineStr">
        <is>
          <t>20250701</t>
        </is>
      </c>
      <c r="L18" t="inlineStr">
        <is>
          <t>99991231</t>
        </is>
      </c>
    </row>
    <row r="19">
      <c r="A19" t="inlineStr">
        <is>
          <t>900000034</t>
        </is>
      </c>
      <c r="B19" t="inlineStr">
        <is>
          <t>DW70</t>
        </is>
      </c>
      <c r="C19" t="inlineStr">
        <is>
          <t>D085</t>
        </is>
      </c>
      <c r="D19" t="inlineStr">
        <is>
          <t>10000811</t>
        </is>
      </c>
      <c r="E19" t="inlineStr"/>
      <c r="F19" s="11" t="n">
        <v>100.01</v>
      </c>
      <c r="G19" t="inlineStr"/>
      <c r="I19" t="inlineStr">
        <is>
          <t>TN</t>
        </is>
      </c>
      <c r="J19" t="inlineStr"/>
      <c r="K19" t="inlineStr">
        <is>
          <t>20230501</t>
        </is>
      </c>
      <c r="L19" t="inlineStr">
        <is>
          <t>20250131</t>
        </is>
      </c>
    </row>
    <row r="20">
      <c r="A20" t="inlineStr">
        <is>
          <t>900000034</t>
        </is>
      </c>
      <c r="B20" t="inlineStr">
        <is>
          <t>DW70</t>
        </is>
      </c>
      <c r="C20" t="inlineStr">
        <is>
          <t>D086</t>
        </is>
      </c>
      <c r="D20" t="inlineStr">
        <is>
          <t>10000623</t>
        </is>
      </c>
      <c r="E20" t="inlineStr"/>
      <c r="F20" s="11" t="n">
        <v>100</v>
      </c>
      <c r="G20" t="inlineStr"/>
      <c r="I20" t="inlineStr">
        <is>
          <t>TN</t>
        </is>
      </c>
      <c r="J20" t="inlineStr"/>
      <c r="K20" t="inlineStr">
        <is>
          <t>20260326</t>
        </is>
      </c>
      <c r="L20" t="inlineStr">
        <is>
          <t>99991231</t>
        </is>
      </c>
    </row>
    <row r="21">
      <c r="A21" t="inlineStr">
        <is>
          <t>900000034</t>
        </is>
      </c>
      <c r="B21" t="inlineStr">
        <is>
          <t>DW70</t>
        </is>
      </c>
      <c r="C21" t="inlineStr">
        <is>
          <t>D086</t>
        </is>
      </c>
      <c r="D21" t="inlineStr">
        <is>
          <t>10000811</t>
        </is>
      </c>
      <c r="E21" t="inlineStr"/>
      <c r="F21" s="11" t="n">
        <v>100.01</v>
      </c>
      <c r="G21" t="inlineStr"/>
      <c r="I21" t="inlineStr">
        <is>
          <t>TN</t>
        </is>
      </c>
      <c r="J21" t="inlineStr"/>
      <c r="K21" t="inlineStr">
        <is>
          <t>20230501</t>
        </is>
      </c>
      <c r="L21" t="inlineStr">
        <is>
          <t>20250131</t>
        </is>
      </c>
    </row>
    <row r="22">
      <c r="A22" t="inlineStr">
        <is>
          <t>900000034</t>
        </is>
      </c>
      <c r="B22" t="inlineStr">
        <is>
          <t>DW70</t>
        </is>
      </c>
      <c r="C22" t="inlineStr">
        <is>
          <t>D088</t>
        </is>
      </c>
      <c r="D22" t="inlineStr">
        <is>
          <t>10000623</t>
        </is>
      </c>
      <c r="E22" t="inlineStr"/>
      <c r="F22" s="11" t="n">
        <v>100</v>
      </c>
      <c r="G22" t="inlineStr"/>
      <c r="I22" t="inlineStr">
        <is>
          <t>TN</t>
        </is>
      </c>
      <c r="J22" t="inlineStr"/>
      <c r="K22" t="inlineStr">
        <is>
          <t>20250701</t>
        </is>
      </c>
      <c r="L22" t="inlineStr">
        <is>
          <t>20251031</t>
        </is>
      </c>
    </row>
    <row r="23">
      <c r="A23" t="inlineStr">
        <is>
          <t>900000034</t>
        </is>
      </c>
      <c r="B23" t="inlineStr">
        <is>
          <t>DW70</t>
        </is>
      </c>
      <c r="C23" t="inlineStr">
        <is>
          <t>D088</t>
        </is>
      </c>
      <c r="D23" t="inlineStr">
        <is>
          <t>10000811</t>
        </is>
      </c>
      <c r="E23" t="inlineStr"/>
      <c r="F23" s="11" t="n">
        <v>100.01</v>
      </c>
      <c r="G23" t="inlineStr"/>
      <c r="I23" t="inlineStr">
        <is>
          <t>TN</t>
        </is>
      </c>
      <c r="J23" t="inlineStr"/>
      <c r="K23" t="inlineStr">
        <is>
          <t>20230501</t>
        </is>
      </c>
      <c r="L23" t="inlineStr">
        <is>
          <t>20250131</t>
        </is>
      </c>
    </row>
    <row r="24">
      <c r="A24" t="inlineStr">
        <is>
          <t>900000034</t>
        </is>
      </c>
      <c r="B24" t="inlineStr">
        <is>
          <t>DW70</t>
        </is>
      </c>
      <c r="C24" t="inlineStr">
        <is>
          <t>D089</t>
        </is>
      </c>
      <c r="D24" t="inlineStr">
        <is>
          <t>10000811</t>
        </is>
      </c>
      <c r="E24" t="inlineStr"/>
      <c r="F24" s="11" t="n">
        <v>100.01</v>
      </c>
      <c r="G24" t="inlineStr"/>
      <c r="I24" t="inlineStr">
        <is>
          <t>TN</t>
        </is>
      </c>
      <c r="J24" t="inlineStr"/>
      <c r="K24" t="inlineStr">
        <is>
          <t>20230501</t>
        </is>
      </c>
      <c r="L24" t="inlineStr">
        <is>
          <t>20250131</t>
        </is>
      </c>
    </row>
    <row r="25">
      <c r="A25" t="inlineStr">
        <is>
          <t>900000034</t>
        </is>
      </c>
      <c r="B25" t="inlineStr">
        <is>
          <t>DW70</t>
        </is>
      </c>
      <c r="C25" t="inlineStr">
        <is>
          <t>D093</t>
        </is>
      </c>
      <c r="D25" t="inlineStr">
        <is>
          <t>10000623</t>
        </is>
      </c>
      <c r="E25" t="inlineStr"/>
      <c r="F25" s="11" t="n">
        <v>100</v>
      </c>
      <c r="G25" t="inlineStr"/>
      <c r="I25" t="inlineStr">
        <is>
          <t>TN</t>
        </is>
      </c>
      <c r="J25" t="inlineStr"/>
      <c r="K25" t="inlineStr">
        <is>
          <t>20250701</t>
        </is>
      </c>
      <c r="L25" t="inlineStr">
        <is>
          <t>99991231</t>
        </is>
      </c>
    </row>
    <row r="26">
      <c r="A26" t="inlineStr">
        <is>
          <t>900000034</t>
        </is>
      </c>
      <c r="B26" t="inlineStr">
        <is>
          <t>DW70</t>
        </is>
      </c>
      <c r="C26" t="inlineStr">
        <is>
          <t>D093</t>
        </is>
      </c>
      <c r="D26" t="inlineStr">
        <is>
          <t>10000811</t>
        </is>
      </c>
      <c r="E26" t="inlineStr"/>
      <c r="F26" s="11" t="n">
        <v>100.01</v>
      </c>
      <c r="G26" t="inlineStr"/>
      <c r="I26" t="inlineStr">
        <is>
          <t>TN</t>
        </is>
      </c>
      <c r="J26" t="inlineStr"/>
      <c r="K26" t="inlineStr">
        <is>
          <t>20230501</t>
        </is>
      </c>
      <c r="L26" t="inlineStr">
        <is>
          <t>20250131</t>
        </is>
      </c>
    </row>
    <row r="27">
      <c r="A27" t="inlineStr">
        <is>
          <t>900000034</t>
        </is>
      </c>
      <c r="B27" t="inlineStr">
        <is>
          <t>DW70</t>
        </is>
      </c>
      <c r="C27" t="inlineStr">
        <is>
          <t>D098</t>
        </is>
      </c>
      <c r="D27" t="inlineStr">
        <is>
          <t>10000623</t>
        </is>
      </c>
      <c r="E27" t="inlineStr"/>
      <c r="F27" s="11" t="n">
        <v>100</v>
      </c>
      <c r="G27" t="inlineStr"/>
      <c r="I27" t="inlineStr">
        <is>
          <t>TN</t>
        </is>
      </c>
      <c r="J27" t="inlineStr"/>
      <c r="K27" t="inlineStr">
        <is>
          <t>20250701</t>
        </is>
      </c>
      <c r="L27" t="inlineStr">
        <is>
          <t>99991231</t>
        </is>
      </c>
    </row>
    <row r="28">
      <c r="A28" t="inlineStr">
        <is>
          <t>900000034</t>
        </is>
      </c>
      <c r="B28" t="inlineStr">
        <is>
          <t>DW70</t>
        </is>
      </c>
      <c r="C28" t="inlineStr">
        <is>
          <t>D098</t>
        </is>
      </c>
      <c r="D28" t="inlineStr">
        <is>
          <t>10000811</t>
        </is>
      </c>
      <c r="E28" t="inlineStr"/>
      <c r="F28" s="11" t="n">
        <v>100.01</v>
      </c>
      <c r="G28" t="inlineStr"/>
      <c r="I28" t="inlineStr">
        <is>
          <t>TN</t>
        </is>
      </c>
      <c r="J28" t="inlineStr"/>
      <c r="K28" t="inlineStr">
        <is>
          <t>20230501</t>
        </is>
      </c>
      <c r="L28" t="inlineStr">
        <is>
          <t>20250131</t>
        </is>
      </c>
    </row>
    <row r="29">
      <c r="A29" t="inlineStr">
        <is>
          <t>900000034</t>
        </is>
      </c>
      <c r="B29" t="inlineStr">
        <is>
          <t>DW70</t>
        </is>
      </c>
      <c r="C29" t="inlineStr">
        <is>
          <t>D105</t>
        </is>
      </c>
      <c r="D29" t="inlineStr">
        <is>
          <t>10000623</t>
        </is>
      </c>
      <c r="E29" t="inlineStr"/>
      <c r="F29" s="11" t="n">
        <v>100</v>
      </c>
      <c r="G29" t="inlineStr"/>
      <c r="I29" t="inlineStr">
        <is>
          <t>TN</t>
        </is>
      </c>
      <c r="J29" t="inlineStr"/>
      <c r="K29" t="inlineStr">
        <is>
          <t>20250701</t>
        </is>
      </c>
      <c r="L29" t="inlineStr">
        <is>
          <t>20251031</t>
        </is>
      </c>
    </row>
    <row r="30">
      <c r="A30" t="inlineStr">
        <is>
          <t>900000034</t>
        </is>
      </c>
      <c r="B30" t="inlineStr">
        <is>
          <t>DW70</t>
        </is>
      </c>
      <c r="C30" t="inlineStr">
        <is>
          <t>D105</t>
        </is>
      </c>
      <c r="D30" t="inlineStr">
        <is>
          <t>10000811</t>
        </is>
      </c>
      <c r="E30" t="inlineStr"/>
      <c r="F30" s="11" t="n">
        <v>100.01</v>
      </c>
      <c r="G30" t="inlineStr"/>
      <c r="I30" t="inlineStr">
        <is>
          <t>TN</t>
        </is>
      </c>
      <c r="J30" t="inlineStr"/>
      <c r="K30" t="inlineStr">
        <is>
          <t>20230501</t>
        </is>
      </c>
      <c r="L30" t="inlineStr">
        <is>
          <t>20250131</t>
        </is>
      </c>
    </row>
    <row r="31">
      <c r="A31" t="inlineStr">
        <is>
          <t>900000034</t>
        </is>
      </c>
      <c r="B31" t="inlineStr">
        <is>
          <t>DW70</t>
        </is>
      </c>
      <c r="C31" t="inlineStr">
        <is>
          <t>D110</t>
        </is>
      </c>
      <c r="D31" t="inlineStr">
        <is>
          <t>10000811</t>
        </is>
      </c>
      <c r="E31" t="inlineStr"/>
      <c r="F31" s="11" t="n">
        <v>100.01</v>
      </c>
      <c r="G31" t="inlineStr"/>
      <c r="I31" t="inlineStr">
        <is>
          <t>TN</t>
        </is>
      </c>
      <c r="J31" t="inlineStr"/>
      <c r="K31" t="inlineStr">
        <is>
          <t>20230501</t>
        </is>
      </c>
      <c r="L31" t="inlineStr">
        <is>
          <t>20250131</t>
        </is>
      </c>
    </row>
    <row r="32">
      <c r="A32" t="inlineStr">
        <is>
          <t>900000034</t>
        </is>
      </c>
      <c r="B32" t="inlineStr">
        <is>
          <t>DW70</t>
        </is>
      </c>
      <c r="C32" t="inlineStr">
        <is>
          <t>D136</t>
        </is>
      </c>
      <c r="D32" t="inlineStr">
        <is>
          <t>10000623</t>
        </is>
      </c>
      <c r="E32" t="inlineStr"/>
      <c r="F32" s="11" t="n">
        <v>100</v>
      </c>
      <c r="G32" t="inlineStr"/>
      <c r="I32" t="inlineStr">
        <is>
          <t>TN</t>
        </is>
      </c>
      <c r="J32" t="inlineStr"/>
      <c r="K32" t="inlineStr">
        <is>
          <t>20250701</t>
        </is>
      </c>
      <c r="L32" t="inlineStr">
        <is>
          <t>99991231</t>
        </is>
      </c>
    </row>
    <row r="33">
      <c r="A33" t="inlineStr">
        <is>
          <t>900000034</t>
        </is>
      </c>
      <c r="B33" t="inlineStr">
        <is>
          <t>DW70</t>
        </is>
      </c>
      <c r="C33" t="inlineStr">
        <is>
          <t>D136</t>
        </is>
      </c>
      <c r="D33" t="inlineStr">
        <is>
          <t>10000811</t>
        </is>
      </c>
      <c r="E33" t="inlineStr"/>
      <c r="F33" s="11" t="n">
        <v>100.01</v>
      </c>
      <c r="G33" t="inlineStr"/>
      <c r="I33" t="inlineStr">
        <is>
          <t>TN</t>
        </is>
      </c>
      <c r="J33" t="inlineStr"/>
      <c r="K33" t="inlineStr">
        <is>
          <t>20230501</t>
        </is>
      </c>
      <c r="L33" t="inlineStr">
        <is>
          <t>20250131</t>
        </is>
      </c>
    </row>
    <row r="34">
      <c r="A34" t="inlineStr">
        <is>
          <t>900000034</t>
        </is>
      </c>
      <c r="B34" t="inlineStr">
        <is>
          <t>DW70</t>
        </is>
      </c>
      <c r="C34" t="inlineStr">
        <is>
          <t>D145</t>
        </is>
      </c>
      <c r="D34" t="inlineStr">
        <is>
          <t>10000623</t>
        </is>
      </c>
      <c r="E34" t="inlineStr"/>
      <c r="F34" s="11" t="n">
        <v>100</v>
      </c>
      <c r="G34" t="inlineStr"/>
      <c r="I34" t="inlineStr">
        <is>
          <t>TN</t>
        </is>
      </c>
      <c r="J34" t="inlineStr"/>
      <c r="K34" t="inlineStr">
        <is>
          <t>20250701</t>
        </is>
      </c>
      <c r="L34" t="inlineStr">
        <is>
          <t>99991231</t>
        </is>
      </c>
    </row>
    <row r="35">
      <c r="A35" t="inlineStr">
        <is>
          <t>900000034</t>
        </is>
      </c>
      <c r="B35" t="inlineStr">
        <is>
          <t>DW70</t>
        </is>
      </c>
      <c r="C35" t="inlineStr">
        <is>
          <t>D145</t>
        </is>
      </c>
      <c r="D35" t="inlineStr">
        <is>
          <t>10000811</t>
        </is>
      </c>
      <c r="E35" t="inlineStr"/>
      <c r="F35" s="11" t="n">
        <v>100.01</v>
      </c>
      <c r="G35" t="inlineStr"/>
      <c r="I35" t="inlineStr">
        <is>
          <t>TN</t>
        </is>
      </c>
      <c r="J35" t="inlineStr"/>
      <c r="K35" t="inlineStr">
        <is>
          <t>20230501</t>
        </is>
      </c>
      <c r="L35" t="inlineStr">
        <is>
          <t>20250131</t>
        </is>
      </c>
    </row>
    <row r="36">
      <c r="A36" t="inlineStr">
        <is>
          <t>900000034</t>
        </is>
      </c>
      <c r="B36" t="inlineStr">
        <is>
          <t>DW70</t>
        </is>
      </c>
      <c r="C36" t="inlineStr">
        <is>
          <t>D145</t>
        </is>
      </c>
      <c r="D36" t="inlineStr">
        <is>
          <t>10159432</t>
        </is>
      </c>
      <c r="E36" t="inlineStr"/>
      <c r="F36" s="11" t="n">
        <v>95.01000000000001</v>
      </c>
      <c r="G36" t="inlineStr"/>
      <c r="I36" t="inlineStr">
        <is>
          <t>TN</t>
        </is>
      </c>
      <c r="J36" t="inlineStr"/>
      <c r="K36" t="inlineStr">
        <is>
          <t>20230501</t>
        </is>
      </c>
      <c r="L36" t="inlineStr">
        <is>
          <t>20250131</t>
        </is>
      </c>
    </row>
    <row r="37">
      <c r="A37" t="inlineStr">
        <is>
          <t>900000080</t>
        </is>
      </c>
      <c r="B37" t="inlineStr">
        <is>
          <t>DW70</t>
        </is>
      </c>
      <c r="C37" t="inlineStr">
        <is>
          <t>D075</t>
        </is>
      </c>
      <c r="D37" t="inlineStr">
        <is>
          <t>10000625</t>
        </is>
      </c>
      <c r="E37" t="inlineStr"/>
      <c r="F37" s="11" t="n">
        <v>47.23</v>
      </c>
      <c r="G37" t="inlineStr"/>
      <c r="I37" t="inlineStr">
        <is>
          <t>TN</t>
        </is>
      </c>
      <c r="J37" t="inlineStr"/>
      <c r="K37" t="inlineStr">
        <is>
          <t>20230501</t>
        </is>
      </c>
      <c r="L37" t="inlineStr">
        <is>
          <t>20250131</t>
        </is>
      </c>
    </row>
    <row r="38">
      <c r="A38" t="inlineStr">
        <is>
          <t>900000080</t>
        </is>
      </c>
      <c r="B38" t="inlineStr">
        <is>
          <t>DW70</t>
        </is>
      </c>
      <c r="C38" t="inlineStr">
        <is>
          <t>D080</t>
        </is>
      </c>
      <c r="D38" t="inlineStr">
        <is>
          <t>10000625</t>
        </is>
      </c>
      <c r="E38" t="inlineStr"/>
      <c r="F38" s="11" t="n">
        <v>47.23</v>
      </c>
      <c r="G38" t="inlineStr"/>
      <c r="I38" t="inlineStr">
        <is>
          <t>TN</t>
        </is>
      </c>
      <c r="J38" t="inlineStr"/>
      <c r="K38" t="inlineStr">
        <is>
          <t>20230501</t>
        </is>
      </c>
      <c r="L38" t="inlineStr">
        <is>
          <t>20250131</t>
        </is>
      </c>
    </row>
    <row r="39">
      <c r="A39" t="inlineStr">
        <is>
          <t>900000080</t>
        </is>
      </c>
      <c r="B39" t="inlineStr">
        <is>
          <t>DW70</t>
        </is>
      </c>
      <c r="C39" t="inlineStr">
        <is>
          <t>D081</t>
        </is>
      </c>
      <c r="D39" t="inlineStr">
        <is>
          <t>10000625</t>
        </is>
      </c>
      <c r="E39" t="inlineStr"/>
      <c r="F39" s="11" t="n">
        <v>47.23</v>
      </c>
      <c r="G39" t="inlineStr"/>
      <c r="I39" t="inlineStr">
        <is>
          <t>TN</t>
        </is>
      </c>
      <c r="J39" t="inlineStr"/>
      <c r="K39" t="inlineStr">
        <is>
          <t>20230501</t>
        </is>
      </c>
      <c r="L39" t="inlineStr">
        <is>
          <t>20250131</t>
        </is>
      </c>
    </row>
    <row r="40">
      <c r="A40" t="inlineStr">
        <is>
          <t>900000080</t>
        </is>
      </c>
      <c r="B40" t="inlineStr">
        <is>
          <t>DW70</t>
        </is>
      </c>
      <c r="C40" t="inlineStr">
        <is>
          <t>D083</t>
        </is>
      </c>
      <c r="D40" t="inlineStr">
        <is>
          <t>10000625</t>
        </is>
      </c>
      <c r="E40" t="inlineStr"/>
      <c r="F40" s="11" t="n">
        <v>47.23</v>
      </c>
      <c r="G40" t="inlineStr"/>
      <c r="I40" t="inlineStr">
        <is>
          <t>TN</t>
        </is>
      </c>
      <c r="J40" t="inlineStr"/>
      <c r="K40" t="inlineStr">
        <is>
          <t>20230501</t>
        </is>
      </c>
      <c r="L40" t="inlineStr">
        <is>
          <t>20250131</t>
        </is>
      </c>
    </row>
    <row r="41">
      <c r="A41" t="inlineStr">
        <is>
          <t>900000080</t>
        </is>
      </c>
      <c r="B41" t="inlineStr">
        <is>
          <t>DW70</t>
        </is>
      </c>
      <c r="C41" t="inlineStr">
        <is>
          <t>D084</t>
        </is>
      </c>
      <c r="D41" t="inlineStr">
        <is>
          <t>10000651</t>
        </is>
      </c>
      <c r="E41" t="inlineStr"/>
      <c r="F41" s="11" t="n">
        <v>53.21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900000080</t>
        </is>
      </c>
      <c r="B42" t="inlineStr">
        <is>
          <t>DW70</t>
        </is>
      </c>
      <c r="C42" t="inlineStr">
        <is>
          <t>D085</t>
        </is>
      </c>
      <c r="D42" t="inlineStr">
        <is>
          <t>10000625</t>
        </is>
      </c>
      <c r="E42" t="inlineStr"/>
      <c r="F42" s="11" t="n">
        <v>47.23</v>
      </c>
      <c r="G42" t="inlineStr"/>
      <c r="I42" t="inlineStr">
        <is>
          <t>TN</t>
        </is>
      </c>
      <c r="J42" t="inlineStr"/>
      <c r="K42" t="inlineStr">
        <is>
          <t>20230501</t>
        </is>
      </c>
      <c r="L42" t="inlineStr">
        <is>
          <t>20250131</t>
        </is>
      </c>
    </row>
    <row r="43">
      <c r="A43" t="inlineStr">
        <is>
          <t>900000080</t>
        </is>
      </c>
      <c r="B43" t="inlineStr">
        <is>
          <t>DW70</t>
        </is>
      </c>
      <c r="C43" t="inlineStr">
        <is>
          <t>D086</t>
        </is>
      </c>
      <c r="D43" t="inlineStr">
        <is>
          <t>10000625</t>
        </is>
      </c>
      <c r="E43" t="inlineStr"/>
      <c r="F43" s="11" t="n">
        <v>47.23</v>
      </c>
      <c r="G43" t="inlineStr"/>
      <c r="I43" t="inlineStr">
        <is>
          <t>TN</t>
        </is>
      </c>
      <c r="J43" t="inlineStr"/>
      <c r="K43" t="inlineStr">
        <is>
          <t>20230501</t>
        </is>
      </c>
      <c r="L43" t="inlineStr">
        <is>
          <t>20250131</t>
        </is>
      </c>
    </row>
    <row r="44">
      <c r="A44" t="inlineStr">
        <is>
          <t>900000080</t>
        </is>
      </c>
      <c r="B44" t="inlineStr">
        <is>
          <t>DW70</t>
        </is>
      </c>
      <c r="C44" t="inlineStr">
        <is>
          <t>D088</t>
        </is>
      </c>
      <c r="D44" t="inlineStr">
        <is>
          <t>10000651</t>
        </is>
      </c>
      <c r="E44" t="inlineStr"/>
      <c r="F44" s="11" t="n">
        <v>53.21</v>
      </c>
      <c r="G44" t="inlineStr"/>
      <c r="I44" t="inlineStr">
        <is>
          <t>TN</t>
        </is>
      </c>
      <c r="J44" t="inlineStr"/>
      <c r="K44" t="inlineStr">
        <is>
          <t>20230501</t>
        </is>
      </c>
      <c r="L44" t="inlineStr">
        <is>
          <t>20250131</t>
        </is>
      </c>
    </row>
    <row r="45">
      <c r="A45" t="inlineStr">
        <is>
          <t>900000080</t>
        </is>
      </c>
      <c r="B45" t="inlineStr">
        <is>
          <t>DW70</t>
        </is>
      </c>
      <c r="C45" t="inlineStr">
        <is>
          <t>D089</t>
        </is>
      </c>
      <c r="D45" t="inlineStr">
        <is>
          <t>10000625</t>
        </is>
      </c>
      <c r="E45" t="inlineStr"/>
      <c r="F45" s="11" t="n">
        <v>47.23</v>
      </c>
      <c r="G45" t="inlineStr"/>
      <c r="I45" t="inlineStr">
        <is>
          <t>TN</t>
        </is>
      </c>
      <c r="J45" t="inlineStr"/>
      <c r="K45" t="inlineStr">
        <is>
          <t>20230501</t>
        </is>
      </c>
      <c r="L45" t="inlineStr">
        <is>
          <t>20250131</t>
        </is>
      </c>
    </row>
    <row r="46">
      <c r="A46" t="inlineStr">
        <is>
          <t>900000080</t>
        </is>
      </c>
      <c r="B46" t="inlineStr">
        <is>
          <t>DW70</t>
        </is>
      </c>
      <c r="C46" t="inlineStr">
        <is>
          <t>D093</t>
        </is>
      </c>
      <c r="D46" t="inlineStr">
        <is>
          <t>10000625</t>
        </is>
      </c>
      <c r="E46" t="inlineStr"/>
      <c r="F46" s="11" t="n">
        <v>47.23</v>
      </c>
      <c r="G46" t="inlineStr"/>
      <c r="I46" t="inlineStr">
        <is>
          <t>TN</t>
        </is>
      </c>
      <c r="J46" t="inlineStr"/>
      <c r="K46" t="inlineStr">
        <is>
          <t>20230501</t>
        </is>
      </c>
      <c r="L46" t="inlineStr">
        <is>
          <t>20250131</t>
        </is>
      </c>
    </row>
    <row r="47">
      <c r="A47" t="inlineStr">
        <is>
          <t>900000080</t>
        </is>
      </c>
      <c r="B47" t="inlineStr">
        <is>
          <t>DW70</t>
        </is>
      </c>
      <c r="C47" t="inlineStr">
        <is>
          <t>D093</t>
        </is>
      </c>
      <c r="D47" t="inlineStr">
        <is>
          <t>10000651</t>
        </is>
      </c>
      <c r="E47" t="inlineStr"/>
      <c r="F47" s="11" t="n">
        <v>53.21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99991231</t>
        </is>
      </c>
    </row>
    <row r="48">
      <c r="A48" t="inlineStr">
        <is>
          <t>900000080</t>
        </is>
      </c>
      <c r="B48" t="inlineStr">
        <is>
          <t>DW70</t>
        </is>
      </c>
      <c r="C48" t="inlineStr">
        <is>
          <t>D098</t>
        </is>
      </c>
      <c r="D48" t="inlineStr">
        <is>
          <t>10000625</t>
        </is>
      </c>
      <c r="E48" t="inlineStr"/>
      <c r="F48" s="11" t="n">
        <v>47.23</v>
      </c>
      <c r="G48" t="inlineStr"/>
      <c r="I48" t="inlineStr">
        <is>
          <t>TN</t>
        </is>
      </c>
      <c r="J48" t="inlineStr"/>
      <c r="K48" t="inlineStr">
        <is>
          <t>20230501</t>
        </is>
      </c>
      <c r="L48" t="inlineStr">
        <is>
          <t>20250131</t>
        </is>
      </c>
    </row>
    <row r="49">
      <c r="A49" t="inlineStr">
        <is>
          <t>900000080</t>
        </is>
      </c>
      <c r="B49" t="inlineStr">
        <is>
          <t>DW70</t>
        </is>
      </c>
      <c r="C49" t="inlineStr">
        <is>
          <t>D105</t>
        </is>
      </c>
      <c r="D49" t="inlineStr">
        <is>
          <t>10000625</t>
        </is>
      </c>
      <c r="E49" t="inlineStr"/>
      <c r="F49" s="11" t="n">
        <v>47.23</v>
      </c>
      <c r="G49" t="inlineStr"/>
      <c r="I49" t="inlineStr">
        <is>
          <t>TN</t>
        </is>
      </c>
      <c r="J49" t="inlineStr"/>
      <c r="K49" t="inlineStr">
        <is>
          <t>20230501</t>
        </is>
      </c>
      <c r="L49" t="inlineStr">
        <is>
          <t>20250131</t>
        </is>
      </c>
    </row>
    <row r="50">
      <c r="A50" t="inlineStr">
        <is>
          <t>900000080</t>
        </is>
      </c>
      <c r="B50" t="inlineStr">
        <is>
          <t>DW70</t>
        </is>
      </c>
      <c r="C50" t="inlineStr">
        <is>
          <t>D136</t>
        </is>
      </c>
      <c r="D50" t="inlineStr">
        <is>
          <t>10000625</t>
        </is>
      </c>
      <c r="E50" t="inlineStr"/>
      <c r="F50" s="11" t="n">
        <v>47.23</v>
      </c>
      <c r="G50" t="inlineStr"/>
      <c r="I50" t="inlineStr">
        <is>
          <t>TN</t>
        </is>
      </c>
      <c r="J50" t="inlineStr"/>
      <c r="K50" t="inlineStr">
        <is>
          <t>20230501</t>
        </is>
      </c>
      <c r="L50" t="inlineStr">
        <is>
          <t>20250131</t>
        </is>
      </c>
    </row>
    <row r="51">
      <c r="A51" t="inlineStr">
        <is>
          <t>900000080</t>
        </is>
      </c>
      <c r="B51" t="inlineStr">
        <is>
          <t>DW70</t>
        </is>
      </c>
      <c r="C51" t="inlineStr">
        <is>
          <t>D136</t>
        </is>
      </c>
      <c r="D51" t="inlineStr">
        <is>
          <t>10000651</t>
        </is>
      </c>
      <c r="E51" t="inlineStr"/>
      <c r="F51" s="11" t="n">
        <v>53.21</v>
      </c>
      <c r="G51" t="inlineStr"/>
      <c r="I51" t="inlineStr">
        <is>
          <t>TN</t>
        </is>
      </c>
      <c r="J51" t="inlineStr"/>
      <c r="K51" t="inlineStr">
        <is>
          <t>20250227</t>
        </is>
      </c>
      <c r="L51" t="inlineStr">
        <is>
          <t>99991231</t>
        </is>
      </c>
    </row>
    <row r="52">
      <c r="A52" t="inlineStr">
        <is>
          <t>900000080</t>
        </is>
      </c>
      <c r="B52" t="inlineStr">
        <is>
          <t>DW70</t>
        </is>
      </c>
      <c r="C52" t="inlineStr">
        <is>
          <t>D145</t>
        </is>
      </c>
      <c r="D52" t="inlineStr">
        <is>
          <t>10000625</t>
        </is>
      </c>
      <c r="E52" t="inlineStr"/>
      <c r="F52" s="11" t="n">
        <v>47.23</v>
      </c>
      <c r="G52" t="inlineStr"/>
      <c r="I52" t="inlineStr">
        <is>
          <t>TN</t>
        </is>
      </c>
      <c r="J52" t="inlineStr"/>
      <c r="K52" t="inlineStr">
        <is>
          <t>20230501</t>
        </is>
      </c>
      <c r="L52" t="inlineStr">
        <is>
          <t>20250131</t>
        </is>
      </c>
    </row>
    <row r="53">
      <c r="A53" t="inlineStr">
        <is>
          <t>900000080</t>
        </is>
      </c>
      <c r="B53" t="inlineStr">
        <is>
          <t>DW70</t>
        </is>
      </c>
      <c r="C53" t="inlineStr">
        <is>
          <t>D145</t>
        </is>
      </c>
      <c r="D53" t="inlineStr">
        <is>
          <t>10000651</t>
        </is>
      </c>
      <c r="E53" t="inlineStr"/>
      <c r="F53" s="11" t="n">
        <v>53.21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99991231</t>
        </is>
      </c>
    </row>
    <row r="54">
      <c r="A54" t="inlineStr">
        <is>
          <t>900000137</t>
        </is>
      </c>
      <c r="B54" t="inlineStr">
        <is>
          <t>DW70</t>
        </is>
      </c>
      <c r="C54" t="inlineStr">
        <is>
          <t>D074</t>
        </is>
      </c>
      <c r="D54" t="inlineStr">
        <is>
          <t>10000624</t>
        </is>
      </c>
      <c r="E54" t="inlineStr"/>
      <c r="F54" s="11" t="n">
        <v>110.01</v>
      </c>
      <c r="G54" t="inlineStr"/>
      <c r="I54" t="inlineStr">
        <is>
          <t>TN</t>
        </is>
      </c>
      <c r="J54" t="inlineStr"/>
      <c r="K54" t="inlineStr">
        <is>
          <t>20260408</t>
        </is>
      </c>
      <c r="L54" t="inlineStr">
        <is>
          <t>99991231</t>
        </is>
      </c>
    </row>
    <row r="55">
      <c r="A55" t="inlineStr">
        <is>
          <t>900000137</t>
        </is>
      </c>
      <c r="B55" t="inlineStr">
        <is>
          <t>DW70</t>
        </is>
      </c>
      <c r="C55" t="inlineStr">
        <is>
          <t>D074</t>
        </is>
      </c>
      <c r="D55" t="inlineStr">
        <is>
          <t>10000630</t>
        </is>
      </c>
      <c r="E55" t="inlineStr"/>
      <c r="F55" s="11" t="n">
        <v>108.39</v>
      </c>
      <c r="G55" t="inlineStr"/>
      <c r="I55" t="inlineStr">
        <is>
          <t>TN</t>
        </is>
      </c>
      <c r="J55" t="inlineStr"/>
      <c r="K55" t="inlineStr">
        <is>
          <t>20260408</t>
        </is>
      </c>
      <c r="L55" t="inlineStr">
        <is>
          <t>99991231</t>
        </is>
      </c>
    </row>
    <row r="56">
      <c r="A56" t="inlineStr">
        <is>
          <t>900000137</t>
        </is>
      </c>
      <c r="B56" t="inlineStr">
        <is>
          <t>DW70</t>
        </is>
      </c>
      <c r="C56" t="inlineStr">
        <is>
          <t>D074</t>
        </is>
      </c>
      <c r="D56" t="inlineStr">
        <is>
          <t>10000811</t>
        </is>
      </c>
      <c r="E56" t="inlineStr"/>
      <c r="F56" s="11" t="n">
        <v>115.12</v>
      </c>
      <c r="G56" t="inlineStr"/>
      <c r="I56" t="inlineStr">
        <is>
          <t>TN</t>
        </is>
      </c>
      <c r="J56" t="inlineStr"/>
      <c r="K56" t="inlineStr">
        <is>
          <t>20260201</t>
        </is>
      </c>
      <c r="L56" t="inlineStr">
        <is>
          <t>99991231</t>
        </is>
      </c>
    </row>
    <row r="57">
      <c r="A57" t="inlineStr">
        <is>
          <t>900000137</t>
        </is>
      </c>
      <c r="B57" t="inlineStr">
        <is>
          <t>DW70</t>
        </is>
      </c>
      <c r="C57" t="inlineStr">
        <is>
          <t>D074</t>
        </is>
      </c>
      <c r="D57" t="inlineStr">
        <is>
          <t>10058345</t>
        </is>
      </c>
      <c r="E57" t="inlineStr"/>
      <c r="F57" s="11" t="n">
        <v>85.70999999999999</v>
      </c>
      <c r="G57" t="inlineStr"/>
      <c r="I57" t="inlineStr">
        <is>
          <t>TN</t>
        </is>
      </c>
      <c r="J57" t="inlineStr"/>
      <c r="K57" t="inlineStr">
        <is>
          <t>20260408</t>
        </is>
      </c>
      <c r="L57" t="inlineStr">
        <is>
          <t>99991231</t>
        </is>
      </c>
    </row>
    <row r="58">
      <c r="A58" t="inlineStr">
        <is>
          <t>900000137</t>
        </is>
      </c>
      <c r="B58" t="inlineStr">
        <is>
          <t>DW70</t>
        </is>
      </c>
      <c r="C58" t="inlineStr">
        <is>
          <t>D075</t>
        </is>
      </c>
      <c r="D58" t="inlineStr">
        <is>
          <t>10000624</t>
        </is>
      </c>
      <c r="E58" t="inlineStr"/>
      <c r="F58" s="11" t="n">
        <v>110.01</v>
      </c>
      <c r="G58" t="inlineStr"/>
      <c r="I58" t="inlineStr">
        <is>
          <t>TN</t>
        </is>
      </c>
      <c r="J58" t="inlineStr"/>
      <c r="K58" t="inlineStr">
        <is>
          <t>20260408</t>
        </is>
      </c>
      <c r="L58" t="inlineStr">
        <is>
          <t>99991231</t>
        </is>
      </c>
    </row>
    <row r="59">
      <c r="A59" t="inlineStr">
        <is>
          <t>900000137</t>
        </is>
      </c>
      <c r="B59" t="inlineStr">
        <is>
          <t>DW70</t>
        </is>
      </c>
      <c r="C59" t="inlineStr">
        <is>
          <t>D075</t>
        </is>
      </c>
      <c r="D59" t="inlineStr">
        <is>
          <t>10000630</t>
        </is>
      </c>
      <c r="E59" t="inlineStr"/>
      <c r="F59" s="11" t="n">
        <v>108.39</v>
      </c>
      <c r="G59" t="inlineStr"/>
      <c r="I59" t="inlineStr">
        <is>
          <t>TN</t>
        </is>
      </c>
      <c r="J59" t="inlineStr"/>
      <c r="K59" t="inlineStr">
        <is>
          <t>20260408</t>
        </is>
      </c>
      <c r="L59" t="inlineStr">
        <is>
          <t>99991231</t>
        </is>
      </c>
    </row>
    <row r="60">
      <c r="A60" t="inlineStr">
        <is>
          <t>900000137</t>
        </is>
      </c>
      <c r="B60" t="inlineStr">
        <is>
          <t>DW70</t>
        </is>
      </c>
      <c r="C60" t="inlineStr">
        <is>
          <t>D075</t>
        </is>
      </c>
      <c r="D60" t="inlineStr">
        <is>
          <t>10000811</t>
        </is>
      </c>
      <c r="E60" t="inlineStr"/>
      <c r="F60" s="11" t="n">
        <v>115.12</v>
      </c>
      <c r="G60" t="inlineStr"/>
      <c r="I60" t="inlineStr">
        <is>
          <t>TN</t>
        </is>
      </c>
      <c r="J60" t="inlineStr"/>
      <c r="K60" t="inlineStr">
        <is>
          <t>20260408</t>
        </is>
      </c>
      <c r="L60" t="inlineStr">
        <is>
          <t>99991231</t>
        </is>
      </c>
    </row>
    <row r="61">
      <c r="A61" t="inlineStr">
        <is>
          <t>900000137</t>
        </is>
      </c>
      <c r="B61" t="inlineStr">
        <is>
          <t>DW70</t>
        </is>
      </c>
      <c r="C61" t="inlineStr">
        <is>
          <t>D075</t>
        </is>
      </c>
      <c r="D61" t="inlineStr">
        <is>
          <t>10058345</t>
        </is>
      </c>
      <c r="E61" t="inlineStr"/>
      <c r="F61" s="11" t="n">
        <v>85.70999999999999</v>
      </c>
      <c r="G61" t="inlineStr"/>
      <c r="I61" t="inlineStr">
        <is>
          <t>TN</t>
        </is>
      </c>
      <c r="J61" t="inlineStr"/>
      <c r="K61" t="inlineStr">
        <is>
          <t>20260408</t>
        </is>
      </c>
      <c r="L61" t="inlineStr">
        <is>
          <t>99991231</t>
        </is>
      </c>
    </row>
    <row r="62">
      <c r="A62" t="inlineStr">
        <is>
          <t>900000137</t>
        </is>
      </c>
      <c r="B62" t="inlineStr">
        <is>
          <t>DW70</t>
        </is>
      </c>
      <c r="C62" t="inlineStr">
        <is>
          <t>D077</t>
        </is>
      </c>
      <c r="D62" t="inlineStr">
        <is>
          <t>10000624</t>
        </is>
      </c>
      <c r="E62" t="inlineStr"/>
      <c r="F62" s="11" t="n">
        <v>110.01</v>
      </c>
      <c r="G62" t="inlineStr"/>
      <c r="I62" t="inlineStr">
        <is>
          <t>TN</t>
        </is>
      </c>
      <c r="J62" t="inlineStr"/>
      <c r="K62" t="inlineStr">
        <is>
          <t>20260408</t>
        </is>
      </c>
      <c r="L62" t="inlineStr">
        <is>
          <t>99991231</t>
        </is>
      </c>
    </row>
    <row r="63">
      <c r="A63" t="inlineStr">
        <is>
          <t>900000137</t>
        </is>
      </c>
      <c r="B63" t="inlineStr">
        <is>
          <t>DW70</t>
        </is>
      </c>
      <c r="C63" t="inlineStr">
        <is>
          <t>D077</t>
        </is>
      </c>
      <c r="D63" t="inlineStr">
        <is>
          <t>10000630</t>
        </is>
      </c>
      <c r="E63" t="inlineStr"/>
      <c r="F63" s="11" t="n">
        <v>108.39</v>
      </c>
      <c r="G63" t="inlineStr"/>
      <c r="I63" t="inlineStr">
        <is>
          <t>TN</t>
        </is>
      </c>
      <c r="J63" t="inlineStr"/>
      <c r="K63" t="inlineStr">
        <is>
          <t>20260408</t>
        </is>
      </c>
      <c r="L63" t="inlineStr">
        <is>
          <t>99991231</t>
        </is>
      </c>
    </row>
    <row r="64">
      <c r="A64" t="inlineStr">
        <is>
          <t>900000137</t>
        </is>
      </c>
      <c r="B64" t="inlineStr">
        <is>
          <t>DW70</t>
        </is>
      </c>
      <c r="C64" t="inlineStr">
        <is>
          <t>D077</t>
        </is>
      </c>
      <c r="D64" t="inlineStr">
        <is>
          <t>10000811</t>
        </is>
      </c>
      <c r="E64" t="inlineStr"/>
      <c r="F64" s="11" t="n">
        <v>115.12</v>
      </c>
      <c r="G64" t="inlineStr"/>
      <c r="I64" t="inlineStr">
        <is>
          <t>TN</t>
        </is>
      </c>
      <c r="J64" t="inlineStr"/>
      <c r="K64" t="inlineStr">
        <is>
          <t>20260201</t>
        </is>
      </c>
      <c r="L64" t="inlineStr">
        <is>
          <t>99991231</t>
        </is>
      </c>
    </row>
    <row r="65">
      <c r="A65" t="inlineStr">
        <is>
          <t>900000137</t>
        </is>
      </c>
      <c r="B65" t="inlineStr">
        <is>
          <t>DW70</t>
        </is>
      </c>
      <c r="C65" t="inlineStr">
        <is>
          <t>D077</t>
        </is>
      </c>
      <c r="D65" t="inlineStr">
        <is>
          <t>10058345</t>
        </is>
      </c>
      <c r="E65" t="inlineStr"/>
      <c r="F65" s="11" t="n">
        <v>85.70999999999999</v>
      </c>
      <c r="G65" t="inlineStr"/>
      <c r="I65" t="inlineStr">
        <is>
          <t>TN</t>
        </is>
      </c>
      <c r="J65" t="inlineStr"/>
      <c r="K65" t="inlineStr">
        <is>
          <t>20260201</t>
        </is>
      </c>
      <c r="L65" t="inlineStr">
        <is>
          <t>99991231</t>
        </is>
      </c>
    </row>
    <row r="66">
      <c r="A66" t="inlineStr">
        <is>
          <t>900000137</t>
        </is>
      </c>
      <c r="B66" t="inlineStr">
        <is>
          <t>DW70</t>
        </is>
      </c>
      <c r="C66" t="inlineStr">
        <is>
          <t>D079</t>
        </is>
      </c>
      <c r="D66" t="inlineStr">
        <is>
          <t>10000624</t>
        </is>
      </c>
      <c r="E66" t="inlineStr"/>
      <c r="F66" s="11" t="n">
        <v>110.01</v>
      </c>
      <c r="G66" t="inlineStr"/>
      <c r="I66" t="inlineStr">
        <is>
          <t>TN</t>
        </is>
      </c>
      <c r="J66" t="inlineStr"/>
      <c r="K66" t="inlineStr">
        <is>
          <t>20260408</t>
        </is>
      </c>
      <c r="L66" t="inlineStr">
        <is>
          <t>99991231</t>
        </is>
      </c>
    </row>
    <row r="67">
      <c r="A67" t="inlineStr">
        <is>
          <t>900000137</t>
        </is>
      </c>
      <c r="B67" t="inlineStr">
        <is>
          <t>DW70</t>
        </is>
      </c>
      <c r="C67" t="inlineStr">
        <is>
          <t>D079</t>
        </is>
      </c>
      <c r="D67" t="inlineStr">
        <is>
          <t>10000630</t>
        </is>
      </c>
      <c r="E67" t="inlineStr"/>
      <c r="F67" s="11" t="n">
        <v>108.39</v>
      </c>
      <c r="G67" t="inlineStr"/>
      <c r="I67" t="inlineStr">
        <is>
          <t>TN</t>
        </is>
      </c>
      <c r="J67" t="inlineStr"/>
      <c r="K67" t="inlineStr">
        <is>
          <t>20260408</t>
        </is>
      </c>
      <c r="L67" t="inlineStr">
        <is>
          <t>99991231</t>
        </is>
      </c>
    </row>
    <row r="68">
      <c r="A68" t="inlineStr">
        <is>
          <t>900000137</t>
        </is>
      </c>
      <c r="B68" t="inlineStr">
        <is>
          <t>DW70</t>
        </is>
      </c>
      <c r="C68" t="inlineStr">
        <is>
          <t>D079</t>
        </is>
      </c>
      <c r="D68" t="inlineStr">
        <is>
          <t>10000811</t>
        </is>
      </c>
      <c r="E68" t="inlineStr"/>
      <c r="F68" s="11" t="n">
        <v>115.12</v>
      </c>
      <c r="G68" t="inlineStr"/>
      <c r="I68" t="inlineStr">
        <is>
          <t>TN</t>
        </is>
      </c>
      <c r="J68" t="inlineStr"/>
      <c r="K68" t="inlineStr">
        <is>
          <t>20260201</t>
        </is>
      </c>
      <c r="L68" t="inlineStr">
        <is>
          <t>99991231</t>
        </is>
      </c>
    </row>
    <row r="69">
      <c r="A69" t="inlineStr">
        <is>
          <t>900000137</t>
        </is>
      </c>
      <c r="B69" t="inlineStr">
        <is>
          <t>DW70</t>
        </is>
      </c>
      <c r="C69" t="inlineStr">
        <is>
          <t>D079</t>
        </is>
      </c>
      <c r="D69" t="inlineStr">
        <is>
          <t>10058345</t>
        </is>
      </c>
      <c r="E69" t="inlineStr"/>
      <c r="F69" s="11" t="n">
        <v>85.70999999999999</v>
      </c>
      <c r="G69" t="inlineStr"/>
      <c r="I69" t="inlineStr">
        <is>
          <t>TN</t>
        </is>
      </c>
      <c r="J69" t="inlineStr"/>
      <c r="K69" t="inlineStr">
        <is>
          <t>20260201</t>
        </is>
      </c>
      <c r="L69" t="inlineStr">
        <is>
          <t>99991231</t>
        </is>
      </c>
    </row>
    <row r="70">
      <c r="A70" t="inlineStr">
        <is>
          <t>900000137</t>
        </is>
      </c>
      <c r="B70" t="inlineStr">
        <is>
          <t>DW70</t>
        </is>
      </c>
      <c r="C70" t="inlineStr">
        <is>
          <t>D080</t>
        </is>
      </c>
      <c r="D70" t="inlineStr">
        <is>
          <t>10000624</t>
        </is>
      </c>
      <c r="E70" t="inlineStr"/>
      <c r="F70" s="11" t="n">
        <v>110.01</v>
      </c>
      <c r="G70" t="inlineStr"/>
      <c r="I70" t="inlineStr">
        <is>
          <t>TN</t>
        </is>
      </c>
      <c r="J70" t="inlineStr"/>
      <c r="K70" t="inlineStr">
        <is>
          <t>20260408</t>
        </is>
      </c>
      <c r="L70" t="inlineStr">
        <is>
          <t>99991231</t>
        </is>
      </c>
    </row>
    <row r="71">
      <c r="A71" t="inlineStr">
        <is>
          <t>900000137</t>
        </is>
      </c>
      <c r="B71" t="inlineStr">
        <is>
          <t>DW70</t>
        </is>
      </c>
      <c r="C71" t="inlineStr">
        <is>
          <t>D080</t>
        </is>
      </c>
      <c r="D71" t="inlineStr">
        <is>
          <t>10000630</t>
        </is>
      </c>
      <c r="E71" t="inlineStr"/>
      <c r="F71" s="11" t="n">
        <v>108.39</v>
      </c>
      <c r="G71" t="inlineStr"/>
      <c r="I71" t="inlineStr">
        <is>
          <t>TN</t>
        </is>
      </c>
      <c r="J71" t="inlineStr"/>
      <c r="K71" t="inlineStr">
        <is>
          <t>20260408</t>
        </is>
      </c>
      <c r="L71" t="inlineStr">
        <is>
          <t>99991231</t>
        </is>
      </c>
    </row>
    <row r="72">
      <c r="A72" t="inlineStr">
        <is>
          <t>900000137</t>
        </is>
      </c>
      <c r="B72" t="inlineStr">
        <is>
          <t>DW70</t>
        </is>
      </c>
      <c r="C72" t="inlineStr">
        <is>
          <t>D080</t>
        </is>
      </c>
      <c r="D72" t="inlineStr">
        <is>
          <t>10000811</t>
        </is>
      </c>
      <c r="E72" t="inlineStr"/>
      <c r="F72" s="11" t="n">
        <v>115.12</v>
      </c>
      <c r="G72" t="inlineStr"/>
      <c r="I72" t="inlineStr">
        <is>
          <t>TN</t>
        </is>
      </c>
      <c r="J72" t="inlineStr"/>
      <c r="K72" t="inlineStr">
        <is>
          <t>20260408</t>
        </is>
      </c>
      <c r="L72" t="inlineStr">
        <is>
          <t>99991231</t>
        </is>
      </c>
    </row>
    <row r="73">
      <c r="A73" t="inlineStr">
        <is>
          <t>900000137</t>
        </is>
      </c>
      <c r="B73" t="inlineStr">
        <is>
          <t>DW70</t>
        </is>
      </c>
      <c r="C73" t="inlineStr">
        <is>
          <t>D080</t>
        </is>
      </c>
      <c r="D73" t="inlineStr">
        <is>
          <t>10058345</t>
        </is>
      </c>
      <c r="E73" t="inlineStr"/>
      <c r="F73" s="11" t="n">
        <v>85.70999999999999</v>
      </c>
      <c r="G73" t="inlineStr"/>
      <c r="I73" t="inlineStr">
        <is>
          <t>TN</t>
        </is>
      </c>
      <c r="J73" t="inlineStr"/>
      <c r="K73" t="inlineStr">
        <is>
          <t>20260408</t>
        </is>
      </c>
      <c r="L73" t="inlineStr">
        <is>
          <t>99991231</t>
        </is>
      </c>
    </row>
    <row r="74">
      <c r="A74" t="inlineStr">
        <is>
          <t>900000137</t>
        </is>
      </c>
      <c r="B74" t="inlineStr">
        <is>
          <t>DW70</t>
        </is>
      </c>
      <c r="C74" t="inlineStr">
        <is>
          <t>D081</t>
        </is>
      </c>
      <c r="D74" t="inlineStr">
        <is>
          <t>10000624</t>
        </is>
      </c>
      <c r="E74" t="inlineStr"/>
      <c r="F74" s="11" t="n">
        <v>110.01</v>
      </c>
      <c r="G74" t="inlineStr"/>
      <c r="I74" t="inlineStr">
        <is>
          <t>TN</t>
        </is>
      </c>
      <c r="J74" t="inlineStr"/>
      <c r="K74" t="inlineStr">
        <is>
          <t>20260201</t>
        </is>
      </c>
      <c r="L74" t="inlineStr">
        <is>
          <t>99991231</t>
        </is>
      </c>
    </row>
    <row r="75">
      <c r="A75" t="inlineStr">
        <is>
          <t>900000137</t>
        </is>
      </c>
      <c r="B75" t="inlineStr">
        <is>
          <t>DW70</t>
        </is>
      </c>
      <c r="C75" t="inlineStr">
        <is>
          <t>D081</t>
        </is>
      </c>
      <c r="D75" t="inlineStr">
        <is>
          <t>10000630</t>
        </is>
      </c>
      <c r="E75" t="inlineStr"/>
      <c r="F75" s="11" t="n">
        <v>108.39</v>
      </c>
      <c r="G75" t="inlineStr"/>
      <c r="I75" t="inlineStr">
        <is>
          <t>TN</t>
        </is>
      </c>
      <c r="J75" t="inlineStr"/>
      <c r="K75" t="inlineStr">
        <is>
          <t>20260201</t>
        </is>
      </c>
      <c r="L75" t="inlineStr">
        <is>
          <t>99991231</t>
        </is>
      </c>
    </row>
    <row r="76">
      <c r="A76" t="inlineStr">
        <is>
          <t>900000137</t>
        </is>
      </c>
      <c r="B76" t="inlineStr">
        <is>
          <t>DW70</t>
        </is>
      </c>
      <c r="C76" t="inlineStr">
        <is>
          <t>D081</t>
        </is>
      </c>
      <c r="D76" t="inlineStr">
        <is>
          <t>10000811</t>
        </is>
      </c>
      <c r="E76" t="inlineStr"/>
      <c r="F76" s="11" t="n">
        <v>115.12</v>
      </c>
      <c r="G76" t="inlineStr"/>
      <c r="I76" t="inlineStr">
        <is>
          <t>TN</t>
        </is>
      </c>
      <c r="J76" t="inlineStr"/>
      <c r="K76" t="inlineStr">
        <is>
          <t>20260408</t>
        </is>
      </c>
      <c r="L76" t="inlineStr">
        <is>
          <t>99991231</t>
        </is>
      </c>
    </row>
    <row r="77">
      <c r="A77" t="inlineStr">
        <is>
          <t>900000137</t>
        </is>
      </c>
      <c r="B77" t="inlineStr">
        <is>
          <t>DW70</t>
        </is>
      </c>
      <c r="C77" t="inlineStr">
        <is>
          <t>D081</t>
        </is>
      </c>
      <c r="D77" t="inlineStr">
        <is>
          <t>10058345</t>
        </is>
      </c>
      <c r="E77" t="inlineStr"/>
      <c r="F77" s="11" t="n">
        <v>85.70999999999999</v>
      </c>
      <c r="G77" t="inlineStr"/>
      <c r="I77" t="inlineStr">
        <is>
          <t>TN</t>
        </is>
      </c>
      <c r="J77" t="inlineStr"/>
      <c r="K77" t="inlineStr">
        <is>
          <t>20260408</t>
        </is>
      </c>
      <c r="L77" t="inlineStr">
        <is>
          <t>99991231</t>
        </is>
      </c>
    </row>
    <row r="78">
      <c r="A78" t="inlineStr">
        <is>
          <t>900000137</t>
        </is>
      </c>
      <c r="B78" t="inlineStr">
        <is>
          <t>DW70</t>
        </is>
      </c>
      <c r="C78" t="inlineStr">
        <is>
          <t>D083</t>
        </is>
      </c>
      <c r="D78" t="inlineStr">
        <is>
          <t>10000624</t>
        </is>
      </c>
      <c r="E78" t="inlineStr"/>
      <c r="F78" s="11" t="n">
        <v>110.01</v>
      </c>
      <c r="G78" t="inlineStr"/>
      <c r="I78" t="inlineStr">
        <is>
          <t>TN</t>
        </is>
      </c>
      <c r="J78" t="inlineStr"/>
      <c r="K78" t="inlineStr">
        <is>
          <t>20260408</t>
        </is>
      </c>
      <c r="L78" t="inlineStr">
        <is>
          <t>99991231</t>
        </is>
      </c>
    </row>
    <row r="79">
      <c r="A79" t="inlineStr">
        <is>
          <t>900000137</t>
        </is>
      </c>
      <c r="B79" t="inlineStr">
        <is>
          <t>DW70</t>
        </is>
      </c>
      <c r="C79" t="inlineStr">
        <is>
          <t>D083</t>
        </is>
      </c>
      <c r="D79" t="inlineStr">
        <is>
          <t>10000630</t>
        </is>
      </c>
      <c r="E79" t="inlineStr"/>
      <c r="F79" s="11" t="n">
        <v>108.39</v>
      </c>
      <c r="G79" t="inlineStr"/>
      <c r="I79" t="inlineStr">
        <is>
          <t>TN</t>
        </is>
      </c>
      <c r="J79" t="inlineStr"/>
      <c r="K79" t="inlineStr">
        <is>
          <t>20260201</t>
        </is>
      </c>
      <c r="L79" t="inlineStr">
        <is>
          <t>99991231</t>
        </is>
      </c>
    </row>
    <row r="80">
      <c r="A80" t="inlineStr">
        <is>
          <t>900000137</t>
        </is>
      </c>
      <c r="B80" t="inlineStr">
        <is>
          <t>DW70</t>
        </is>
      </c>
      <c r="C80" t="inlineStr">
        <is>
          <t>D083</t>
        </is>
      </c>
      <c r="D80" t="inlineStr">
        <is>
          <t>10000811</t>
        </is>
      </c>
      <c r="E80" t="inlineStr"/>
      <c r="F80" s="11" t="n">
        <v>115.12</v>
      </c>
      <c r="G80" t="inlineStr"/>
      <c r="I80" t="inlineStr">
        <is>
          <t>TN</t>
        </is>
      </c>
      <c r="J80" t="inlineStr"/>
      <c r="K80" t="inlineStr">
        <is>
          <t>20260201</t>
        </is>
      </c>
      <c r="L80" t="inlineStr">
        <is>
          <t>99991231</t>
        </is>
      </c>
    </row>
    <row r="81">
      <c r="A81" t="inlineStr">
        <is>
          <t>900000137</t>
        </is>
      </c>
      <c r="B81" t="inlineStr">
        <is>
          <t>DW70</t>
        </is>
      </c>
      <c r="C81" t="inlineStr">
        <is>
          <t>D083</t>
        </is>
      </c>
      <c r="D81" t="inlineStr">
        <is>
          <t>10058345</t>
        </is>
      </c>
      <c r="E81" t="inlineStr"/>
      <c r="F81" s="11" t="n">
        <v>85.70999999999999</v>
      </c>
      <c r="G81" t="inlineStr"/>
      <c r="I81" t="inlineStr">
        <is>
          <t>TN</t>
        </is>
      </c>
      <c r="J81" t="inlineStr"/>
      <c r="K81" t="inlineStr">
        <is>
          <t>20260408</t>
        </is>
      </c>
      <c r="L81" t="inlineStr">
        <is>
          <t>99991231</t>
        </is>
      </c>
    </row>
    <row r="82">
      <c r="A82" t="inlineStr">
        <is>
          <t>900000137</t>
        </is>
      </c>
      <c r="B82" t="inlineStr">
        <is>
          <t>DW70</t>
        </is>
      </c>
      <c r="C82" t="inlineStr">
        <is>
          <t>D084</t>
        </is>
      </c>
      <c r="D82" t="inlineStr">
        <is>
          <t>10000624</t>
        </is>
      </c>
      <c r="E82" t="inlineStr"/>
      <c r="F82" s="11" t="n">
        <v>110.01</v>
      </c>
      <c r="G82" t="inlineStr"/>
      <c r="I82" t="inlineStr">
        <is>
          <t>TN</t>
        </is>
      </c>
      <c r="J82" t="inlineStr"/>
      <c r="K82" t="inlineStr">
        <is>
          <t>20260408</t>
        </is>
      </c>
      <c r="L82" t="inlineStr">
        <is>
          <t>99991231</t>
        </is>
      </c>
    </row>
    <row r="83">
      <c r="A83" t="inlineStr">
        <is>
          <t>900000137</t>
        </is>
      </c>
      <c r="B83" t="inlineStr">
        <is>
          <t>DW70</t>
        </is>
      </c>
      <c r="C83" t="inlineStr">
        <is>
          <t>D084</t>
        </is>
      </c>
      <c r="D83" t="inlineStr">
        <is>
          <t>10000630</t>
        </is>
      </c>
      <c r="E83" t="inlineStr"/>
      <c r="F83" s="11" t="n">
        <v>108.39</v>
      </c>
      <c r="G83" t="inlineStr"/>
      <c r="I83" t="inlineStr">
        <is>
          <t>TN</t>
        </is>
      </c>
      <c r="J83" t="inlineStr"/>
      <c r="K83" t="inlineStr">
        <is>
          <t>20260408</t>
        </is>
      </c>
      <c r="L83" t="inlineStr">
        <is>
          <t>99991231</t>
        </is>
      </c>
    </row>
    <row r="84">
      <c r="A84" t="inlineStr">
        <is>
          <t>900000137</t>
        </is>
      </c>
      <c r="B84" t="inlineStr">
        <is>
          <t>DW70</t>
        </is>
      </c>
      <c r="C84" t="inlineStr">
        <is>
          <t>D084</t>
        </is>
      </c>
      <c r="D84" t="inlineStr">
        <is>
          <t>10000811</t>
        </is>
      </c>
      <c r="E84" t="inlineStr"/>
      <c r="F84" s="11" t="n">
        <v>115.12</v>
      </c>
      <c r="G84" t="inlineStr"/>
      <c r="I84" t="inlineStr">
        <is>
          <t>TN</t>
        </is>
      </c>
      <c r="J84" t="inlineStr"/>
      <c r="K84" t="inlineStr">
        <is>
          <t>20260201</t>
        </is>
      </c>
      <c r="L84" t="inlineStr">
        <is>
          <t>99991231</t>
        </is>
      </c>
    </row>
    <row r="85">
      <c r="A85" t="inlineStr">
        <is>
          <t>900000137</t>
        </is>
      </c>
      <c r="B85" t="inlineStr">
        <is>
          <t>DW70</t>
        </is>
      </c>
      <c r="C85" t="inlineStr">
        <is>
          <t>D084</t>
        </is>
      </c>
      <c r="D85" t="inlineStr">
        <is>
          <t>10058345</t>
        </is>
      </c>
      <c r="E85" t="inlineStr"/>
      <c r="F85" s="11" t="n">
        <v>85.70999999999999</v>
      </c>
      <c r="G85" t="inlineStr"/>
      <c r="I85" t="inlineStr">
        <is>
          <t>TN</t>
        </is>
      </c>
      <c r="J85" t="inlineStr"/>
      <c r="K85" t="inlineStr">
        <is>
          <t>20260201</t>
        </is>
      </c>
      <c r="L85" t="inlineStr">
        <is>
          <t>99991231</t>
        </is>
      </c>
    </row>
    <row r="86">
      <c r="A86" t="inlineStr">
        <is>
          <t>900000137</t>
        </is>
      </c>
      <c r="B86" t="inlineStr">
        <is>
          <t>DW70</t>
        </is>
      </c>
      <c r="C86" t="inlineStr">
        <is>
          <t>D085</t>
        </is>
      </c>
      <c r="D86" t="inlineStr">
        <is>
          <t>10000624</t>
        </is>
      </c>
      <c r="E86" t="inlineStr"/>
      <c r="F86" s="11" t="n">
        <v>110.01</v>
      </c>
      <c r="G86" t="inlineStr"/>
      <c r="I86" t="inlineStr">
        <is>
          <t>TN</t>
        </is>
      </c>
      <c r="J86" t="inlineStr"/>
      <c r="K86" t="inlineStr">
        <is>
          <t>20260408</t>
        </is>
      </c>
      <c r="L86" t="inlineStr">
        <is>
          <t>99991231</t>
        </is>
      </c>
    </row>
    <row r="87">
      <c r="A87" t="inlineStr">
        <is>
          <t>900000137</t>
        </is>
      </c>
      <c r="B87" t="inlineStr">
        <is>
          <t>DW70</t>
        </is>
      </c>
      <c r="C87" t="inlineStr">
        <is>
          <t>D085</t>
        </is>
      </c>
      <c r="D87" t="inlineStr">
        <is>
          <t>10000630</t>
        </is>
      </c>
      <c r="E87" t="inlineStr"/>
      <c r="F87" s="11" t="n">
        <v>108.39</v>
      </c>
      <c r="G87" t="inlineStr"/>
      <c r="I87" t="inlineStr">
        <is>
          <t>TN</t>
        </is>
      </c>
      <c r="J87" t="inlineStr"/>
      <c r="K87" t="inlineStr">
        <is>
          <t>20260408</t>
        </is>
      </c>
      <c r="L87" t="inlineStr">
        <is>
          <t>99991231</t>
        </is>
      </c>
    </row>
    <row r="88">
      <c r="A88" t="inlineStr">
        <is>
          <t>900000137</t>
        </is>
      </c>
      <c r="B88" t="inlineStr">
        <is>
          <t>DW70</t>
        </is>
      </c>
      <c r="C88" t="inlineStr">
        <is>
          <t>D085</t>
        </is>
      </c>
      <c r="D88" t="inlineStr">
        <is>
          <t>10000811</t>
        </is>
      </c>
      <c r="E88" t="inlineStr"/>
      <c r="F88" s="11" t="n">
        <v>115.12</v>
      </c>
      <c r="G88" t="inlineStr"/>
      <c r="I88" t="inlineStr">
        <is>
          <t>TN</t>
        </is>
      </c>
      <c r="J88" t="inlineStr"/>
      <c r="K88" t="inlineStr">
        <is>
          <t>20260201</t>
        </is>
      </c>
      <c r="L88" t="inlineStr">
        <is>
          <t>99991231</t>
        </is>
      </c>
    </row>
    <row r="89">
      <c r="A89" t="inlineStr">
        <is>
          <t>900000137</t>
        </is>
      </c>
      <c r="B89" t="inlineStr">
        <is>
          <t>DW70</t>
        </is>
      </c>
      <c r="C89" t="inlineStr">
        <is>
          <t>D085</t>
        </is>
      </c>
      <c r="D89" t="inlineStr">
        <is>
          <t>10058345</t>
        </is>
      </c>
      <c r="E89" t="inlineStr"/>
      <c r="F89" s="11" t="n">
        <v>85.70999999999999</v>
      </c>
      <c r="G89" t="inlineStr"/>
      <c r="I89" t="inlineStr">
        <is>
          <t>TN</t>
        </is>
      </c>
      <c r="J89" t="inlineStr"/>
      <c r="K89" t="inlineStr">
        <is>
          <t>20260201</t>
        </is>
      </c>
      <c r="L89" t="inlineStr">
        <is>
          <t>99991231</t>
        </is>
      </c>
    </row>
    <row r="90">
      <c r="A90" t="inlineStr">
        <is>
          <t>900000137</t>
        </is>
      </c>
      <c r="B90" t="inlineStr">
        <is>
          <t>DW70</t>
        </is>
      </c>
      <c r="C90" t="inlineStr">
        <is>
          <t>D086</t>
        </is>
      </c>
      <c r="D90" t="inlineStr">
        <is>
          <t>10000624</t>
        </is>
      </c>
      <c r="E90" t="inlineStr"/>
      <c r="F90" s="11" t="n">
        <v>110.01</v>
      </c>
      <c r="G90" t="inlineStr"/>
      <c r="I90" t="inlineStr">
        <is>
          <t>TN</t>
        </is>
      </c>
      <c r="J90" t="inlineStr"/>
      <c r="K90" t="inlineStr">
        <is>
          <t>20260408</t>
        </is>
      </c>
      <c r="L90" t="inlineStr">
        <is>
          <t>99991231</t>
        </is>
      </c>
    </row>
    <row r="91">
      <c r="A91" t="inlineStr">
        <is>
          <t>900000137</t>
        </is>
      </c>
      <c r="B91" t="inlineStr">
        <is>
          <t>DW70</t>
        </is>
      </c>
      <c r="C91" t="inlineStr">
        <is>
          <t>D086</t>
        </is>
      </c>
      <c r="D91" t="inlineStr">
        <is>
          <t>10000630</t>
        </is>
      </c>
      <c r="E91" t="inlineStr"/>
      <c r="F91" s="11" t="n">
        <v>108.39</v>
      </c>
      <c r="G91" t="inlineStr"/>
      <c r="I91" t="inlineStr">
        <is>
          <t>TN</t>
        </is>
      </c>
      <c r="J91" t="inlineStr"/>
      <c r="K91" t="inlineStr">
        <is>
          <t>20260408</t>
        </is>
      </c>
      <c r="L91" t="inlineStr">
        <is>
          <t>99991231</t>
        </is>
      </c>
    </row>
    <row r="92">
      <c r="A92" t="inlineStr">
        <is>
          <t>900000137</t>
        </is>
      </c>
      <c r="B92" t="inlineStr">
        <is>
          <t>DW70</t>
        </is>
      </c>
      <c r="C92" t="inlineStr">
        <is>
          <t>D086</t>
        </is>
      </c>
      <c r="D92" t="inlineStr">
        <is>
          <t>10000811</t>
        </is>
      </c>
      <c r="E92" t="inlineStr"/>
      <c r="F92" s="11" t="n">
        <v>115.12</v>
      </c>
      <c r="G92" t="inlineStr"/>
      <c r="I92" t="inlineStr">
        <is>
          <t>TN</t>
        </is>
      </c>
      <c r="J92" t="inlineStr"/>
      <c r="K92" t="inlineStr">
        <is>
          <t>20260201</t>
        </is>
      </c>
      <c r="L92" t="inlineStr">
        <is>
          <t>99991231</t>
        </is>
      </c>
    </row>
    <row r="93">
      <c r="A93" t="inlineStr">
        <is>
          <t>900000137</t>
        </is>
      </c>
      <c r="B93" t="inlineStr">
        <is>
          <t>DW70</t>
        </is>
      </c>
      <c r="C93" t="inlineStr">
        <is>
          <t>D086</t>
        </is>
      </c>
      <c r="D93" t="inlineStr">
        <is>
          <t>10058345</t>
        </is>
      </c>
      <c r="E93" t="inlineStr"/>
      <c r="F93" s="11" t="n">
        <v>85.70999999999999</v>
      </c>
      <c r="G93" t="inlineStr"/>
      <c r="I93" t="inlineStr">
        <is>
          <t>TN</t>
        </is>
      </c>
      <c r="J93" t="inlineStr"/>
      <c r="K93" t="inlineStr">
        <is>
          <t>20260201</t>
        </is>
      </c>
      <c r="L93" t="inlineStr">
        <is>
          <t>99991231</t>
        </is>
      </c>
    </row>
    <row r="94">
      <c r="A94" t="inlineStr">
        <is>
          <t>900000137</t>
        </is>
      </c>
      <c r="B94" t="inlineStr">
        <is>
          <t>DW70</t>
        </is>
      </c>
      <c r="C94" t="inlineStr">
        <is>
          <t>D088</t>
        </is>
      </c>
      <c r="D94" t="inlineStr">
        <is>
          <t>10000624</t>
        </is>
      </c>
      <c r="E94" t="inlineStr"/>
      <c r="F94" s="11" t="n">
        <v>101.86</v>
      </c>
      <c r="G94" t="inlineStr"/>
      <c r="I94" t="inlineStr">
        <is>
          <t>TN</t>
        </is>
      </c>
      <c r="J94" t="inlineStr"/>
      <c r="K94" t="inlineStr">
        <is>
          <t>20230501</t>
        </is>
      </c>
      <c r="L94" t="inlineStr">
        <is>
          <t>20250131</t>
        </is>
      </c>
    </row>
    <row r="95">
      <c r="A95" t="inlineStr">
        <is>
          <t>900000137</t>
        </is>
      </c>
      <c r="B95" t="inlineStr">
        <is>
          <t>DW70</t>
        </is>
      </c>
      <c r="C95" t="inlineStr">
        <is>
          <t>D088</t>
        </is>
      </c>
      <c r="D95" t="inlineStr">
        <is>
          <t>10000811</t>
        </is>
      </c>
      <c r="E95" t="inlineStr"/>
      <c r="F95" s="11" t="n">
        <v>106.59</v>
      </c>
      <c r="G95" t="inlineStr"/>
      <c r="I95" t="inlineStr">
        <is>
          <t>TN</t>
        </is>
      </c>
      <c r="J95" t="inlineStr"/>
      <c r="K95" t="inlineStr">
        <is>
          <t>20230501</t>
        </is>
      </c>
      <c r="L95" t="inlineStr">
        <is>
          <t>20250131</t>
        </is>
      </c>
    </row>
    <row r="96">
      <c r="A96" t="inlineStr">
        <is>
          <t>900000137</t>
        </is>
      </c>
      <c r="B96" t="inlineStr">
        <is>
          <t>DW70</t>
        </is>
      </c>
      <c r="C96" t="inlineStr">
        <is>
          <t>D088</t>
        </is>
      </c>
      <c r="D96" t="inlineStr">
        <is>
          <t>10058345</t>
        </is>
      </c>
      <c r="E96" t="inlineStr"/>
      <c r="F96" s="11" t="n">
        <v>86.51000000000001</v>
      </c>
      <c r="G96" t="inlineStr"/>
      <c r="I96" t="inlineStr">
        <is>
          <t>TN</t>
        </is>
      </c>
      <c r="J96" t="inlineStr"/>
      <c r="K96" t="inlineStr">
        <is>
          <t>20230501</t>
        </is>
      </c>
      <c r="L96" t="inlineStr">
        <is>
          <t>20250131</t>
        </is>
      </c>
    </row>
    <row r="97">
      <c r="A97" t="inlineStr">
        <is>
          <t>900000137</t>
        </is>
      </c>
      <c r="B97" t="inlineStr">
        <is>
          <t>DW70</t>
        </is>
      </c>
      <c r="C97" t="inlineStr">
        <is>
          <t>D089</t>
        </is>
      </c>
      <c r="D97" t="inlineStr">
        <is>
          <t>10000624</t>
        </is>
      </c>
      <c r="E97" t="inlineStr"/>
      <c r="F97" s="11" t="n">
        <v>101.86</v>
      </c>
      <c r="G97" t="inlineStr"/>
      <c r="I97" t="inlineStr">
        <is>
          <t>TN</t>
        </is>
      </c>
      <c r="J97" t="inlineStr"/>
      <c r="K97" t="inlineStr">
        <is>
          <t>20230501</t>
        </is>
      </c>
      <c r="L97" t="inlineStr">
        <is>
          <t>20250131</t>
        </is>
      </c>
    </row>
    <row r="98">
      <c r="A98" t="inlineStr">
        <is>
          <t>900000137</t>
        </is>
      </c>
      <c r="B98" t="inlineStr">
        <is>
          <t>DW70</t>
        </is>
      </c>
      <c r="C98" t="inlineStr">
        <is>
          <t>D089</t>
        </is>
      </c>
      <c r="D98" t="inlineStr">
        <is>
          <t>10000811</t>
        </is>
      </c>
      <c r="E98" t="inlineStr"/>
      <c r="F98" s="11" t="n">
        <v>106.59</v>
      </c>
      <c r="G98" t="inlineStr"/>
      <c r="I98" t="inlineStr">
        <is>
          <t>TN</t>
        </is>
      </c>
      <c r="J98" t="inlineStr"/>
      <c r="K98" t="inlineStr">
        <is>
          <t>20230501</t>
        </is>
      </c>
      <c r="L98" t="inlineStr">
        <is>
          <t>20250131</t>
        </is>
      </c>
    </row>
    <row r="99">
      <c r="A99" t="inlineStr">
        <is>
          <t>900000137</t>
        </is>
      </c>
      <c r="B99" t="inlineStr">
        <is>
          <t>DW70</t>
        </is>
      </c>
      <c r="C99" t="inlineStr">
        <is>
          <t>D089</t>
        </is>
      </c>
      <c r="D99" t="inlineStr">
        <is>
          <t>10058345</t>
        </is>
      </c>
      <c r="E99" t="inlineStr"/>
      <c r="F99" s="11" t="n">
        <v>86.51000000000001</v>
      </c>
      <c r="G99" t="inlineStr"/>
      <c r="I99" t="inlineStr">
        <is>
          <t>TN</t>
        </is>
      </c>
      <c r="J99" t="inlineStr"/>
      <c r="K99" t="inlineStr">
        <is>
          <t>20230501</t>
        </is>
      </c>
      <c r="L99" t="inlineStr">
        <is>
          <t>20250131</t>
        </is>
      </c>
    </row>
    <row r="100">
      <c r="A100" t="inlineStr">
        <is>
          <t>900000137</t>
        </is>
      </c>
      <c r="B100" t="inlineStr">
        <is>
          <t>DW70</t>
        </is>
      </c>
      <c r="C100" t="inlineStr">
        <is>
          <t>D093</t>
        </is>
      </c>
      <c r="D100" t="inlineStr">
        <is>
          <t>10000624</t>
        </is>
      </c>
      <c r="E100" t="inlineStr"/>
      <c r="F100" s="11" t="n">
        <v>110.01</v>
      </c>
      <c r="G100" t="inlineStr"/>
      <c r="I100" t="inlineStr">
        <is>
          <t>TN</t>
        </is>
      </c>
      <c r="J100" t="inlineStr"/>
      <c r="K100" t="inlineStr">
        <is>
          <t>20260201</t>
        </is>
      </c>
      <c r="L100" t="inlineStr">
        <is>
          <t>99991231</t>
        </is>
      </c>
    </row>
    <row r="101">
      <c r="A101" t="inlineStr">
        <is>
          <t>900000137</t>
        </is>
      </c>
      <c r="B101" t="inlineStr">
        <is>
          <t>DW70</t>
        </is>
      </c>
      <c r="C101" t="inlineStr">
        <is>
          <t>D093</t>
        </is>
      </c>
      <c r="D101" t="inlineStr">
        <is>
          <t>10000630</t>
        </is>
      </c>
      <c r="E101" t="inlineStr"/>
      <c r="F101" s="11" t="n">
        <v>108.39</v>
      </c>
      <c r="G101" t="inlineStr"/>
      <c r="I101" t="inlineStr">
        <is>
          <t>TN</t>
        </is>
      </c>
      <c r="J101" t="inlineStr"/>
      <c r="K101" t="inlineStr">
        <is>
          <t>20260201</t>
        </is>
      </c>
      <c r="L101" t="inlineStr">
        <is>
          <t>99991231</t>
        </is>
      </c>
    </row>
    <row r="102">
      <c r="A102" t="inlineStr">
        <is>
          <t>900000137</t>
        </is>
      </c>
      <c r="B102" t="inlineStr">
        <is>
          <t>DW70</t>
        </is>
      </c>
      <c r="C102" t="inlineStr">
        <is>
          <t>D093</t>
        </is>
      </c>
      <c r="D102" t="inlineStr">
        <is>
          <t>10000811</t>
        </is>
      </c>
      <c r="E102" t="inlineStr"/>
      <c r="F102" s="11" t="n">
        <v>115.12</v>
      </c>
      <c r="G102" t="inlineStr"/>
      <c r="I102" t="inlineStr">
        <is>
          <t>TN</t>
        </is>
      </c>
      <c r="J102" t="inlineStr"/>
      <c r="K102" t="inlineStr">
        <is>
          <t>20260201</t>
        </is>
      </c>
      <c r="L102" t="inlineStr">
        <is>
          <t>99991231</t>
        </is>
      </c>
    </row>
    <row r="103">
      <c r="A103" t="inlineStr">
        <is>
          <t>900000137</t>
        </is>
      </c>
      <c r="B103" t="inlineStr">
        <is>
          <t>DW70</t>
        </is>
      </c>
      <c r="C103" t="inlineStr">
        <is>
          <t>D093</t>
        </is>
      </c>
      <c r="D103" t="inlineStr">
        <is>
          <t>10058345</t>
        </is>
      </c>
      <c r="E103" t="inlineStr"/>
      <c r="F103" s="11" t="n">
        <v>85.70999999999999</v>
      </c>
      <c r="G103" t="inlineStr"/>
      <c r="I103" t="inlineStr">
        <is>
          <t>TN</t>
        </is>
      </c>
      <c r="J103" t="inlineStr"/>
      <c r="K103" t="inlineStr">
        <is>
          <t>20260408</t>
        </is>
      </c>
      <c r="L103" t="inlineStr">
        <is>
          <t>99991231</t>
        </is>
      </c>
    </row>
    <row r="104">
      <c r="A104" t="inlineStr">
        <is>
          <t>900000137</t>
        </is>
      </c>
      <c r="B104" t="inlineStr">
        <is>
          <t>DW70</t>
        </is>
      </c>
      <c r="C104" t="inlineStr">
        <is>
          <t>D098</t>
        </is>
      </c>
      <c r="D104" t="inlineStr">
        <is>
          <t>10000624</t>
        </is>
      </c>
      <c r="E104" t="inlineStr"/>
      <c r="F104" s="11" t="n">
        <v>110.01</v>
      </c>
      <c r="G104" t="inlineStr"/>
      <c r="I104" t="inlineStr">
        <is>
          <t>TN</t>
        </is>
      </c>
      <c r="J104" t="inlineStr"/>
      <c r="K104" t="inlineStr">
        <is>
          <t>20260201</t>
        </is>
      </c>
      <c r="L104" t="inlineStr">
        <is>
          <t>99991231</t>
        </is>
      </c>
    </row>
    <row r="105">
      <c r="A105" t="inlineStr">
        <is>
          <t>900000137</t>
        </is>
      </c>
      <c r="B105" t="inlineStr">
        <is>
          <t>DW70</t>
        </is>
      </c>
      <c r="C105" t="inlineStr">
        <is>
          <t>D098</t>
        </is>
      </c>
      <c r="D105" t="inlineStr">
        <is>
          <t>10000630</t>
        </is>
      </c>
      <c r="E105" t="inlineStr"/>
      <c r="F105" s="11" t="n">
        <v>108.39</v>
      </c>
      <c r="G105" t="inlineStr"/>
      <c r="I105" t="inlineStr">
        <is>
          <t>TN</t>
        </is>
      </c>
      <c r="J105" t="inlineStr"/>
      <c r="K105" t="inlineStr">
        <is>
          <t>20260326</t>
        </is>
      </c>
      <c r="L105" t="inlineStr">
        <is>
          <t>99991231</t>
        </is>
      </c>
    </row>
    <row r="106">
      <c r="A106" t="inlineStr">
        <is>
          <t>900000137</t>
        </is>
      </c>
      <c r="B106" t="inlineStr">
        <is>
          <t>DW70</t>
        </is>
      </c>
      <c r="C106" t="inlineStr">
        <is>
          <t>D098</t>
        </is>
      </c>
      <c r="D106" t="inlineStr">
        <is>
          <t>10000811</t>
        </is>
      </c>
      <c r="E106" t="inlineStr"/>
      <c r="F106" s="11" t="n">
        <v>115.12</v>
      </c>
      <c r="G106" t="inlineStr"/>
      <c r="I106" t="inlineStr">
        <is>
          <t>TN</t>
        </is>
      </c>
      <c r="J106" t="inlineStr"/>
      <c r="K106" t="inlineStr">
        <is>
          <t>20260201</t>
        </is>
      </c>
      <c r="L106" t="inlineStr">
        <is>
          <t>99991231</t>
        </is>
      </c>
    </row>
    <row r="107">
      <c r="A107" t="inlineStr">
        <is>
          <t>900000137</t>
        </is>
      </c>
      <c r="B107" t="inlineStr">
        <is>
          <t>DW70</t>
        </is>
      </c>
      <c r="C107" t="inlineStr">
        <is>
          <t>D098</t>
        </is>
      </c>
      <c r="D107" t="inlineStr">
        <is>
          <t>10058345</t>
        </is>
      </c>
      <c r="E107" t="inlineStr"/>
      <c r="F107" s="11" t="n">
        <v>85.70999999999999</v>
      </c>
      <c r="G107" t="inlineStr"/>
      <c r="I107" t="inlineStr">
        <is>
          <t>TN</t>
        </is>
      </c>
      <c r="J107" t="inlineStr"/>
      <c r="K107" t="inlineStr">
        <is>
          <t>20260408</t>
        </is>
      </c>
      <c r="L107" t="inlineStr">
        <is>
          <t>99991231</t>
        </is>
      </c>
    </row>
    <row r="108">
      <c r="A108" t="inlineStr">
        <is>
          <t>900000137</t>
        </is>
      </c>
      <c r="B108" t="inlineStr">
        <is>
          <t>DW70</t>
        </is>
      </c>
      <c r="C108" t="inlineStr">
        <is>
          <t>D098</t>
        </is>
      </c>
      <c r="D108" t="inlineStr">
        <is>
          <t>10147486</t>
        </is>
      </c>
      <c r="E108" t="inlineStr"/>
      <c r="F108" s="11" t="n">
        <v>106.78</v>
      </c>
      <c r="G108" t="inlineStr"/>
      <c r="I108" t="inlineStr">
        <is>
          <t>TN</t>
        </is>
      </c>
      <c r="J108" t="inlineStr"/>
      <c r="K108" t="inlineStr">
        <is>
          <t>20260201</t>
        </is>
      </c>
      <c r="L108" t="inlineStr">
        <is>
          <t>99991231</t>
        </is>
      </c>
    </row>
    <row r="109">
      <c r="A109" t="inlineStr">
        <is>
          <t>900000137</t>
        </is>
      </c>
      <c r="B109" t="inlineStr">
        <is>
          <t>DW70</t>
        </is>
      </c>
      <c r="C109" t="inlineStr">
        <is>
          <t>D105</t>
        </is>
      </c>
      <c r="D109" t="inlineStr">
        <is>
          <t>10000623</t>
        </is>
      </c>
      <c r="E109" t="inlineStr"/>
      <c r="F109" s="11" t="n">
        <v>119.53</v>
      </c>
      <c r="G109" t="inlineStr"/>
      <c r="I109" t="inlineStr">
        <is>
          <t>TN</t>
        </is>
      </c>
      <c r="J109" t="inlineStr"/>
      <c r="K109" t="inlineStr">
        <is>
          <t>20230501</t>
        </is>
      </c>
      <c r="L109" t="inlineStr">
        <is>
          <t>20250131</t>
        </is>
      </c>
    </row>
    <row r="110">
      <c r="A110" t="inlineStr">
        <is>
          <t>900000137</t>
        </is>
      </c>
      <c r="B110" t="inlineStr">
        <is>
          <t>DW70</t>
        </is>
      </c>
      <c r="C110" t="inlineStr">
        <is>
          <t>D105</t>
        </is>
      </c>
      <c r="D110" t="inlineStr">
        <is>
          <t>10000624</t>
        </is>
      </c>
      <c r="E110" t="inlineStr"/>
      <c r="F110" s="11" t="n">
        <v>101.86</v>
      </c>
      <c r="G110" t="inlineStr"/>
      <c r="I110" t="inlineStr">
        <is>
          <t>TN</t>
        </is>
      </c>
      <c r="J110" t="inlineStr"/>
      <c r="K110" t="inlineStr">
        <is>
          <t>20260120</t>
        </is>
      </c>
      <c r="L110" t="inlineStr">
        <is>
          <t>99991231</t>
        </is>
      </c>
    </row>
    <row r="111">
      <c r="A111" t="inlineStr">
        <is>
          <t>900000137</t>
        </is>
      </c>
      <c r="B111" t="inlineStr">
        <is>
          <t>DW70</t>
        </is>
      </c>
      <c r="C111" t="inlineStr">
        <is>
          <t>D105</t>
        </is>
      </c>
      <c r="D111" t="inlineStr">
        <is>
          <t>10000630</t>
        </is>
      </c>
      <c r="E111" t="inlineStr"/>
      <c r="F111" s="11" t="n">
        <v>108.39</v>
      </c>
      <c r="G111" t="inlineStr"/>
      <c r="I111" t="inlineStr">
        <is>
          <t>TN</t>
        </is>
      </c>
      <c r="J111" t="inlineStr"/>
      <c r="K111" t="inlineStr">
        <is>
          <t>20260408</t>
        </is>
      </c>
      <c r="L111" t="inlineStr">
        <is>
          <t>99991231</t>
        </is>
      </c>
    </row>
    <row r="112">
      <c r="A112" t="inlineStr">
        <is>
          <t>900000137</t>
        </is>
      </c>
      <c r="B112" t="inlineStr">
        <is>
          <t>DW70</t>
        </is>
      </c>
      <c r="C112" t="inlineStr">
        <is>
          <t>D105</t>
        </is>
      </c>
      <c r="D112" t="inlineStr">
        <is>
          <t>10000811</t>
        </is>
      </c>
      <c r="E112" t="inlineStr"/>
      <c r="F112" s="11" t="n">
        <v>115.12</v>
      </c>
      <c r="G112" t="inlineStr"/>
      <c r="I112" t="inlineStr">
        <is>
          <t>TN</t>
        </is>
      </c>
      <c r="J112" t="inlineStr"/>
      <c r="K112" t="inlineStr">
        <is>
          <t>20260201</t>
        </is>
      </c>
      <c r="L112" t="inlineStr">
        <is>
          <t>99991231</t>
        </is>
      </c>
    </row>
    <row r="113">
      <c r="A113" t="inlineStr">
        <is>
          <t>900000137</t>
        </is>
      </c>
      <c r="B113" t="inlineStr">
        <is>
          <t>DW70</t>
        </is>
      </c>
      <c r="C113" t="inlineStr">
        <is>
          <t>D105</t>
        </is>
      </c>
      <c r="D113" t="inlineStr">
        <is>
          <t>10058345</t>
        </is>
      </c>
      <c r="E113" t="inlineStr"/>
      <c r="F113" s="11" t="n">
        <v>85.70999999999999</v>
      </c>
      <c r="G113" t="inlineStr"/>
      <c r="I113" t="inlineStr">
        <is>
          <t>TN</t>
        </is>
      </c>
      <c r="J113" t="inlineStr"/>
      <c r="K113" t="inlineStr">
        <is>
          <t>20260408</t>
        </is>
      </c>
      <c r="L113" t="inlineStr">
        <is>
          <t>99991231</t>
        </is>
      </c>
    </row>
    <row r="114">
      <c r="A114" t="inlineStr">
        <is>
          <t>900000137</t>
        </is>
      </c>
      <c r="B114" t="inlineStr">
        <is>
          <t>DW70</t>
        </is>
      </c>
      <c r="C114" t="inlineStr">
        <is>
          <t>D111</t>
        </is>
      </c>
      <c r="D114" t="inlineStr">
        <is>
          <t>10000624</t>
        </is>
      </c>
      <c r="E114" t="inlineStr"/>
      <c r="F114" s="11" t="n">
        <v>93.45</v>
      </c>
      <c r="G114" t="inlineStr"/>
      <c r="I114" t="inlineStr">
        <is>
          <t>TN</t>
        </is>
      </c>
      <c r="J114" t="inlineStr"/>
      <c r="K114" t="inlineStr">
        <is>
          <t>20230501</t>
        </is>
      </c>
      <c r="L114" t="inlineStr">
        <is>
          <t>20250131</t>
        </is>
      </c>
    </row>
    <row r="115">
      <c r="A115" t="inlineStr">
        <is>
          <t>900000137</t>
        </is>
      </c>
      <c r="B115" t="inlineStr">
        <is>
          <t>DW70</t>
        </is>
      </c>
      <c r="C115" t="inlineStr">
        <is>
          <t>D136</t>
        </is>
      </c>
      <c r="D115" t="inlineStr">
        <is>
          <t>10000623</t>
        </is>
      </c>
      <c r="E115" t="inlineStr"/>
      <c r="F115" s="11" t="n">
        <v>119.53</v>
      </c>
      <c r="G115" t="inlineStr"/>
      <c r="I115" t="inlineStr">
        <is>
          <t>TN</t>
        </is>
      </c>
      <c r="J115" t="inlineStr"/>
      <c r="K115" t="inlineStr">
        <is>
          <t>20230501</t>
        </is>
      </c>
      <c r="L115" t="inlineStr">
        <is>
          <t>20250131</t>
        </is>
      </c>
    </row>
    <row r="116">
      <c r="A116" t="inlineStr">
        <is>
          <t>900000137</t>
        </is>
      </c>
      <c r="B116" t="inlineStr">
        <is>
          <t>DW70</t>
        </is>
      </c>
      <c r="C116" t="inlineStr">
        <is>
          <t>D136</t>
        </is>
      </c>
      <c r="D116" t="inlineStr">
        <is>
          <t>10000624</t>
        </is>
      </c>
      <c r="E116" t="inlineStr"/>
      <c r="F116" s="11" t="n">
        <v>110.01</v>
      </c>
      <c r="G116" t="inlineStr"/>
      <c r="I116" t="inlineStr">
        <is>
          <t>TN</t>
        </is>
      </c>
      <c r="J116" t="inlineStr"/>
      <c r="K116" t="inlineStr">
        <is>
          <t>20260408</t>
        </is>
      </c>
      <c r="L116" t="inlineStr">
        <is>
          <t>99991231</t>
        </is>
      </c>
    </row>
    <row r="117">
      <c r="A117" t="inlineStr">
        <is>
          <t>900000137</t>
        </is>
      </c>
      <c r="B117" t="inlineStr">
        <is>
          <t>DW70</t>
        </is>
      </c>
      <c r="C117" t="inlineStr">
        <is>
          <t>D136</t>
        </is>
      </c>
      <c r="D117" t="inlineStr">
        <is>
          <t>10000630</t>
        </is>
      </c>
      <c r="E117" t="inlineStr"/>
      <c r="F117" s="11" t="n">
        <v>108.39</v>
      </c>
      <c r="G117" t="inlineStr"/>
      <c r="I117" t="inlineStr">
        <is>
          <t>TN</t>
        </is>
      </c>
      <c r="J117" t="inlineStr"/>
      <c r="K117" t="inlineStr">
        <is>
          <t>20260408</t>
        </is>
      </c>
      <c r="L117" t="inlineStr">
        <is>
          <t>99991231</t>
        </is>
      </c>
    </row>
    <row r="118">
      <c r="A118" t="inlineStr">
        <is>
          <t>900000137</t>
        </is>
      </c>
      <c r="B118" t="inlineStr">
        <is>
          <t>DW70</t>
        </is>
      </c>
      <c r="C118" t="inlineStr">
        <is>
          <t>D136</t>
        </is>
      </c>
      <c r="D118" t="inlineStr">
        <is>
          <t>10000811</t>
        </is>
      </c>
      <c r="E118" t="inlineStr"/>
      <c r="F118" s="11" t="n">
        <v>115.12</v>
      </c>
      <c r="G118" t="inlineStr"/>
      <c r="I118" t="inlineStr">
        <is>
          <t>TN</t>
        </is>
      </c>
      <c r="J118" t="inlineStr"/>
      <c r="K118" t="inlineStr">
        <is>
          <t>20260201</t>
        </is>
      </c>
      <c r="L118" t="inlineStr">
        <is>
          <t>99991231</t>
        </is>
      </c>
    </row>
    <row r="119">
      <c r="A119" t="inlineStr">
        <is>
          <t>900000137</t>
        </is>
      </c>
      <c r="B119" t="inlineStr">
        <is>
          <t>DW70</t>
        </is>
      </c>
      <c r="C119" t="inlineStr">
        <is>
          <t>D136</t>
        </is>
      </c>
      <c r="D119" t="inlineStr">
        <is>
          <t>10058345</t>
        </is>
      </c>
      <c r="E119" t="inlineStr"/>
      <c r="F119" s="11" t="n">
        <v>85.70999999999999</v>
      </c>
      <c r="G119" t="inlineStr"/>
      <c r="I119" t="inlineStr">
        <is>
          <t>TN</t>
        </is>
      </c>
      <c r="J119" t="inlineStr"/>
      <c r="K119" t="inlineStr">
        <is>
          <t>20260408</t>
        </is>
      </c>
      <c r="L119" t="inlineStr">
        <is>
          <t>99991231</t>
        </is>
      </c>
    </row>
    <row r="120">
      <c r="A120" t="inlineStr">
        <is>
          <t>900000137</t>
        </is>
      </c>
      <c r="B120" t="inlineStr">
        <is>
          <t>DW70</t>
        </is>
      </c>
      <c r="C120" t="inlineStr">
        <is>
          <t>D145</t>
        </is>
      </c>
      <c r="D120" t="inlineStr">
        <is>
          <t>10000623</t>
        </is>
      </c>
      <c r="E120" t="inlineStr"/>
      <c r="F120" s="11" t="n">
        <v>119.53</v>
      </c>
      <c r="G120" t="inlineStr"/>
      <c r="I120" t="inlineStr">
        <is>
          <t>TN</t>
        </is>
      </c>
      <c r="J120" t="inlineStr"/>
      <c r="K120" t="inlineStr">
        <is>
          <t>20230501</t>
        </is>
      </c>
      <c r="L120" t="inlineStr">
        <is>
          <t>20250131</t>
        </is>
      </c>
    </row>
    <row r="121">
      <c r="A121" t="inlineStr">
        <is>
          <t>900000137</t>
        </is>
      </c>
      <c r="B121" t="inlineStr">
        <is>
          <t>DW70</t>
        </is>
      </c>
      <c r="C121" t="inlineStr">
        <is>
          <t>D145</t>
        </is>
      </c>
      <c r="D121" t="inlineStr">
        <is>
          <t>10000624</t>
        </is>
      </c>
      <c r="E121" t="inlineStr"/>
      <c r="F121" s="11" t="n">
        <v>110.01</v>
      </c>
      <c r="G121" t="inlineStr"/>
      <c r="I121" t="inlineStr">
        <is>
          <t>TN</t>
        </is>
      </c>
      <c r="J121" t="inlineStr"/>
      <c r="K121" t="inlineStr">
        <is>
          <t>20260201</t>
        </is>
      </c>
      <c r="L121" t="inlineStr">
        <is>
          <t>99991231</t>
        </is>
      </c>
    </row>
    <row r="122">
      <c r="A122" t="inlineStr">
        <is>
          <t>900000137</t>
        </is>
      </c>
      <c r="B122" t="inlineStr">
        <is>
          <t>DW70</t>
        </is>
      </c>
      <c r="C122" t="inlineStr">
        <is>
          <t>D145</t>
        </is>
      </c>
      <c r="D122" t="inlineStr">
        <is>
          <t>10000630</t>
        </is>
      </c>
      <c r="E122" t="inlineStr"/>
      <c r="F122" s="11" t="n">
        <v>108.39</v>
      </c>
      <c r="G122" t="inlineStr"/>
      <c r="I122" t="inlineStr">
        <is>
          <t>TN</t>
        </is>
      </c>
      <c r="J122" t="inlineStr"/>
      <c r="K122" t="inlineStr">
        <is>
          <t>20260201</t>
        </is>
      </c>
      <c r="L122" t="inlineStr">
        <is>
          <t>99991231</t>
        </is>
      </c>
    </row>
    <row r="123">
      <c r="A123" t="inlineStr">
        <is>
          <t>900000137</t>
        </is>
      </c>
      <c r="B123" t="inlineStr">
        <is>
          <t>DW70</t>
        </is>
      </c>
      <c r="C123" t="inlineStr">
        <is>
          <t>D145</t>
        </is>
      </c>
      <c r="D123" t="inlineStr">
        <is>
          <t>10000811</t>
        </is>
      </c>
      <c r="E123" t="inlineStr"/>
      <c r="F123" s="11" t="n">
        <v>115.12</v>
      </c>
      <c r="G123" t="inlineStr"/>
      <c r="I123" t="inlineStr">
        <is>
          <t>TN</t>
        </is>
      </c>
      <c r="J123" t="inlineStr"/>
      <c r="K123" t="inlineStr">
        <is>
          <t>20260201</t>
        </is>
      </c>
      <c r="L123" t="inlineStr">
        <is>
          <t>99991231</t>
        </is>
      </c>
    </row>
    <row r="124">
      <c r="A124" t="inlineStr">
        <is>
          <t>900000137</t>
        </is>
      </c>
      <c r="B124" t="inlineStr">
        <is>
          <t>DW70</t>
        </is>
      </c>
      <c r="C124" t="inlineStr">
        <is>
          <t>D145</t>
        </is>
      </c>
      <c r="D124" t="inlineStr">
        <is>
          <t>10058345</t>
        </is>
      </c>
      <c r="E124" t="inlineStr"/>
      <c r="F124" s="11" t="n">
        <v>85.70999999999999</v>
      </c>
      <c r="G124" t="inlineStr"/>
      <c r="I124" t="inlineStr">
        <is>
          <t>TN</t>
        </is>
      </c>
      <c r="J124" t="inlineStr"/>
      <c r="K124" t="inlineStr">
        <is>
          <t>20260408</t>
        </is>
      </c>
      <c r="L124" t="inlineStr">
        <is>
          <t>99991231</t>
        </is>
      </c>
    </row>
    <row r="125">
      <c r="A125" t="inlineStr">
        <is>
          <t>900000137</t>
        </is>
      </c>
      <c r="B125" t="inlineStr">
        <is>
          <t>DW70</t>
        </is>
      </c>
      <c r="C125" t="inlineStr">
        <is>
          <t>D681</t>
        </is>
      </c>
      <c r="D125" t="inlineStr">
        <is>
          <t>10000624</t>
        </is>
      </c>
      <c r="E125" t="inlineStr"/>
      <c r="F125" s="11" t="n">
        <v>110.01</v>
      </c>
      <c r="G125" t="inlineStr"/>
      <c r="I125" t="inlineStr">
        <is>
          <t>TN</t>
        </is>
      </c>
      <c r="J125" t="inlineStr"/>
      <c r="K125" t="inlineStr">
        <is>
          <t>20260201</t>
        </is>
      </c>
      <c r="L125" t="inlineStr">
        <is>
          <t>99991231</t>
        </is>
      </c>
    </row>
    <row r="126">
      <c r="A126" t="inlineStr">
        <is>
          <t>900000137</t>
        </is>
      </c>
      <c r="B126" t="inlineStr">
        <is>
          <t>DW70</t>
        </is>
      </c>
      <c r="C126" t="inlineStr">
        <is>
          <t>D681</t>
        </is>
      </c>
      <c r="D126" t="inlineStr">
        <is>
          <t>10000811</t>
        </is>
      </c>
      <c r="E126" t="inlineStr"/>
      <c r="F126" s="11" t="n">
        <v>115.12</v>
      </c>
      <c r="G126" t="inlineStr"/>
      <c r="I126" t="inlineStr">
        <is>
          <t>TN</t>
        </is>
      </c>
      <c r="J126" t="inlineStr"/>
      <c r="K126" t="inlineStr">
        <is>
          <t>20260201</t>
        </is>
      </c>
      <c r="L126" t="inlineStr">
        <is>
          <t>99991231</t>
        </is>
      </c>
    </row>
    <row r="127">
      <c r="A127" t="inlineStr">
        <is>
          <t>900000137</t>
        </is>
      </c>
      <c r="B127" t="inlineStr">
        <is>
          <t>DW70</t>
        </is>
      </c>
      <c r="C127" t="inlineStr">
        <is>
          <t>D681</t>
        </is>
      </c>
      <c r="D127" t="inlineStr">
        <is>
          <t>10058345</t>
        </is>
      </c>
      <c r="E127" t="inlineStr"/>
      <c r="F127" s="11" t="n">
        <v>85.70999999999999</v>
      </c>
      <c r="G127" t="inlineStr"/>
      <c r="I127" t="inlineStr">
        <is>
          <t>TN</t>
        </is>
      </c>
      <c r="J127" t="inlineStr"/>
      <c r="K127" t="inlineStr">
        <is>
          <t>20260201</t>
        </is>
      </c>
      <c r="L127" t="inlineStr">
        <is>
          <t>99991231</t>
        </is>
      </c>
    </row>
    <row r="128">
      <c r="A128" t="inlineStr">
        <is>
          <t>900000137</t>
        </is>
      </c>
      <c r="B128" t="inlineStr">
        <is>
          <t>DW70</t>
        </is>
      </c>
      <c r="C128" t="inlineStr">
        <is>
          <t>D681</t>
        </is>
      </c>
      <c r="D128" t="inlineStr">
        <is>
          <t>10147486</t>
        </is>
      </c>
      <c r="E128" t="inlineStr"/>
      <c r="F128" s="11" t="n">
        <v>106.78</v>
      </c>
      <c r="G128" t="inlineStr"/>
      <c r="I128" t="inlineStr">
        <is>
          <t>TN</t>
        </is>
      </c>
      <c r="J128" t="inlineStr"/>
      <c r="K128" t="inlineStr">
        <is>
          <t>20260201</t>
        </is>
      </c>
      <c r="L128" t="inlineStr">
        <is>
          <t>99991231</t>
        </is>
      </c>
    </row>
    <row r="129">
      <c r="A129" t="inlineStr">
        <is>
          <t>900000137</t>
        </is>
      </c>
      <c r="B129" t="inlineStr">
        <is>
          <t>DW70</t>
        </is>
      </c>
      <c r="C129" t="inlineStr">
        <is>
          <t>DE42</t>
        </is>
      </c>
      <c r="D129" t="inlineStr">
        <is>
          <t>10000811</t>
        </is>
      </c>
      <c r="E129" t="inlineStr"/>
      <c r="F129" s="11" t="n">
        <v>106.6</v>
      </c>
      <c r="G129" t="inlineStr"/>
      <c r="I129" t="inlineStr">
        <is>
          <t>TN</t>
        </is>
      </c>
      <c r="J129" t="inlineStr"/>
      <c r="K129" t="inlineStr">
        <is>
          <t>20230501</t>
        </is>
      </c>
      <c r="L129" t="inlineStr">
        <is>
          <t>20250131</t>
        </is>
      </c>
    </row>
    <row r="130">
      <c r="A130" t="inlineStr">
        <is>
          <t>900000137</t>
        </is>
      </c>
      <c r="B130" t="inlineStr">
        <is>
          <t>DW70</t>
        </is>
      </c>
      <c r="C130" t="inlineStr">
        <is>
          <t>DE92</t>
        </is>
      </c>
      <c r="D130" t="inlineStr">
        <is>
          <t>10000811</t>
        </is>
      </c>
      <c r="E130" t="inlineStr"/>
      <c r="F130" s="11" t="n">
        <v>106.59</v>
      </c>
      <c r="G130" t="inlineStr"/>
      <c r="I130" t="inlineStr">
        <is>
          <t>TN</t>
        </is>
      </c>
      <c r="J130" t="inlineStr"/>
      <c r="K130" t="inlineStr">
        <is>
          <t>20230501</t>
        </is>
      </c>
      <c r="L130" t="inlineStr">
        <is>
          <t>20250131</t>
        </is>
      </c>
    </row>
    <row r="131">
      <c r="A131" t="inlineStr">
        <is>
          <t>900000137</t>
        </is>
      </c>
      <c r="B131" t="inlineStr">
        <is>
          <t>DW70</t>
        </is>
      </c>
      <c r="C131" t="inlineStr">
        <is>
          <t>E673</t>
        </is>
      </c>
      <c r="D131" t="inlineStr">
        <is>
          <t>10000624</t>
        </is>
      </c>
      <c r="E131" t="inlineStr"/>
      <c r="F131" s="11" t="n">
        <v>101.86</v>
      </c>
      <c r="G131" t="inlineStr"/>
      <c r="I131" t="inlineStr">
        <is>
          <t>TN</t>
        </is>
      </c>
      <c r="J131" t="inlineStr"/>
      <c r="K131" t="inlineStr">
        <is>
          <t>20230501</t>
        </is>
      </c>
      <c r="L131" t="inlineStr">
        <is>
          <t>20250131</t>
        </is>
      </c>
    </row>
    <row r="132">
      <c r="A132" t="inlineStr">
        <is>
          <t>900000137</t>
        </is>
      </c>
      <c r="B132" t="inlineStr">
        <is>
          <t>DW70</t>
        </is>
      </c>
      <c r="C132" t="inlineStr">
        <is>
          <t>E673</t>
        </is>
      </c>
      <c r="D132" t="inlineStr">
        <is>
          <t>10000811</t>
        </is>
      </c>
      <c r="E132" t="inlineStr"/>
      <c r="F132" s="11" t="n">
        <v>106.59</v>
      </c>
      <c r="G132" t="inlineStr"/>
      <c r="I132" t="inlineStr">
        <is>
          <t>TN</t>
        </is>
      </c>
      <c r="J132" t="inlineStr"/>
      <c r="K132" t="inlineStr">
        <is>
          <t>20230501</t>
        </is>
      </c>
      <c r="L132" t="inlineStr">
        <is>
          <t>20250131</t>
        </is>
      </c>
    </row>
    <row r="133">
      <c r="A133" t="inlineStr">
        <is>
          <t>900000137</t>
        </is>
      </c>
      <c r="B133" t="inlineStr">
        <is>
          <t>DW70</t>
        </is>
      </c>
      <c r="C133" t="inlineStr">
        <is>
          <t>E673</t>
        </is>
      </c>
      <c r="D133" t="inlineStr">
        <is>
          <t>10058345</t>
        </is>
      </c>
      <c r="E133" t="inlineStr"/>
      <c r="F133" s="11" t="n">
        <v>86.51000000000001</v>
      </c>
      <c r="G133" t="inlineStr"/>
      <c r="I133" t="inlineStr">
        <is>
          <t>TN</t>
        </is>
      </c>
      <c r="J133" t="inlineStr"/>
      <c r="K133" t="inlineStr">
        <is>
          <t>20230501</t>
        </is>
      </c>
      <c r="L133" t="inlineStr">
        <is>
          <t>20250131</t>
        </is>
      </c>
    </row>
    <row r="134">
      <c r="A134" t="inlineStr">
        <is>
          <t>900000137</t>
        </is>
      </c>
      <c r="B134" t="inlineStr">
        <is>
          <t>DW70</t>
        </is>
      </c>
      <c r="C134" t="inlineStr">
        <is>
          <t>E673</t>
        </is>
      </c>
      <c r="D134" t="inlineStr">
        <is>
          <t>10207890</t>
        </is>
      </c>
      <c r="E134" t="inlineStr"/>
      <c r="F134" s="11" t="n">
        <v>101.86</v>
      </c>
      <c r="G134" t="inlineStr"/>
      <c r="I134" t="inlineStr">
        <is>
          <t>TN</t>
        </is>
      </c>
      <c r="J134" t="inlineStr"/>
      <c r="K134" t="inlineStr">
        <is>
          <t>20230501</t>
        </is>
      </c>
      <c r="L134" t="inlineStr">
        <is>
          <t>20250131</t>
        </is>
      </c>
    </row>
    <row r="135">
      <c r="A135" t="inlineStr">
        <is>
          <t>900000137</t>
        </is>
      </c>
      <c r="B135" t="inlineStr">
        <is>
          <t>DW70</t>
        </is>
      </c>
      <c r="C135" t="inlineStr">
        <is>
          <t>E673</t>
        </is>
      </c>
      <c r="D135" t="inlineStr">
        <is>
          <t>10207891</t>
        </is>
      </c>
      <c r="E135" t="inlineStr"/>
      <c r="F135" s="11" t="n">
        <v>84.09999999999999</v>
      </c>
      <c r="G135" t="inlineStr"/>
      <c r="I135" t="inlineStr">
        <is>
          <t>TN</t>
        </is>
      </c>
      <c r="J135" t="inlineStr"/>
      <c r="K135" t="inlineStr">
        <is>
          <t>20230501</t>
        </is>
      </c>
      <c r="L135" t="inlineStr">
        <is>
          <t>20250131</t>
        </is>
      </c>
    </row>
    <row r="136">
      <c r="A136" t="inlineStr">
        <is>
          <t>900000137</t>
        </is>
      </c>
      <c r="B136" t="inlineStr">
        <is>
          <t>DW70</t>
        </is>
      </c>
      <c r="C136" t="inlineStr">
        <is>
          <t>EQ75</t>
        </is>
      </c>
      <c r="D136" t="inlineStr">
        <is>
          <t>10000624</t>
        </is>
      </c>
      <c r="E136" t="inlineStr"/>
      <c r="F136" s="11" t="n">
        <v>101.86</v>
      </c>
      <c r="G136" t="inlineStr"/>
      <c r="I136" t="inlineStr">
        <is>
          <t>TN</t>
        </is>
      </c>
      <c r="J136" t="inlineStr"/>
      <c r="K136" t="inlineStr">
        <is>
          <t>20230501</t>
        </is>
      </c>
      <c r="L136" t="inlineStr">
        <is>
          <t>20250131</t>
        </is>
      </c>
    </row>
    <row r="137">
      <c r="A137" t="inlineStr">
        <is>
          <t>900000137</t>
        </is>
      </c>
      <c r="B137" t="inlineStr">
        <is>
          <t>DW70</t>
        </is>
      </c>
      <c r="C137" t="inlineStr">
        <is>
          <t>EQ75</t>
        </is>
      </c>
      <c r="D137" t="inlineStr">
        <is>
          <t>10000811</t>
        </is>
      </c>
      <c r="E137" t="inlineStr"/>
      <c r="F137" s="11" t="n">
        <v>106.59</v>
      </c>
      <c r="G137" t="inlineStr"/>
      <c r="I137" t="inlineStr">
        <is>
          <t>TN</t>
        </is>
      </c>
      <c r="J137" t="inlineStr"/>
      <c r="K137" t="inlineStr">
        <is>
          <t>20230501</t>
        </is>
      </c>
      <c r="L137" t="inlineStr">
        <is>
          <t>20250131</t>
        </is>
      </c>
    </row>
    <row r="138">
      <c r="A138" t="inlineStr">
        <is>
          <t>900000137</t>
        </is>
      </c>
      <c r="B138" t="inlineStr">
        <is>
          <t>DW70</t>
        </is>
      </c>
      <c r="C138" t="inlineStr">
        <is>
          <t>EQ75</t>
        </is>
      </c>
      <c r="D138" t="inlineStr">
        <is>
          <t>10058345</t>
        </is>
      </c>
      <c r="E138" t="inlineStr"/>
      <c r="F138" s="11" t="n">
        <v>86.51000000000001</v>
      </c>
      <c r="G138" t="inlineStr"/>
      <c r="I138" t="inlineStr">
        <is>
          <t>TN</t>
        </is>
      </c>
      <c r="J138" t="inlineStr"/>
      <c r="K138" t="inlineStr">
        <is>
          <t>20230501</t>
        </is>
      </c>
      <c r="L138" t="inlineStr">
        <is>
          <t>20250131</t>
        </is>
      </c>
    </row>
    <row r="139">
      <c r="A139" t="inlineStr">
        <is>
          <t>900000137</t>
        </is>
      </c>
      <c r="B139" t="inlineStr">
        <is>
          <t>DW70</t>
        </is>
      </c>
      <c r="C139" t="inlineStr">
        <is>
          <t>EQ75</t>
        </is>
      </c>
      <c r="D139" t="inlineStr">
        <is>
          <t>10207891</t>
        </is>
      </c>
      <c r="E139" t="inlineStr"/>
      <c r="F139" s="11" t="n">
        <v>84.09999999999999</v>
      </c>
      <c r="G139" t="inlineStr"/>
      <c r="I139" t="inlineStr">
        <is>
          <t>TN</t>
        </is>
      </c>
      <c r="J139" t="inlineStr"/>
      <c r="K139" t="inlineStr">
        <is>
          <t>20230501</t>
        </is>
      </c>
      <c r="L139" t="inlineStr">
        <is>
          <t>20250131</t>
        </is>
      </c>
    </row>
    <row r="140">
      <c r="A140" t="inlineStr">
        <is>
          <t>900000295</t>
        </is>
      </c>
      <c r="B140" t="inlineStr">
        <is>
          <t>DW70</t>
        </is>
      </c>
      <c r="C140" t="inlineStr">
        <is>
          <t>D074</t>
        </is>
      </c>
      <c r="D140" t="inlineStr">
        <is>
          <t>10000160</t>
        </is>
      </c>
      <c r="E140" t="inlineStr"/>
      <c r="F140" s="11" t="n">
        <v>62.11</v>
      </c>
      <c r="G140" t="inlineStr"/>
      <c r="I140" t="inlineStr">
        <is>
          <t>TN</t>
        </is>
      </c>
      <c r="J140" t="inlineStr"/>
      <c r="K140" t="inlineStr">
        <is>
          <t>20230501</t>
        </is>
      </c>
      <c r="L140" t="inlineStr">
        <is>
          <t>20250131</t>
        </is>
      </c>
    </row>
    <row r="141">
      <c r="A141" t="inlineStr">
        <is>
          <t>900000295</t>
        </is>
      </c>
      <c r="B141" t="inlineStr">
        <is>
          <t>DW70</t>
        </is>
      </c>
      <c r="C141" t="inlineStr">
        <is>
          <t>D074</t>
        </is>
      </c>
      <c r="D141" t="inlineStr">
        <is>
          <t>10264162</t>
        </is>
      </c>
      <c r="E141" t="inlineStr"/>
      <c r="F141" s="11" t="n">
        <v>84.93000000000001</v>
      </c>
      <c r="G141" t="inlineStr"/>
      <c r="I141" t="inlineStr">
        <is>
          <t>TN</t>
        </is>
      </c>
      <c r="J141" t="inlineStr"/>
      <c r="K141" t="inlineStr">
        <is>
          <t>20260415</t>
        </is>
      </c>
      <c r="L141" t="inlineStr">
        <is>
          <t>99991231</t>
        </is>
      </c>
    </row>
    <row r="142">
      <c r="A142" t="inlineStr">
        <is>
          <t>900000295</t>
        </is>
      </c>
      <c r="B142" t="inlineStr">
        <is>
          <t>DW70</t>
        </is>
      </c>
      <c r="C142" t="inlineStr">
        <is>
          <t>D074</t>
        </is>
      </c>
      <c r="D142" t="inlineStr">
        <is>
          <t>10274754</t>
        </is>
      </c>
      <c r="E142" t="inlineStr"/>
      <c r="F142" s="11" t="n">
        <v>104.9</v>
      </c>
      <c r="G142" t="inlineStr"/>
      <c r="I142" t="inlineStr">
        <is>
          <t>TN</t>
        </is>
      </c>
      <c r="J142" t="inlineStr"/>
      <c r="K142" t="inlineStr">
        <is>
          <t>20260302</t>
        </is>
      </c>
      <c r="L142" t="inlineStr">
        <is>
          <t>99991231</t>
        </is>
      </c>
    </row>
    <row r="143">
      <c r="A143" t="inlineStr">
        <is>
          <t>900000295</t>
        </is>
      </c>
      <c r="B143" t="inlineStr">
        <is>
          <t>DW70</t>
        </is>
      </c>
      <c r="C143" t="inlineStr">
        <is>
          <t>D074</t>
        </is>
      </c>
      <c r="D143" t="inlineStr">
        <is>
          <t>10277513</t>
        </is>
      </c>
      <c r="E143" t="inlineStr"/>
      <c r="F143" s="11" t="n">
        <v>61.66</v>
      </c>
      <c r="G143" t="inlineStr"/>
      <c r="I143" t="inlineStr">
        <is>
          <t>TN</t>
        </is>
      </c>
      <c r="J143" t="inlineStr"/>
      <c r="K143" t="inlineStr">
        <is>
          <t>20260525</t>
        </is>
      </c>
      <c r="L143" t="inlineStr">
        <is>
          <t>99991231</t>
        </is>
      </c>
    </row>
    <row r="144">
      <c r="A144" t="inlineStr">
        <is>
          <t>900000295</t>
        </is>
      </c>
      <c r="B144" t="inlineStr">
        <is>
          <t>DW70</t>
        </is>
      </c>
      <c r="C144" t="inlineStr">
        <is>
          <t>D075</t>
        </is>
      </c>
      <c r="D144" t="inlineStr">
        <is>
          <t>10000160</t>
        </is>
      </c>
      <c r="E144" t="inlineStr"/>
      <c r="F144" s="11" t="n">
        <v>62.11</v>
      </c>
      <c r="G144" t="inlineStr"/>
      <c r="I144" t="inlineStr">
        <is>
          <t>TN</t>
        </is>
      </c>
      <c r="J144" t="inlineStr"/>
      <c r="K144" t="inlineStr">
        <is>
          <t>20230501</t>
        </is>
      </c>
      <c r="L144" t="inlineStr">
        <is>
          <t>20250131</t>
        </is>
      </c>
    </row>
    <row r="145">
      <c r="A145" t="inlineStr">
        <is>
          <t>900000295</t>
        </is>
      </c>
      <c r="B145" t="inlineStr">
        <is>
          <t>DW70</t>
        </is>
      </c>
      <c r="C145" t="inlineStr">
        <is>
          <t>D075</t>
        </is>
      </c>
      <c r="D145" t="inlineStr">
        <is>
          <t>10264162</t>
        </is>
      </c>
      <c r="E145" t="inlineStr"/>
      <c r="F145" s="11" t="n">
        <v>84.93000000000001</v>
      </c>
      <c r="G145" t="inlineStr"/>
      <c r="I145" t="inlineStr">
        <is>
          <t>TN</t>
        </is>
      </c>
      <c r="J145" t="inlineStr"/>
      <c r="K145" t="inlineStr">
        <is>
          <t>20260415</t>
        </is>
      </c>
      <c r="L145" t="inlineStr">
        <is>
          <t>99991231</t>
        </is>
      </c>
    </row>
    <row r="146">
      <c r="A146" t="inlineStr">
        <is>
          <t>900000295</t>
        </is>
      </c>
      <c r="B146" t="inlineStr">
        <is>
          <t>DW70</t>
        </is>
      </c>
      <c r="C146" t="inlineStr">
        <is>
          <t>D075</t>
        </is>
      </c>
      <c r="D146" t="inlineStr">
        <is>
          <t>10274754</t>
        </is>
      </c>
      <c r="E146" t="inlineStr"/>
      <c r="F146" s="11" t="n">
        <v>104.9</v>
      </c>
      <c r="G146" t="inlineStr"/>
      <c r="I146" t="inlineStr">
        <is>
          <t>TN</t>
        </is>
      </c>
      <c r="J146" t="inlineStr"/>
      <c r="K146" t="inlineStr">
        <is>
          <t>20260302</t>
        </is>
      </c>
      <c r="L146" t="inlineStr">
        <is>
          <t>99991231</t>
        </is>
      </c>
    </row>
    <row r="147">
      <c r="A147" t="inlineStr">
        <is>
          <t>900000295</t>
        </is>
      </c>
      <c r="B147" t="inlineStr">
        <is>
          <t>DW70</t>
        </is>
      </c>
      <c r="C147" t="inlineStr">
        <is>
          <t>D075</t>
        </is>
      </c>
      <c r="D147" t="inlineStr">
        <is>
          <t>10277513</t>
        </is>
      </c>
      <c r="E147" t="inlineStr"/>
      <c r="F147" s="11" t="n">
        <v>61.66</v>
      </c>
      <c r="G147" t="inlineStr"/>
      <c r="I147" t="inlineStr">
        <is>
          <t>TN</t>
        </is>
      </c>
      <c r="J147" t="inlineStr"/>
      <c r="K147" t="inlineStr">
        <is>
          <t>20260525</t>
        </is>
      </c>
      <c r="L147" t="inlineStr">
        <is>
          <t>99991231</t>
        </is>
      </c>
    </row>
    <row r="148">
      <c r="A148" t="inlineStr">
        <is>
          <t>900000295</t>
        </is>
      </c>
      <c r="B148" t="inlineStr">
        <is>
          <t>DW70</t>
        </is>
      </c>
      <c r="C148" t="inlineStr">
        <is>
          <t>D077</t>
        </is>
      </c>
      <c r="D148" t="inlineStr">
        <is>
          <t>10000160</t>
        </is>
      </c>
      <c r="E148" t="inlineStr"/>
      <c r="F148" s="11" t="n">
        <v>62.11</v>
      </c>
      <c r="G148" t="inlineStr"/>
      <c r="I148" t="inlineStr">
        <is>
          <t>TN</t>
        </is>
      </c>
      <c r="J148" t="inlineStr"/>
      <c r="K148" t="inlineStr">
        <is>
          <t>20230501</t>
        </is>
      </c>
      <c r="L148" t="inlineStr">
        <is>
          <t>20250131</t>
        </is>
      </c>
    </row>
    <row r="149">
      <c r="A149" t="inlineStr">
        <is>
          <t>900000295</t>
        </is>
      </c>
      <c r="B149" t="inlineStr">
        <is>
          <t>DW70</t>
        </is>
      </c>
      <c r="C149" t="inlineStr">
        <is>
          <t>D077</t>
        </is>
      </c>
      <c r="D149" t="inlineStr">
        <is>
          <t>10264162</t>
        </is>
      </c>
      <c r="E149" t="inlineStr"/>
      <c r="F149" s="11" t="n">
        <v>84.93000000000001</v>
      </c>
      <c r="G149" t="inlineStr"/>
      <c r="I149" t="inlineStr">
        <is>
          <t>TN</t>
        </is>
      </c>
      <c r="J149" t="inlineStr"/>
      <c r="K149" t="inlineStr">
        <is>
          <t>20260415</t>
        </is>
      </c>
      <c r="L149" t="inlineStr">
        <is>
          <t>99991231</t>
        </is>
      </c>
    </row>
    <row r="150">
      <c r="A150" t="inlineStr">
        <is>
          <t>900000295</t>
        </is>
      </c>
      <c r="B150" t="inlineStr">
        <is>
          <t>DW70</t>
        </is>
      </c>
      <c r="C150" t="inlineStr">
        <is>
          <t>D077</t>
        </is>
      </c>
      <c r="D150" t="inlineStr">
        <is>
          <t>10274754</t>
        </is>
      </c>
      <c r="E150" t="inlineStr"/>
      <c r="F150" s="11" t="n">
        <v>104.9</v>
      </c>
      <c r="G150" t="inlineStr"/>
      <c r="I150" t="inlineStr">
        <is>
          <t>TN</t>
        </is>
      </c>
      <c r="J150" t="inlineStr"/>
      <c r="K150" t="inlineStr">
        <is>
          <t>20260302</t>
        </is>
      </c>
      <c r="L150" t="inlineStr">
        <is>
          <t>99991231</t>
        </is>
      </c>
    </row>
    <row r="151">
      <c r="A151" t="inlineStr">
        <is>
          <t>900000295</t>
        </is>
      </c>
      <c r="B151" t="inlineStr">
        <is>
          <t>DW70</t>
        </is>
      </c>
      <c r="C151" t="inlineStr">
        <is>
          <t>D077</t>
        </is>
      </c>
      <c r="D151" t="inlineStr">
        <is>
          <t>10277513</t>
        </is>
      </c>
      <c r="E151" t="inlineStr"/>
      <c r="F151" s="11" t="n">
        <v>61.66</v>
      </c>
      <c r="G151" t="inlineStr"/>
      <c r="I151" t="inlineStr">
        <is>
          <t>TN</t>
        </is>
      </c>
      <c r="J151" t="inlineStr"/>
      <c r="K151" t="inlineStr">
        <is>
          <t>20260525</t>
        </is>
      </c>
      <c r="L151" t="inlineStr">
        <is>
          <t>99991231</t>
        </is>
      </c>
    </row>
    <row r="152">
      <c r="A152" t="inlineStr">
        <is>
          <t>900000295</t>
        </is>
      </c>
      <c r="B152" t="inlineStr">
        <is>
          <t>DW70</t>
        </is>
      </c>
      <c r="C152" t="inlineStr">
        <is>
          <t>D079</t>
        </is>
      </c>
      <c r="D152" t="inlineStr">
        <is>
          <t>10000160</t>
        </is>
      </c>
      <c r="E152" t="inlineStr"/>
      <c r="F152" s="11" t="n">
        <v>62.11</v>
      </c>
      <c r="G152" t="inlineStr"/>
      <c r="I152" t="inlineStr">
        <is>
          <t>TN</t>
        </is>
      </c>
      <c r="J152" t="inlineStr"/>
      <c r="K152" t="inlineStr">
        <is>
          <t>20230501</t>
        </is>
      </c>
      <c r="L152" t="inlineStr">
        <is>
          <t>20250131</t>
        </is>
      </c>
    </row>
    <row r="153">
      <c r="A153" t="inlineStr">
        <is>
          <t>900000295</t>
        </is>
      </c>
      <c r="B153" t="inlineStr">
        <is>
          <t>DW70</t>
        </is>
      </c>
      <c r="C153" t="inlineStr">
        <is>
          <t>D079</t>
        </is>
      </c>
      <c r="D153" t="inlineStr">
        <is>
          <t>10264162</t>
        </is>
      </c>
      <c r="E153" t="inlineStr"/>
      <c r="F153" s="11" t="n">
        <v>84.93000000000001</v>
      </c>
      <c r="G153" t="inlineStr"/>
      <c r="I153" t="inlineStr">
        <is>
          <t>TN</t>
        </is>
      </c>
      <c r="J153" t="inlineStr"/>
      <c r="K153" t="inlineStr">
        <is>
          <t>20260415</t>
        </is>
      </c>
      <c r="L153" t="inlineStr">
        <is>
          <t>99991231</t>
        </is>
      </c>
    </row>
    <row r="154">
      <c r="A154" t="inlineStr">
        <is>
          <t>900000295</t>
        </is>
      </c>
      <c r="B154" t="inlineStr">
        <is>
          <t>DW70</t>
        </is>
      </c>
      <c r="C154" t="inlineStr">
        <is>
          <t>D079</t>
        </is>
      </c>
      <c r="D154" t="inlineStr">
        <is>
          <t>10274754</t>
        </is>
      </c>
      <c r="E154" t="inlineStr"/>
      <c r="F154" s="11" t="n">
        <v>104.9</v>
      </c>
      <c r="G154" t="inlineStr"/>
      <c r="I154" t="inlineStr">
        <is>
          <t>TN</t>
        </is>
      </c>
      <c r="J154" t="inlineStr"/>
      <c r="K154" t="inlineStr">
        <is>
          <t>20260302</t>
        </is>
      </c>
      <c r="L154" t="inlineStr">
        <is>
          <t>99991231</t>
        </is>
      </c>
    </row>
    <row r="155">
      <c r="A155" t="inlineStr">
        <is>
          <t>900000295</t>
        </is>
      </c>
      <c r="B155" t="inlineStr">
        <is>
          <t>DW70</t>
        </is>
      </c>
      <c r="C155" t="inlineStr">
        <is>
          <t>D079</t>
        </is>
      </c>
      <c r="D155" t="inlineStr">
        <is>
          <t>10277513</t>
        </is>
      </c>
      <c r="E155" t="inlineStr"/>
      <c r="F155" s="11" t="n">
        <v>61.66</v>
      </c>
      <c r="G155" t="inlineStr"/>
      <c r="I155" t="inlineStr">
        <is>
          <t>TN</t>
        </is>
      </c>
      <c r="J155" t="inlineStr"/>
      <c r="K155" t="inlineStr">
        <is>
          <t>20260525</t>
        </is>
      </c>
      <c r="L155" t="inlineStr">
        <is>
          <t>99991231</t>
        </is>
      </c>
    </row>
    <row r="156">
      <c r="A156" t="inlineStr">
        <is>
          <t>900000295</t>
        </is>
      </c>
      <c r="B156" t="inlineStr">
        <is>
          <t>DW70</t>
        </is>
      </c>
      <c r="C156" t="inlineStr">
        <is>
          <t>D080</t>
        </is>
      </c>
      <c r="D156" t="inlineStr">
        <is>
          <t>10000160</t>
        </is>
      </c>
      <c r="E156" t="inlineStr"/>
      <c r="F156" s="11" t="n">
        <v>62.11</v>
      </c>
      <c r="G156" t="inlineStr"/>
      <c r="I156" t="inlineStr">
        <is>
          <t>TN</t>
        </is>
      </c>
      <c r="J156" t="inlineStr"/>
      <c r="K156" t="inlineStr">
        <is>
          <t>20230501</t>
        </is>
      </c>
      <c r="L156" t="inlineStr">
        <is>
          <t>20250131</t>
        </is>
      </c>
    </row>
    <row r="157">
      <c r="A157" t="inlineStr">
        <is>
          <t>900000295</t>
        </is>
      </c>
      <c r="B157" t="inlineStr">
        <is>
          <t>DW70</t>
        </is>
      </c>
      <c r="C157" t="inlineStr">
        <is>
          <t>D080</t>
        </is>
      </c>
      <c r="D157" t="inlineStr">
        <is>
          <t>10264162</t>
        </is>
      </c>
      <c r="E157" t="inlineStr"/>
      <c r="F157" s="11" t="n">
        <v>84.93000000000001</v>
      </c>
      <c r="G157" t="inlineStr"/>
      <c r="I157" t="inlineStr">
        <is>
          <t>TN</t>
        </is>
      </c>
      <c r="J157" t="inlineStr"/>
      <c r="K157" t="inlineStr">
        <is>
          <t>20260415</t>
        </is>
      </c>
      <c r="L157" t="inlineStr">
        <is>
          <t>99991231</t>
        </is>
      </c>
    </row>
    <row r="158">
      <c r="A158" t="inlineStr">
        <is>
          <t>900000295</t>
        </is>
      </c>
      <c r="B158" t="inlineStr">
        <is>
          <t>DW70</t>
        </is>
      </c>
      <c r="C158" t="inlineStr">
        <is>
          <t>D080</t>
        </is>
      </c>
      <c r="D158" t="inlineStr">
        <is>
          <t>10274754</t>
        </is>
      </c>
      <c r="E158" t="inlineStr"/>
      <c r="F158" s="11" t="n">
        <v>104.9</v>
      </c>
      <c r="G158" t="inlineStr"/>
      <c r="I158" t="inlineStr">
        <is>
          <t>TN</t>
        </is>
      </c>
      <c r="J158" t="inlineStr"/>
      <c r="K158" t="inlineStr">
        <is>
          <t>20260302</t>
        </is>
      </c>
      <c r="L158" t="inlineStr">
        <is>
          <t>99991231</t>
        </is>
      </c>
    </row>
    <row r="159">
      <c r="A159" t="inlineStr">
        <is>
          <t>900000295</t>
        </is>
      </c>
      <c r="B159" t="inlineStr">
        <is>
          <t>DW70</t>
        </is>
      </c>
      <c r="C159" t="inlineStr">
        <is>
          <t>D080</t>
        </is>
      </c>
      <c r="D159" t="inlineStr">
        <is>
          <t>10277513</t>
        </is>
      </c>
      <c r="E159" t="inlineStr"/>
      <c r="F159" s="11" t="n">
        <v>61.66</v>
      </c>
      <c r="G159" t="inlineStr"/>
      <c r="I159" t="inlineStr">
        <is>
          <t>TN</t>
        </is>
      </c>
      <c r="J159" t="inlineStr"/>
      <c r="K159" t="inlineStr">
        <is>
          <t>20260525</t>
        </is>
      </c>
      <c r="L159" t="inlineStr">
        <is>
          <t>99991231</t>
        </is>
      </c>
    </row>
    <row r="160">
      <c r="A160" t="inlineStr">
        <is>
          <t>900000295</t>
        </is>
      </c>
      <c r="B160" t="inlineStr">
        <is>
          <t>DW70</t>
        </is>
      </c>
      <c r="C160" t="inlineStr">
        <is>
          <t>D081</t>
        </is>
      </c>
      <c r="D160" t="inlineStr">
        <is>
          <t>10000160</t>
        </is>
      </c>
      <c r="E160" t="inlineStr"/>
      <c r="F160" s="11" t="n">
        <v>62.11</v>
      </c>
      <c r="G160" t="inlineStr"/>
      <c r="I160" t="inlineStr">
        <is>
          <t>TN</t>
        </is>
      </c>
      <c r="J160" t="inlineStr"/>
      <c r="K160" t="inlineStr">
        <is>
          <t>20230501</t>
        </is>
      </c>
      <c r="L160" t="inlineStr">
        <is>
          <t>20250131</t>
        </is>
      </c>
    </row>
    <row r="161">
      <c r="A161" t="inlineStr">
        <is>
          <t>900000295</t>
        </is>
      </c>
      <c r="B161" t="inlineStr">
        <is>
          <t>DW70</t>
        </is>
      </c>
      <c r="C161" t="inlineStr">
        <is>
          <t>D081</t>
        </is>
      </c>
      <c r="D161" t="inlineStr">
        <is>
          <t>10264162</t>
        </is>
      </c>
      <c r="E161" t="inlineStr"/>
      <c r="F161" s="11" t="n">
        <v>84.93000000000001</v>
      </c>
      <c r="G161" t="inlineStr"/>
      <c r="I161" t="inlineStr">
        <is>
          <t>TN</t>
        </is>
      </c>
      <c r="J161" t="inlineStr"/>
      <c r="K161" t="inlineStr">
        <is>
          <t>20260415</t>
        </is>
      </c>
      <c r="L161" t="inlineStr">
        <is>
          <t>99991231</t>
        </is>
      </c>
    </row>
    <row r="162">
      <c r="A162" t="inlineStr">
        <is>
          <t>900000295</t>
        </is>
      </c>
      <c r="B162" t="inlineStr">
        <is>
          <t>DW70</t>
        </is>
      </c>
      <c r="C162" t="inlineStr">
        <is>
          <t>D081</t>
        </is>
      </c>
      <c r="D162" t="inlineStr">
        <is>
          <t>10274754</t>
        </is>
      </c>
      <c r="E162" t="inlineStr"/>
      <c r="F162" s="11" t="n">
        <v>104.9</v>
      </c>
      <c r="G162" t="inlineStr"/>
      <c r="I162" t="inlineStr">
        <is>
          <t>TN</t>
        </is>
      </c>
      <c r="J162" t="inlineStr"/>
      <c r="K162" t="inlineStr">
        <is>
          <t>20260302</t>
        </is>
      </c>
      <c r="L162" t="inlineStr">
        <is>
          <t>99991231</t>
        </is>
      </c>
    </row>
    <row r="163">
      <c r="A163" t="inlineStr">
        <is>
          <t>900000295</t>
        </is>
      </c>
      <c r="B163" t="inlineStr">
        <is>
          <t>DW70</t>
        </is>
      </c>
      <c r="C163" t="inlineStr">
        <is>
          <t>D081</t>
        </is>
      </c>
      <c r="D163" t="inlineStr">
        <is>
          <t>10277513</t>
        </is>
      </c>
      <c r="E163" t="inlineStr"/>
      <c r="F163" s="11" t="n">
        <v>61.66</v>
      </c>
      <c r="G163" t="inlineStr"/>
      <c r="I163" t="inlineStr">
        <is>
          <t>TN</t>
        </is>
      </c>
      <c r="J163" t="inlineStr"/>
      <c r="K163" t="inlineStr">
        <is>
          <t>20260525</t>
        </is>
      </c>
      <c r="L163" t="inlineStr">
        <is>
          <t>99991231</t>
        </is>
      </c>
    </row>
    <row r="164">
      <c r="A164" t="inlineStr">
        <is>
          <t>900000295</t>
        </is>
      </c>
      <c r="B164" t="inlineStr">
        <is>
          <t>DW70</t>
        </is>
      </c>
      <c r="C164" t="inlineStr">
        <is>
          <t>D083</t>
        </is>
      </c>
      <c r="D164" t="inlineStr">
        <is>
          <t>10000160</t>
        </is>
      </c>
      <c r="E164" t="inlineStr"/>
      <c r="F164" s="11" t="n">
        <v>62.11</v>
      </c>
      <c r="G164" t="inlineStr"/>
      <c r="I164" t="inlineStr">
        <is>
          <t>TN</t>
        </is>
      </c>
      <c r="J164" t="inlineStr"/>
      <c r="K164" t="inlineStr">
        <is>
          <t>20230501</t>
        </is>
      </c>
      <c r="L164" t="inlineStr">
        <is>
          <t>20250131</t>
        </is>
      </c>
    </row>
    <row r="165">
      <c r="A165" t="inlineStr">
        <is>
          <t>900000295</t>
        </is>
      </c>
      <c r="B165" t="inlineStr">
        <is>
          <t>DW70</t>
        </is>
      </c>
      <c r="C165" t="inlineStr">
        <is>
          <t>D083</t>
        </is>
      </c>
      <c r="D165" t="inlineStr">
        <is>
          <t>10264162</t>
        </is>
      </c>
      <c r="E165" t="inlineStr"/>
      <c r="F165" s="11" t="n">
        <v>84.93000000000001</v>
      </c>
      <c r="G165" t="inlineStr"/>
      <c r="I165" t="inlineStr">
        <is>
          <t>TN</t>
        </is>
      </c>
      <c r="J165" t="inlineStr"/>
      <c r="K165" t="inlineStr">
        <is>
          <t>20260415</t>
        </is>
      </c>
      <c r="L165" t="inlineStr">
        <is>
          <t>99991231</t>
        </is>
      </c>
    </row>
    <row r="166">
      <c r="A166" t="inlineStr">
        <is>
          <t>900000295</t>
        </is>
      </c>
      <c r="B166" t="inlineStr">
        <is>
          <t>DW70</t>
        </is>
      </c>
      <c r="C166" t="inlineStr">
        <is>
          <t>D083</t>
        </is>
      </c>
      <c r="D166" t="inlineStr">
        <is>
          <t>10274754</t>
        </is>
      </c>
      <c r="E166" t="inlineStr"/>
      <c r="F166" s="11" t="n">
        <v>104.9</v>
      </c>
      <c r="G166" t="inlineStr"/>
      <c r="I166" t="inlineStr">
        <is>
          <t>TN</t>
        </is>
      </c>
      <c r="J166" t="inlineStr"/>
      <c r="K166" t="inlineStr">
        <is>
          <t>20260302</t>
        </is>
      </c>
      <c r="L166" t="inlineStr">
        <is>
          <t>99991231</t>
        </is>
      </c>
    </row>
    <row r="167">
      <c r="A167" t="inlineStr">
        <is>
          <t>900000295</t>
        </is>
      </c>
      <c r="B167" t="inlineStr">
        <is>
          <t>DW70</t>
        </is>
      </c>
      <c r="C167" t="inlineStr">
        <is>
          <t>D083</t>
        </is>
      </c>
      <c r="D167" t="inlineStr">
        <is>
          <t>10277513</t>
        </is>
      </c>
      <c r="E167" t="inlineStr"/>
      <c r="F167" s="11" t="n">
        <v>61.66</v>
      </c>
      <c r="G167" t="inlineStr"/>
      <c r="I167" t="inlineStr">
        <is>
          <t>TN</t>
        </is>
      </c>
      <c r="J167" t="inlineStr"/>
      <c r="K167" t="inlineStr">
        <is>
          <t>20260525</t>
        </is>
      </c>
      <c r="L167" t="inlineStr">
        <is>
          <t>99991231</t>
        </is>
      </c>
    </row>
    <row r="168">
      <c r="A168" t="inlineStr">
        <is>
          <t>900000295</t>
        </is>
      </c>
      <c r="B168" t="inlineStr">
        <is>
          <t>DW70</t>
        </is>
      </c>
      <c r="C168" t="inlineStr">
        <is>
          <t>D084</t>
        </is>
      </c>
      <c r="D168" t="inlineStr">
        <is>
          <t>10000160</t>
        </is>
      </c>
      <c r="E168" t="inlineStr"/>
      <c r="F168" s="11" t="n">
        <v>62.11</v>
      </c>
      <c r="G168" t="inlineStr"/>
      <c r="I168" t="inlineStr">
        <is>
          <t>TN</t>
        </is>
      </c>
      <c r="J168" t="inlineStr"/>
      <c r="K168" t="inlineStr">
        <is>
          <t>20230501</t>
        </is>
      </c>
      <c r="L168" t="inlineStr">
        <is>
          <t>20250131</t>
        </is>
      </c>
    </row>
    <row r="169">
      <c r="A169" t="inlineStr">
        <is>
          <t>900000295</t>
        </is>
      </c>
      <c r="B169" t="inlineStr">
        <is>
          <t>DW70</t>
        </is>
      </c>
      <c r="C169" t="inlineStr">
        <is>
          <t>D084</t>
        </is>
      </c>
      <c r="D169" t="inlineStr">
        <is>
          <t>10264162</t>
        </is>
      </c>
      <c r="E169" t="inlineStr"/>
      <c r="F169" s="11" t="n">
        <v>84.93000000000001</v>
      </c>
      <c r="G169" t="inlineStr"/>
      <c r="I169" t="inlineStr">
        <is>
          <t>TN</t>
        </is>
      </c>
      <c r="J169" t="inlineStr"/>
      <c r="K169" t="inlineStr">
        <is>
          <t>20260415</t>
        </is>
      </c>
      <c r="L169" t="inlineStr">
        <is>
          <t>99991231</t>
        </is>
      </c>
    </row>
    <row r="170">
      <c r="A170" t="inlineStr">
        <is>
          <t>900000295</t>
        </is>
      </c>
      <c r="B170" t="inlineStr">
        <is>
          <t>DW70</t>
        </is>
      </c>
      <c r="C170" t="inlineStr">
        <is>
          <t>D084</t>
        </is>
      </c>
      <c r="D170" t="inlineStr">
        <is>
          <t>10274754</t>
        </is>
      </c>
      <c r="E170" t="inlineStr"/>
      <c r="F170" s="11" t="n">
        <v>104.9</v>
      </c>
      <c r="G170" t="inlineStr"/>
      <c r="I170" t="inlineStr">
        <is>
          <t>TN</t>
        </is>
      </c>
      <c r="J170" t="inlineStr"/>
      <c r="K170" t="inlineStr">
        <is>
          <t>20260302</t>
        </is>
      </c>
      <c r="L170" t="inlineStr">
        <is>
          <t>99991231</t>
        </is>
      </c>
    </row>
    <row r="171">
      <c r="A171" t="inlineStr">
        <is>
          <t>900000295</t>
        </is>
      </c>
      <c r="B171" t="inlineStr">
        <is>
          <t>DW70</t>
        </is>
      </c>
      <c r="C171" t="inlineStr">
        <is>
          <t>D084</t>
        </is>
      </c>
      <c r="D171" t="inlineStr">
        <is>
          <t>10277513</t>
        </is>
      </c>
      <c r="E171" t="inlineStr"/>
      <c r="F171" s="11" t="n">
        <v>61.66</v>
      </c>
      <c r="G171" t="inlineStr"/>
      <c r="I171" t="inlineStr">
        <is>
          <t>TN</t>
        </is>
      </c>
      <c r="J171" t="inlineStr"/>
      <c r="K171" t="inlineStr">
        <is>
          <t>20260525</t>
        </is>
      </c>
      <c r="L171" t="inlineStr">
        <is>
          <t>99991231</t>
        </is>
      </c>
    </row>
    <row r="172">
      <c r="A172" t="inlineStr">
        <is>
          <t>900000295</t>
        </is>
      </c>
      <c r="B172" t="inlineStr">
        <is>
          <t>DW70</t>
        </is>
      </c>
      <c r="C172" t="inlineStr">
        <is>
          <t>D085</t>
        </is>
      </c>
      <c r="D172" t="inlineStr">
        <is>
          <t>10000160</t>
        </is>
      </c>
      <c r="E172" t="inlineStr"/>
      <c r="F172" s="11" t="n">
        <v>62.11</v>
      </c>
      <c r="G172" t="inlineStr"/>
      <c r="I172" t="inlineStr">
        <is>
          <t>TN</t>
        </is>
      </c>
      <c r="J172" t="inlineStr"/>
      <c r="K172" t="inlineStr">
        <is>
          <t>20230501</t>
        </is>
      </c>
      <c r="L172" t="inlineStr">
        <is>
          <t>20250131</t>
        </is>
      </c>
    </row>
    <row r="173">
      <c r="A173" t="inlineStr">
        <is>
          <t>900000295</t>
        </is>
      </c>
      <c r="B173" t="inlineStr">
        <is>
          <t>DW70</t>
        </is>
      </c>
      <c r="C173" t="inlineStr">
        <is>
          <t>D085</t>
        </is>
      </c>
      <c r="D173" t="inlineStr">
        <is>
          <t>10264162</t>
        </is>
      </c>
      <c r="E173" t="inlineStr"/>
      <c r="F173" s="11" t="n">
        <v>84.93000000000001</v>
      </c>
      <c r="G173" t="inlineStr"/>
      <c r="I173" t="inlineStr">
        <is>
          <t>TN</t>
        </is>
      </c>
      <c r="J173" t="inlineStr"/>
      <c r="K173" t="inlineStr">
        <is>
          <t>20260415</t>
        </is>
      </c>
      <c r="L173" t="inlineStr">
        <is>
          <t>99991231</t>
        </is>
      </c>
    </row>
    <row r="174">
      <c r="A174" t="inlineStr">
        <is>
          <t>900000295</t>
        </is>
      </c>
      <c r="B174" t="inlineStr">
        <is>
          <t>DW70</t>
        </is>
      </c>
      <c r="C174" t="inlineStr">
        <is>
          <t>D085</t>
        </is>
      </c>
      <c r="D174" t="inlineStr">
        <is>
          <t>10274754</t>
        </is>
      </c>
      <c r="E174" t="inlineStr"/>
      <c r="F174" s="11" t="n">
        <v>104.9</v>
      </c>
      <c r="G174" t="inlineStr"/>
      <c r="I174" t="inlineStr">
        <is>
          <t>TN</t>
        </is>
      </c>
      <c r="J174" t="inlineStr"/>
      <c r="K174" t="inlineStr">
        <is>
          <t>20260302</t>
        </is>
      </c>
      <c r="L174" t="inlineStr">
        <is>
          <t>99991231</t>
        </is>
      </c>
    </row>
    <row r="175">
      <c r="A175" t="inlineStr">
        <is>
          <t>900000295</t>
        </is>
      </c>
      <c r="B175" t="inlineStr">
        <is>
          <t>DW70</t>
        </is>
      </c>
      <c r="C175" t="inlineStr">
        <is>
          <t>D085</t>
        </is>
      </c>
      <c r="D175" t="inlineStr">
        <is>
          <t>10277513</t>
        </is>
      </c>
      <c r="E175" t="inlineStr"/>
      <c r="F175" s="11" t="n">
        <v>61.66</v>
      </c>
      <c r="G175" t="inlineStr"/>
      <c r="I175" t="inlineStr">
        <is>
          <t>TN</t>
        </is>
      </c>
      <c r="J175" t="inlineStr"/>
      <c r="K175" t="inlineStr">
        <is>
          <t>20260525</t>
        </is>
      </c>
      <c r="L175" t="inlineStr">
        <is>
          <t>99991231</t>
        </is>
      </c>
    </row>
    <row r="176">
      <c r="A176" t="inlineStr">
        <is>
          <t>900000295</t>
        </is>
      </c>
      <c r="B176" t="inlineStr">
        <is>
          <t>DW70</t>
        </is>
      </c>
      <c r="C176" t="inlineStr">
        <is>
          <t>D086</t>
        </is>
      </c>
      <c r="D176" t="inlineStr">
        <is>
          <t>10000160</t>
        </is>
      </c>
      <c r="E176" t="inlineStr"/>
      <c r="F176" s="11" t="n">
        <v>62.11</v>
      </c>
      <c r="G176" t="inlineStr"/>
      <c r="I176" t="inlineStr">
        <is>
          <t>TN</t>
        </is>
      </c>
      <c r="J176" t="inlineStr"/>
      <c r="K176" t="inlineStr">
        <is>
          <t>20230501</t>
        </is>
      </c>
      <c r="L176" t="inlineStr">
        <is>
          <t>20250131</t>
        </is>
      </c>
    </row>
    <row r="177">
      <c r="A177" t="inlineStr">
        <is>
          <t>900000295</t>
        </is>
      </c>
      <c r="B177" t="inlineStr">
        <is>
          <t>DW70</t>
        </is>
      </c>
      <c r="C177" t="inlineStr">
        <is>
          <t>D086</t>
        </is>
      </c>
      <c r="D177" t="inlineStr">
        <is>
          <t>10264162</t>
        </is>
      </c>
      <c r="E177" t="inlineStr"/>
      <c r="F177" s="11" t="n">
        <v>84.93000000000001</v>
      </c>
      <c r="G177" t="inlineStr"/>
      <c r="I177" t="inlineStr">
        <is>
          <t>TN</t>
        </is>
      </c>
      <c r="J177" t="inlineStr"/>
      <c r="K177" t="inlineStr">
        <is>
          <t>20260415</t>
        </is>
      </c>
      <c r="L177" t="inlineStr">
        <is>
          <t>99991231</t>
        </is>
      </c>
    </row>
    <row r="178">
      <c r="A178" t="inlineStr">
        <is>
          <t>900000295</t>
        </is>
      </c>
      <c r="B178" t="inlineStr">
        <is>
          <t>DW70</t>
        </is>
      </c>
      <c r="C178" t="inlineStr">
        <is>
          <t>D086</t>
        </is>
      </c>
      <c r="D178" t="inlineStr">
        <is>
          <t>10274754</t>
        </is>
      </c>
      <c r="E178" t="inlineStr"/>
      <c r="F178" s="11" t="n">
        <v>104.9</v>
      </c>
      <c r="G178" t="inlineStr"/>
      <c r="I178" t="inlineStr">
        <is>
          <t>TN</t>
        </is>
      </c>
      <c r="J178" t="inlineStr"/>
      <c r="K178" t="inlineStr">
        <is>
          <t>20260302</t>
        </is>
      </c>
      <c r="L178" t="inlineStr">
        <is>
          <t>99991231</t>
        </is>
      </c>
    </row>
    <row r="179">
      <c r="A179" t="inlineStr">
        <is>
          <t>900000295</t>
        </is>
      </c>
      <c r="B179" t="inlineStr">
        <is>
          <t>DW70</t>
        </is>
      </c>
      <c r="C179" t="inlineStr">
        <is>
          <t>D086</t>
        </is>
      </c>
      <c r="D179" t="inlineStr">
        <is>
          <t>10277513</t>
        </is>
      </c>
      <c r="E179" t="inlineStr"/>
      <c r="F179" s="11" t="n">
        <v>61.66</v>
      </c>
      <c r="G179" t="inlineStr"/>
      <c r="I179" t="inlineStr">
        <is>
          <t>TN</t>
        </is>
      </c>
      <c r="J179" t="inlineStr"/>
      <c r="K179" t="inlineStr">
        <is>
          <t>20260525</t>
        </is>
      </c>
      <c r="L179" t="inlineStr">
        <is>
          <t>99991231</t>
        </is>
      </c>
    </row>
    <row r="180">
      <c r="A180" t="inlineStr">
        <is>
          <t>900000295</t>
        </is>
      </c>
      <c r="B180" t="inlineStr">
        <is>
          <t>DW70</t>
        </is>
      </c>
      <c r="C180" t="inlineStr">
        <is>
          <t>D088</t>
        </is>
      </c>
      <c r="D180" t="inlineStr">
        <is>
          <t>10000160</t>
        </is>
      </c>
      <c r="E180" t="inlineStr"/>
      <c r="F180" s="11" t="n">
        <v>62.11</v>
      </c>
      <c r="G180" t="inlineStr"/>
      <c r="I180" t="inlineStr">
        <is>
          <t>TN</t>
        </is>
      </c>
      <c r="J180" t="inlineStr"/>
      <c r="K180" t="inlineStr">
        <is>
          <t>20230501</t>
        </is>
      </c>
      <c r="L180" t="inlineStr">
        <is>
          <t>20250131</t>
        </is>
      </c>
    </row>
    <row r="181">
      <c r="A181" t="inlineStr">
        <is>
          <t>900000295</t>
        </is>
      </c>
      <c r="B181" t="inlineStr">
        <is>
          <t>DW70</t>
        </is>
      </c>
      <c r="C181" t="inlineStr">
        <is>
          <t>D089</t>
        </is>
      </c>
      <c r="D181" t="inlineStr">
        <is>
          <t>10000160</t>
        </is>
      </c>
      <c r="E181" t="inlineStr"/>
      <c r="F181" s="11" t="n">
        <v>62.11</v>
      </c>
      <c r="G181" t="inlineStr"/>
      <c r="I181" t="inlineStr">
        <is>
          <t>TN</t>
        </is>
      </c>
      <c r="J181" t="inlineStr"/>
      <c r="K181" t="inlineStr">
        <is>
          <t>20230501</t>
        </is>
      </c>
      <c r="L181" t="inlineStr">
        <is>
          <t>20250131</t>
        </is>
      </c>
    </row>
    <row r="182">
      <c r="A182" t="inlineStr">
        <is>
          <t>900000295</t>
        </is>
      </c>
      <c r="B182" t="inlineStr">
        <is>
          <t>DW70</t>
        </is>
      </c>
      <c r="C182" t="inlineStr">
        <is>
          <t>D093</t>
        </is>
      </c>
      <c r="D182" t="inlineStr">
        <is>
          <t>10000160</t>
        </is>
      </c>
      <c r="E182" t="inlineStr"/>
      <c r="F182" s="11" t="n">
        <v>62.11</v>
      </c>
      <c r="G182" t="inlineStr"/>
      <c r="I182" t="inlineStr">
        <is>
          <t>TN</t>
        </is>
      </c>
      <c r="J182" t="inlineStr"/>
      <c r="K182" t="inlineStr">
        <is>
          <t>20230501</t>
        </is>
      </c>
      <c r="L182" t="inlineStr">
        <is>
          <t>20250131</t>
        </is>
      </c>
    </row>
    <row r="183">
      <c r="A183" t="inlineStr">
        <is>
          <t>900000295</t>
        </is>
      </c>
      <c r="B183" t="inlineStr">
        <is>
          <t>DW70</t>
        </is>
      </c>
      <c r="C183" t="inlineStr">
        <is>
          <t>D093</t>
        </is>
      </c>
      <c r="D183" t="inlineStr">
        <is>
          <t>10264162</t>
        </is>
      </c>
      <c r="E183" t="inlineStr"/>
      <c r="F183" s="11" t="n">
        <v>84.93000000000001</v>
      </c>
      <c r="G183" t="inlineStr"/>
      <c r="I183" t="inlineStr">
        <is>
          <t>TN</t>
        </is>
      </c>
      <c r="J183" t="inlineStr"/>
      <c r="K183" t="inlineStr">
        <is>
          <t>20260415</t>
        </is>
      </c>
      <c r="L183" t="inlineStr">
        <is>
          <t>99991231</t>
        </is>
      </c>
    </row>
    <row r="184">
      <c r="A184" t="inlineStr">
        <is>
          <t>900000295</t>
        </is>
      </c>
      <c r="B184" t="inlineStr">
        <is>
          <t>DW70</t>
        </is>
      </c>
      <c r="C184" t="inlineStr">
        <is>
          <t>D093</t>
        </is>
      </c>
      <c r="D184" t="inlineStr">
        <is>
          <t>10274754</t>
        </is>
      </c>
      <c r="E184" t="inlineStr"/>
      <c r="F184" s="11" t="n">
        <v>104.9</v>
      </c>
      <c r="G184" t="inlineStr"/>
      <c r="I184" t="inlineStr">
        <is>
          <t>TN</t>
        </is>
      </c>
      <c r="J184" t="inlineStr"/>
      <c r="K184" t="inlineStr">
        <is>
          <t>20260302</t>
        </is>
      </c>
      <c r="L184" t="inlineStr">
        <is>
          <t>99991231</t>
        </is>
      </c>
    </row>
    <row r="185">
      <c r="A185" t="inlineStr">
        <is>
          <t>900000295</t>
        </is>
      </c>
      <c r="B185" t="inlineStr">
        <is>
          <t>DW70</t>
        </is>
      </c>
      <c r="C185" t="inlineStr">
        <is>
          <t>D093</t>
        </is>
      </c>
      <c r="D185" t="inlineStr">
        <is>
          <t>10277513</t>
        </is>
      </c>
      <c r="E185" t="inlineStr"/>
      <c r="F185" s="11" t="n">
        <v>61.66</v>
      </c>
      <c r="G185" t="inlineStr"/>
      <c r="I185" t="inlineStr">
        <is>
          <t>TN</t>
        </is>
      </c>
      <c r="J185" t="inlineStr"/>
      <c r="K185" t="inlineStr">
        <is>
          <t>20260525</t>
        </is>
      </c>
      <c r="L185" t="inlineStr">
        <is>
          <t>99991231</t>
        </is>
      </c>
    </row>
    <row r="186">
      <c r="A186" t="inlineStr">
        <is>
          <t>900000295</t>
        </is>
      </c>
      <c r="B186" t="inlineStr">
        <is>
          <t>DW70</t>
        </is>
      </c>
      <c r="C186" t="inlineStr">
        <is>
          <t>D098</t>
        </is>
      </c>
      <c r="D186" t="inlineStr">
        <is>
          <t>10000160</t>
        </is>
      </c>
      <c r="E186" t="inlineStr"/>
      <c r="F186" s="11" t="n">
        <v>62.11</v>
      </c>
      <c r="G186" t="inlineStr"/>
      <c r="I186" t="inlineStr">
        <is>
          <t>TN</t>
        </is>
      </c>
      <c r="J186" t="inlineStr"/>
      <c r="K186" t="inlineStr">
        <is>
          <t>20230501</t>
        </is>
      </c>
      <c r="L186" t="inlineStr">
        <is>
          <t>20250131</t>
        </is>
      </c>
    </row>
    <row r="187">
      <c r="A187" t="inlineStr">
        <is>
          <t>900000295</t>
        </is>
      </c>
      <c r="B187" t="inlineStr">
        <is>
          <t>DW70</t>
        </is>
      </c>
      <c r="C187" t="inlineStr">
        <is>
          <t>D098</t>
        </is>
      </c>
      <c r="D187" t="inlineStr">
        <is>
          <t>10264162</t>
        </is>
      </c>
      <c r="E187" t="inlineStr"/>
      <c r="F187" s="11" t="n">
        <v>84.93000000000001</v>
      </c>
      <c r="G187" t="inlineStr"/>
      <c r="I187" t="inlineStr">
        <is>
          <t>TN</t>
        </is>
      </c>
      <c r="J187" t="inlineStr"/>
      <c r="K187" t="inlineStr">
        <is>
          <t>20260415</t>
        </is>
      </c>
      <c r="L187" t="inlineStr">
        <is>
          <t>99991231</t>
        </is>
      </c>
    </row>
    <row r="188">
      <c r="A188" t="inlineStr">
        <is>
          <t>900000295</t>
        </is>
      </c>
      <c r="B188" t="inlineStr">
        <is>
          <t>DW70</t>
        </is>
      </c>
      <c r="C188" t="inlineStr">
        <is>
          <t>D098</t>
        </is>
      </c>
      <c r="D188" t="inlineStr">
        <is>
          <t>10274754</t>
        </is>
      </c>
      <c r="E188" t="inlineStr"/>
      <c r="F188" s="11" t="n">
        <v>104.9</v>
      </c>
      <c r="G188" t="inlineStr"/>
      <c r="I188" t="inlineStr">
        <is>
          <t>TN</t>
        </is>
      </c>
      <c r="J188" t="inlineStr"/>
      <c r="K188" t="inlineStr">
        <is>
          <t>20260302</t>
        </is>
      </c>
      <c r="L188" t="inlineStr">
        <is>
          <t>99991231</t>
        </is>
      </c>
    </row>
    <row r="189">
      <c r="A189" t="inlineStr">
        <is>
          <t>900000295</t>
        </is>
      </c>
      <c r="B189" t="inlineStr">
        <is>
          <t>DW70</t>
        </is>
      </c>
      <c r="C189" t="inlineStr">
        <is>
          <t>D098</t>
        </is>
      </c>
      <c r="D189" t="inlineStr">
        <is>
          <t>10277513</t>
        </is>
      </c>
      <c r="E189" t="inlineStr"/>
      <c r="F189" s="11" t="n">
        <v>61.66</v>
      </c>
      <c r="G189" t="inlineStr"/>
      <c r="I189" t="inlineStr">
        <is>
          <t>TN</t>
        </is>
      </c>
      <c r="J189" t="inlineStr"/>
      <c r="K189" t="inlineStr">
        <is>
          <t>20260525</t>
        </is>
      </c>
      <c r="L189" t="inlineStr">
        <is>
          <t>99991231</t>
        </is>
      </c>
    </row>
    <row r="190">
      <c r="A190" t="inlineStr">
        <is>
          <t>900000295</t>
        </is>
      </c>
      <c r="B190" t="inlineStr">
        <is>
          <t>DW70</t>
        </is>
      </c>
      <c r="C190" t="inlineStr">
        <is>
          <t>D105</t>
        </is>
      </c>
      <c r="D190" t="inlineStr">
        <is>
          <t>10000160</t>
        </is>
      </c>
      <c r="E190" t="inlineStr"/>
      <c r="F190" s="11" t="n">
        <v>62.11</v>
      </c>
      <c r="G190" t="inlineStr"/>
      <c r="I190" t="inlineStr">
        <is>
          <t>TN</t>
        </is>
      </c>
      <c r="J190" t="inlineStr"/>
      <c r="K190" t="inlineStr">
        <is>
          <t>20230501</t>
        </is>
      </c>
      <c r="L190" t="inlineStr">
        <is>
          <t>20250131</t>
        </is>
      </c>
    </row>
    <row r="191">
      <c r="A191" t="inlineStr">
        <is>
          <t>900000295</t>
        </is>
      </c>
      <c r="B191" t="inlineStr">
        <is>
          <t>DW70</t>
        </is>
      </c>
      <c r="C191" t="inlineStr">
        <is>
          <t>D105</t>
        </is>
      </c>
      <c r="D191" t="inlineStr">
        <is>
          <t>10264162</t>
        </is>
      </c>
      <c r="E191" t="inlineStr"/>
      <c r="F191" s="11" t="n">
        <v>84.93000000000001</v>
      </c>
      <c r="G191" t="inlineStr"/>
      <c r="I191" t="inlineStr">
        <is>
          <t>TN</t>
        </is>
      </c>
      <c r="J191" t="inlineStr"/>
      <c r="K191" t="inlineStr">
        <is>
          <t>20260415</t>
        </is>
      </c>
      <c r="L191" t="inlineStr">
        <is>
          <t>99991231</t>
        </is>
      </c>
    </row>
    <row r="192">
      <c r="A192" t="inlineStr">
        <is>
          <t>900000295</t>
        </is>
      </c>
      <c r="B192" t="inlineStr">
        <is>
          <t>DW70</t>
        </is>
      </c>
      <c r="C192" t="inlineStr">
        <is>
          <t>D105</t>
        </is>
      </c>
      <c r="D192" t="inlineStr">
        <is>
          <t>10274754</t>
        </is>
      </c>
      <c r="E192" t="inlineStr"/>
      <c r="F192" s="11" t="n">
        <v>104.9</v>
      </c>
      <c r="G192" t="inlineStr"/>
      <c r="I192" t="inlineStr">
        <is>
          <t>TN</t>
        </is>
      </c>
      <c r="J192" t="inlineStr"/>
      <c r="K192" t="inlineStr">
        <is>
          <t>20260302</t>
        </is>
      </c>
      <c r="L192" t="inlineStr">
        <is>
          <t>99991231</t>
        </is>
      </c>
    </row>
    <row r="193">
      <c r="A193" t="inlineStr">
        <is>
          <t>900000295</t>
        </is>
      </c>
      <c r="B193" t="inlineStr">
        <is>
          <t>DW70</t>
        </is>
      </c>
      <c r="C193" t="inlineStr">
        <is>
          <t>D105</t>
        </is>
      </c>
      <c r="D193" t="inlineStr">
        <is>
          <t>10277513</t>
        </is>
      </c>
      <c r="E193" t="inlineStr"/>
      <c r="F193" s="11" t="n">
        <v>61.66</v>
      </c>
      <c r="G193" t="inlineStr"/>
      <c r="I193" t="inlineStr">
        <is>
          <t>TN</t>
        </is>
      </c>
      <c r="J193" t="inlineStr"/>
      <c r="K193" t="inlineStr">
        <is>
          <t>20260525</t>
        </is>
      </c>
      <c r="L193" t="inlineStr">
        <is>
          <t>99991231</t>
        </is>
      </c>
    </row>
    <row r="194">
      <c r="A194" t="inlineStr">
        <is>
          <t>900000295</t>
        </is>
      </c>
      <c r="B194" t="inlineStr">
        <is>
          <t>DW70</t>
        </is>
      </c>
      <c r="C194" t="inlineStr">
        <is>
          <t>D136</t>
        </is>
      </c>
      <c r="D194" t="inlineStr">
        <is>
          <t>10000160</t>
        </is>
      </c>
      <c r="E194" t="inlineStr"/>
      <c r="F194" s="11" t="n">
        <v>62.11</v>
      </c>
      <c r="G194" t="inlineStr"/>
      <c r="I194" t="inlineStr">
        <is>
          <t>TN</t>
        </is>
      </c>
      <c r="J194" t="inlineStr"/>
      <c r="K194" t="inlineStr">
        <is>
          <t>20230501</t>
        </is>
      </c>
      <c r="L194" t="inlineStr">
        <is>
          <t>20250131</t>
        </is>
      </c>
    </row>
    <row r="195">
      <c r="A195" t="inlineStr">
        <is>
          <t>900000295</t>
        </is>
      </c>
      <c r="B195" t="inlineStr">
        <is>
          <t>DW70</t>
        </is>
      </c>
      <c r="C195" t="inlineStr">
        <is>
          <t>D136</t>
        </is>
      </c>
      <c r="D195" t="inlineStr">
        <is>
          <t>10264162</t>
        </is>
      </c>
      <c r="E195" t="inlineStr"/>
      <c r="F195" s="11" t="n">
        <v>84.93000000000001</v>
      </c>
      <c r="G195" t="inlineStr"/>
      <c r="I195" t="inlineStr">
        <is>
          <t>TN</t>
        </is>
      </c>
      <c r="J195" t="inlineStr"/>
      <c r="K195" t="inlineStr">
        <is>
          <t>20260415</t>
        </is>
      </c>
      <c r="L195" t="inlineStr">
        <is>
          <t>99991231</t>
        </is>
      </c>
    </row>
    <row r="196">
      <c r="A196" t="inlineStr">
        <is>
          <t>900000295</t>
        </is>
      </c>
      <c r="B196" t="inlineStr">
        <is>
          <t>DW70</t>
        </is>
      </c>
      <c r="C196" t="inlineStr">
        <is>
          <t>D136</t>
        </is>
      </c>
      <c r="D196" t="inlineStr">
        <is>
          <t>10274754</t>
        </is>
      </c>
      <c r="E196" t="inlineStr"/>
      <c r="F196" s="11" t="n">
        <v>104.9</v>
      </c>
      <c r="G196" t="inlineStr"/>
      <c r="I196" t="inlineStr">
        <is>
          <t>TN</t>
        </is>
      </c>
      <c r="J196" t="inlineStr"/>
      <c r="K196" t="inlineStr">
        <is>
          <t>20260302</t>
        </is>
      </c>
      <c r="L196" t="inlineStr">
        <is>
          <t>99991231</t>
        </is>
      </c>
    </row>
    <row r="197">
      <c r="A197" t="inlineStr">
        <is>
          <t>900000295</t>
        </is>
      </c>
      <c r="B197" t="inlineStr">
        <is>
          <t>DW70</t>
        </is>
      </c>
      <c r="C197" t="inlineStr">
        <is>
          <t>D136</t>
        </is>
      </c>
      <c r="D197" t="inlineStr">
        <is>
          <t>10277513</t>
        </is>
      </c>
      <c r="E197" t="inlineStr"/>
      <c r="F197" s="11" t="n">
        <v>61.66</v>
      </c>
      <c r="G197" t="inlineStr"/>
      <c r="I197" t="inlineStr">
        <is>
          <t>TN</t>
        </is>
      </c>
      <c r="J197" t="inlineStr"/>
      <c r="K197" t="inlineStr">
        <is>
          <t>20260525</t>
        </is>
      </c>
      <c r="L197" t="inlineStr">
        <is>
          <t>99991231</t>
        </is>
      </c>
    </row>
    <row r="198">
      <c r="A198" t="inlineStr">
        <is>
          <t>900000295</t>
        </is>
      </c>
      <c r="B198" t="inlineStr">
        <is>
          <t>DW70</t>
        </is>
      </c>
      <c r="C198" t="inlineStr">
        <is>
          <t>D145</t>
        </is>
      </c>
      <c r="D198" t="inlineStr">
        <is>
          <t>10000160</t>
        </is>
      </c>
      <c r="E198" t="inlineStr"/>
      <c r="F198" s="11" t="n">
        <v>62.11</v>
      </c>
      <c r="G198" t="inlineStr"/>
      <c r="I198" t="inlineStr">
        <is>
          <t>TN</t>
        </is>
      </c>
      <c r="J198" t="inlineStr"/>
      <c r="K198" t="inlineStr">
        <is>
          <t>20230501</t>
        </is>
      </c>
      <c r="L198" t="inlineStr">
        <is>
          <t>20250131</t>
        </is>
      </c>
    </row>
    <row r="199">
      <c r="A199" t="inlineStr">
        <is>
          <t>900000295</t>
        </is>
      </c>
      <c r="B199" t="inlineStr">
        <is>
          <t>DW70</t>
        </is>
      </c>
      <c r="C199" t="inlineStr">
        <is>
          <t>D145</t>
        </is>
      </c>
      <c r="D199" t="inlineStr">
        <is>
          <t>10264162</t>
        </is>
      </c>
      <c r="E199" t="inlineStr"/>
      <c r="F199" s="11" t="n">
        <v>84.93000000000001</v>
      </c>
      <c r="G199" t="inlineStr"/>
      <c r="I199" t="inlineStr">
        <is>
          <t>TN</t>
        </is>
      </c>
      <c r="J199" t="inlineStr"/>
      <c r="K199" t="inlineStr">
        <is>
          <t>20260415</t>
        </is>
      </c>
      <c r="L199" t="inlineStr">
        <is>
          <t>99991231</t>
        </is>
      </c>
    </row>
    <row r="200">
      <c r="A200" t="inlineStr">
        <is>
          <t>900000295</t>
        </is>
      </c>
      <c r="B200" t="inlineStr">
        <is>
          <t>DW70</t>
        </is>
      </c>
      <c r="C200" t="inlineStr">
        <is>
          <t>D145</t>
        </is>
      </c>
      <c r="D200" t="inlineStr">
        <is>
          <t>10274754</t>
        </is>
      </c>
      <c r="E200" t="inlineStr"/>
      <c r="F200" s="11" t="n">
        <v>104.9</v>
      </c>
      <c r="G200" t="inlineStr"/>
      <c r="I200" t="inlineStr">
        <is>
          <t>TN</t>
        </is>
      </c>
      <c r="J200" t="inlineStr"/>
      <c r="K200" t="inlineStr">
        <is>
          <t>20260302</t>
        </is>
      </c>
      <c r="L200" t="inlineStr">
        <is>
          <t>99991231</t>
        </is>
      </c>
    </row>
    <row r="201">
      <c r="A201" t="inlineStr">
        <is>
          <t>900000295</t>
        </is>
      </c>
      <c r="B201" t="inlineStr">
        <is>
          <t>DW70</t>
        </is>
      </c>
      <c r="C201" t="inlineStr">
        <is>
          <t>D145</t>
        </is>
      </c>
      <c r="D201" t="inlineStr">
        <is>
          <t>10277513</t>
        </is>
      </c>
      <c r="E201" t="inlineStr"/>
      <c r="F201" s="11" t="n">
        <v>61.66</v>
      </c>
      <c r="G201" t="inlineStr"/>
      <c r="I201" t="inlineStr">
        <is>
          <t>TN</t>
        </is>
      </c>
      <c r="J201" t="inlineStr"/>
      <c r="K201" t="inlineStr">
        <is>
          <t>20260525</t>
        </is>
      </c>
      <c r="L201" t="inlineStr">
        <is>
          <t>99991231</t>
        </is>
      </c>
    </row>
    <row r="202">
      <c r="A202" t="inlineStr">
        <is>
          <t>900000295</t>
        </is>
      </c>
      <c r="B202" t="inlineStr">
        <is>
          <t>DW70</t>
        </is>
      </c>
      <c r="C202" t="inlineStr">
        <is>
          <t>D681</t>
        </is>
      </c>
      <c r="D202" t="inlineStr">
        <is>
          <t>10264162</t>
        </is>
      </c>
      <c r="E202" t="inlineStr"/>
      <c r="F202" s="11" t="n">
        <v>84.93000000000001</v>
      </c>
      <c r="G202" t="inlineStr"/>
      <c r="I202" t="inlineStr">
        <is>
          <t>TN</t>
        </is>
      </c>
      <c r="J202" t="inlineStr"/>
      <c r="K202" t="inlineStr">
        <is>
          <t>20260415</t>
        </is>
      </c>
      <c r="L202" t="inlineStr">
        <is>
          <t>99991231</t>
        </is>
      </c>
    </row>
    <row r="203">
      <c r="A203" t="inlineStr">
        <is>
          <t>900000295</t>
        </is>
      </c>
      <c r="B203" t="inlineStr">
        <is>
          <t>DW70</t>
        </is>
      </c>
      <c r="C203" t="inlineStr">
        <is>
          <t>D681</t>
        </is>
      </c>
      <c r="D203" t="inlineStr">
        <is>
          <t>10274754</t>
        </is>
      </c>
      <c r="E203" t="inlineStr"/>
      <c r="F203" s="11" t="n">
        <v>104.9</v>
      </c>
      <c r="G203" t="inlineStr"/>
      <c r="I203" t="inlineStr">
        <is>
          <t>TN</t>
        </is>
      </c>
      <c r="J203" t="inlineStr"/>
      <c r="K203" t="inlineStr">
        <is>
          <t>20260302</t>
        </is>
      </c>
      <c r="L203" t="inlineStr">
        <is>
          <t>99991231</t>
        </is>
      </c>
    </row>
    <row r="204">
      <c r="A204" t="inlineStr">
        <is>
          <t>900000295</t>
        </is>
      </c>
      <c r="B204" t="inlineStr">
        <is>
          <t>DW70</t>
        </is>
      </c>
      <c r="C204" t="inlineStr">
        <is>
          <t>D681</t>
        </is>
      </c>
      <c r="D204" t="inlineStr">
        <is>
          <t>10277513</t>
        </is>
      </c>
      <c r="E204" t="inlineStr"/>
      <c r="F204" s="11" t="n">
        <v>61.66</v>
      </c>
      <c r="G204" t="inlineStr"/>
      <c r="I204" t="inlineStr">
        <is>
          <t>TN</t>
        </is>
      </c>
      <c r="J204" t="inlineStr"/>
      <c r="K204" t="inlineStr">
        <is>
          <t>20260525</t>
        </is>
      </c>
      <c r="L204" t="inlineStr">
        <is>
          <t>99991231</t>
        </is>
      </c>
    </row>
    <row r="205">
      <c r="A205" t="inlineStr">
        <is>
          <t>900000472</t>
        </is>
      </c>
      <c r="B205" t="inlineStr">
        <is>
          <t>DW70</t>
        </is>
      </c>
      <c r="C205" t="inlineStr">
        <is>
          <t>D072</t>
        </is>
      </c>
      <c r="D205" t="inlineStr">
        <is>
          <t>10000175</t>
        </is>
      </c>
      <c r="E205" t="inlineStr"/>
      <c r="F205" s="11" t="n">
        <v>200</v>
      </c>
      <c r="G205" t="inlineStr"/>
      <c r="I205" t="inlineStr">
        <is>
          <t>TN</t>
        </is>
      </c>
      <c r="J205" t="inlineStr"/>
      <c r="K205" t="inlineStr">
        <is>
          <t>20250701</t>
        </is>
      </c>
      <c r="L205" t="inlineStr">
        <is>
          <t>20251031</t>
        </is>
      </c>
    </row>
    <row r="206">
      <c r="A206" t="inlineStr">
        <is>
          <t>900000472</t>
        </is>
      </c>
      <c r="B206" t="inlineStr">
        <is>
          <t>DW70</t>
        </is>
      </c>
      <c r="C206" t="inlineStr">
        <is>
          <t>D073</t>
        </is>
      </c>
      <c r="D206" t="inlineStr">
        <is>
          <t>10000635</t>
        </is>
      </c>
      <c r="E206" t="inlineStr"/>
      <c r="F206" s="11" t="n">
        <v>436.6</v>
      </c>
      <c r="G206" t="inlineStr"/>
      <c r="I206" t="inlineStr">
        <is>
          <t>TN</t>
        </is>
      </c>
      <c r="J206" t="inlineStr"/>
      <c r="K206" t="inlineStr">
        <is>
          <t>20230501</t>
        </is>
      </c>
      <c r="L206" t="inlineStr">
        <is>
          <t>20250131</t>
        </is>
      </c>
    </row>
    <row r="207">
      <c r="A207" t="inlineStr">
        <is>
          <t>900000472</t>
        </is>
      </c>
      <c r="B207" t="inlineStr">
        <is>
          <t>DW70</t>
        </is>
      </c>
      <c r="C207" t="inlineStr">
        <is>
          <t>D073</t>
        </is>
      </c>
      <c r="D207" t="inlineStr">
        <is>
          <t>10000643</t>
        </is>
      </c>
      <c r="E207" t="inlineStr"/>
      <c r="F207" s="11" t="n">
        <v>436.6</v>
      </c>
      <c r="G207" t="inlineStr"/>
      <c r="I207" t="inlineStr">
        <is>
          <t>TN</t>
        </is>
      </c>
      <c r="J207" t="inlineStr"/>
      <c r="K207" t="inlineStr">
        <is>
          <t>20230501</t>
        </is>
      </c>
      <c r="L207" t="inlineStr">
        <is>
          <t>20250131</t>
        </is>
      </c>
    </row>
    <row r="208">
      <c r="A208" t="inlineStr">
        <is>
          <t>900000472</t>
        </is>
      </c>
      <c r="B208" t="inlineStr">
        <is>
          <t>DW70</t>
        </is>
      </c>
      <c r="C208" t="inlineStr">
        <is>
          <t>D073</t>
        </is>
      </c>
      <c r="D208" t="inlineStr">
        <is>
          <t>10000655</t>
        </is>
      </c>
      <c r="E208" t="inlineStr"/>
      <c r="F208" s="11" t="n">
        <v>436.6</v>
      </c>
      <c r="G208" t="inlineStr"/>
      <c r="I208" t="inlineStr">
        <is>
          <t>TN</t>
        </is>
      </c>
      <c r="J208" t="inlineStr"/>
      <c r="K208" t="inlineStr">
        <is>
          <t>20230501</t>
        </is>
      </c>
      <c r="L208" t="inlineStr">
        <is>
          <t>20250131</t>
        </is>
      </c>
    </row>
    <row r="209">
      <c r="A209" t="inlineStr">
        <is>
          <t>900000472</t>
        </is>
      </c>
      <c r="B209" t="inlineStr">
        <is>
          <t>DW70</t>
        </is>
      </c>
      <c r="C209" t="inlineStr">
        <is>
          <t>D074</t>
        </is>
      </c>
      <c r="D209" t="inlineStr">
        <is>
          <t>10000635</t>
        </is>
      </c>
      <c r="E209" t="inlineStr"/>
      <c r="F209" s="11" t="n">
        <v>436.6</v>
      </c>
      <c r="G209" t="inlineStr"/>
      <c r="I209" t="inlineStr">
        <is>
          <t>TN</t>
        </is>
      </c>
      <c r="J209" t="inlineStr"/>
      <c r="K209" t="inlineStr">
        <is>
          <t>20230501</t>
        </is>
      </c>
      <c r="L209" t="inlineStr">
        <is>
          <t>20250131</t>
        </is>
      </c>
    </row>
    <row r="210">
      <c r="A210" t="inlineStr">
        <is>
          <t>900000472</t>
        </is>
      </c>
      <c r="B210" t="inlineStr">
        <is>
          <t>DW70</t>
        </is>
      </c>
      <c r="C210" t="inlineStr">
        <is>
          <t>D074</t>
        </is>
      </c>
      <c r="D210" t="inlineStr">
        <is>
          <t>10000643</t>
        </is>
      </c>
      <c r="E210" t="inlineStr"/>
      <c r="F210" s="11" t="n">
        <v>436.6</v>
      </c>
      <c r="G210" t="inlineStr"/>
      <c r="I210" t="inlineStr">
        <is>
          <t>TN</t>
        </is>
      </c>
      <c r="J210" t="inlineStr"/>
      <c r="K210" t="inlineStr">
        <is>
          <t>20230501</t>
        </is>
      </c>
      <c r="L210" t="inlineStr">
        <is>
          <t>20250131</t>
        </is>
      </c>
    </row>
    <row r="211">
      <c r="A211" t="inlineStr">
        <is>
          <t>900000472</t>
        </is>
      </c>
      <c r="B211" t="inlineStr">
        <is>
          <t>DW70</t>
        </is>
      </c>
      <c r="C211" t="inlineStr">
        <is>
          <t>D074</t>
        </is>
      </c>
      <c r="D211" t="inlineStr">
        <is>
          <t>10000655</t>
        </is>
      </c>
      <c r="E211" t="inlineStr"/>
      <c r="F211" s="11" t="n">
        <v>436.6</v>
      </c>
      <c r="G211" t="inlineStr"/>
      <c r="I211" t="inlineStr">
        <is>
          <t>TN</t>
        </is>
      </c>
      <c r="J211" t="inlineStr"/>
      <c r="K211" t="inlineStr">
        <is>
          <t>20230501</t>
        </is>
      </c>
      <c r="L211" t="inlineStr">
        <is>
          <t>20250131</t>
        </is>
      </c>
    </row>
    <row r="212">
      <c r="A212" t="inlineStr">
        <is>
          <t>900000472</t>
        </is>
      </c>
      <c r="B212" t="inlineStr">
        <is>
          <t>DW70</t>
        </is>
      </c>
      <c r="C212" t="inlineStr">
        <is>
          <t>D074</t>
        </is>
      </c>
      <c r="D212" t="inlineStr">
        <is>
          <t>10004432</t>
        </is>
      </c>
      <c r="E212" t="inlineStr"/>
      <c r="F212" s="11" t="n">
        <v>2600</v>
      </c>
      <c r="G212" t="inlineStr"/>
      <c r="I212" t="inlineStr">
        <is>
          <t>TN</t>
        </is>
      </c>
      <c r="J212" t="inlineStr"/>
      <c r="K212" t="inlineStr">
        <is>
          <t>20230501</t>
        </is>
      </c>
      <c r="L212" t="inlineStr">
        <is>
          <t>20250131</t>
        </is>
      </c>
    </row>
    <row r="213">
      <c r="A213" t="inlineStr">
        <is>
          <t>900000472</t>
        </is>
      </c>
      <c r="B213" t="inlineStr">
        <is>
          <t>DW70</t>
        </is>
      </c>
      <c r="C213" t="inlineStr">
        <is>
          <t>D074</t>
        </is>
      </c>
      <c r="D213" t="inlineStr">
        <is>
          <t>10188219</t>
        </is>
      </c>
      <c r="E213" t="inlineStr"/>
      <c r="F213" s="11" t="n">
        <v>650</v>
      </c>
      <c r="G213" t="inlineStr"/>
      <c r="I213" t="inlineStr">
        <is>
          <t>TN</t>
        </is>
      </c>
      <c r="J213" t="inlineStr"/>
      <c r="K213" t="inlineStr">
        <is>
          <t>20230501</t>
        </is>
      </c>
      <c r="L213" t="inlineStr">
        <is>
          <t>20250131</t>
        </is>
      </c>
    </row>
    <row r="214">
      <c r="A214" t="inlineStr">
        <is>
          <t>900000472</t>
        </is>
      </c>
      <c r="B214" t="inlineStr">
        <is>
          <t>DW70</t>
        </is>
      </c>
      <c r="C214" t="inlineStr">
        <is>
          <t>D074</t>
        </is>
      </c>
      <c r="D214" t="inlineStr">
        <is>
          <t>10189170</t>
        </is>
      </c>
      <c r="E214" t="inlineStr"/>
      <c r="F214" s="11" t="n">
        <v>650</v>
      </c>
      <c r="G214" t="inlineStr"/>
      <c r="I214" t="inlineStr">
        <is>
          <t>TN</t>
        </is>
      </c>
      <c r="J214" t="inlineStr"/>
      <c r="K214" t="inlineStr">
        <is>
          <t>20230501</t>
        </is>
      </c>
      <c r="L214" t="inlineStr">
        <is>
          <t>20250131</t>
        </is>
      </c>
    </row>
    <row r="215">
      <c r="A215" t="inlineStr">
        <is>
          <t>900000472</t>
        </is>
      </c>
      <c r="B215" t="inlineStr">
        <is>
          <t>DW70</t>
        </is>
      </c>
      <c r="C215" t="inlineStr">
        <is>
          <t>D074</t>
        </is>
      </c>
      <c r="D215" t="inlineStr">
        <is>
          <t>10190932</t>
        </is>
      </c>
      <c r="E215" t="inlineStr"/>
      <c r="F215" s="11" t="n">
        <v>650</v>
      </c>
      <c r="G215" t="inlineStr"/>
      <c r="I215" t="inlineStr">
        <is>
          <t>TN</t>
        </is>
      </c>
      <c r="J215" t="inlineStr"/>
      <c r="K215" t="inlineStr">
        <is>
          <t>20230501</t>
        </is>
      </c>
      <c r="L215" t="inlineStr">
        <is>
          <t>20250131</t>
        </is>
      </c>
    </row>
    <row r="216">
      <c r="A216" t="inlineStr">
        <is>
          <t>900000472</t>
        </is>
      </c>
      <c r="B216" t="inlineStr">
        <is>
          <t>DW70</t>
        </is>
      </c>
      <c r="C216" t="inlineStr">
        <is>
          <t>D075</t>
        </is>
      </c>
      <c r="D216" t="inlineStr">
        <is>
          <t>10000635</t>
        </is>
      </c>
      <c r="E216" t="inlineStr"/>
      <c r="F216" s="11" t="n">
        <v>436.6</v>
      </c>
      <c r="G216" t="inlineStr"/>
      <c r="I216" t="inlineStr">
        <is>
          <t>TN</t>
        </is>
      </c>
      <c r="J216" t="inlineStr"/>
      <c r="K216" t="inlineStr">
        <is>
          <t>20230501</t>
        </is>
      </c>
      <c r="L216" t="inlineStr">
        <is>
          <t>20250131</t>
        </is>
      </c>
    </row>
    <row r="217">
      <c r="A217" t="inlineStr">
        <is>
          <t>900000472</t>
        </is>
      </c>
      <c r="B217" t="inlineStr">
        <is>
          <t>DW70</t>
        </is>
      </c>
      <c r="C217" t="inlineStr">
        <is>
          <t>D075</t>
        </is>
      </c>
      <c r="D217" t="inlineStr">
        <is>
          <t>10000643</t>
        </is>
      </c>
      <c r="E217" t="inlineStr"/>
      <c r="F217" s="11" t="n">
        <v>436.6</v>
      </c>
      <c r="G217" t="inlineStr"/>
      <c r="I217" t="inlineStr">
        <is>
          <t>TN</t>
        </is>
      </c>
      <c r="J217" t="inlineStr"/>
      <c r="K217" t="inlineStr">
        <is>
          <t>20230501</t>
        </is>
      </c>
      <c r="L217" t="inlineStr">
        <is>
          <t>20250131</t>
        </is>
      </c>
    </row>
    <row r="218">
      <c r="A218" t="inlineStr">
        <is>
          <t>900000472</t>
        </is>
      </c>
      <c r="B218" t="inlineStr">
        <is>
          <t>DW70</t>
        </is>
      </c>
      <c r="C218" t="inlineStr">
        <is>
          <t>D075</t>
        </is>
      </c>
      <c r="D218" t="inlineStr">
        <is>
          <t>10000655</t>
        </is>
      </c>
      <c r="E218" t="inlineStr"/>
      <c r="F218" s="11" t="n">
        <v>436.6</v>
      </c>
      <c r="G218" t="inlineStr"/>
      <c r="I218" t="inlineStr">
        <is>
          <t>TN</t>
        </is>
      </c>
      <c r="J218" t="inlineStr"/>
      <c r="K218" t="inlineStr">
        <is>
          <t>20230501</t>
        </is>
      </c>
      <c r="L218" t="inlineStr">
        <is>
          <t>20250131</t>
        </is>
      </c>
    </row>
    <row r="219">
      <c r="A219" t="inlineStr">
        <is>
          <t>900000472</t>
        </is>
      </c>
      <c r="B219" t="inlineStr">
        <is>
          <t>DW70</t>
        </is>
      </c>
      <c r="C219" t="inlineStr">
        <is>
          <t>D075</t>
        </is>
      </c>
      <c r="D219" t="inlineStr">
        <is>
          <t>10188219</t>
        </is>
      </c>
      <c r="E219" t="inlineStr"/>
      <c r="F219" s="11" t="n">
        <v>650</v>
      </c>
      <c r="G219" t="inlineStr"/>
      <c r="I219" t="inlineStr">
        <is>
          <t>TN</t>
        </is>
      </c>
      <c r="J219" t="inlineStr"/>
      <c r="K219" t="inlineStr">
        <is>
          <t>20230501</t>
        </is>
      </c>
      <c r="L219" t="inlineStr">
        <is>
          <t>20250131</t>
        </is>
      </c>
    </row>
    <row r="220">
      <c r="A220" t="inlineStr">
        <is>
          <t>900000472</t>
        </is>
      </c>
      <c r="B220" t="inlineStr">
        <is>
          <t>DW70</t>
        </is>
      </c>
      <c r="C220" t="inlineStr">
        <is>
          <t>D075</t>
        </is>
      </c>
      <c r="D220" t="inlineStr">
        <is>
          <t>10189170</t>
        </is>
      </c>
      <c r="E220" t="inlineStr"/>
      <c r="F220" s="11" t="n">
        <v>650</v>
      </c>
      <c r="G220" t="inlineStr"/>
      <c r="I220" t="inlineStr">
        <is>
          <t>TN</t>
        </is>
      </c>
      <c r="J220" t="inlineStr"/>
      <c r="K220" t="inlineStr">
        <is>
          <t>20230501</t>
        </is>
      </c>
      <c r="L220" t="inlineStr">
        <is>
          <t>20250131</t>
        </is>
      </c>
    </row>
    <row r="221">
      <c r="A221" t="inlineStr">
        <is>
          <t>900000472</t>
        </is>
      </c>
      <c r="B221" t="inlineStr">
        <is>
          <t>DW70</t>
        </is>
      </c>
      <c r="C221" t="inlineStr">
        <is>
          <t>D075</t>
        </is>
      </c>
      <c r="D221" t="inlineStr">
        <is>
          <t>10190932</t>
        </is>
      </c>
      <c r="E221" t="inlineStr"/>
      <c r="F221" s="11" t="n">
        <v>650</v>
      </c>
      <c r="G221" t="inlineStr"/>
      <c r="I221" t="inlineStr">
        <is>
          <t>TN</t>
        </is>
      </c>
      <c r="J221" t="inlineStr"/>
      <c r="K221" t="inlineStr">
        <is>
          <t>20230501</t>
        </is>
      </c>
      <c r="L221" t="inlineStr">
        <is>
          <t>20250131</t>
        </is>
      </c>
    </row>
    <row r="222">
      <c r="A222" t="inlineStr">
        <is>
          <t>900000472</t>
        </is>
      </c>
      <c r="B222" t="inlineStr">
        <is>
          <t>DW70</t>
        </is>
      </c>
      <c r="C222" t="inlineStr">
        <is>
          <t>D077</t>
        </is>
      </c>
      <c r="D222" t="inlineStr">
        <is>
          <t>10000635</t>
        </is>
      </c>
      <c r="E222" t="inlineStr"/>
      <c r="F222" s="11" t="n">
        <v>436.6</v>
      </c>
      <c r="G222" t="inlineStr"/>
      <c r="I222" t="inlineStr">
        <is>
          <t>TN</t>
        </is>
      </c>
      <c r="J222" t="inlineStr"/>
      <c r="K222" t="inlineStr">
        <is>
          <t>20230501</t>
        </is>
      </c>
      <c r="L222" t="inlineStr">
        <is>
          <t>20250131</t>
        </is>
      </c>
    </row>
    <row r="223">
      <c r="A223" t="inlineStr">
        <is>
          <t>900000472</t>
        </is>
      </c>
      <c r="B223" t="inlineStr">
        <is>
          <t>DW70</t>
        </is>
      </c>
      <c r="C223" t="inlineStr">
        <is>
          <t>D077</t>
        </is>
      </c>
      <c r="D223" t="inlineStr">
        <is>
          <t>10000643</t>
        </is>
      </c>
      <c r="E223" t="inlineStr"/>
      <c r="F223" s="11" t="n">
        <v>436.6</v>
      </c>
      <c r="G223" t="inlineStr"/>
      <c r="I223" t="inlineStr">
        <is>
          <t>TN</t>
        </is>
      </c>
      <c r="J223" t="inlineStr"/>
      <c r="K223" t="inlineStr">
        <is>
          <t>20230501</t>
        </is>
      </c>
      <c r="L223" t="inlineStr">
        <is>
          <t>20250131</t>
        </is>
      </c>
    </row>
    <row r="224">
      <c r="A224" t="inlineStr">
        <is>
          <t>900000472</t>
        </is>
      </c>
      <c r="B224" t="inlineStr">
        <is>
          <t>DW70</t>
        </is>
      </c>
      <c r="C224" t="inlineStr">
        <is>
          <t>D077</t>
        </is>
      </c>
      <c r="D224" t="inlineStr">
        <is>
          <t>10000655</t>
        </is>
      </c>
      <c r="E224" t="inlineStr"/>
      <c r="F224" s="11" t="n">
        <v>436.6</v>
      </c>
      <c r="G224" t="inlineStr"/>
      <c r="I224" t="inlineStr">
        <is>
          <t>TN</t>
        </is>
      </c>
      <c r="J224" t="inlineStr"/>
      <c r="K224" t="inlineStr">
        <is>
          <t>20230501</t>
        </is>
      </c>
      <c r="L224" t="inlineStr">
        <is>
          <t>20250131</t>
        </is>
      </c>
    </row>
    <row r="225">
      <c r="A225" t="inlineStr">
        <is>
          <t>900000472</t>
        </is>
      </c>
      <c r="B225" t="inlineStr">
        <is>
          <t>DW70</t>
        </is>
      </c>
      <c r="C225" t="inlineStr">
        <is>
          <t>D077</t>
        </is>
      </c>
      <c r="D225" t="inlineStr">
        <is>
          <t>10188219</t>
        </is>
      </c>
      <c r="E225" t="inlineStr"/>
      <c r="F225" s="11" t="n">
        <v>650</v>
      </c>
      <c r="G225" t="inlineStr"/>
      <c r="I225" t="inlineStr">
        <is>
          <t>TN</t>
        </is>
      </c>
      <c r="J225" t="inlineStr"/>
      <c r="K225" t="inlineStr">
        <is>
          <t>20230501</t>
        </is>
      </c>
      <c r="L225" t="inlineStr">
        <is>
          <t>20250131</t>
        </is>
      </c>
    </row>
    <row r="226">
      <c r="A226" t="inlineStr">
        <is>
          <t>900000472</t>
        </is>
      </c>
      <c r="B226" t="inlineStr">
        <is>
          <t>DW70</t>
        </is>
      </c>
      <c r="C226" t="inlineStr">
        <is>
          <t>D077</t>
        </is>
      </c>
      <c r="D226" t="inlineStr">
        <is>
          <t>10189170</t>
        </is>
      </c>
      <c r="E226" t="inlineStr"/>
      <c r="F226" s="11" t="n">
        <v>650</v>
      </c>
      <c r="G226" t="inlineStr"/>
      <c r="I226" t="inlineStr">
        <is>
          <t>TN</t>
        </is>
      </c>
      <c r="J226" t="inlineStr"/>
      <c r="K226" t="inlineStr">
        <is>
          <t>20230501</t>
        </is>
      </c>
      <c r="L226" t="inlineStr">
        <is>
          <t>20250131</t>
        </is>
      </c>
    </row>
    <row r="227">
      <c r="A227" t="inlineStr">
        <is>
          <t>900000472</t>
        </is>
      </c>
      <c r="B227" t="inlineStr">
        <is>
          <t>DW70</t>
        </is>
      </c>
      <c r="C227" t="inlineStr">
        <is>
          <t>D077</t>
        </is>
      </c>
      <c r="D227" t="inlineStr">
        <is>
          <t>10190932</t>
        </is>
      </c>
      <c r="E227" t="inlineStr"/>
      <c r="F227" s="11" t="n">
        <v>650</v>
      </c>
      <c r="G227" t="inlineStr"/>
      <c r="I227" t="inlineStr">
        <is>
          <t>TN</t>
        </is>
      </c>
      <c r="J227" t="inlineStr"/>
      <c r="K227" t="inlineStr">
        <is>
          <t>20230501</t>
        </is>
      </c>
      <c r="L227" t="inlineStr">
        <is>
          <t>20250131</t>
        </is>
      </c>
    </row>
    <row r="228">
      <c r="A228" t="inlineStr">
        <is>
          <t>900000472</t>
        </is>
      </c>
      <c r="B228" t="inlineStr">
        <is>
          <t>DW70</t>
        </is>
      </c>
      <c r="C228" t="inlineStr">
        <is>
          <t>D079</t>
        </is>
      </c>
      <c r="D228" t="inlineStr">
        <is>
          <t>10000635</t>
        </is>
      </c>
      <c r="E228" t="inlineStr"/>
      <c r="F228" s="11" t="n">
        <v>331.58</v>
      </c>
      <c r="G228" t="inlineStr"/>
      <c r="I228" t="inlineStr">
        <is>
          <t>TN</t>
        </is>
      </c>
      <c r="J228" t="inlineStr"/>
      <c r="K228" t="inlineStr">
        <is>
          <t>20230501</t>
        </is>
      </c>
      <c r="L228" t="inlineStr">
        <is>
          <t>20250131</t>
        </is>
      </c>
    </row>
    <row r="229">
      <c r="A229" t="inlineStr">
        <is>
          <t>900000472</t>
        </is>
      </c>
      <c r="B229" t="inlineStr">
        <is>
          <t>DW70</t>
        </is>
      </c>
      <c r="C229" t="inlineStr">
        <is>
          <t>D079</t>
        </is>
      </c>
      <c r="D229" t="inlineStr">
        <is>
          <t>10000643</t>
        </is>
      </c>
      <c r="E229" t="inlineStr"/>
      <c r="F229" s="11" t="n">
        <v>331.58</v>
      </c>
      <c r="G229" t="inlineStr"/>
      <c r="I229" t="inlineStr">
        <is>
          <t>TN</t>
        </is>
      </c>
      <c r="J229" t="inlineStr"/>
      <c r="K229" t="inlineStr">
        <is>
          <t>20230501</t>
        </is>
      </c>
      <c r="L229" t="inlineStr">
        <is>
          <t>20250131</t>
        </is>
      </c>
    </row>
    <row r="230">
      <c r="A230" t="inlineStr">
        <is>
          <t>900000472</t>
        </is>
      </c>
      <c r="B230" t="inlineStr">
        <is>
          <t>DW70</t>
        </is>
      </c>
      <c r="C230" t="inlineStr">
        <is>
          <t>D079</t>
        </is>
      </c>
      <c r="D230" t="inlineStr">
        <is>
          <t>10000655</t>
        </is>
      </c>
      <c r="E230" t="inlineStr"/>
      <c r="F230" s="11" t="n">
        <v>331.58</v>
      </c>
      <c r="G230" t="inlineStr"/>
      <c r="I230" t="inlineStr">
        <is>
          <t>TN</t>
        </is>
      </c>
      <c r="J230" t="inlineStr"/>
      <c r="K230" t="inlineStr">
        <is>
          <t>20230501</t>
        </is>
      </c>
      <c r="L230" t="inlineStr">
        <is>
          <t>20250131</t>
        </is>
      </c>
    </row>
    <row r="231">
      <c r="A231" t="inlineStr">
        <is>
          <t>900000472</t>
        </is>
      </c>
      <c r="B231" t="inlineStr">
        <is>
          <t>DW70</t>
        </is>
      </c>
      <c r="C231" t="inlineStr">
        <is>
          <t>D079</t>
        </is>
      </c>
      <c r="D231" t="inlineStr">
        <is>
          <t>10001456</t>
        </is>
      </c>
      <c r="E231" t="inlineStr"/>
      <c r="F231" s="11" t="n">
        <v>268.43</v>
      </c>
      <c r="G231" t="inlineStr"/>
      <c r="I231" t="inlineStr">
        <is>
          <t>TN</t>
        </is>
      </c>
      <c r="J231" t="inlineStr"/>
      <c r="K231" t="inlineStr">
        <is>
          <t>20230501</t>
        </is>
      </c>
      <c r="L231" t="inlineStr">
        <is>
          <t>20250131</t>
        </is>
      </c>
    </row>
    <row r="232">
      <c r="A232" t="inlineStr">
        <is>
          <t>900000472</t>
        </is>
      </c>
      <c r="B232" t="inlineStr">
        <is>
          <t>DW70</t>
        </is>
      </c>
      <c r="C232" t="inlineStr">
        <is>
          <t>D079</t>
        </is>
      </c>
      <c r="D232" t="inlineStr">
        <is>
          <t>10188219</t>
        </is>
      </c>
      <c r="E232" t="inlineStr"/>
      <c r="F232" s="11" t="n">
        <v>650</v>
      </c>
      <c r="G232" t="inlineStr"/>
      <c r="I232" t="inlineStr">
        <is>
          <t>TN</t>
        </is>
      </c>
      <c r="J232" t="inlineStr"/>
      <c r="K232" t="inlineStr">
        <is>
          <t>20230501</t>
        </is>
      </c>
      <c r="L232" t="inlineStr">
        <is>
          <t>20250131</t>
        </is>
      </c>
    </row>
    <row r="233">
      <c r="A233" t="inlineStr">
        <is>
          <t>900000472</t>
        </is>
      </c>
      <c r="B233" t="inlineStr">
        <is>
          <t>DW70</t>
        </is>
      </c>
      <c r="C233" t="inlineStr">
        <is>
          <t>D079</t>
        </is>
      </c>
      <c r="D233" t="inlineStr">
        <is>
          <t>10189170</t>
        </is>
      </c>
      <c r="E233" t="inlineStr"/>
      <c r="F233" s="11" t="n">
        <v>650</v>
      </c>
      <c r="G233" t="inlineStr"/>
      <c r="I233" t="inlineStr">
        <is>
          <t>TN</t>
        </is>
      </c>
      <c r="J233" t="inlineStr"/>
      <c r="K233" t="inlineStr">
        <is>
          <t>20230501</t>
        </is>
      </c>
      <c r="L233" t="inlineStr">
        <is>
          <t>20250131</t>
        </is>
      </c>
    </row>
    <row r="234">
      <c r="A234" t="inlineStr">
        <is>
          <t>900000472</t>
        </is>
      </c>
      <c r="B234" t="inlineStr">
        <is>
          <t>DW70</t>
        </is>
      </c>
      <c r="C234" t="inlineStr">
        <is>
          <t>D079</t>
        </is>
      </c>
      <c r="D234" t="inlineStr">
        <is>
          <t>10190932</t>
        </is>
      </c>
      <c r="E234" t="inlineStr"/>
      <c r="F234" s="11" t="n">
        <v>650</v>
      </c>
      <c r="G234" t="inlineStr"/>
      <c r="I234" t="inlineStr">
        <is>
          <t>TN</t>
        </is>
      </c>
      <c r="J234" t="inlineStr"/>
      <c r="K234" t="inlineStr">
        <is>
          <t>20230501</t>
        </is>
      </c>
      <c r="L234" t="inlineStr">
        <is>
          <t>20250131</t>
        </is>
      </c>
    </row>
    <row r="235">
      <c r="A235" t="inlineStr">
        <is>
          <t>900000472</t>
        </is>
      </c>
      <c r="B235" t="inlineStr">
        <is>
          <t>DW70</t>
        </is>
      </c>
      <c r="C235" t="inlineStr">
        <is>
          <t>D080</t>
        </is>
      </c>
      <c r="D235" t="inlineStr">
        <is>
          <t>10000635</t>
        </is>
      </c>
      <c r="E235" t="inlineStr"/>
      <c r="F235" s="11" t="n">
        <v>436.6</v>
      </c>
      <c r="G235" t="inlineStr"/>
      <c r="I235" t="inlineStr">
        <is>
          <t>TN</t>
        </is>
      </c>
      <c r="J235" t="inlineStr"/>
      <c r="K235" t="inlineStr">
        <is>
          <t>20230501</t>
        </is>
      </c>
      <c r="L235" t="inlineStr">
        <is>
          <t>20250131</t>
        </is>
      </c>
    </row>
    <row r="236">
      <c r="A236" t="inlineStr">
        <is>
          <t>900000472</t>
        </is>
      </c>
      <c r="B236" t="inlineStr">
        <is>
          <t>DW70</t>
        </is>
      </c>
      <c r="C236" t="inlineStr">
        <is>
          <t>D080</t>
        </is>
      </c>
      <c r="D236" t="inlineStr">
        <is>
          <t>10000643</t>
        </is>
      </c>
      <c r="E236" t="inlineStr"/>
      <c r="F236" s="11" t="n">
        <v>436.6</v>
      </c>
      <c r="G236" t="inlineStr"/>
      <c r="I236" t="inlineStr">
        <is>
          <t>TN</t>
        </is>
      </c>
      <c r="J236" t="inlineStr"/>
      <c r="K236" t="inlineStr">
        <is>
          <t>20230501</t>
        </is>
      </c>
      <c r="L236" t="inlineStr">
        <is>
          <t>20250131</t>
        </is>
      </c>
    </row>
    <row r="237">
      <c r="A237" t="inlineStr">
        <is>
          <t>900000472</t>
        </is>
      </c>
      <c r="B237" t="inlineStr">
        <is>
          <t>DW70</t>
        </is>
      </c>
      <c r="C237" t="inlineStr">
        <is>
          <t>D080</t>
        </is>
      </c>
      <c r="D237" t="inlineStr">
        <is>
          <t>10000655</t>
        </is>
      </c>
      <c r="E237" t="inlineStr"/>
      <c r="F237" s="11" t="n">
        <v>436.6</v>
      </c>
      <c r="G237" t="inlineStr"/>
      <c r="I237" t="inlineStr">
        <is>
          <t>TN</t>
        </is>
      </c>
      <c r="J237" t="inlineStr"/>
      <c r="K237" t="inlineStr">
        <is>
          <t>20230501</t>
        </is>
      </c>
      <c r="L237" t="inlineStr">
        <is>
          <t>20250131</t>
        </is>
      </c>
    </row>
    <row r="238">
      <c r="A238" t="inlineStr">
        <is>
          <t>900000472</t>
        </is>
      </c>
      <c r="B238" t="inlineStr">
        <is>
          <t>DW70</t>
        </is>
      </c>
      <c r="C238" t="inlineStr">
        <is>
          <t>D080</t>
        </is>
      </c>
      <c r="D238" t="inlineStr">
        <is>
          <t>10004432</t>
        </is>
      </c>
      <c r="E238" t="inlineStr"/>
      <c r="F238" s="11" t="n">
        <v>2600</v>
      </c>
      <c r="G238" t="inlineStr"/>
      <c r="I238" t="inlineStr">
        <is>
          <t>TN</t>
        </is>
      </c>
      <c r="J238" t="inlineStr"/>
      <c r="K238" t="inlineStr">
        <is>
          <t>20230501</t>
        </is>
      </c>
      <c r="L238" t="inlineStr">
        <is>
          <t>20250131</t>
        </is>
      </c>
    </row>
    <row r="239">
      <c r="A239" t="inlineStr">
        <is>
          <t>900000472</t>
        </is>
      </c>
      <c r="B239" t="inlineStr">
        <is>
          <t>DW70</t>
        </is>
      </c>
      <c r="C239" t="inlineStr">
        <is>
          <t>D080</t>
        </is>
      </c>
      <c r="D239" t="inlineStr">
        <is>
          <t>10188219</t>
        </is>
      </c>
      <c r="E239" t="inlineStr"/>
      <c r="F239" s="11" t="n">
        <v>650</v>
      </c>
      <c r="G239" t="inlineStr"/>
      <c r="I239" t="inlineStr">
        <is>
          <t>TN</t>
        </is>
      </c>
      <c r="J239" t="inlineStr"/>
      <c r="K239" t="inlineStr">
        <is>
          <t>20230501</t>
        </is>
      </c>
      <c r="L239" t="inlineStr">
        <is>
          <t>20250131</t>
        </is>
      </c>
    </row>
    <row r="240">
      <c r="A240" t="inlineStr">
        <is>
          <t>900000472</t>
        </is>
      </c>
      <c r="B240" t="inlineStr">
        <is>
          <t>DW70</t>
        </is>
      </c>
      <c r="C240" t="inlineStr">
        <is>
          <t>D080</t>
        </is>
      </c>
      <c r="D240" t="inlineStr">
        <is>
          <t>10189170</t>
        </is>
      </c>
      <c r="E240" t="inlineStr"/>
      <c r="F240" s="11" t="n">
        <v>650</v>
      </c>
      <c r="G240" t="inlineStr"/>
      <c r="I240" t="inlineStr">
        <is>
          <t>TN</t>
        </is>
      </c>
      <c r="J240" t="inlineStr"/>
      <c r="K240" t="inlineStr">
        <is>
          <t>20230501</t>
        </is>
      </c>
      <c r="L240" t="inlineStr">
        <is>
          <t>20250131</t>
        </is>
      </c>
    </row>
    <row r="241">
      <c r="A241" t="inlineStr">
        <is>
          <t>900000472</t>
        </is>
      </c>
      <c r="B241" t="inlineStr">
        <is>
          <t>DW70</t>
        </is>
      </c>
      <c r="C241" t="inlineStr">
        <is>
          <t>D080</t>
        </is>
      </c>
      <c r="D241" t="inlineStr">
        <is>
          <t>10190932</t>
        </is>
      </c>
      <c r="E241" t="inlineStr"/>
      <c r="F241" s="11" t="n">
        <v>650</v>
      </c>
      <c r="G241" t="inlineStr"/>
      <c r="I241" t="inlineStr">
        <is>
          <t>TN</t>
        </is>
      </c>
      <c r="J241" t="inlineStr"/>
      <c r="K241" t="inlineStr">
        <is>
          <t>20230501</t>
        </is>
      </c>
      <c r="L241" t="inlineStr">
        <is>
          <t>20250131</t>
        </is>
      </c>
    </row>
    <row r="242">
      <c r="A242" t="inlineStr">
        <is>
          <t>900000472</t>
        </is>
      </c>
      <c r="B242" t="inlineStr">
        <is>
          <t>DW70</t>
        </is>
      </c>
      <c r="C242" t="inlineStr">
        <is>
          <t>D081</t>
        </is>
      </c>
      <c r="D242" t="inlineStr">
        <is>
          <t>10000635</t>
        </is>
      </c>
      <c r="E242" t="inlineStr"/>
      <c r="F242" s="11" t="n">
        <v>513.9400000000001</v>
      </c>
      <c r="G242" t="inlineStr"/>
      <c r="I242" t="inlineStr">
        <is>
          <t>TN</t>
        </is>
      </c>
      <c r="J242" t="inlineStr"/>
      <c r="K242" t="inlineStr">
        <is>
          <t>20250701</t>
        </is>
      </c>
      <c r="L242" t="inlineStr">
        <is>
          <t>20251031</t>
        </is>
      </c>
    </row>
    <row r="243">
      <c r="A243" t="inlineStr">
        <is>
          <t>900000472</t>
        </is>
      </c>
      <c r="B243" t="inlineStr">
        <is>
          <t>DW70</t>
        </is>
      </c>
      <c r="C243" t="inlineStr">
        <is>
          <t>D081</t>
        </is>
      </c>
      <c r="D243" t="inlineStr">
        <is>
          <t>10000643</t>
        </is>
      </c>
      <c r="E243" t="inlineStr"/>
      <c r="F243" s="11" t="n">
        <v>513.9400000000001</v>
      </c>
      <c r="G243" t="inlineStr"/>
      <c r="I243" t="inlineStr">
        <is>
          <t>TN</t>
        </is>
      </c>
      <c r="J243" t="inlineStr"/>
      <c r="K243" t="inlineStr">
        <is>
          <t>20250701</t>
        </is>
      </c>
      <c r="L243" t="inlineStr">
        <is>
          <t>20251031</t>
        </is>
      </c>
    </row>
    <row r="244">
      <c r="A244" t="inlineStr">
        <is>
          <t>900000472</t>
        </is>
      </c>
      <c r="B244" t="inlineStr">
        <is>
          <t>DW70</t>
        </is>
      </c>
      <c r="C244" t="inlineStr">
        <is>
          <t>D081</t>
        </is>
      </c>
      <c r="D244" t="inlineStr">
        <is>
          <t>10000655</t>
        </is>
      </c>
      <c r="E244" t="inlineStr"/>
      <c r="F244" s="11" t="n">
        <v>513.9400000000001</v>
      </c>
      <c r="G244" t="inlineStr"/>
      <c r="I244" t="inlineStr">
        <is>
          <t>TN</t>
        </is>
      </c>
      <c r="J244" t="inlineStr"/>
      <c r="K244" t="inlineStr">
        <is>
          <t>20250701</t>
        </is>
      </c>
      <c r="L244" t="inlineStr">
        <is>
          <t>20251031</t>
        </is>
      </c>
    </row>
    <row r="245">
      <c r="A245" t="inlineStr">
        <is>
          <t>900000472</t>
        </is>
      </c>
      <c r="B245" t="inlineStr">
        <is>
          <t>DW70</t>
        </is>
      </c>
      <c r="C245" t="inlineStr">
        <is>
          <t>D081</t>
        </is>
      </c>
      <c r="D245" t="inlineStr">
        <is>
          <t>10004432</t>
        </is>
      </c>
      <c r="E245" t="inlineStr"/>
      <c r="F245" s="11" t="n">
        <v>2600</v>
      </c>
      <c r="G245" t="inlineStr"/>
      <c r="I245" t="inlineStr">
        <is>
          <t>TN</t>
        </is>
      </c>
      <c r="J245" t="inlineStr"/>
      <c r="K245" t="inlineStr">
        <is>
          <t>20230501</t>
        </is>
      </c>
      <c r="L245" t="inlineStr">
        <is>
          <t>20250131</t>
        </is>
      </c>
    </row>
    <row r="246">
      <c r="A246" t="inlineStr">
        <is>
          <t>900000472</t>
        </is>
      </c>
      <c r="B246" t="inlineStr">
        <is>
          <t>DW70</t>
        </is>
      </c>
      <c r="C246" t="inlineStr">
        <is>
          <t>D081</t>
        </is>
      </c>
      <c r="D246" t="inlineStr">
        <is>
          <t>10188219</t>
        </is>
      </c>
      <c r="E246" t="inlineStr"/>
      <c r="F246" s="11" t="n">
        <v>650</v>
      </c>
      <c r="G246" t="inlineStr"/>
      <c r="I246" t="inlineStr">
        <is>
          <t>TN</t>
        </is>
      </c>
      <c r="J246" t="inlineStr"/>
      <c r="K246" t="inlineStr">
        <is>
          <t>20230501</t>
        </is>
      </c>
      <c r="L246" t="inlineStr">
        <is>
          <t>20250131</t>
        </is>
      </c>
    </row>
    <row r="247">
      <c r="A247" t="inlineStr">
        <is>
          <t>900000472</t>
        </is>
      </c>
      <c r="B247" t="inlineStr">
        <is>
          <t>DW70</t>
        </is>
      </c>
      <c r="C247" t="inlineStr">
        <is>
          <t>D081</t>
        </is>
      </c>
      <c r="D247" t="inlineStr">
        <is>
          <t>10189170</t>
        </is>
      </c>
      <c r="E247" t="inlineStr"/>
      <c r="F247" s="11" t="n">
        <v>650</v>
      </c>
      <c r="G247" t="inlineStr"/>
      <c r="I247" t="inlineStr">
        <is>
          <t>TN</t>
        </is>
      </c>
      <c r="J247" t="inlineStr"/>
      <c r="K247" t="inlineStr">
        <is>
          <t>20230501</t>
        </is>
      </c>
      <c r="L247" t="inlineStr">
        <is>
          <t>20250131</t>
        </is>
      </c>
    </row>
    <row r="248">
      <c r="A248" t="inlineStr">
        <is>
          <t>900000472</t>
        </is>
      </c>
      <c r="B248" t="inlineStr">
        <is>
          <t>DW70</t>
        </is>
      </c>
      <c r="C248" t="inlineStr">
        <is>
          <t>D081</t>
        </is>
      </c>
      <c r="D248" t="inlineStr">
        <is>
          <t>10190932</t>
        </is>
      </c>
      <c r="E248" t="inlineStr"/>
      <c r="F248" s="11" t="n">
        <v>650</v>
      </c>
      <c r="G248" t="inlineStr"/>
      <c r="I248" t="inlineStr">
        <is>
          <t>TN</t>
        </is>
      </c>
      <c r="J248" t="inlineStr"/>
      <c r="K248" t="inlineStr">
        <is>
          <t>20230501</t>
        </is>
      </c>
      <c r="L248" t="inlineStr">
        <is>
          <t>20250131</t>
        </is>
      </c>
    </row>
    <row r="249">
      <c r="A249" t="inlineStr">
        <is>
          <t>900000472</t>
        </is>
      </c>
      <c r="B249" t="inlineStr">
        <is>
          <t>DW70</t>
        </is>
      </c>
      <c r="C249" t="inlineStr">
        <is>
          <t>D083</t>
        </is>
      </c>
      <c r="D249" t="inlineStr">
        <is>
          <t>10000635</t>
        </is>
      </c>
      <c r="E249" t="inlineStr"/>
      <c r="F249" s="11" t="n">
        <v>544.78</v>
      </c>
      <c r="G249" t="inlineStr"/>
      <c r="I249" t="inlineStr">
        <is>
          <t>TN</t>
        </is>
      </c>
      <c r="J249" t="inlineStr"/>
      <c r="K249" t="inlineStr">
        <is>
          <t>20260301</t>
        </is>
      </c>
      <c r="L249" t="inlineStr">
        <is>
          <t>99991231</t>
        </is>
      </c>
    </row>
    <row r="250">
      <c r="A250" t="inlineStr">
        <is>
          <t>900000472</t>
        </is>
      </c>
      <c r="B250" t="inlineStr">
        <is>
          <t>DW70</t>
        </is>
      </c>
      <c r="C250" t="inlineStr">
        <is>
          <t>D083</t>
        </is>
      </c>
      <c r="D250" t="inlineStr">
        <is>
          <t>10000643</t>
        </is>
      </c>
      <c r="E250" t="inlineStr"/>
      <c r="F250" s="11" t="n">
        <v>544.78</v>
      </c>
      <c r="G250" t="inlineStr"/>
      <c r="I250" t="inlineStr">
        <is>
          <t>TN</t>
        </is>
      </c>
      <c r="J250" t="inlineStr"/>
      <c r="K250" t="inlineStr">
        <is>
          <t>20260301</t>
        </is>
      </c>
      <c r="L250" t="inlineStr">
        <is>
          <t>99991231</t>
        </is>
      </c>
    </row>
    <row r="251">
      <c r="A251" t="inlineStr">
        <is>
          <t>900000472</t>
        </is>
      </c>
      <c r="B251" t="inlineStr">
        <is>
          <t>DW70</t>
        </is>
      </c>
      <c r="C251" t="inlineStr">
        <is>
          <t>D083</t>
        </is>
      </c>
      <c r="D251" t="inlineStr">
        <is>
          <t>10000655</t>
        </is>
      </c>
      <c r="E251" t="inlineStr"/>
      <c r="F251" s="11" t="n">
        <v>544.78</v>
      </c>
      <c r="G251" t="inlineStr"/>
      <c r="I251" t="inlineStr">
        <is>
          <t>TN</t>
        </is>
      </c>
      <c r="J251" t="inlineStr"/>
      <c r="K251" t="inlineStr">
        <is>
          <t>20260301</t>
        </is>
      </c>
      <c r="L251" t="inlineStr">
        <is>
          <t>99991231</t>
        </is>
      </c>
    </row>
    <row r="252">
      <c r="A252" t="inlineStr">
        <is>
          <t>900000472</t>
        </is>
      </c>
      <c r="B252" t="inlineStr">
        <is>
          <t>DW70</t>
        </is>
      </c>
      <c r="C252" t="inlineStr">
        <is>
          <t>D083</t>
        </is>
      </c>
      <c r="D252" t="inlineStr">
        <is>
          <t>10004432</t>
        </is>
      </c>
      <c r="E252" t="inlineStr"/>
      <c r="F252" s="11" t="n">
        <v>4500</v>
      </c>
      <c r="G252" t="inlineStr"/>
      <c r="I252" t="inlineStr">
        <is>
          <t>TN</t>
        </is>
      </c>
      <c r="J252" t="inlineStr"/>
      <c r="K252" t="inlineStr">
        <is>
          <t>20250701</t>
        </is>
      </c>
      <c r="L252" t="inlineStr">
        <is>
          <t>99991231</t>
        </is>
      </c>
    </row>
    <row r="253">
      <c r="A253" t="inlineStr">
        <is>
          <t>900000472</t>
        </is>
      </c>
      <c r="B253" t="inlineStr">
        <is>
          <t>DW70</t>
        </is>
      </c>
      <c r="C253" t="inlineStr">
        <is>
          <t>D083</t>
        </is>
      </c>
      <c r="D253" t="inlineStr">
        <is>
          <t>10188219</t>
        </is>
      </c>
      <c r="E253" t="inlineStr"/>
      <c r="F253" s="11" t="n">
        <v>650</v>
      </c>
      <c r="G253" t="inlineStr"/>
      <c r="I253" t="inlineStr">
        <is>
          <t>TN</t>
        </is>
      </c>
      <c r="J253" t="inlineStr"/>
      <c r="K253" t="inlineStr">
        <is>
          <t>20230501</t>
        </is>
      </c>
      <c r="L253" t="inlineStr">
        <is>
          <t>20250131</t>
        </is>
      </c>
    </row>
    <row r="254">
      <c r="A254" t="inlineStr">
        <is>
          <t>900000472</t>
        </is>
      </c>
      <c r="B254" t="inlineStr">
        <is>
          <t>DW70</t>
        </is>
      </c>
      <c r="C254" t="inlineStr">
        <is>
          <t>D083</t>
        </is>
      </c>
      <c r="D254" t="inlineStr">
        <is>
          <t>10189170</t>
        </is>
      </c>
      <c r="E254" t="inlineStr"/>
      <c r="F254" s="11" t="n">
        <v>650</v>
      </c>
      <c r="G254" t="inlineStr"/>
      <c r="I254" t="inlineStr">
        <is>
          <t>TN</t>
        </is>
      </c>
      <c r="J254" t="inlineStr"/>
      <c r="K254" t="inlineStr">
        <is>
          <t>20230501</t>
        </is>
      </c>
      <c r="L254" t="inlineStr">
        <is>
          <t>20250131</t>
        </is>
      </c>
    </row>
    <row r="255">
      <c r="A255" t="inlineStr">
        <is>
          <t>900000472</t>
        </is>
      </c>
      <c r="B255" t="inlineStr">
        <is>
          <t>DW70</t>
        </is>
      </c>
      <c r="C255" t="inlineStr">
        <is>
          <t>D083</t>
        </is>
      </c>
      <c r="D255" t="inlineStr">
        <is>
          <t>10190932</t>
        </is>
      </c>
      <c r="E255" t="inlineStr"/>
      <c r="F255" s="11" t="n">
        <v>650</v>
      </c>
      <c r="G255" t="inlineStr"/>
      <c r="I255" t="inlineStr">
        <is>
          <t>TN</t>
        </is>
      </c>
      <c r="J255" t="inlineStr"/>
      <c r="K255" t="inlineStr">
        <is>
          <t>20230501</t>
        </is>
      </c>
      <c r="L255" t="inlineStr">
        <is>
          <t>20250131</t>
        </is>
      </c>
    </row>
    <row r="256">
      <c r="A256" t="inlineStr">
        <is>
          <t>900000472</t>
        </is>
      </c>
      <c r="B256" t="inlineStr">
        <is>
          <t>DW70</t>
        </is>
      </c>
      <c r="C256" t="inlineStr">
        <is>
          <t>D083</t>
        </is>
      </c>
      <c r="D256" t="inlineStr">
        <is>
          <t>10211427</t>
        </is>
      </c>
      <c r="E256" t="inlineStr"/>
      <c r="F256" s="11" t="n">
        <v>4500</v>
      </c>
      <c r="G256" t="inlineStr"/>
      <c r="I256" t="inlineStr">
        <is>
          <t>TN</t>
        </is>
      </c>
      <c r="J256" t="inlineStr"/>
      <c r="K256" t="inlineStr">
        <is>
          <t>20250701</t>
        </is>
      </c>
      <c r="L256" t="inlineStr">
        <is>
          <t>99991231</t>
        </is>
      </c>
    </row>
    <row r="257">
      <c r="A257" t="inlineStr">
        <is>
          <t>900000472</t>
        </is>
      </c>
      <c r="B257" t="inlineStr">
        <is>
          <t>DW70</t>
        </is>
      </c>
      <c r="C257" t="inlineStr">
        <is>
          <t>D084</t>
        </is>
      </c>
      <c r="D257" t="inlineStr">
        <is>
          <t>10000635</t>
        </is>
      </c>
      <c r="E257" t="inlineStr"/>
      <c r="F257" s="11" t="n">
        <v>475.87</v>
      </c>
      <c r="G257" t="inlineStr"/>
      <c r="I257" t="inlineStr">
        <is>
          <t>TN</t>
        </is>
      </c>
      <c r="J257" t="inlineStr"/>
      <c r="K257" t="inlineStr">
        <is>
          <t>20250701</t>
        </is>
      </c>
      <c r="L257" t="inlineStr">
        <is>
          <t>20251031</t>
        </is>
      </c>
    </row>
    <row r="258">
      <c r="A258" t="inlineStr">
        <is>
          <t>900000472</t>
        </is>
      </c>
      <c r="B258" t="inlineStr">
        <is>
          <t>DW70</t>
        </is>
      </c>
      <c r="C258" t="inlineStr">
        <is>
          <t>D084</t>
        </is>
      </c>
      <c r="D258" t="inlineStr">
        <is>
          <t>10000643</t>
        </is>
      </c>
      <c r="E258" t="inlineStr"/>
      <c r="F258" s="11" t="n">
        <v>475.87</v>
      </c>
      <c r="G258" t="inlineStr"/>
      <c r="I258" t="inlineStr">
        <is>
          <t>TN</t>
        </is>
      </c>
      <c r="J258" t="inlineStr"/>
      <c r="K258" t="inlineStr">
        <is>
          <t>20250701</t>
        </is>
      </c>
      <c r="L258" t="inlineStr">
        <is>
          <t>20251031</t>
        </is>
      </c>
    </row>
    <row r="259">
      <c r="A259" t="inlineStr">
        <is>
          <t>900000472</t>
        </is>
      </c>
      <c r="B259" t="inlineStr">
        <is>
          <t>DW70</t>
        </is>
      </c>
      <c r="C259" t="inlineStr">
        <is>
          <t>D084</t>
        </is>
      </c>
      <c r="D259" t="inlineStr">
        <is>
          <t>10000655</t>
        </is>
      </c>
      <c r="E259" t="inlineStr"/>
      <c r="F259" s="11" t="n">
        <v>436.6</v>
      </c>
      <c r="G259" t="inlineStr"/>
      <c r="I259" t="inlineStr">
        <is>
          <t>TN</t>
        </is>
      </c>
      <c r="J259" t="inlineStr"/>
      <c r="K259" t="inlineStr">
        <is>
          <t>20230501</t>
        </is>
      </c>
      <c r="L259" t="inlineStr">
        <is>
          <t>20250131</t>
        </is>
      </c>
    </row>
    <row r="260">
      <c r="A260" t="inlineStr">
        <is>
          <t>900000472</t>
        </is>
      </c>
      <c r="B260" t="inlineStr">
        <is>
          <t>DW70</t>
        </is>
      </c>
      <c r="C260" t="inlineStr">
        <is>
          <t>D084</t>
        </is>
      </c>
      <c r="D260" t="inlineStr">
        <is>
          <t>10165790</t>
        </is>
      </c>
      <c r="E260" t="inlineStr"/>
      <c r="F260" s="11" t="n">
        <v>515</v>
      </c>
      <c r="G260" t="inlineStr"/>
      <c r="I260" t="inlineStr">
        <is>
          <t>TN</t>
        </is>
      </c>
      <c r="J260" t="inlineStr"/>
      <c r="K260" t="inlineStr">
        <is>
          <t>20230501</t>
        </is>
      </c>
      <c r="L260" t="inlineStr">
        <is>
          <t>20250131</t>
        </is>
      </c>
    </row>
    <row r="261">
      <c r="A261" t="inlineStr">
        <is>
          <t>900000472</t>
        </is>
      </c>
      <c r="B261" t="inlineStr">
        <is>
          <t>DW70</t>
        </is>
      </c>
      <c r="C261" t="inlineStr">
        <is>
          <t>D084</t>
        </is>
      </c>
      <c r="D261" t="inlineStr">
        <is>
          <t>10188219</t>
        </is>
      </c>
      <c r="E261" t="inlineStr"/>
      <c r="F261" s="11" t="n">
        <v>650</v>
      </c>
      <c r="G261" t="inlineStr"/>
      <c r="I261" t="inlineStr">
        <is>
          <t>TN</t>
        </is>
      </c>
      <c r="J261" t="inlineStr"/>
      <c r="K261" t="inlineStr">
        <is>
          <t>20230501</t>
        </is>
      </c>
      <c r="L261" t="inlineStr">
        <is>
          <t>20250131</t>
        </is>
      </c>
    </row>
    <row r="262">
      <c r="A262" t="inlineStr">
        <is>
          <t>900000472</t>
        </is>
      </c>
      <c r="B262" t="inlineStr">
        <is>
          <t>DW70</t>
        </is>
      </c>
      <c r="C262" t="inlineStr">
        <is>
          <t>D084</t>
        </is>
      </c>
      <c r="D262" t="inlineStr">
        <is>
          <t>10189170</t>
        </is>
      </c>
      <c r="E262" t="inlineStr"/>
      <c r="F262" s="11" t="n">
        <v>650</v>
      </c>
      <c r="G262" t="inlineStr"/>
      <c r="I262" t="inlineStr">
        <is>
          <t>TN</t>
        </is>
      </c>
      <c r="J262" t="inlineStr"/>
      <c r="K262" t="inlineStr">
        <is>
          <t>20230501</t>
        </is>
      </c>
      <c r="L262" t="inlineStr">
        <is>
          <t>20250131</t>
        </is>
      </c>
    </row>
    <row r="263">
      <c r="A263" t="inlineStr">
        <is>
          <t>900000472</t>
        </is>
      </c>
      <c r="B263" t="inlineStr">
        <is>
          <t>DW70</t>
        </is>
      </c>
      <c r="C263" t="inlineStr">
        <is>
          <t>D084</t>
        </is>
      </c>
      <c r="D263" t="inlineStr">
        <is>
          <t>10190932</t>
        </is>
      </c>
      <c r="E263" t="inlineStr"/>
      <c r="F263" s="11" t="n">
        <v>650</v>
      </c>
      <c r="G263" t="inlineStr"/>
      <c r="I263" t="inlineStr">
        <is>
          <t>TN</t>
        </is>
      </c>
      <c r="J263" t="inlineStr"/>
      <c r="K263" t="inlineStr">
        <is>
          <t>20230501</t>
        </is>
      </c>
      <c r="L263" t="inlineStr">
        <is>
          <t>20250131</t>
        </is>
      </c>
    </row>
    <row r="264">
      <c r="A264" t="inlineStr">
        <is>
          <t>900000472</t>
        </is>
      </c>
      <c r="B264" t="inlineStr">
        <is>
          <t>DW70</t>
        </is>
      </c>
      <c r="C264" t="inlineStr">
        <is>
          <t>D085</t>
        </is>
      </c>
      <c r="D264" t="inlineStr">
        <is>
          <t>10000635</t>
        </is>
      </c>
      <c r="E264" t="inlineStr"/>
      <c r="F264" s="11" t="n">
        <v>436.6</v>
      </c>
      <c r="G264" t="inlineStr"/>
      <c r="I264" t="inlineStr">
        <is>
          <t>TN</t>
        </is>
      </c>
      <c r="J264" t="inlineStr"/>
      <c r="K264" t="inlineStr">
        <is>
          <t>20230501</t>
        </is>
      </c>
      <c r="L264" t="inlineStr">
        <is>
          <t>20250131</t>
        </is>
      </c>
    </row>
    <row r="265">
      <c r="A265" t="inlineStr">
        <is>
          <t>900000472</t>
        </is>
      </c>
      <c r="B265" t="inlineStr">
        <is>
          <t>DW70</t>
        </is>
      </c>
      <c r="C265" t="inlineStr">
        <is>
          <t>D085</t>
        </is>
      </c>
      <c r="D265" t="inlineStr">
        <is>
          <t>10000643</t>
        </is>
      </c>
      <c r="E265" t="inlineStr"/>
      <c r="F265" s="11" t="n">
        <v>436.6</v>
      </c>
      <c r="G265" t="inlineStr"/>
      <c r="I265" t="inlineStr">
        <is>
          <t>TN</t>
        </is>
      </c>
      <c r="J265" t="inlineStr"/>
      <c r="K265" t="inlineStr">
        <is>
          <t>20230501</t>
        </is>
      </c>
      <c r="L265" t="inlineStr">
        <is>
          <t>20250131</t>
        </is>
      </c>
    </row>
    <row r="266">
      <c r="A266" t="inlineStr">
        <is>
          <t>900000472</t>
        </is>
      </c>
      <c r="B266" t="inlineStr">
        <is>
          <t>DW70</t>
        </is>
      </c>
      <c r="C266" t="inlineStr">
        <is>
          <t>D085</t>
        </is>
      </c>
      <c r="D266" t="inlineStr">
        <is>
          <t>10188219</t>
        </is>
      </c>
      <c r="E266" t="inlineStr"/>
      <c r="F266" s="11" t="n">
        <v>650</v>
      </c>
      <c r="G266" t="inlineStr"/>
      <c r="I266" t="inlineStr">
        <is>
          <t>TN</t>
        </is>
      </c>
      <c r="J266" t="inlineStr"/>
      <c r="K266" t="inlineStr">
        <is>
          <t>20230501</t>
        </is>
      </c>
      <c r="L266" t="inlineStr">
        <is>
          <t>20250131</t>
        </is>
      </c>
    </row>
    <row r="267">
      <c r="A267" t="inlineStr">
        <is>
          <t>900000472</t>
        </is>
      </c>
      <c r="B267" t="inlineStr">
        <is>
          <t>DW70</t>
        </is>
      </c>
      <c r="C267" t="inlineStr">
        <is>
          <t>D085</t>
        </is>
      </c>
      <c r="D267" t="inlineStr">
        <is>
          <t>10189170</t>
        </is>
      </c>
      <c r="E267" t="inlineStr"/>
      <c r="F267" s="11" t="n">
        <v>650</v>
      </c>
      <c r="G267" t="inlineStr"/>
      <c r="I267" t="inlineStr">
        <is>
          <t>TN</t>
        </is>
      </c>
      <c r="J267" t="inlineStr"/>
      <c r="K267" t="inlineStr">
        <is>
          <t>20230501</t>
        </is>
      </c>
      <c r="L267" t="inlineStr">
        <is>
          <t>20250131</t>
        </is>
      </c>
    </row>
    <row r="268">
      <c r="A268" t="inlineStr">
        <is>
          <t>900000472</t>
        </is>
      </c>
      <c r="B268" t="inlineStr">
        <is>
          <t>DW70</t>
        </is>
      </c>
      <c r="C268" t="inlineStr">
        <is>
          <t>D085</t>
        </is>
      </c>
      <c r="D268" t="inlineStr">
        <is>
          <t>10190932</t>
        </is>
      </c>
      <c r="E268" t="inlineStr"/>
      <c r="F268" s="11" t="n">
        <v>650</v>
      </c>
      <c r="G268" t="inlineStr"/>
      <c r="I268" t="inlineStr">
        <is>
          <t>TN</t>
        </is>
      </c>
      <c r="J268" t="inlineStr"/>
      <c r="K268" t="inlineStr">
        <is>
          <t>20230501</t>
        </is>
      </c>
      <c r="L268" t="inlineStr">
        <is>
          <t>20250131</t>
        </is>
      </c>
    </row>
    <row r="269">
      <c r="A269" t="inlineStr">
        <is>
          <t>900000472</t>
        </is>
      </c>
      <c r="B269" t="inlineStr">
        <is>
          <t>DW70</t>
        </is>
      </c>
      <c r="C269" t="inlineStr">
        <is>
          <t>D086</t>
        </is>
      </c>
      <c r="D269" t="inlineStr">
        <is>
          <t>10000635</t>
        </is>
      </c>
      <c r="E269" t="inlineStr"/>
      <c r="F269" s="11" t="n">
        <v>436.6</v>
      </c>
      <c r="G269" t="inlineStr"/>
      <c r="I269" t="inlineStr">
        <is>
          <t>TN</t>
        </is>
      </c>
      <c r="J269" t="inlineStr"/>
      <c r="K269" t="inlineStr">
        <is>
          <t>20230501</t>
        </is>
      </c>
      <c r="L269" t="inlineStr">
        <is>
          <t>20250131</t>
        </is>
      </c>
    </row>
    <row r="270">
      <c r="A270" t="inlineStr">
        <is>
          <t>900000472</t>
        </is>
      </c>
      <c r="B270" t="inlineStr">
        <is>
          <t>DW70</t>
        </is>
      </c>
      <c r="C270" t="inlineStr">
        <is>
          <t>D086</t>
        </is>
      </c>
      <c r="D270" t="inlineStr">
        <is>
          <t>10000643</t>
        </is>
      </c>
      <c r="E270" t="inlineStr"/>
      <c r="F270" s="11" t="n">
        <v>436.6</v>
      </c>
      <c r="G270" t="inlineStr"/>
      <c r="I270" t="inlineStr">
        <is>
          <t>TN</t>
        </is>
      </c>
      <c r="J270" t="inlineStr"/>
      <c r="K270" t="inlineStr">
        <is>
          <t>20230501</t>
        </is>
      </c>
      <c r="L270" t="inlineStr">
        <is>
          <t>20250131</t>
        </is>
      </c>
    </row>
    <row r="271">
      <c r="A271" t="inlineStr">
        <is>
          <t>900000472</t>
        </is>
      </c>
      <c r="B271" t="inlineStr">
        <is>
          <t>DW70</t>
        </is>
      </c>
      <c r="C271" t="inlineStr">
        <is>
          <t>D086</t>
        </is>
      </c>
      <c r="D271" t="inlineStr">
        <is>
          <t>10000655</t>
        </is>
      </c>
      <c r="E271" t="inlineStr"/>
      <c r="F271" s="11" t="n">
        <v>436.6</v>
      </c>
      <c r="G271" t="inlineStr"/>
      <c r="I271" t="inlineStr">
        <is>
          <t>TN</t>
        </is>
      </c>
      <c r="J271" t="inlineStr"/>
      <c r="K271" t="inlineStr">
        <is>
          <t>20230501</t>
        </is>
      </c>
      <c r="L271" t="inlineStr">
        <is>
          <t>20250131</t>
        </is>
      </c>
    </row>
    <row r="272">
      <c r="A272" t="inlineStr">
        <is>
          <t>900000472</t>
        </is>
      </c>
      <c r="B272" t="inlineStr">
        <is>
          <t>DW70</t>
        </is>
      </c>
      <c r="C272" t="inlineStr">
        <is>
          <t>D086</t>
        </is>
      </c>
      <c r="D272" t="inlineStr">
        <is>
          <t>10004432</t>
        </is>
      </c>
      <c r="E272" t="inlineStr"/>
      <c r="F272" s="11" t="n">
        <v>4000</v>
      </c>
      <c r="G272" t="inlineStr"/>
      <c r="I272" t="inlineStr">
        <is>
          <t>TN</t>
        </is>
      </c>
      <c r="J272" t="inlineStr"/>
      <c r="K272" t="inlineStr">
        <is>
          <t>20230501</t>
        </is>
      </c>
      <c r="L272" t="inlineStr">
        <is>
          <t>20250131</t>
        </is>
      </c>
    </row>
    <row r="273">
      <c r="A273" t="inlineStr">
        <is>
          <t>900000472</t>
        </is>
      </c>
      <c r="B273" t="inlineStr">
        <is>
          <t>DW70</t>
        </is>
      </c>
      <c r="C273" t="inlineStr">
        <is>
          <t>D086</t>
        </is>
      </c>
      <c r="D273" t="inlineStr">
        <is>
          <t>10188219</t>
        </is>
      </c>
      <c r="E273" t="inlineStr"/>
      <c r="F273" s="11" t="n">
        <v>650</v>
      </c>
      <c r="G273" t="inlineStr"/>
      <c r="I273" t="inlineStr">
        <is>
          <t>TN</t>
        </is>
      </c>
      <c r="J273" t="inlineStr"/>
      <c r="K273" t="inlineStr">
        <is>
          <t>20230501</t>
        </is>
      </c>
      <c r="L273" t="inlineStr">
        <is>
          <t>20250131</t>
        </is>
      </c>
    </row>
    <row r="274">
      <c r="A274" t="inlineStr">
        <is>
          <t>900000472</t>
        </is>
      </c>
      <c r="B274" t="inlineStr">
        <is>
          <t>DW70</t>
        </is>
      </c>
      <c r="C274" t="inlineStr">
        <is>
          <t>D086</t>
        </is>
      </c>
      <c r="D274" t="inlineStr">
        <is>
          <t>10189170</t>
        </is>
      </c>
      <c r="E274" t="inlineStr"/>
      <c r="F274" s="11" t="n">
        <v>650</v>
      </c>
      <c r="G274" t="inlineStr"/>
      <c r="I274" t="inlineStr">
        <is>
          <t>TN</t>
        </is>
      </c>
      <c r="J274" t="inlineStr"/>
      <c r="K274" t="inlineStr">
        <is>
          <t>20230501</t>
        </is>
      </c>
      <c r="L274" t="inlineStr">
        <is>
          <t>20250131</t>
        </is>
      </c>
    </row>
    <row r="275">
      <c r="A275" t="inlineStr">
        <is>
          <t>900000472</t>
        </is>
      </c>
      <c r="B275" t="inlineStr">
        <is>
          <t>DW70</t>
        </is>
      </c>
      <c r="C275" t="inlineStr">
        <is>
          <t>D086</t>
        </is>
      </c>
      <c r="D275" t="inlineStr">
        <is>
          <t>10190932</t>
        </is>
      </c>
      <c r="E275" t="inlineStr"/>
      <c r="F275" s="11" t="n">
        <v>650</v>
      </c>
      <c r="G275" t="inlineStr"/>
      <c r="I275" t="inlineStr">
        <is>
          <t>TN</t>
        </is>
      </c>
      <c r="J275" t="inlineStr"/>
      <c r="K275" t="inlineStr">
        <is>
          <t>20230501</t>
        </is>
      </c>
      <c r="L275" t="inlineStr">
        <is>
          <t>20250131</t>
        </is>
      </c>
    </row>
    <row r="276">
      <c r="A276" t="inlineStr">
        <is>
          <t>900000472</t>
        </is>
      </c>
      <c r="B276" t="inlineStr">
        <is>
          <t>DW70</t>
        </is>
      </c>
      <c r="C276" t="inlineStr">
        <is>
          <t>D087</t>
        </is>
      </c>
      <c r="D276" t="inlineStr">
        <is>
          <t>10000635</t>
        </is>
      </c>
      <c r="E276" t="inlineStr"/>
      <c r="F276" s="11" t="n">
        <v>436.6</v>
      </c>
      <c r="G276" t="inlineStr"/>
      <c r="I276" t="inlineStr">
        <is>
          <t>TN</t>
        </is>
      </c>
      <c r="J276" t="inlineStr"/>
      <c r="K276" t="inlineStr">
        <is>
          <t>20230501</t>
        </is>
      </c>
      <c r="L276" t="inlineStr">
        <is>
          <t>20250131</t>
        </is>
      </c>
    </row>
    <row r="277">
      <c r="A277" t="inlineStr">
        <is>
          <t>900000472</t>
        </is>
      </c>
      <c r="B277" t="inlineStr">
        <is>
          <t>DW70</t>
        </is>
      </c>
      <c r="C277" t="inlineStr">
        <is>
          <t>D087</t>
        </is>
      </c>
      <c r="D277" t="inlineStr">
        <is>
          <t>10000643</t>
        </is>
      </c>
      <c r="E277" t="inlineStr"/>
      <c r="F277" s="11" t="n">
        <v>436.6</v>
      </c>
      <c r="G277" t="inlineStr"/>
      <c r="I277" t="inlineStr">
        <is>
          <t>TN</t>
        </is>
      </c>
      <c r="J277" t="inlineStr"/>
      <c r="K277" t="inlineStr">
        <is>
          <t>20230501</t>
        </is>
      </c>
      <c r="L277" t="inlineStr">
        <is>
          <t>20250131</t>
        </is>
      </c>
    </row>
    <row r="278">
      <c r="A278" t="inlineStr">
        <is>
          <t>900000472</t>
        </is>
      </c>
      <c r="B278" t="inlineStr">
        <is>
          <t>DW70</t>
        </is>
      </c>
      <c r="C278" t="inlineStr">
        <is>
          <t>D087</t>
        </is>
      </c>
      <c r="D278" t="inlineStr">
        <is>
          <t>10000655</t>
        </is>
      </c>
      <c r="E278" t="inlineStr"/>
      <c r="F278" s="11" t="n">
        <v>436.6</v>
      </c>
      <c r="G278" t="inlineStr"/>
      <c r="I278" t="inlineStr">
        <is>
          <t>TN</t>
        </is>
      </c>
      <c r="J278" t="inlineStr"/>
      <c r="K278" t="inlineStr">
        <is>
          <t>20230501</t>
        </is>
      </c>
      <c r="L278" t="inlineStr">
        <is>
          <t>20250131</t>
        </is>
      </c>
    </row>
    <row r="279">
      <c r="A279" t="inlineStr">
        <is>
          <t>900000472</t>
        </is>
      </c>
      <c r="B279" t="inlineStr">
        <is>
          <t>DW70</t>
        </is>
      </c>
      <c r="C279" t="inlineStr">
        <is>
          <t>D088</t>
        </is>
      </c>
      <c r="D279" t="inlineStr">
        <is>
          <t>10000635</t>
        </is>
      </c>
      <c r="E279" t="inlineStr"/>
      <c r="F279" s="11" t="n">
        <v>436.6</v>
      </c>
      <c r="G279" t="inlineStr"/>
      <c r="I279" t="inlineStr">
        <is>
          <t>TN</t>
        </is>
      </c>
      <c r="J279" t="inlineStr"/>
      <c r="K279" t="inlineStr">
        <is>
          <t>20230501</t>
        </is>
      </c>
      <c r="L279" t="inlineStr">
        <is>
          <t>20250131</t>
        </is>
      </c>
    </row>
    <row r="280">
      <c r="A280" t="inlineStr">
        <is>
          <t>900000472</t>
        </is>
      </c>
      <c r="B280" t="inlineStr">
        <is>
          <t>DW70</t>
        </is>
      </c>
      <c r="C280" t="inlineStr">
        <is>
          <t>D088</t>
        </is>
      </c>
      <c r="D280" t="inlineStr">
        <is>
          <t>10000643</t>
        </is>
      </c>
      <c r="E280" t="inlineStr"/>
      <c r="F280" s="11" t="n">
        <v>436.6</v>
      </c>
      <c r="G280" t="inlineStr"/>
      <c r="I280" t="inlineStr">
        <is>
          <t>TN</t>
        </is>
      </c>
      <c r="J280" t="inlineStr"/>
      <c r="K280" t="inlineStr">
        <is>
          <t>20230501</t>
        </is>
      </c>
      <c r="L280" t="inlineStr">
        <is>
          <t>20250131</t>
        </is>
      </c>
    </row>
    <row r="281">
      <c r="A281" t="inlineStr">
        <is>
          <t>900000472</t>
        </is>
      </c>
      <c r="B281" t="inlineStr">
        <is>
          <t>DW70</t>
        </is>
      </c>
      <c r="C281" t="inlineStr">
        <is>
          <t>D088</t>
        </is>
      </c>
      <c r="D281" t="inlineStr">
        <is>
          <t>10000655</t>
        </is>
      </c>
      <c r="E281" t="inlineStr"/>
      <c r="F281" s="11" t="n">
        <v>436.6</v>
      </c>
      <c r="G281" t="inlineStr"/>
      <c r="I281" t="inlineStr">
        <is>
          <t>TN</t>
        </is>
      </c>
      <c r="J281" t="inlineStr"/>
      <c r="K281" t="inlineStr">
        <is>
          <t>20230501</t>
        </is>
      </c>
      <c r="L281" t="inlineStr">
        <is>
          <t>20250131</t>
        </is>
      </c>
    </row>
    <row r="282">
      <c r="A282" t="inlineStr">
        <is>
          <t>900000472</t>
        </is>
      </c>
      <c r="B282" t="inlineStr">
        <is>
          <t>DW70</t>
        </is>
      </c>
      <c r="C282" t="inlineStr">
        <is>
          <t>D088</t>
        </is>
      </c>
      <c r="D282" t="inlineStr">
        <is>
          <t>10188219</t>
        </is>
      </c>
      <c r="E282" t="inlineStr"/>
      <c r="F282" s="11" t="n">
        <v>650</v>
      </c>
      <c r="G282" t="inlineStr"/>
      <c r="I282" t="inlineStr">
        <is>
          <t>TN</t>
        </is>
      </c>
      <c r="J282" t="inlineStr"/>
      <c r="K282" t="inlineStr">
        <is>
          <t>20230501</t>
        </is>
      </c>
      <c r="L282" t="inlineStr">
        <is>
          <t>20250131</t>
        </is>
      </c>
    </row>
    <row r="283">
      <c r="A283" t="inlineStr">
        <is>
          <t>900000472</t>
        </is>
      </c>
      <c r="B283" t="inlineStr">
        <is>
          <t>DW70</t>
        </is>
      </c>
      <c r="C283" t="inlineStr">
        <is>
          <t>D088</t>
        </is>
      </c>
      <c r="D283" t="inlineStr">
        <is>
          <t>10189170</t>
        </is>
      </c>
      <c r="E283" t="inlineStr"/>
      <c r="F283" s="11" t="n">
        <v>650</v>
      </c>
      <c r="G283" t="inlineStr"/>
      <c r="I283" t="inlineStr">
        <is>
          <t>TN</t>
        </is>
      </c>
      <c r="J283" t="inlineStr"/>
      <c r="K283" t="inlineStr">
        <is>
          <t>20230501</t>
        </is>
      </c>
      <c r="L283" t="inlineStr">
        <is>
          <t>20250131</t>
        </is>
      </c>
    </row>
    <row r="284">
      <c r="A284" t="inlineStr">
        <is>
          <t>900000472</t>
        </is>
      </c>
      <c r="B284" t="inlineStr">
        <is>
          <t>DW70</t>
        </is>
      </c>
      <c r="C284" t="inlineStr">
        <is>
          <t>D088</t>
        </is>
      </c>
      <c r="D284" t="inlineStr">
        <is>
          <t>10190932</t>
        </is>
      </c>
      <c r="E284" t="inlineStr"/>
      <c r="F284" s="11" t="n">
        <v>650</v>
      </c>
      <c r="G284" t="inlineStr"/>
      <c r="I284" t="inlineStr">
        <is>
          <t>TN</t>
        </is>
      </c>
      <c r="J284" t="inlineStr"/>
      <c r="K284" t="inlineStr">
        <is>
          <t>20230501</t>
        </is>
      </c>
      <c r="L284" t="inlineStr">
        <is>
          <t>20250131</t>
        </is>
      </c>
    </row>
    <row r="285">
      <c r="A285" t="inlineStr">
        <is>
          <t>900000472</t>
        </is>
      </c>
      <c r="B285" t="inlineStr">
        <is>
          <t>DW70</t>
        </is>
      </c>
      <c r="C285" t="inlineStr">
        <is>
          <t>D089</t>
        </is>
      </c>
      <c r="D285" t="inlineStr">
        <is>
          <t>10000635</t>
        </is>
      </c>
      <c r="E285" t="inlineStr"/>
      <c r="F285" s="11" t="n">
        <v>436.6</v>
      </c>
      <c r="G285" t="inlineStr"/>
      <c r="I285" t="inlineStr">
        <is>
          <t>TN</t>
        </is>
      </c>
      <c r="J285" t="inlineStr"/>
      <c r="K285" t="inlineStr">
        <is>
          <t>20230501</t>
        </is>
      </c>
      <c r="L285" t="inlineStr">
        <is>
          <t>20250131</t>
        </is>
      </c>
    </row>
    <row r="286">
      <c r="A286" t="inlineStr">
        <is>
          <t>900000472</t>
        </is>
      </c>
      <c r="B286" t="inlineStr">
        <is>
          <t>DW70</t>
        </is>
      </c>
      <c r="C286" t="inlineStr">
        <is>
          <t>D089</t>
        </is>
      </c>
      <c r="D286" t="inlineStr">
        <is>
          <t>10000643</t>
        </is>
      </c>
      <c r="E286" t="inlineStr"/>
      <c r="F286" s="11" t="n">
        <v>436.6</v>
      </c>
      <c r="G286" t="inlineStr"/>
      <c r="I286" t="inlineStr">
        <is>
          <t>TN</t>
        </is>
      </c>
      <c r="J286" t="inlineStr"/>
      <c r="K286" t="inlineStr">
        <is>
          <t>20230501</t>
        </is>
      </c>
      <c r="L286" t="inlineStr">
        <is>
          <t>20250131</t>
        </is>
      </c>
    </row>
    <row r="287">
      <c r="A287" t="inlineStr">
        <is>
          <t>900000472</t>
        </is>
      </c>
      <c r="B287" t="inlineStr">
        <is>
          <t>DW70</t>
        </is>
      </c>
      <c r="C287" t="inlineStr">
        <is>
          <t>D089</t>
        </is>
      </c>
      <c r="D287" t="inlineStr">
        <is>
          <t>10000655</t>
        </is>
      </c>
      <c r="E287" t="inlineStr"/>
      <c r="F287" s="11" t="n">
        <v>436.6</v>
      </c>
      <c r="G287" t="inlineStr"/>
      <c r="I287" t="inlineStr">
        <is>
          <t>TN</t>
        </is>
      </c>
      <c r="J287" t="inlineStr"/>
      <c r="K287" t="inlineStr">
        <is>
          <t>20230501</t>
        </is>
      </c>
      <c r="L287" t="inlineStr">
        <is>
          <t>20250131</t>
        </is>
      </c>
    </row>
    <row r="288">
      <c r="A288" t="inlineStr">
        <is>
          <t>900000472</t>
        </is>
      </c>
      <c r="B288" t="inlineStr">
        <is>
          <t>DW70</t>
        </is>
      </c>
      <c r="C288" t="inlineStr">
        <is>
          <t>D093</t>
        </is>
      </c>
      <c r="D288" t="inlineStr">
        <is>
          <t>10000635</t>
        </is>
      </c>
      <c r="E288" t="inlineStr"/>
      <c r="F288" s="11" t="n">
        <v>436.6</v>
      </c>
      <c r="G288" t="inlineStr"/>
      <c r="I288" t="inlineStr">
        <is>
          <t>TN</t>
        </is>
      </c>
      <c r="J288" t="inlineStr"/>
      <c r="K288" t="inlineStr">
        <is>
          <t>20230501</t>
        </is>
      </c>
      <c r="L288" t="inlineStr">
        <is>
          <t>20250131</t>
        </is>
      </c>
    </row>
    <row r="289">
      <c r="A289" t="inlineStr">
        <is>
          <t>900000472</t>
        </is>
      </c>
      <c r="B289" t="inlineStr">
        <is>
          <t>DW70</t>
        </is>
      </c>
      <c r="C289" t="inlineStr">
        <is>
          <t>D093</t>
        </is>
      </c>
      <c r="D289" t="inlineStr">
        <is>
          <t>10000643</t>
        </is>
      </c>
      <c r="E289" t="inlineStr"/>
      <c r="F289" s="11" t="n">
        <v>436.6</v>
      </c>
      <c r="G289" t="inlineStr"/>
      <c r="I289" t="inlineStr">
        <is>
          <t>TN</t>
        </is>
      </c>
      <c r="J289" t="inlineStr"/>
      <c r="K289" t="inlineStr">
        <is>
          <t>20230501</t>
        </is>
      </c>
      <c r="L289" t="inlineStr">
        <is>
          <t>20250131</t>
        </is>
      </c>
    </row>
    <row r="290">
      <c r="A290" t="inlineStr">
        <is>
          <t>900000472</t>
        </is>
      </c>
      <c r="B290" t="inlineStr">
        <is>
          <t>DW70</t>
        </is>
      </c>
      <c r="C290" t="inlineStr">
        <is>
          <t>D093</t>
        </is>
      </c>
      <c r="D290" t="inlineStr">
        <is>
          <t>10000655</t>
        </is>
      </c>
      <c r="E290" t="inlineStr"/>
      <c r="F290" s="11" t="n">
        <v>436.6</v>
      </c>
      <c r="G290" t="inlineStr"/>
      <c r="I290" t="inlineStr">
        <is>
          <t>TN</t>
        </is>
      </c>
      <c r="J290" t="inlineStr"/>
      <c r="K290" t="inlineStr">
        <is>
          <t>20230501</t>
        </is>
      </c>
      <c r="L290" t="inlineStr">
        <is>
          <t>20250131</t>
        </is>
      </c>
    </row>
    <row r="291">
      <c r="A291" t="inlineStr">
        <is>
          <t>900000472</t>
        </is>
      </c>
      <c r="B291" t="inlineStr">
        <is>
          <t>DW70</t>
        </is>
      </c>
      <c r="C291" t="inlineStr">
        <is>
          <t>D093</t>
        </is>
      </c>
      <c r="D291" t="inlineStr">
        <is>
          <t>10188219</t>
        </is>
      </c>
      <c r="E291" t="inlineStr"/>
      <c r="F291" s="11" t="n">
        <v>650</v>
      </c>
      <c r="G291" t="inlineStr"/>
      <c r="I291" t="inlineStr">
        <is>
          <t>TN</t>
        </is>
      </c>
      <c r="J291" t="inlineStr"/>
      <c r="K291" t="inlineStr">
        <is>
          <t>20230501</t>
        </is>
      </c>
      <c r="L291" t="inlineStr">
        <is>
          <t>20250131</t>
        </is>
      </c>
    </row>
    <row r="292">
      <c r="A292" t="inlineStr">
        <is>
          <t>900000472</t>
        </is>
      </c>
      <c r="B292" t="inlineStr">
        <is>
          <t>DW70</t>
        </is>
      </c>
      <c r="C292" t="inlineStr">
        <is>
          <t>D093</t>
        </is>
      </c>
      <c r="D292" t="inlineStr">
        <is>
          <t>10189170</t>
        </is>
      </c>
      <c r="E292" t="inlineStr"/>
      <c r="F292" s="11" t="n">
        <v>650</v>
      </c>
      <c r="G292" t="inlineStr"/>
      <c r="I292" t="inlineStr">
        <is>
          <t>TN</t>
        </is>
      </c>
      <c r="J292" t="inlineStr"/>
      <c r="K292" t="inlineStr">
        <is>
          <t>20230501</t>
        </is>
      </c>
      <c r="L292" t="inlineStr">
        <is>
          <t>20250131</t>
        </is>
      </c>
    </row>
    <row r="293">
      <c r="A293" t="inlineStr">
        <is>
          <t>900000472</t>
        </is>
      </c>
      <c r="B293" t="inlineStr">
        <is>
          <t>DW70</t>
        </is>
      </c>
      <c r="C293" t="inlineStr">
        <is>
          <t>D093</t>
        </is>
      </c>
      <c r="D293" t="inlineStr">
        <is>
          <t>10190932</t>
        </is>
      </c>
      <c r="E293" t="inlineStr"/>
      <c r="F293" s="11" t="n">
        <v>650</v>
      </c>
      <c r="G293" t="inlineStr"/>
      <c r="I293" t="inlineStr">
        <is>
          <t>TN</t>
        </is>
      </c>
      <c r="J293" t="inlineStr"/>
      <c r="K293" t="inlineStr">
        <is>
          <t>20230501</t>
        </is>
      </c>
      <c r="L293" t="inlineStr">
        <is>
          <t>20250131</t>
        </is>
      </c>
    </row>
    <row r="294">
      <c r="A294" t="inlineStr">
        <is>
          <t>900000472</t>
        </is>
      </c>
      <c r="B294" t="inlineStr">
        <is>
          <t>DW70</t>
        </is>
      </c>
      <c r="C294" t="inlineStr">
        <is>
          <t>D098</t>
        </is>
      </c>
      <c r="D294" t="inlineStr">
        <is>
          <t>10000635</t>
        </is>
      </c>
      <c r="E294" t="inlineStr"/>
      <c r="F294" s="11" t="n">
        <v>436.6</v>
      </c>
      <c r="G294" t="inlineStr"/>
      <c r="I294" t="inlineStr">
        <is>
          <t>TN</t>
        </is>
      </c>
      <c r="J294" t="inlineStr"/>
      <c r="K294" t="inlineStr">
        <is>
          <t>20230501</t>
        </is>
      </c>
      <c r="L294" t="inlineStr">
        <is>
          <t>20250131</t>
        </is>
      </c>
    </row>
    <row r="295">
      <c r="A295" t="inlineStr">
        <is>
          <t>900000472</t>
        </is>
      </c>
      <c r="B295" t="inlineStr">
        <is>
          <t>DW70</t>
        </is>
      </c>
      <c r="C295" t="inlineStr">
        <is>
          <t>D098</t>
        </is>
      </c>
      <c r="D295" t="inlineStr">
        <is>
          <t>10000643</t>
        </is>
      </c>
      <c r="E295" t="inlineStr"/>
      <c r="F295" s="11" t="n">
        <v>436.6</v>
      </c>
      <c r="G295" t="inlineStr"/>
      <c r="I295" t="inlineStr">
        <is>
          <t>TN</t>
        </is>
      </c>
      <c r="J295" t="inlineStr"/>
      <c r="K295" t="inlineStr">
        <is>
          <t>20230501</t>
        </is>
      </c>
      <c r="L295" t="inlineStr">
        <is>
          <t>20250131</t>
        </is>
      </c>
    </row>
    <row r="296">
      <c r="A296" t="inlineStr">
        <is>
          <t>900000472</t>
        </is>
      </c>
      <c r="B296" t="inlineStr">
        <is>
          <t>DW70</t>
        </is>
      </c>
      <c r="C296" t="inlineStr">
        <is>
          <t>D098</t>
        </is>
      </c>
      <c r="D296" t="inlineStr">
        <is>
          <t>10000655</t>
        </is>
      </c>
      <c r="E296" t="inlineStr"/>
      <c r="F296" s="11" t="n">
        <v>436.6</v>
      </c>
      <c r="G296" t="inlineStr"/>
      <c r="I296" t="inlineStr">
        <is>
          <t>TN</t>
        </is>
      </c>
      <c r="J296" t="inlineStr"/>
      <c r="K296" t="inlineStr">
        <is>
          <t>20230501</t>
        </is>
      </c>
      <c r="L296" t="inlineStr">
        <is>
          <t>20250131</t>
        </is>
      </c>
    </row>
    <row r="297">
      <c r="A297" t="inlineStr">
        <is>
          <t>900000472</t>
        </is>
      </c>
      <c r="B297" t="inlineStr">
        <is>
          <t>DW70</t>
        </is>
      </c>
      <c r="C297" t="inlineStr">
        <is>
          <t>D098</t>
        </is>
      </c>
      <c r="D297" t="inlineStr">
        <is>
          <t>10188219</t>
        </is>
      </c>
      <c r="E297" t="inlineStr"/>
      <c r="F297" s="11" t="n">
        <v>650</v>
      </c>
      <c r="G297" t="inlineStr"/>
      <c r="I297" t="inlineStr">
        <is>
          <t>TN</t>
        </is>
      </c>
      <c r="J297" t="inlineStr"/>
      <c r="K297" t="inlineStr">
        <is>
          <t>20230501</t>
        </is>
      </c>
      <c r="L297" t="inlineStr">
        <is>
          <t>20250131</t>
        </is>
      </c>
    </row>
    <row r="298">
      <c r="A298" t="inlineStr">
        <is>
          <t>900000472</t>
        </is>
      </c>
      <c r="B298" t="inlineStr">
        <is>
          <t>DW70</t>
        </is>
      </c>
      <c r="C298" t="inlineStr">
        <is>
          <t>D098</t>
        </is>
      </c>
      <c r="D298" t="inlineStr">
        <is>
          <t>10189170</t>
        </is>
      </c>
      <c r="E298" t="inlineStr"/>
      <c r="F298" s="11" t="n">
        <v>650</v>
      </c>
      <c r="G298" t="inlineStr"/>
      <c r="I298" t="inlineStr">
        <is>
          <t>TN</t>
        </is>
      </c>
      <c r="J298" t="inlineStr"/>
      <c r="K298" t="inlineStr">
        <is>
          <t>20230501</t>
        </is>
      </c>
      <c r="L298" t="inlineStr">
        <is>
          <t>20250131</t>
        </is>
      </c>
    </row>
    <row r="299">
      <c r="A299" t="inlineStr">
        <is>
          <t>900000472</t>
        </is>
      </c>
      <c r="B299" t="inlineStr">
        <is>
          <t>DW70</t>
        </is>
      </c>
      <c r="C299" t="inlineStr">
        <is>
          <t>D098</t>
        </is>
      </c>
      <c r="D299" t="inlineStr">
        <is>
          <t>10190932</t>
        </is>
      </c>
      <c r="E299" t="inlineStr"/>
      <c r="F299" s="11" t="n">
        <v>650</v>
      </c>
      <c r="G299" t="inlineStr"/>
      <c r="I299" t="inlineStr">
        <is>
          <t>TN</t>
        </is>
      </c>
      <c r="J299" t="inlineStr"/>
      <c r="K299" t="inlineStr">
        <is>
          <t>20230501</t>
        </is>
      </c>
      <c r="L299" t="inlineStr">
        <is>
          <t>20250131</t>
        </is>
      </c>
    </row>
    <row r="300">
      <c r="A300" t="inlineStr">
        <is>
          <t>900000472</t>
        </is>
      </c>
      <c r="B300" t="inlineStr">
        <is>
          <t>DW70</t>
        </is>
      </c>
      <c r="C300" t="inlineStr">
        <is>
          <t>D105</t>
        </is>
      </c>
      <c r="D300" t="inlineStr">
        <is>
          <t>10000635</t>
        </is>
      </c>
      <c r="E300" t="inlineStr"/>
      <c r="F300" s="11" t="n">
        <v>436.6</v>
      </c>
      <c r="G300" t="inlineStr"/>
      <c r="I300" t="inlineStr">
        <is>
          <t>TN</t>
        </is>
      </c>
      <c r="J300" t="inlineStr"/>
      <c r="K300" t="inlineStr">
        <is>
          <t>20230501</t>
        </is>
      </c>
      <c r="L300" t="inlineStr">
        <is>
          <t>20250131</t>
        </is>
      </c>
    </row>
    <row r="301">
      <c r="A301" t="inlineStr">
        <is>
          <t>900000472</t>
        </is>
      </c>
      <c r="B301" t="inlineStr">
        <is>
          <t>DW70</t>
        </is>
      </c>
      <c r="C301" t="inlineStr">
        <is>
          <t>D105</t>
        </is>
      </c>
      <c r="D301" t="inlineStr">
        <is>
          <t>10000643</t>
        </is>
      </c>
      <c r="E301" t="inlineStr"/>
      <c r="F301" s="11" t="n">
        <v>436.6</v>
      </c>
      <c r="G301" t="inlineStr"/>
      <c r="I301" t="inlineStr">
        <is>
          <t>TN</t>
        </is>
      </c>
      <c r="J301" t="inlineStr"/>
      <c r="K301" t="inlineStr">
        <is>
          <t>20230501</t>
        </is>
      </c>
      <c r="L301" t="inlineStr">
        <is>
          <t>20250131</t>
        </is>
      </c>
    </row>
    <row r="302">
      <c r="A302" t="inlineStr">
        <is>
          <t>900000472</t>
        </is>
      </c>
      <c r="B302" t="inlineStr">
        <is>
          <t>DW70</t>
        </is>
      </c>
      <c r="C302" t="inlineStr">
        <is>
          <t>D105</t>
        </is>
      </c>
      <c r="D302" t="inlineStr">
        <is>
          <t>10000655</t>
        </is>
      </c>
      <c r="E302" t="inlineStr"/>
      <c r="F302" s="11" t="n">
        <v>436.6</v>
      </c>
      <c r="G302" t="inlineStr"/>
      <c r="I302" t="inlineStr">
        <is>
          <t>TN</t>
        </is>
      </c>
      <c r="J302" t="inlineStr"/>
      <c r="K302" t="inlineStr">
        <is>
          <t>20230501</t>
        </is>
      </c>
      <c r="L302" t="inlineStr">
        <is>
          <t>20250131</t>
        </is>
      </c>
    </row>
    <row r="303">
      <c r="A303" t="inlineStr">
        <is>
          <t>900000472</t>
        </is>
      </c>
      <c r="B303" t="inlineStr">
        <is>
          <t>DW70</t>
        </is>
      </c>
      <c r="C303" t="inlineStr">
        <is>
          <t>D105</t>
        </is>
      </c>
      <c r="D303" t="inlineStr">
        <is>
          <t>10004432</t>
        </is>
      </c>
      <c r="E303" t="inlineStr"/>
      <c r="F303" s="11" t="n">
        <v>2600</v>
      </c>
      <c r="G303" t="inlineStr"/>
      <c r="I303" t="inlineStr">
        <is>
          <t>TN</t>
        </is>
      </c>
      <c r="J303" t="inlineStr"/>
      <c r="K303" t="inlineStr">
        <is>
          <t>20230501</t>
        </is>
      </c>
      <c r="L303" t="inlineStr">
        <is>
          <t>20250131</t>
        </is>
      </c>
    </row>
    <row r="304">
      <c r="A304" t="inlineStr">
        <is>
          <t>900000472</t>
        </is>
      </c>
      <c r="B304" t="inlineStr">
        <is>
          <t>DW70</t>
        </is>
      </c>
      <c r="C304" t="inlineStr">
        <is>
          <t>D105</t>
        </is>
      </c>
      <c r="D304" t="inlineStr">
        <is>
          <t>10188219</t>
        </is>
      </c>
      <c r="E304" t="inlineStr"/>
      <c r="F304" s="11" t="n">
        <v>650</v>
      </c>
      <c r="G304" t="inlineStr"/>
      <c r="I304" t="inlineStr">
        <is>
          <t>TN</t>
        </is>
      </c>
      <c r="J304" t="inlineStr"/>
      <c r="K304" t="inlineStr">
        <is>
          <t>20230501</t>
        </is>
      </c>
      <c r="L304" t="inlineStr">
        <is>
          <t>20250131</t>
        </is>
      </c>
    </row>
    <row r="305">
      <c r="A305" t="inlineStr">
        <is>
          <t>900000472</t>
        </is>
      </c>
      <c r="B305" t="inlineStr">
        <is>
          <t>DW70</t>
        </is>
      </c>
      <c r="C305" t="inlineStr">
        <is>
          <t>D105</t>
        </is>
      </c>
      <c r="D305" t="inlineStr">
        <is>
          <t>10189170</t>
        </is>
      </c>
      <c r="E305" t="inlineStr"/>
      <c r="F305" s="11" t="n">
        <v>650</v>
      </c>
      <c r="G305" t="inlineStr"/>
      <c r="I305" t="inlineStr">
        <is>
          <t>TN</t>
        </is>
      </c>
      <c r="J305" t="inlineStr"/>
      <c r="K305" t="inlineStr">
        <is>
          <t>20230501</t>
        </is>
      </c>
      <c r="L305" t="inlineStr">
        <is>
          <t>20250131</t>
        </is>
      </c>
    </row>
    <row r="306">
      <c r="A306" t="inlineStr">
        <is>
          <t>900000472</t>
        </is>
      </c>
      <c r="B306" t="inlineStr">
        <is>
          <t>DW70</t>
        </is>
      </c>
      <c r="C306" t="inlineStr">
        <is>
          <t>D105</t>
        </is>
      </c>
      <c r="D306" t="inlineStr">
        <is>
          <t>10190932</t>
        </is>
      </c>
      <c r="E306" t="inlineStr"/>
      <c r="F306" s="11" t="n">
        <v>650</v>
      </c>
      <c r="G306" t="inlineStr"/>
      <c r="I306" t="inlineStr">
        <is>
          <t>TN</t>
        </is>
      </c>
      <c r="J306" t="inlineStr"/>
      <c r="K306" t="inlineStr">
        <is>
          <t>20230501</t>
        </is>
      </c>
      <c r="L306" t="inlineStr">
        <is>
          <t>20250131</t>
        </is>
      </c>
    </row>
    <row r="307">
      <c r="A307" t="inlineStr">
        <is>
          <t>900000472</t>
        </is>
      </c>
      <c r="B307" t="inlineStr">
        <is>
          <t>DW70</t>
        </is>
      </c>
      <c r="C307" t="inlineStr">
        <is>
          <t>D105</t>
        </is>
      </c>
      <c r="D307" t="inlineStr">
        <is>
          <t>10211427</t>
        </is>
      </c>
      <c r="E307" t="inlineStr"/>
      <c r="F307" s="11" t="n">
        <v>2210.53</v>
      </c>
      <c r="G307" t="inlineStr"/>
      <c r="I307" t="inlineStr">
        <is>
          <t>TN</t>
        </is>
      </c>
      <c r="J307" t="inlineStr"/>
      <c r="K307" t="inlineStr">
        <is>
          <t>20230501</t>
        </is>
      </c>
      <c r="L307" t="inlineStr">
        <is>
          <t>20250131</t>
        </is>
      </c>
    </row>
    <row r="308">
      <c r="A308" t="inlineStr">
        <is>
          <t>900000472</t>
        </is>
      </c>
      <c r="B308" t="inlineStr">
        <is>
          <t>DW70</t>
        </is>
      </c>
      <c r="C308" t="inlineStr">
        <is>
          <t>D136</t>
        </is>
      </c>
      <c r="D308" t="inlineStr">
        <is>
          <t>10000175</t>
        </is>
      </c>
      <c r="E308" t="inlineStr"/>
      <c r="F308" s="11" t="n">
        <v>159.14</v>
      </c>
      <c r="G308" t="inlineStr"/>
      <c r="I308" t="inlineStr">
        <is>
          <t>TN</t>
        </is>
      </c>
      <c r="J308" t="inlineStr"/>
      <c r="K308" t="inlineStr">
        <is>
          <t>20260605</t>
        </is>
      </c>
      <c r="L308" t="inlineStr">
        <is>
          <t>99991231</t>
        </is>
      </c>
    </row>
    <row r="309">
      <c r="A309" t="inlineStr">
        <is>
          <t>900000472</t>
        </is>
      </c>
      <c r="B309" t="inlineStr">
        <is>
          <t>DW70</t>
        </is>
      </c>
      <c r="C309" t="inlineStr">
        <is>
          <t>D136</t>
        </is>
      </c>
      <c r="D309" t="inlineStr">
        <is>
          <t>10000635</t>
        </is>
      </c>
      <c r="E309" t="inlineStr"/>
      <c r="F309" s="11" t="n">
        <v>544.78</v>
      </c>
      <c r="G309" t="inlineStr"/>
      <c r="I309" t="inlineStr">
        <is>
          <t>TN</t>
        </is>
      </c>
      <c r="J309" t="inlineStr"/>
      <c r="K309" t="inlineStr">
        <is>
          <t>20260301</t>
        </is>
      </c>
      <c r="L309" t="inlineStr">
        <is>
          <t>99991231</t>
        </is>
      </c>
    </row>
    <row r="310">
      <c r="A310" t="inlineStr">
        <is>
          <t>900000472</t>
        </is>
      </c>
      <c r="B310" t="inlineStr">
        <is>
          <t>DW70</t>
        </is>
      </c>
      <c r="C310" t="inlineStr">
        <is>
          <t>D136</t>
        </is>
      </c>
      <c r="D310" t="inlineStr">
        <is>
          <t>10000643</t>
        </is>
      </c>
      <c r="E310" t="inlineStr"/>
      <c r="F310" s="11" t="n">
        <v>544.78</v>
      </c>
      <c r="G310" t="inlineStr"/>
      <c r="I310" t="inlineStr">
        <is>
          <t>TN</t>
        </is>
      </c>
      <c r="J310" t="inlineStr"/>
      <c r="K310" t="inlineStr">
        <is>
          <t>20260301</t>
        </is>
      </c>
      <c r="L310" t="inlineStr">
        <is>
          <t>99991231</t>
        </is>
      </c>
    </row>
    <row r="311">
      <c r="A311" t="inlineStr">
        <is>
          <t>900000472</t>
        </is>
      </c>
      <c r="B311" t="inlineStr">
        <is>
          <t>DW70</t>
        </is>
      </c>
      <c r="C311" t="inlineStr">
        <is>
          <t>D136</t>
        </is>
      </c>
      <c r="D311" t="inlineStr">
        <is>
          <t>10000655</t>
        </is>
      </c>
      <c r="E311" t="inlineStr"/>
      <c r="F311" s="11" t="n">
        <v>513.9400000000001</v>
      </c>
      <c r="G311" t="inlineStr"/>
      <c r="I311" t="inlineStr">
        <is>
          <t>TN</t>
        </is>
      </c>
      <c r="J311" t="inlineStr"/>
      <c r="K311" t="inlineStr">
        <is>
          <t>20250701</t>
        </is>
      </c>
      <c r="L311" t="inlineStr">
        <is>
          <t>20251031</t>
        </is>
      </c>
    </row>
    <row r="312">
      <c r="A312" t="inlineStr">
        <is>
          <t>900000472</t>
        </is>
      </c>
      <c r="B312" t="inlineStr">
        <is>
          <t>DW70</t>
        </is>
      </c>
      <c r="C312" t="inlineStr">
        <is>
          <t>D136</t>
        </is>
      </c>
      <c r="D312" t="inlineStr">
        <is>
          <t>10190932</t>
        </is>
      </c>
      <c r="E312" t="inlineStr"/>
      <c r="F312" s="11" t="n">
        <v>650</v>
      </c>
      <c r="G312" t="inlineStr"/>
      <c r="I312" t="inlineStr">
        <is>
          <t>TN</t>
        </is>
      </c>
      <c r="J312" t="inlineStr"/>
      <c r="K312" t="inlineStr">
        <is>
          <t>20230501</t>
        </is>
      </c>
      <c r="L312" t="inlineStr">
        <is>
          <t>20250131</t>
        </is>
      </c>
    </row>
    <row r="313">
      <c r="A313" t="inlineStr">
        <is>
          <t>900000472</t>
        </is>
      </c>
      <c r="B313" t="inlineStr">
        <is>
          <t>DW70</t>
        </is>
      </c>
      <c r="C313" t="inlineStr">
        <is>
          <t>D145</t>
        </is>
      </c>
      <c r="D313" t="inlineStr">
        <is>
          <t>10000635</t>
        </is>
      </c>
      <c r="E313" t="inlineStr"/>
      <c r="F313" s="11" t="n">
        <v>436.6</v>
      </c>
      <c r="G313" t="inlineStr"/>
      <c r="I313" t="inlineStr">
        <is>
          <t>TN</t>
        </is>
      </c>
      <c r="J313" t="inlineStr"/>
      <c r="K313" t="inlineStr">
        <is>
          <t>20230501</t>
        </is>
      </c>
      <c r="L313" t="inlineStr">
        <is>
          <t>20250131</t>
        </is>
      </c>
    </row>
    <row r="314">
      <c r="A314" t="inlineStr">
        <is>
          <t>900000472</t>
        </is>
      </c>
      <c r="B314" t="inlineStr">
        <is>
          <t>DW70</t>
        </is>
      </c>
      <c r="C314" t="inlineStr">
        <is>
          <t>D145</t>
        </is>
      </c>
      <c r="D314" t="inlineStr">
        <is>
          <t>10000643</t>
        </is>
      </c>
      <c r="E314" t="inlineStr"/>
      <c r="F314" s="11" t="n">
        <v>436.6</v>
      </c>
      <c r="G314" t="inlineStr"/>
      <c r="I314" t="inlineStr">
        <is>
          <t>TN</t>
        </is>
      </c>
      <c r="J314" t="inlineStr"/>
      <c r="K314" t="inlineStr">
        <is>
          <t>20230501</t>
        </is>
      </c>
      <c r="L314" t="inlineStr">
        <is>
          <t>20250131</t>
        </is>
      </c>
    </row>
    <row r="315">
      <c r="A315" t="inlineStr">
        <is>
          <t>900000472</t>
        </is>
      </c>
      <c r="B315" t="inlineStr">
        <is>
          <t>DW70</t>
        </is>
      </c>
      <c r="C315" t="inlineStr">
        <is>
          <t>D145</t>
        </is>
      </c>
      <c r="D315" t="inlineStr">
        <is>
          <t>10000655</t>
        </is>
      </c>
      <c r="E315" t="inlineStr"/>
      <c r="F315" s="11" t="n">
        <v>436.6</v>
      </c>
      <c r="G315" t="inlineStr"/>
      <c r="I315" t="inlineStr">
        <is>
          <t>TN</t>
        </is>
      </c>
      <c r="J315" t="inlineStr"/>
      <c r="K315" t="inlineStr">
        <is>
          <t>20230501</t>
        </is>
      </c>
      <c r="L315" t="inlineStr">
        <is>
          <t>20250131</t>
        </is>
      </c>
    </row>
    <row r="316">
      <c r="A316" t="inlineStr">
        <is>
          <t>900000472</t>
        </is>
      </c>
      <c r="B316" t="inlineStr">
        <is>
          <t>DW70</t>
        </is>
      </c>
      <c r="C316" t="inlineStr">
        <is>
          <t>D145</t>
        </is>
      </c>
      <c r="D316" t="inlineStr">
        <is>
          <t>10188219</t>
        </is>
      </c>
      <c r="E316" t="inlineStr"/>
      <c r="F316" s="11" t="n">
        <v>650</v>
      </c>
      <c r="G316" t="inlineStr"/>
      <c r="I316" t="inlineStr">
        <is>
          <t>TN</t>
        </is>
      </c>
      <c r="J316" t="inlineStr"/>
      <c r="K316" t="inlineStr">
        <is>
          <t>20230501</t>
        </is>
      </c>
      <c r="L316" t="inlineStr">
        <is>
          <t>20250131</t>
        </is>
      </c>
    </row>
    <row r="317">
      <c r="A317" t="inlineStr">
        <is>
          <t>900000472</t>
        </is>
      </c>
      <c r="B317" t="inlineStr">
        <is>
          <t>DW70</t>
        </is>
      </c>
      <c r="C317" t="inlineStr">
        <is>
          <t>D145</t>
        </is>
      </c>
      <c r="D317" t="inlineStr">
        <is>
          <t>10189170</t>
        </is>
      </c>
      <c r="E317" t="inlineStr"/>
      <c r="F317" s="11" t="n">
        <v>650</v>
      </c>
      <c r="G317" t="inlineStr"/>
      <c r="I317" t="inlineStr">
        <is>
          <t>TN</t>
        </is>
      </c>
      <c r="J317" t="inlineStr"/>
      <c r="K317" t="inlineStr">
        <is>
          <t>20230501</t>
        </is>
      </c>
      <c r="L317" t="inlineStr">
        <is>
          <t>20250131</t>
        </is>
      </c>
    </row>
    <row r="318">
      <c r="A318" t="inlineStr">
        <is>
          <t>900000472</t>
        </is>
      </c>
      <c r="B318" t="inlineStr">
        <is>
          <t>DW70</t>
        </is>
      </c>
      <c r="C318" t="inlineStr">
        <is>
          <t>D145</t>
        </is>
      </c>
      <c r="D318" t="inlineStr">
        <is>
          <t>10190932</t>
        </is>
      </c>
      <c r="E318" t="inlineStr"/>
      <c r="F318" s="11" t="n">
        <v>650</v>
      </c>
      <c r="G318" t="inlineStr"/>
      <c r="I318" t="inlineStr">
        <is>
          <t>TN</t>
        </is>
      </c>
      <c r="J318" t="inlineStr"/>
      <c r="K318" t="inlineStr">
        <is>
          <t>20230501</t>
        </is>
      </c>
      <c r="L318" t="inlineStr">
        <is>
          <t>20250131</t>
        </is>
      </c>
    </row>
    <row r="319">
      <c r="A319" t="inlineStr">
        <is>
          <t>900000555</t>
        </is>
      </c>
      <c r="B319" t="inlineStr">
        <is>
          <t>DW70</t>
        </is>
      </c>
      <c r="C319" t="inlineStr">
        <is>
          <t>D093</t>
        </is>
      </c>
      <c r="D319" t="inlineStr">
        <is>
          <t>10001353</t>
        </is>
      </c>
      <c r="E319" t="inlineStr"/>
      <c r="F319" s="11" t="n">
        <v>70.54000000000001</v>
      </c>
      <c r="G319" t="inlineStr"/>
      <c r="I319" t="inlineStr">
        <is>
          <t>TN</t>
        </is>
      </c>
      <c r="J319" t="inlineStr"/>
      <c r="K319" t="inlineStr">
        <is>
          <t>20230501</t>
        </is>
      </c>
      <c r="L319" t="inlineStr">
        <is>
          <t>20250131</t>
        </is>
      </c>
    </row>
    <row r="320">
      <c r="A320" t="inlineStr">
        <is>
          <t>900000555</t>
        </is>
      </c>
      <c r="B320" t="inlineStr">
        <is>
          <t>DW70</t>
        </is>
      </c>
      <c r="C320" t="inlineStr">
        <is>
          <t>D093</t>
        </is>
      </c>
      <c r="D320" t="inlineStr">
        <is>
          <t>10001354</t>
        </is>
      </c>
      <c r="E320" t="inlineStr"/>
      <c r="F320" s="11" t="n">
        <v>66.05</v>
      </c>
      <c r="G320" t="inlineStr"/>
      <c r="I320" t="inlineStr">
        <is>
          <t>TN</t>
        </is>
      </c>
      <c r="J320" t="inlineStr"/>
      <c r="K320" t="inlineStr">
        <is>
          <t>20230501</t>
        </is>
      </c>
      <c r="L320" t="inlineStr">
        <is>
          <t>20250131</t>
        </is>
      </c>
    </row>
    <row r="321">
      <c r="A321" t="inlineStr">
        <is>
          <t>900000555</t>
        </is>
      </c>
      <c r="B321" t="inlineStr">
        <is>
          <t>DW70</t>
        </is>
      </c>
      <c r="C321" t="inlineStr">
        <is>
          <t>D093</t>
        </is>
      </c>
      <c r="D321" t="inlineStr">
        <is>
          <t>10001436</t>
        </is>
      </c>
      <c r="E321" t="inlineStr"/>
      <c r="F321" s="11" t="n">
        <v>48.72</v>
      </c>
      <c r="G321" t="inlineStr"/>
      <c r="I321" t="inlineStr">
        <is>
          <t>TN</t>
        </is>
      </c>
      <c r="J321" t="inlineStr"/>
      <c r="K321" t="inlineStr">
        <is>
          <t>20230501</t>
        </is>
      </c>
      <c r="L321" t="inlineStr">
        <is>
          <t>20250131</t>
        </is>
      </c>
    </row>
    <row r="322">
      <c r="A322" t="inlineStr">
        <is>
          <t>900000575</t>
        </is>
      </c>
      <c r="B322" t="inlineStr">
        <is>
          <t>DW70</t>
        </is>
      </c>
      <c r="C322" t="inlineStr">
        <is>
          <t>D074</t>
        </is>
      </c>
      <c r="D322" t="inlineStr">
        <is>
          <t>10000623</t>
        </is>
      </c>
      <c r="E322" t="inlineStr"/>
      <c r="F322" s="11" t="n">
        <v>100.46</v>
      </c>
      <c r="G322" t="inlineStr"/>
      <c r="I322" t="inlineStr">
        <is>
          <t>TN</t>
        </is>
      </c>
      <c r="J322" t="inlineStr"/>
      <c r="K322" t="inlineStr">
        <is>
          <t>20230501</t>
        </is>
      </c>
      <c r="L322" t="inlineStr">
        <is>
          <t>20250131</t>
        </is>
      </c>
    </row>
    <row r="323">
      <c r="A323" t="inlineStr">
        <is>
          <t>900000575</t>
        </is>
      </c>
      <c r="B323" t="inlineStr">
        <is>
          <t>DW70</t>
        </is>
      </c>
      <c r="C323" t="inlineStr">
        <is>
          <t>D074</t>
        </is>
      </c>
      <c r="D323" t="inlineStr">
        <is>
          <t>10000811</t>
        </is>
      </c>
      <c r="E323" t="inlineStr"/>
      <c r="F323" s="11" t="n">
        <v>96.79000000000001</v>
      </c>
      <c r="G323" t="inlineStr"/>
      <c r="I323" t="inlineStr">
        <is>
          <t>TN</t>
        </is>
      </c>
      <c r="J323" t="inlineStr"/>
      <c r="K323" t="inlineStr">
        <is>
          <t>20230501</t>
        </is>
      </c>
      <c r="L323" t="inlineStr">
        <is>
          <t>20250131</t>
        </is>
      </c>
    </row>
    <row r="324">
      <c r="A324" t="inlineStr">
        <is>
          <t>900000575</t>
        </is>
      </c>
      <c r="B324" t="inlineStr">
        <is>
          <t>DW70</t>
        </is>
      </c>
      <c r="C324" t="inlineStr">
        <is>
          <t>D074</t>
        </is>
      </c>
      <c r="D324" t="inlineStr">
        <is>
          <t>10059180</t>
        </is>
      </c>
      <c r="E324" t="inlineStr"/>
      <c r="F324" s="11" t="n">
        <v>50.49</v>
      </c>
      <c r="G324" t="inlineStr"/>
      <c r="I324" t="inlineStr">
        <is>
          <t>TN</t>
        </is>
      </c>
      <c r="J324" t="inlineStr"/>
      <c r="K324" t="inlineStr">
        <is>
          <t>20230501</t>
        </is>
      </c>
      <c r="L324" t="inlineStr">
        <is>
          <t>20250131</t>
        </is>
      </c>
    </row>
    <row r="325">
      <c r="A325" t="inlineStr">
        <is>
          <t>900000575</t>
        </is>
      </c>
      <c r="B325" t="inlineStr">
        <is>
          <t>DW70</t>
        </is>
      </c>
      <c r="C325" t="inlineStr">
        <is>
          <t>D075</t>
        </is>
      </c>
      <c r="D325" t="inlineStr">
        <is>
          <t>10000623</t>
        </is>
      </c>
      <c r="E325" t="inlineStr"/>
      <c r="F325" s="11" t="n">
        <v>100.46</v>
      </c>
      <c r="G325" t="inlineStr"/>
      <c r="I325" t="inlineStr">
        <is>
          <t>TN</t>
        </is>
      </c>
      <c r="J325" t="inlineStr"/>
      <c r="K325" t="inlineStr">
        <is>
          <t>20230501</t>
        </is>
      </c>
      <c r="L325" t="inlineStr">
        <is>
          <t>20250131</t>
        </is>
      </c>
    </row>
    <row r="326">
      <c r="A326" t="inlineStr">
        <is>
          <t>900000575</t>
        </is>
      </c>
      <c r="B326" t="inlineStr">
        <is>
          <t>DW70</t>
        </is>
      </c>
      <c r="C326" t="inlineStr">
        <is>
          <t>D075</t>
        </is>
      </c>
      <c r="D326" t="inlineStr">
        <is>
          <t>10000811</t>
        </is>
      </c>
      <c r="E326" t="inlineStr"/>
      <c r="F326" s="11" t="n">
        <v>96.79000000000001</v>
      </c>
      <c r="G326" t="inlineStr"/>
      <c r="I326" t="inlineStr">
        <is>
          <t>TN</t>
        </is>
      </c>
      <c r="J326" t="inlineStr"/>
      <c r="K326" t="inlineStr">
        <is>
          <t>20230501</t>
        </is>
      </c>
      <c r="L326" t="inlineStr">
        <is>
          <t>20250131</t>
        </is>
      </c>
    </row>
    <row r="327">
      <c r="A327" t="inlineStr">
        <is>
          <t>900000575</t>
        </is>
      </c>
      <c r="B327" t="inlineStr">
        <is>
          <t>DW70</t>
        </is>
      </c>
      <c r="C327" t="inlineStr">
        <is>
          <t>D075</t>
        </is>
      </c>
      <c r="D327" t="inlineStr">
        <is>
          <t>10059180</t>
        </is>
      </c>
      <c r="E327" t="inlineStr"/>
      <c r="F327" s="11" t="n">
        <v>50.49</v>
      </c>
      <c r="G327" t="inlineStr"/>
      <c r="I327" t="inlineStr">
        <is>
          <t>TN</t>
        </is>
      </c>
      <c r="J327" t="inlineStr"/>
      <c r="K327" t="inlineStr">
        <is>
          <t>20230501</t>
        </is>
      </c>
      <c r="L327" t="inlineStr">
        <is>
          <t>20250131</t>
        </is>
      </c>
    </row>
    <row r="328">
      <c r="A328" t="inlineStr">
        <is>
          <t>900000575</t>
        </is>
      </c>
      <c r="B328" t="inlineStr">
        <is>
          <t>DW70</t>
        </is>
      </c>
      <c r="C328" t="inlineStr">
        <is>
          <t>D077</t>
        </is>
      </c>
      <c r="D328" t="inlineStr">
        <is>
          <t>10000623</t>
        </is>
      </c>
      <c r="E328" t="inlineStr"/>
      <c r="F328" s="11" t="n">
        <v>100.46</v>
      </c>
      <c r="G328" t="inlineStr"/>
      <c r="I328" t="inlineStr">
        <is>
          <t>TN</t>
        </is>
      </c>
      <c r="J328" t="inlineStr"/>
      <c r="K328" t="inlineStr">
        <is>
          <t>20230501</t>
        </is>
      </c>
      <c r="L328" t="inlineStr">
        <is>
          <t>20250131</t>
        </is>
      </c>
    </row>
    <row r="329">
      <c r="A329" t="inlineStr">
        <is>
          <t>900000575</t>
        </is>
      </c>
      <c r="B329" t="inlineStr">
        <is>
          <t>DW70</t>
        </is>
      </c>
      <c r="C329" t="inlineStr">
        <is>
          <t>D077</t>
        </is>
      </c>
      <c r="D329" t="inlineStr">
        <is>
          <t>10000811</t>
        </is>
      </c>
      <c r="E329" t="inlineStr"/>
      <c r="F329" s="11" t="n">
        <v>96.79000000000001</v>
      </c>
      <c r="G329" t="inlineStr"/>
      <c r="I329" t="inlineStr">
        <is>
          <t>TN</t>
        </is>
      </c>
      <c r="J329" t="inlineStr"/>
      <c r="K329" t="inlineStr">
        <is>
          <t>20230501</t>
        </is>
      </c>
      <c r="L329" t="inlineStr">
        <is>
          <t>20250131</t>
        </is>
      </c>
    </row>
    <row r="330">
      <c r="A330" t="inlineStr">
        <is>
          <t>900000575</t>
        </is>
      </c>
      <c r="B330" t="inlineStr">
        <is>
          <t>DW70</t>
        </is>
      </c>
      <c r="C330" t="inlineStr">
        <is>
          <t>D077</t>
        </is>
      </c>
      <c r="D330" t="inlineStr">
        <is>
          <t>10059180</t>
        </is>
      </c>
      <c r="E330" t="inlineStr"/>
      <c r="F330" s="11" t="n">
        <v>50.49</v>
      </c>
      <c r="G330" t="inlineStr"/>
      <c r="I330" t="inlineStr">
        <is>
          <t>TN</t>
        </is>
      </c>
      <c r="J330" t="inlineStr"/>
      <c r="K330" t="inlineStr">
        <is>
          <t>20230501</t>
        </is>
      </c>
      <c r="L330" t="inlineStr">
        <is>
          <t>20250131</t>
        </is>
      </c>
    </row>
    <row r="331">
      <c r="A331" t="inlineStr">
        <is>
          <t>900000575</t>
        </is>
      </c>
      <c r="B331" t="inlineStr">
        <is>
          <t>DW70</t>
        </is>
      </c>
      <c r="C331" t="inlineStr">
        <is>
          <t>D079</t>
        </is>
      </c>
      <c r="D331" t="inlineStr">
        <is>
          <t>10000623</t>
        </is>
      </c>
      <c r="E331" t="inlineStr"/>
      <c r="F331" s="11" t="n">
        <v>100.46</v>
      </c>
      <c r="G331" t="inlineStr"/>
      <c r="I331" t="inlineStr">
        <is>
          <t>TN</t>
        </is>
      </c>
      <c r="J331" t="inlineStr"/>
      <c r="K331" t="inlineStr">
        <is>
          <t>20230501</t>
        </is>
      </c>
      <c r="L331" t="inlineStr">
        <is>
          <t>20250131</t>
        </is>
      </c>
    </row>
    <row r="332">
      <c r="A332" t="inlineStr">
        <is>
          <t>900000575</t>
        </is>
      </c>
      <c r="B332" t="inlineStr">
        <is>
          <t>DW70</t>
        </is>
      </c>
      <c r="C332" t="inlineStr">
        <is>
          <t>D079</t>
        </is>
      </c>
      <c r="D332" t="inlineStr">
        <is>
          <t>10000811</t>
        </is>
      </c>
      <c r="E332" t="inlineStr"/>
      <c r="F332" s="11" t="n">
        <v>96.79000000000001</v>
      </c>
      <c r="G332" t="inlineStr"/>
      <c r="I332" t="inlineStr">
        <is>
          <t>TN</t>
        </is>
      </c>
      <c r="J332" t="inlineStr"/>
      <c r="K332" t="inlineStr">
        <is>
          <t>20230501</t>
        </is>
      </c>
      <c r="L332" t="inlineStr">
        <is>
          <t>20250131</t>
        </is>
      </c>
    </row>
    <row r="333">
      <c r="A333" t="inlineStr">
        <is>
          <t>900000575</t>
        </is>
      </c>
      <c r="B333" t="inlineStr">
        <is>
          <t>DW70</t>
        </is>
      </c>
      <c r="C333" t="inlineStr">
        <is>
          <t>D079</t>
        </is>
      </c>
      <c r="D333" t="inlineStr">
        <is>
          <t>10059180</t>
        </is>
      </c>
      <c r="E333" t="inlineStr"/>
      <c r="F333" s="11" t="n">
        <v>50.49</v>
      </c>
      <c r="G333" t="inlineStr"/>
      <c r="I333" t="inlineStr">
        <is>
          <t>TN</t>
        </is>
      </c>
      <c r="J333" t="inlineStr"/>
      <c r="K333" t="inlineStr">
        <is>
          <t>20230501</t>
        </is>
      </c>
      <c r="L333" t="inlineStr">
        <is>
          <t>20250131</t>
        </is>
      </c>
    </row>
    <row r="334">
      <c r="A334" t="inlineStr">
        <is>
          <t>900000575</t>
        </is>
      </c>
      <c r="B334" t="inlineStr">
        <is>
          <t>DW70</t>
        </is>
      </c>
      <c r="C334" t="inlineStr">
        <is>
          <t>D080</t>
        </is>
      </c>
      <c r="D334" t="inlineStr">
        <is>
          <t>10000623</t>
        </is>
      </c>
      <c r="E334" t="inlineStr"/>
      <c r="F334" s="11" t="n">
        <v>100.46</v>
      </c>
      <c r="G334" t="inlineStr"/>
      <c r="I334" t="inlineStr">
        <is>
          <t>TN</t>
        </is>
      </c>
      <c r="J334" t="inlineStr"/>
      <c r="K334" t="inlineStr">
        <is>
          <t>20230501</t>
        </is>
      </c>
      <c r="L334" t="inlineStr">
        <is>
          <t>20250131</t>
        </is>
      </c>
    </row>
    <row r="335">
      <c r="A335" t="inlineStr">
        <is>
          <t>900000575</t>
        </is>
      </c>
      <c r="B335" t="inlineStr">
        <is>
          <t>DW70</t>
        </is>
      </c>
      <c r="C335" t="inlineStr">
        <is>
          <t>D080</t>
        </is>
      </c>
      <c r="D335" t="inlineStr">
        <is>
          <t>10000811</t>
        </is>
      </c>
      <c r="E335" t="inlineStr"/>
      <c r="F335" s="11" t="n">
        <v>96.79000000000001</v>
      </c>
      <c r="G335" t="inlineStr"/>
      <c r="I335" t="inlineStr">
        <is>
          <t>TN</t>
        </is>
      </c>
      <c r="J335" t="inlineStr"/>
      <c r="K335" t="inlineStr">
        <is>
          <t>20230501</t>
        </is>
      </c>
      <c r="L335" t="inlineStr">
        <is>
          <t>20250131</t>
        </is>
      </c>
    </row>
    <row r="336">
      <c r="A336" t="inlineStr">
        <is>
          <t>900000575</t>
        </is>
      </c>
      <c r="B336" t="inlineStr">
        <is>
          <t>DW70</t>
        </is>
      </c>
      <c r="C336" t="inlineStr">
        <is>
          <t>D080</t>
        </is>
      </c>
      <c r="D336" t="inlineStr">
        <is>
          <t>10059180</t>
        </is>
      </c>
      <c r="E336" t="inlineStr"/>
      <c r="F336" s="11" t="n">
        <v>50.49</v>
      </c>
      <c r="G336" t="inlineStr"/>
      <c r="I336" t="inlineStr">
        <is>
          <t>TN</t>
        </is>
      </c>
      <c r="J336" t="inlineStr"/>
      <c r="K336" t="inlineStr">
        <is>
          <t>20230501</t>
        </is>
      </c>
      <c r="L336" t="inlineStr">
        <is>
          <t>20250131</t>
        </is>
      </c>
    </row>
    <row r="337">
      <c r="A337" t="inlineStr">
        <is>
          <t>900000575</t>
        </is>
      </c>
      <c r="B337" t="inlineStr">
        <is>
          <t>DW70</t>
        </is>
      </c>
      <c r="C337" t="inlineStr">
        <is>
          <t>D081</t>
        </is>
      </c>
      <c r="D337" t="inlineStr">
        <is>
          <t>10000623</t>
        </is>
      </c>
      <c r="E337" t="inlineStr"/>
      <c r="F337" s="11" t="n">
        <v>100.46</v>
      </c>
      <c r="G337" t="inlineStr"/>
      <c r="I337" t="inlineStr">
        <is>
          <t>TN</t>
        </is>
      </c>
      <c r="J337" t="inlineStr"/>
      <c r="K337" t="inlineStr">
        <is>
          <t>20230501</t>
        </is>
      </c>
      <c r="L337" t="inlineStr">
        <is>
          <t>20250131</t>
        </is>
      </c>
    </row>
    <row r="338">
      <c r="A338" t="inlineStr">
        <is>
          <t>900000575</t>
        </is>
      </c>
      <c r="B338" t="inlineStr">
        <is>
          <t>DW70</t>
        </is>
      </c>
      <c r="C338" t="inlineStr">
        <is>
          <t>D081</t>
        </is>
      </c>
      <c r="D338" t="inlineStr">
        <is>
          <t>10000811</t>
        </is>
      </c>
      <c r="E338" t="inlineStr"/>
      <c r="F338" s="11" t="n">
        <v>96.79000000000001</v>
      </c>
      <c r="G338" t="inlineStr"/>
      <c r="I338" t="inlineStr">
        <is>
          <t>TN</t>
        </is>
      </c>
      <c r="J338" t="inlineStr"/>
      <c r="K338" t="inlineStr">
        <is>
          <t>20230501</t>
        </is>
      </c>
      <c r="L338" t="inlineStr">
        <is>
          <t>20250131</t>
        </is>
      </c>
    </row>
    <row r="339">
      <c r="A339" t="inlineStr">
        <is>
          <t>900000575</t>
        </is>
      </c>
      <c r="B339" t="inlineStr">
        <is>
          <t>DW70</t>
        </is>
      </c>
      <c r="C339" t="inlineStr">
        <is>
          <t>D081</t>
        </is>
      </c>
      <c r="D339" t="inlineStr">
        <is>
          <t>10059180</t>
        </is>
      </c>
      <c r="E339" t="inlineStr"/>
      <c r="F339" s="11" t="n">
        <v>50.49</v>
      </c>
      <c r="G339" t="inlineStr"/>
      <c r="I339" t="inlineStr">
        <is>
          <t>TN</t>
        </is>
      </c>
      <c r="J339" t="inlineStr"/>
      <c r="K339" t="inlineStr">
        <is>
          <t>20230501</t>
        </is>
      </c>
      <c r="L339" t="inlineStr">
        <is>
          <t>20250131</t>
        </is>
      </c>
    </row>
    <row r="340">
      <c r="A340" t="inlineStr">
        <is>
          <t>900000575</t>
        </is>
      </c>
      <c r="B340" t="inlineStr">
        <is>
          <t>DW70</t>
        </is>
      </c>
      <c r="C340" t="inlineStr">
        <is>
          <t>D083</t>
        </is>
      </c>
      <c r="D340" t="inlineStr">
        <is>
          <t>10000623</t>
        </is>
      </c>
      <c r="E340" t="inlineStr"/>
      <c r="F340" s="11" t="n">
        <v>100.46</v>
      </c>
      <c r="G340" t="inlineStr"/>
      <c r="I340" t="inlineStr">
        <is>
          <t>TN</t>
        </is>
      </c>
      <c r="J340" t="inlineStr"/>
      <c r="K340" t="inlineStr">
        <is>
          <t>20230501</t>
        </is>
      </c>
      <c r="L340" t="inlineStr">
        <is>
          <t>20250131</t>
        </is>
      </c>
    </row>
    <row r="341">
      <c r="A341" t="inlineStr">
        <is>
          <t>900000575</t>
        </is>
      </c>
      <c r="B341" t="inlineStr">
        <is>
          <t>DW70</t>
        </is>
      </c>
      <c r="C341" t="inlineStr">
        <is>
          <t>D083</t>
        </is>
      </c>
      <c r="D341" t="inlineStr">
        <is>
          <t>10000811</t>
        </is>
      </c>
      <c r="E341" t="inlineStr"/>
      <c r="F341" s="11" t="n">
        <v>96.79000000000001</v>
      </c>
      <c r="G341" t="inlineStr"/>
      <c r="I341" t="inlineStr">
        <is>
          <t>TN</t>
        </is>
      </c>
      <c r="J341" t="inlineStr"/>
      <c r="K341" t="inlineStr">
        <is>
          <t>20230501</t>
        </is>
      </c>
      <c r="L341" t="inlineStr">
        <is>
          <t>20250131</t>
        </is>
      </c>
    </row>
    <row r="342">
      <c r="A342" t="inlineStr">
        <is>
          <t>900000575</t>
        </is>
      </c>
      <c r="B342" t="inlineStr">
        <is>
          <t>DW70</t>
        </is>
      </c>
      <c r="C342" t="inlineStr">
        <is>
          <t>D083</t>
        </is>
      </c>
      <c r="D342" t="inlineStr">
        <is>
          <t>10059180</t>
        </is>
      </c>
      <c r="E342" t="inlineStr"/>
      <c r="F342" s="11" t="n">
        <v>50.49</v>
      </c>
      <c r="G342" t="inlineStr"/>
      <c r="I342" t="inlineStr">
        <is>
          <t>TN</t>
        </is>
      </c>
      <c r="J342" t="inlineStr"/>
      <c r="K342" t="inlineStr">
        <is>
          <t>20230501</t>
        </is>
      </c>
      <c r="L342" t="inlineStr">
        <is>
          <t>20250131</t>
        </is>
      </c>
    </row>
    <row r="343">
      <c r="A343" t="inlineStr">
        <is>
          <t>900000575</t>
        </is>
      </c>
      <c r="B343" t="inlineStr">
        <is>
          <t>DW70</t>
        </is>
      </c>
      <c r="C343" t="inlineStr">
        <is>
          <t>D084</t>
        </is>
      </c>
      <c r="D343" t="inlineStr">
        <is>
          <t>10000623</t>
        </is>
      </c>
      <c r="E343" t="inlineStr"/>
      <c r="F343" s="11" t="n">
        <v>100.46</v>
      </c>
      <c r="G343" t="inlineStr"/>
      <c r="I343" t="inlineStr">
        <is>
          <t>TN</t>
        </is>
      </c>
      <c r="J343" t="inlineStr"/>
      <c r="K343" t="inlineStr">
        <is>
          <t>20230501</t>
        </is>
      </c>
      <c r="L343" t="inlineStr">
        <is>
          <t>20250131</t>
        </is>
      </c>
    </row>
    <row r="344">
      <c r="A344" t="inlineStr">
        <is>
          <t>900000575</t>
        </is>
      </c>
      <c r="B344" t="inlineStr">
        <is>
          <t>DW70</t>
        </is>
      </c>
      <c r="C344" t="inlineStr">
        <is>
          <t>D084</t>
        </is>
      </c>
      <c r="D344" t="inlineStr">
        <is>
          <t>10000811</t>
        </is>
      </c>
      <c r="E344" t="inlineStr"/>
      <c r="F344" s="11" t="n">
        <v>96.79000000000001</v>
      </c>
      <c r="G344" t="inlineStr"/>
      <c r="I344" t="inlineStr">
        <is>
          <t>TN</t>
        </is>
      </c>
      <c r="J344" t="inlineStr"/>
      <c r="K344" t="inlineStr">
        <is>
          <t>20230501</t>
        </is>
      </c>
      <c r="L344" t="inlineStr">
        <is>
          <t>20250131</t>
        </is>
      </c>
    </row>
    <row r="345">
      <c r="A345" t="inlineStr">
        <is>
          <t>900000575</t>
        </is>
      </c>
      <c r="B345" t="inlineStr">
        <is>
          <t>DW70</t>
        </is>
      </c>
      <c r="C345" t="inlineStr">
        <is>
          <t>D084</t>
        </is>
      </c>
      <c r="D345" t="inlineStr">
        <is>
          <t>10059180</t>
        </is>
      </c>
      <c r="E345" t="inlineStr"/>
      <c r="F345" s="11" t="n">
        <v>50.49</v>
      </c>
      <c r="G345" t="inlineStr"/>
      <c r="I345" t="inlineStr">
        <is>
          <t>TN</t>
        </is>
      </c>
      <c r="J345" t="inlineStr"/>
      <c r="K345" t="inlineStr">
        <is>
          <t>20230501</t>
        </is>
      </c>
      <c r="L345" t="inlineStr">
        <is>
          <t>20250131</t>
        </is>
      </c>
    </row>
    <row r="346">
      <c r="A346" t="inlineStr">
        <is>
          <t>900000575</t>
        </is>
      </c>
      <c r="B346" t="inlineStr">
        <is>
          <t>DW70</t>
        </is>
      </c>
      <c r="C346" t="inlineStr">
        <is>
          <t>D085</t>
        </is>
      </c>
      <c r="D346" t="inlineStr">
        <is>
          <t>10000623</t>
        </is>
      </c>
      <c r="E346" t="inlineStr"/>
      <c r="F346" s="11" t="n">
        <v>100.46</v>
      </c>
      <c r="G346" t="inlineStr"/>
      <c r="I346" t="inlineStr">
        <is>
          <t>TN</t>
        </is>
      </c>
      <c r="J346" t="inlineStr"/>
      <c r="K346" t="inlineStr">
        <is>
          <t>20230501</t>
        </is>
      </c>
      <c r="L346" t="inlineStr">
        <is>
          <t>20250131</t>
        </is>
      </c>
    </row>
    <row r="347">
      <c r="A347" t="inlineStr">
        <is>
          <t>900000575</t>
        </is>
      </c>
      <c r="B347" t="inlineStr">
        <is>
          <t>DW70</t>
        </is>
      </c>
      <c r="C347" t="inlineStr">
        <is>
          <t>D085</t>
        </is>
      </c>
      <c r="D347" t="inlineStr">
        <is>
          <t>10000811</t>
        </is>
      </c>
      <c r="E347" t="inlineStr"/>
      <c r="F347" s="11" t="n">
        <v>96.79000000000001</v>
      </c>
      <c r="G347" t="inlineStr"/>
      <c r="I347" t="inlineStr">
        <is>
          <t>TN</t>
        </is>
      </c>
      <c r="J347" t="inlineStr"/>
      <c r="K347" t="inlineStr">
        <is>
          <t>20230501</t>
        </is>
      </c>
      <c r="L347" t="inlineStr">
        <is>
          <t>20250131</t>
        </is>
      </c>
    </row>
    <row r="348">
      <c r="A348" t="inlineStr">
        <is>
          <t>900000575</t>
        </is>
      </c>
      <c r="B348" t="inlineStr">
        <is>
          <t>DW70</t>
        </is>
      </c>
      <c r="C348" t="inlineStr">
        <is>
          <t>D085</t>
        </is>
      </c>
      <c r="D348" t="inlineStr">
        <is>
          <t>10059180</t>
        </is>
      </c>
      <c r="E348" t="inlineStr"/>
      <c r="F348" s="11" t="n">
        <v>50.49</v>
      </c>
      <c r="G348" t="inlineStr"/>
      <c r="I348" t="inlineStr">
        <is>
          <t>TN</t>
        </is>
      </c>
      <c r="J348" t="inlineStr"/>
      <c r="K348" t="inlineStr">
        <is>
          <t>20230501</t>
        </is>
      </c>
      <c r="L348" t="inlineStr">
        <is>
          <t>20250131</t>
        </is>
      </c>
    </row>
    <row r="349">
      <c r="A349" t="inlineStr">
        <is>
          <t>900000575</t>
        </is>
      </c>
      <c r="B349" t="inlineStr">
        <is>
          <t>DW70</t>
        </is>
      </c>
      <c r="C349" t="inlineStr">
        <is>
          <t>D086</t>
        </is>
      </c>
      <c r="D349" t="inlineStr">
        <is>
          <t>10000623</t>
        </is>
      </c>
      <c r="E349" t="inlineStr"/>
      <c r="F349" s="11" t="n">
        <v>100.46</v>
      </c>
      <c r="G349" t="inlineStr"/>
      <c r="I349" t="inlineStr">
        <is>
          <t>TN</t>
        </is>
      </c>
      <c r="J349" t="inlineStr"/>
      <c r="K349" t="inlineStr">
        <is>
          <t>20230501</t>
        </is>
      </c>
      <c r="L349" t="inlineStr">
        <is>
          <t>20250131</t>
        </is>
      </c>
    </row>
    <row r="350">
      <c r="A350" t="inlineStr">
        <is>
          <t>900000575</t>
        </is>
      </c>
      <c r="B350" t="inlineStr">
        <is>
          <t>DW70</t>
        </is>
      </c>
      <c r="C350" t="inlineStr">
        <is>
          <t>D086</t>
        </is>
      </c>
      <c r="D350" t="inlineStr">
        <is>
          <t>10000811</t>
        </is>
      </c>
      <c r="E350" t="inlineStr"/>
      <c r="F350" s="11" t="n">
        <v>96.79000000000001</v>
      </c>
      <c r="G350" t="inlineStr"/>
      <c r="I350" t="inlineStr">
        <is>
          <t>TN</t>
        </is>
      </c>
      <c r="J350" t="inlineStr"/>
      <c r="K350" t="inlineStr">
        <is>
          <t>20230501</t>
        </is>
      </c>
      <c r="L350" t="inlineStr">
        <is>
          <t>20250131</t>
        </is>
      </c>
    </row>
    <row r="351">
      <c r="A351" t="inlineStr">
        <is>
          <t>900000575</t>
        </is>
      </c>
      <c r="B351" t="inlineStr">
        <is>
          <t>DW70</t>
        </is>
      </c>
      <c r="C351" t="inlineStr">
        <is>
          <t>D086</t>
        </is>
      </c>
      <c r="D351" t="inlineStr">
        <is>
          <t>10059180</t>
        </is>
      </c>
      <c r="E351" t="inlineStr"/>
      <c r="F351" s="11" t="n">
        <v>50.49</v>
      </c>
      <c r="G351" t="inlineStr"/>
      <c r="I351" t="inlineStr">
        <is>
          <t>TN</t>
        </is>
      </c>
      <c r="J351" t="inlineStr"/>
      <c r="K351" t="inlineStr">
        <is>
          <t>20230501</t>
        </is>
      </c>
      <c r="L351" t="inlineStr">
        <is>
          <t>20250131</t>
        </is>
      </c>
    </row>
    <row r="352">
      <c r="A352" t="inlineStr">
        <is>
          <t>900000575</t>
        </is>
      </c>
      <c r="B352" t="inlineStr">
        <is>
          <t>DW70</t>
        </is>
      </c>
      <c r="C352" t="inlineStr">
        <is>
          <t>D088</t>
        </is>
      </c>
      <c r="D352" t="inlineStr">
        <is>
          <t>10000623</t>
        </is>
      </c>
      <c r="E352" t="inlineStr"/>
      <c r="F352" s="11" t="n">
        <v>100.46</v>
      </c>
      <c r="G352" t="inlineStr"/>
      <c r="I352" t="inlineStr">
        <is>
          <t>TN</t>
        </is>
      </c>
      <c r="J352" t="inlineStr"/>
      <c r="K352" t="inlineStr">
        <is>
          <t>20230501</t>
        </is>
      </c>
      <c r="L352" t="inlineStr">
        <is>
          <t>20250131</t>
        </is>
      </c>
    </row>
    <row r="353">
      <c r="A353" t="inlineStr">
        <is>
          <t>900000575</t>
        </is>
      </c>
      <c r="B353" t="inlineStr">
        <is>
          <t>DW70</t>
        </is>
      </c>
      <c r="C353" t="inlineStr">
        <is>
          <t>D088</t>
        </is>
      </c>
      <c r="D353" t="inlineStr">
        <is>
          <t>10000811</t>
        </is>
      </c>
      <c r="E353" t="inlineStr"/>
      <c r="F353" s="11" t="n">
        <v>96.79000000000001</v>
      </c>
      <c r="G353" t="inlineStr"/>
      <c r="I353" t="inlineStr">
        <is>
          <t>TN</t>
        </is>
      </c>
      <c r="J353" t="inlineStr"/>
      <c r="K353" t="inlineStr">
        <is>
          <t>20230501</t>
        </is>
      </c>
      <c r="L353" t="inlineStr">
        <is>
          <t>20250131</t>
        </is>
      </c>
    </row>
    <row r="354">
      <c r="A354" t="inlineStr">
        <is>
          <t>900000575</t>
        </is>
      </c>
      <c r="B354" t="inlineStr">
        <is>
          <t>DW70</t>
        </is>
      </c>
      <c r="C354" t="inlineStr">
        <is>
          <t>D088</t>
        </is>
      </c>
      <c r="D354" t="inlineStr">
        <is>
          <t>10059180</t>
        </is>
      </c>
      <c r="E354" t="inlineStr"/>
      <c r="F354" s="11" t="n">
        <v>50.49</v>
      </c>
      <c r="G354" t="inlineStr"/>
      <c r="I354" t="inlineStr">
        <is>
          <t>TN</t>
        </is>
      </c>
      <c r="J354" t="inlineStr"/>
      <c r="K354" t="inlineStr">
        <is>
          <t>20230501</t>
        </is>
      </c>
      <c r="L354" t="inlineStr">
        <is>
          <t>20250131</t>
        </is>
      </c>
    </row>
    <row r="355">
      <c r="A355" t="inlineStr">
        <is>
          <t>900000575</t>
        </is>
      </c>
      <c r="B355" t="inlineStr">
        <is>
          <t>DW70</t>
        </is>
      </c>
      <c r="C355" t="inlineStr">
        <is>
          <t>D089</t>
        </is>
      </c>
      <c r="D355" t="inlineStr">
        <is>
          <t>10000623</t>
        </is>
      </c>
      <c r="E355" t="inlineStr"/>
      <c r="F355" s="11" t="n">
        <v>100.46</v>
      </c>
      <c r="G355" t="inlineStr"/>
      <c r="I355" t="inlineStr">
        <is>
          <t>TN</t>
        </is>
      </c>
      <c r="J355" t="inlineStr"/>
      <c r="K355" t="inlineStr">
        <is>
          <t>20230501</t>
        </is>
      </c>
      <c r="L355" t="inlineStr">
        <is>
          <t>20250131</t>
        </is>
      </c>
    </row>
    <row r="356">
      <c r="A356" t="inlineStr">
        <is>
          <t>900000575</t>
        </is>
      </c>
      <c r="B356" t="inlineStr">
        <is>
          <t>DW70</t>
        </is>
      </c>
      <c r="C356" t="inlineStr">
        <is>
          <t>D089</t>
        </is>
      </c>
      <c r="D356" t="inlineStr">
        <is>
          <t>10000811</t>
        </is>
      </c>
      <c r="E356" t="inlineStr"/>
      <c r="F356" s="11" t="n">
        <v>96.79000000000001</v>
      </c>
      <c r="G356" t="inlineStr"/>
      <c r="I356" t="inlineStr">
        <is>
          <t>TN</t>
        </is>
      </c>
      <c r="J356" t="inlineStr"/>
      <c r="K356" t="inlineStr">
        <is>
          <t>20230501</t>
        </is>
      </c>
      <c r="L356" t="inlineStr">
        <is>
          <t>20250131</t>
        </is>
      </c>
    </row>
    <row r="357">
      <c r="A357" t="inlineStr">
        <is>
          <t>900000575</t>
        </is>
      </c>
      <c r="B357" t="inlineStr">
        <is>
          <t>DW70</t>
        </is>
      </c>
      <c r="C357" t="inlineStr">
        <is>
          <t>D089</t>
        </is>
      </c>
      <c r="D357" t="inlineStr">
        <is>
          <t>10059180</t>
        </is>
      </c>
      <c r="E357" t="inlineStr"/>
      <c r="F357" s="11" t="n">
        <v>50.49</v>
      </c>
      <c r="G357" t="inlineStr"/>
      <c r="I357" t="inlineStr">
        <is>
          <t>TN</t>
        </is>
      </c>
      <c r="J357" t="inlineStr"/>
      <c r="K357" t="inlineStr">
        <is>
          <t>20230501</t>
        </is>
      </c>
      <c r="L357" t="inlineStr">
        <is>
          <t>20250131</t>
        </is>
      </c>
    </row>
    <row r="358">
      <c r="A358" t="inlineStr">
        <is>
          <t>900000575</t>
        </is>
      </c>
      <c r="B358" t="inlineStr">
        <is>
          <t>DW70</t>
        </is>
      </c>
      <c r="C358" t="inlineStr">
        <is>
          <t>D098</t>
        </is>
      </c>
      <c r="D358" t="inlineStr">
        <is>
          <t>10000623</t>
        </is>
      </c>
      <c r="E358" t="inlineStr"/>
      <c r="F358" s="11" t="n">
        <v>100.46</v>
      </c>
      <c r="G358" t="inlineStr"/>
      <c r="I358" t="inlineStr">
        <is>
          <t>TN</t>
        </is>
      </c>
      <c r="J358" t="inlineStr"/>
      <c r="K358" t="inlineStr">
        <is>
          <t>20230501</t>
        </is>
      </c>
      <c r="L358" t="inlineStr">
        <is>
          <t>20250131</t>
        </is>
      </c>
    </row>
    <row r="359">
      <c r="A359" t="inlineStr">
        <is>
          <t>900000575</t>
        </is>
      </c>
      <c r="B359" t="inlineStr">
        <is>
          <t>DW70</t>
        </is>
      </c>
      <c r="C359" t="inlineStr">
        <is>
          <t>D098</t>
        </is>
      </c>
      <c r="D359" t="inlineStr">
        <is>
          <t>10000811</t>
        </is>
      </c>
      <c r="E359" t="inlineStr"/>
      <c r="F359" s="11" t="n">
        <v>96.79000000000001</v>
      </c>
      <c r="G359" t="inlineStr"/>
      <c r="I359" t="inlineStr">
        <is>
          <t>TN</t>
        </is>
      </c>
      <c r="J359" t="inlineStr"/>
      <c r="K359" t="inlineStr">
        <is>
          <t>20230501</t>
        </is>
      </c>
      <c r="L359" t="inlineStr">
        <is>
          <t>20250131</t>
        </is>
      </c>
    </row>
    <row r="360">
      <c r="A360" t="inlineStr">
        <is>
          <t>900000575</t>
        </is>
      </c>
      <c r="B360" t="inlineStr">
        <is>
          <t>DW70</t>
        </is>
      </c>
      <c r="C360" t="inlineStr">
        <is>
          <t>D098</t>
        </is>
      </c>
      <c r="D360" t="inlineStr">
        <is>
          <t>10059180</t>
        </is>
      </c>
      <c r="E360" t="inlineStr"/>
      <c r="F360" s="11" t="n">
        <v>50.49</v>
      </c>
      <c r="G360" t="inlineStr"/>
      <c r="I360" t="inlineStr">
        <is>
          <t>TN</t>
        </is>
      </c>
      <c r="J360" t="inlineStr"/>
      <c r="K360" t="inlineStr">
        <is>
          <t>20230501</t>
        </is>
      </c>
      <c r="L360" t="inlineStr">
        <is>
          <t>20250131</t>
        </is>
      </c>
    </row>
    <row r="361">
      <c r="A361" t="inlineStr">
        <is>
          <t>900000575</t>
        </is>
      </c>
      <c r="B361" t="inlineStr">
        <is>
          <t>DW70</t>
        </is>
      </c>
      <c r="C361" t="inlineStr">
        <is>
          <t>D105</t>
        </is>
      </c>
      <c r="D361" t="inlineStr">
        <is>
          <t>10000623</t>
        </is>
      </c>
      <c r="E361" t="inlineStr"/>
      <c r="F361" s="11" t="n">
        <v>100.46</v>
      </c>
      <c r="G361" t="inlineStr"/>
      <c r="I361" t="inlineStr">
        <is>
          <t>TN</t>
        </is>
      </c>
      <c r="J361" t="inlineStr"/>
      <c r="K361" t="inlineStr">
        <is>
          <t>20230501</t>
        </is>
      </c>
      <c r="L361" t="inlineStr">
        <is>
          <t>20250131</t>
        </is>
      </c>
    </row>
    <row r="362">
      <c r="A362" t="inlineStr">
        <is>
          <t>900000575</t>
        </is>
      </c>
      <c r="B362" t="inlineStr">
        <is>
          <t>DW70</t>
        </is>
      </c>
      <c r="C362" t="inlineStr">
        <is>
          <t>D105</t>
        </is>
      </c>
      <c r="D362" t="inlineStr">
        <is>
          <t>10000811</t>
        </is>
      </c>
      <c r="E362" t="inlineStr"/>
      <c r="F362" s="11" t="n">
        <v>96.79000000000001</v>
      </c>
      <c r="G362" t="inlineStr"/>
      <c r="I362" t="inlineStr">
        <is>
          <t>TN</t>
        </is>
      </c>
      <c r="J362" t="inlineStr"/>
      <c r="K362" t="inlineStr">
        <is>
          <t>20230501</t>
        </is>
      </c>
      <c r="L362" t="inlineStr">
        <is>
          <t>20250131</t>
        </is>
      </c>
    </row>
    <row r="363">
      <c r="A363" t="inlineStr">
        <is>
          <t>900000575</t>
        </is>
      </c>
      <c r="B363" t="inlineStr">
        <is>
          <t>DW70</t>
        </is>
      </c>
      <c r="C363" t="inlineStr">
        <is>
          <t>D105</t>
        </is>
      </c>
      <c r="D363" t="inlineStr">
        <is>
          <t>10059180</t>
        </is>
      </c>
      <c r="E363" t="inlineStr"/>
      <c r="F363" s="11" t="n">
        <v>50.49</v>
      </c>
      <c r="G363" t="inlineStr"/>
      <c r="I363" t="inlineStr">
        <is>
          <t>TN</t>
        </is>
      </c>
      <c r="J363" t="inlineStr"/>
      <c r="K363" t="inlineStr">
        <is>
          <t>20230501</t>
        </is>
      </c>
      <c r="L363" t="inlineStr">
        <is>
          <t>20250131</t>
        </is>
      </c>
    </row>
    <row r="364">
      <c r="A364" t="inlineStr">
        <is>
          <t>900000575</t>
        </is>
      </c>
      <c r="B364" t="inlineStr">
        <is>
          <t>DW70</t>
        </is>
      </c>
      <c r="C364" t="inlineStr">
        <is>
          <t>D136</t>
        </is>
      </c>
      <c r="D364" t="inlineStr">
        <is>
          <t>10000623</t>
        </is>
      </c>
      <c r="E364" t="inlineStr"/>
      <c r="F364" s="11" t="n">
        <v>100.46</v>
      </c>
      <c r="G364" t="inlineStr"/>
      <c r="I364" t="inlineStr">
        <is>
          <t>TN</t>
        </is>
      </c>
      <c r="J364" t="inlineStr"/>
      <c r="K364" t="inlineStr">
        <is>
          <t>20230501</t>
        </is>
      </c>
      <c r="L364" t="inlineStr">
        <is>
          <t>20250131</t>
        </is>
      </c>
    </row>
    <row r="365">
      <c r="A365" t="inlineStr">
        <is>
          <t>900000575</t>
        </is>
      </c>
      <c r="B365" t="inlineStr">
        <is>
          <t>DW70</t>
        </is>
      </c>
      <c r="C365" t="inlineStr">
        <is>
          <t>D136</t>
        </is>
      </c>
      <c r="D365" t="inlineStr">
        <is>
          <t>10000811</t>
        </is>
      </c>
      <c r="E365" t="inlineStr"/>
      <c r="F365" s="11" t="n">
        <v>96.79000000000001</v>
      </c>
      <c r="G365" t="inlineStr"/>
      <c r="I365" t="inlineStr">
        <is>
          <t>TN</t>
        </is>
      </c>
      <c r="J365" t="inlineStr"/>
      <c r="K365" t="inlineStr">
        <is>
          <t>20230501</t>
        </is>
      </c>
      <c r="L365" t="inlineStr">
        <is>
          <t>20250131</t>
        </is>
      </c>
    </row>
    <row r="366">
      <c r="A366" t="inlineStr">
        <is>
          <t>900000575</t>
        </is>
      </c>
      <c r="B366" t="inlineStr">
        <is>
          <t>DW70</t>
        </is>
      </c>
      <c r="C366" t="inlineStr">
        <is>
          <t>D136</t>
        </is>
      </c>
      <c r="D366" t="inlineStr">
        <is>
          <t>10059180</t>
        </is>
      </c>
      <c r="E366" t="inlineStr"/>
      <c r="F366" s="11" t="n">
        <v>50.49</v>
      </c>
      <c r="G366" t="inlineStr"/>
      <c r="I366" t="inlineStr">
        <is>
          <t>TN</t>
        </is>
      </c>
      <c r="J366" t="inlineStr"/>
      <c r="K366" t="inlineStr">
        <is>
          <t>20230501</t>
        </is>
      </c>
      <c r="L366" t="inlineStr">
        <is>
          <t>20250131</t>
        </is>
      </c>
    </row>
    <row r="367">
      <c r="A367" t="inlineStr">
        <is>
          <t>900000575</t>
        </is>
      </c>
      <c r="B367" t="inlineStr">
        <is>
          <t>DW70</t>
        </is>
      </c>
      <c r="C367" t="inlineStr">
        <is>
          <t>D145</t>
        </is>
      </c>
      <c r="D367" t="inlineStr">
        <is>
          <t>10000623</t>
        </is>
      </c>
      <c r="E367" t="inlineStr"/>
      <c r="F367" s="11" t="n">
        <v>100.46</v>
      </c>
      <c r="G367" t="inlineStr"/>
      <c r="I367" t="inlineStr">
        <is>
          <t>TN</t>
        </is>
      </c>
      <c r="J367" t="inlineStr"/>
      <c r="K367" t="inlineStr">
        <is>
          <t>20230501</t>
        </is>
      </c>
      <c r="L367" t="inlineStr">
        <is>
          <t>20250131</t>
        </is>
      </c>
    </row>
    <row r="368">
      <c r="A368" t="inlineStr">
        <is>
          <t>900000575</t>
        </is>
      </c>
      <c r="B368" t="inlineStr">
        <is>
          <t>DW70</t>
        </is>
      </c>
      <c r="C368" t="inlineStr">
        <is>
          <t>D145</t>
        </is>
      </c>
      <c r="D368" t="inlineStr">
        <is>
          <t>10000811</t>
        </is>
      </c>
      <c r="E368" t="inlineStr"/>
      <c r="F368" s="11" t="n">
        <v>96.79000000000001</v>
      </c>
      <c r="G368" t="inlineStr"/>
      <c r="I368" t="inlineStr">
        <is>
          <t>TN</t>
        </is>
      </c>
      <c r="J368" t="inlineStr"/>
      <c r="K368" t="inlineStr">
        <is>
          <t>20230501</t>
        </is>
      </c>
      <c r="L368" t="inlineStr">
        <is>
          <t>20250131</t>
        </is>
      </c>
    </row>
    <row r="369">
      <c r="A369" t="inlineStr">
        <is>
          <t>900000575</t>
        </is>
      </c>
      <c r="B369" t="inlineStr">
        <is>
          <t>DW70</t>
        </is>
      </c>
      <c r="C369" t="inlineStr">
        <is>
          <t>D145</t>
        </is>
      </c>
      <c r="D369" t="inlineStr">
        <is>
          <t>10059180</t>
        </is>
      </c>
      <c r="E369" t="inlineStr"/>
      <c r="F369" s="11" t="n">
        <v>50.49</v>
      </c>
      <c r="G369" t="inlineStr"/>
      <c r="I369" t="inlineStr">
        <is>
          <t>TN</t>
        </is>
      </c>
      <c r="J369" t="inlineStr"/>
      <c r="K369" t="inlineStr">
        <is>
          <t>20230501</t>
        </is>
      </c>
      <c r="L369" t="inlineStr">
        <is>
          <t>20250131</t>
        </is>
      </c>
    </row>
    <row r="370">
      <c r="A370" t="inlineStr">
        <is>
          <t>900000668</t>
        </is>
      </c>
      <c r="B370" t="inlineStr">
        <is>
          <t>DW70</t>
        </is>
      </c>
      <c r="C370" t="inlineStr">
        <is>
          <t>D111</t>
        </is>
      </c>
      <c r="D370" t="inlineStr">
        <is>
          <t>10146897</t>
        </is>
      </c>
      <c r="E370" t="inlineStr"/>
      <c r="F370" s="11" t="n">
        <v>74.05</v>
      </c>
      <c r="G370" t="inlineStr"/>
      <c r="I370" t="inlineStr">
        <is>
          <t>TN</t>
        </is>
      </c>
      <c r="J370" t="inlineStr"/>
      <c r="K370" t="inlineStr">
        <is>
          <t>20230501</t>
        </is>
      </c>
      <c r="L370" t="inlineStr">
        <is>
          <t>20250131</t>
        </is>
      </c>
    </row>
    <row r="371">
      <c r="A371" t="inlineStr">
        <is>
          <t>900001367</t>
        </is>
      </c>
      <c r="B371" t="inlineStr">
        <is>
          <t>DW70</t>
        </is>
      </c>
      <c r="C371" t="inlineStr">
        <is>
          <t>D111</t>
        </is>
      </c>
      <c r="D371" t="inlineStr">
        <is>
          <t>10000811</t>
        </is>
      </c>
      <c r="E371" t="inlineStr"/>
      <c r="F371" s="11" t="n">
        <v>103.66</v>
      </c>
      <c r="G371" t="inlineStr"/>
      <c r="I371" t="inlineStr">
        <is>
          <t>TN</t>
        </is>
      </c>
      <c r="J371" t="inlineStr"/>
      <c r="K371" t="inlineStr">
        <is>
          <t>20230501</t>
        </is>
      </c>
      <c r="L371" t="inlineStr">
        <is>
          <t>20250131</t>
        </is>
      </c>
    </row>
    <row r="372">
      <c r="A372" t="inlineStr">
        <is>
          <t>900001367</t>
        </is>
      </c>
      <c r="B372" t="inlineStr">
        <is>
          <t>DW70</t>
        </is>
      </c>
      <c r="C372" t="inlineStr">
        <is>
          <t>D111</t>
        </is>
      </c>
      <c r="D372" t="inlineStr">
        <is>
          <t>10161492</t>
        </is>
      </c>
      <c r="E372" t="inlineStr"/>
      <c r="F372" s="11" t="n">
        <v>89.67</v>
      </c>
      <c r="G372" t="inlineStr"/>
      <c r="I372" t="inlineStr">
        <is>
          <t>TN</t>
        </is>
      </c>
      <c r="J372" t="inlineStr"/>
      <c r="K372" t="inlineStr">
        <is>
          <t>20230501</t>
        </is>
      </c>
      <c r="L372" t="inlineStr">
        <is>
          <t>20250131</t>
        </is>
      </c>
    </row>
    <row r="373">
      <c r="A373" t="inlineStr">
        <is>
          <t>900001367</t>
        </is>
      </c>
      <c r="B373" t="inlineStr">
        <is>
          <t>DW70</t>
        </is>
      </c>
      <c r="C373" t="inlineStr">
        <is>
          <t>D111</t>
        </is>
      </c>
      <c r="D373" t="inlineStr">
        <is>
          <t>10165760</t>
        </is>
      </c>
      <c r="E373" t="inlineStr"/>
      <c r="F373" s="11" t="n">
        <v>42.42</v>
      </c>
      <c r="G373" t="inlineStr"/>
      <c r="I373" t="inlineStr">
        <is>
          <t>TN</t>
        </is>
      </c>
      <c r="J373" t="inlineStr"/>
      <c r="K373" t="inlineStr">
        <is>
          <t>20230501</t>
        </is>
      </c>
      <c r="L373" t="inlineStr">
        <is>
          <t>20250131</t>
        </is>
      </c>
    </row>
    <row r="374">
      <c r="A374" t="inlineStr">
        <is>
          <t>900001367</t>
        </is>
      </c>
      <c r="B374" t="inlineStr">
        <is>
          <t>DW70</t>
        </is>
      </c>
      <c r="C374" t="inlineStr">
        <is>
          <t>D111</t>
        </is>
      </c>
      <c r="D374" t="inlineStr">
        <is>
          <t>10165990</t>
        </is>
      </c>
      <c r="E374" t="inlineStr"/>
      <c r="F374" s="11" t="n">
        <v>63.64</v>
      </c>
      <c r="G374" t="inlineStr"/>
      <c r="I374" t="inlineStr">
        <is>
          <t>TN</t>
        </is>
      </c>
      <c r="J374" t="inlineStr"/>
      <c r="K374" t="inlineStr">
        <is>
          <t>20230501</t>
        </is>
      </c>
      <c r="L374" t="inlineStr">
        <is>
          <t>20250131</t>
        </is>
      </c>
    </row>
    <row r="375">
      <c r="A375" t="inlineStr">
        <is>
          <t>900001501</t>
        </is>
      </c>
      <c r="B375" t="inlineStr">
        <is>
          <t>DW70</t>
        </is>
      </c>
      <c r="C375" t="inlineStr">
        <is>
          <t>D074</t>
        </is>
      </c>
      <c r="D375" t="inlineStr">
        <is>
          <t>10000191</t>
        </is>
      </c>
      <c r="E375" t="inlineStr"/>
      <c r="F375" s="11" t="n">
        <v>85.64</v>
      </c>
      <c r="G375" t="inlineStr"/>
      <c r="I375" t="inlineStr">
        <is>
          <t>TN</t>
        </is>
      </c>
      <c r="J375" t="inlineStr"/>
      <c r="K375" t="inlineStr">
        <is>
          <t>20230501</t>
        </is>
      </c>
      <c r="L375" t="inlineStr">
        <is>
          <t>20250131</t>
        </is>
      </c>
    </row>
    <row r="376">
      <c r="A376" t="inlineStr">
        <is>
          <t>900001501</t>
        </is>
      </c>
      <c r="B376" t="inlineStr">
        <is>
          <t>DW70</t>
        </is>
      </c>
      <c r="C376" t="inlineStr">
        <is>
          <t>D075</t>
        </is>
      </c>
      <c r="D376" t="inlineStr">
        <is>
          <t>10000191</t>
        </is>
      </c>
      <c r="E376" t="inlineStr"/>
      <c r="F376" s="11" t="n">
        <v>85.64</v>
      </c>
      <c r="G376" t="inlineStr"/>
      <c r="I376" t="inlineStr">
        <is>
          <t>TN</t>
        </is>
      </c>
      <c r="J376" t="inlineStr"/>
      <c r="K376" t="inlineStr">
        <is>
          <t>20230501</t>
        </is>
      </c>
      <c r="L376" t="inlineStr">
        <is>
          <t>20250131</t>
        </is>
      </c>
    </row>
    <row r="377">
      <c r="A377" t="inlineStr">
        <is>
          <t>900001501</t>
        </is>
      </c>
      <c r="B377" t="inlineStr">
        <is>
          <t>DW70</t>
        </is>
      </c>
      <c r="C377" t="inlineStr">
        <is>
          <t>D077</t>
        </is>
      </c>
      <c r="D377" t="inlineStr">
        <is>
          <t>10000191</t>
        </is>
      </c>
      <c r="E377" t="inlineStr"/>
      <c r="F377" s="11" t="n">
        <v>85.64</v>
      </c>
      <c r="G377" t="inlineStr"/>
      <c r="I377" t="inlineStr">
        <is>
          <t>TN</t>
        </is>
      </c>
      <c r="J377" t="inlineStr"/>
      <c r="K377" t="inlineStr">
        <is>
          <t>20230501</t>
        </is>
      </c>
      <c r="L377" t="inlineStr">
        <is>
          <t>20250131</t>
        </is>
      </c>
    </row>
    <row r="378">
      <c r="A378" t="inlineStr">
        <is>
          <t>900001501</t>
        </is>
      </c>
      <c r="B378" t="inlineStr">
        <is>
          <t>DW70</t>
        </is>
      </c>
      <c r="C378" t="inlineStr">
        <is>
          <t>D079</t>
        </is>
      </c>
      <c r="D378" t="inlineStr">
        <is>
          <t>10000191</t>
        </is>
      </c>
      <c r="E378" t="inlineStr"/>
      <c r="F378" s="11" t="n">
        <v>85.64</v>
      </c>
      <c r="G378" t="inlineStr"/>
      <c r="I378" t="inlineStr">
        <is>
          <t>TN</t>
        </is>
      </c>
      <c r="J378" t="inlineStr"/>
      <c r="K378" t="inlineStr">
        <is>
          <t>20230501</t>
        </is>
      </c>
      <c r="L378" t="inlineStr">
        <is>
          <t>20250131</t>
        </is>
      </c>
    </row>
    <row r="379">
      <c r="A379" t="inlineStr">
        <is>
          <t>900001501</t>
        </is>
      </c>
      <c r="B379" t="inlineStr">
        <is>
          <t>DW70</t>
        </is>
      </c>
      <c r="C379" t="inlineStr">
        <is>
          <t>D080</t>
        </is>
      </c>
      <c r="D379" t="inlineStr">
        <is>
          <t>10000191</t>
        </is>
      </c>
      <c r="E379" t="inlineStr"/>
      <c r="F379" s="11" t="n">
        <v>85.64</v>
      </c>
      <c r="G379" t="inlineStr"/>
      <c r="I379" t="inlineStr">
        <is>
          <t>TN</t>
        </is>
      </c>
      <c r="J379" t="inlineStr"/>
      <c r="K379" t="inlineStr">
        <is>
          <t>20230501</t>
        </is>
      </c>
      <c r="L379" t="inlineStr">
        <is>
          <t>20250131</t>
        </is>
      </c>
    </row>
    <row r="380">
      <c r="A380" t="inlineStr">
        <is>
          <t>900001501</t>
        </is>
      </c>
      <c r="B380" t="inlineStr">
        <is>
          <t>DW70</t>
        </is>
      </c>
      <c r="C380" t="inlineStr">
        <is>
          <t>D081</t>
        </is>
      </c>
      <c r="D380" t="inlineStr">
        <is>
          <t>10000191</t>
        </is>
      </c>
      <c r="E380" t="inlineStr"/>
      <c r="F380" s="11" t="n">
        <v>85.64</v>
      </c>
      <c r="G380" t="inlineStr"/>
      <c r="I380" t="inlineStr">
        <is>
          <t>TN</t>
        </is>
      </c>
      <c r="J380" t="inlineStr"/>
      <c r="K380" t="inlineStr">
        <is>
          <t>20230501</t>
        </is>
      </c>
      <c r="L380" t="inlineStr">
        <is>
          <t>20250131</t>
        </is>
      </c>
    </row>
    <row r="381">
      <c r="A381" t="inlineStr">
        <is>
          <t>900001501</t>
        </is>
      </c>
      <c r="B381" t="inlineStr">
        <is>
          <t>DW70</t>
        </is>
      </c>
      <c r="C381" t="inlineStr">
        <is>
          <t>D083</t>
        </is>
      </c>
      <c r="D381" t="inlineStr">
        <is>
          <t>10000191</t>
        </is>
      </c>
      <c r="E381" t="inlineStr"/>
      <c r="F381" s="11" t="n">
        <v>85.64</v>
      </c>
      <c r="G381" t="inlineStr"/>
      <c r="I381" t="inlineStr">
        <is>
          <t>TN</t>
        </is>
      </c>
      <c r="J381" t="inlineStr"/>
      <c r="K381" t="inlineStr">
        <is>
          <t>20230501</t>
        </is>
      </c>
      <c r="L381" t="inlineStr">
        <is>
          <t>20250131</t>
        </is>
      </c>
    </row>
    <row r="382">
      <c r="A382" t="inlineStr">
        <is>
          <t>900001501</t>
        </is>
      </c>
      <c r="B382" t="inlineStr">
        <is>
          <t>DW70</t>
        </is>
      </c>
      <c r="C382" t="inlineStr">
        <is>
          <t>D084</t>
        </is>
      </c>
      <c r="D382" t="inlineStr">
        <is>
          <t>10000191</t>
        </is>
      </c>
      <c r="E382" t="inlineStr"/>
      <c r="F382" s="11" t="n">
        <v>85.64</v>
      </c>
      <c r="G382" t="inlineStr"/>
      <c r="I382" t="inlineStr">
        <is>
          <t>TN</t>
        </is>
      </c>
      <c r="J382" t="inlineStr"/>
      <c r="K382" t="inlineStr">
        <is>
          <t>20230501</t>
        </is>
      </c>
      <c r="L382" t="inlineStr">
        <is>
          <t>20250131</t>
        </is>
      </c>
    </row>
    <row r="383">
      <c r="A383" t="inlineStr">
        <is>
          <t>900001501</t>
        </is>
      </c>
      <c r="B383" t="inlineStr">
        <is>
          <t>DW70</t>
        </is>
      </c>
      <c r="C383" t="inlineStr">
        <is>
          <t>D085</t>
        </is>
      </c>
      <c r="D383" t="inlineStr">
        <is>
          <t>10000191</t>
        </is>
      </c>
      <c r="E383" t="inlineStr"/>
      <c r="F383" s="11" t="n">
        <v>85.64</v>
      </c>
      <c r="G383" t="inlineStr"/>
      <c r="I383" t="inlineStr">
        <is>
          <t>TN</t>
        </is>
      </c>
      <c r="J383" t="inlineStr"/>
      <c r="K383" t="inlineStr">
        <is>
          <t>20230501</t>
        </is>
      </c>
      <c r="L383" t="inlineStr">
        <is>
          <t>20250131</t>
        </is>
      </c>
    </row>
    <row r="384">
      <c r="A384" t="inlineStr">
        <is>
          <t>900001501</t>
        </is>
      </c>
      <c r="B384" t="inlineStr">
        <is>
          <t>DW70</t>
        </is>
      </c>
      <c r="C384" t="inlineStr">
        <is>
          <t>D086</t>
        </is>
      </c>
      <c r="D384" t="inlineStr">
        <is>
          <t>10000191</t>
        </is>
      </c>
      <c r="E384" t="inlineStr"/>
      <c r="F384" s="11" t="n">
        <v>85.64</v>
      </c>
      <c r="G384" t="inlineStr"/>
      <c r="I384" t="inlineStr">
        <is>
          <t>TN</t>
        </is>
      </c>
      <c r="J384" t="inlineStr"/>
      <c r="K384" t="inlineStr">
        <is>
          <t>20230501</t>
        </is>
      </c>
      <c r="L384" t="inlineStr">
        <is>
          <t>20250131</t>
        </is>
      </c>
    </row>
    <row r="385">
      <c r="A385" t="inlineStr">
        <is>
          <t>900001501</t>
        </is>
      </c>
      <c r="B385" t="inlineStr">
        <is>
          <t>DW70</t>
        </is>
      </c>
      <c r="C385" t="inlineStr">
        <is>
          <t>D088</t>
        </is>
      </c>
      <c r="D385" t="inlineStr">
        <is>
          <t>10000191</t>
        </is>
      </c>
      <c r="E385" t="inlineStr"/>
      <c r="F385" s="11" t="n">
        <v>85.64</v>
      </c>
      <c r="G385" t="inlineStr"/>
      <c r="I385" t="inlineStr">
        <is>
          <t>TN</t>
        </is>
      </c>
      <c r="J385" t="inlineStr"/>
      <c r="K385" t="inlineStr">
        <is>
          <t>20230501</t>
        </is>
      </c>
      <c r="L385" t="inlineStr">
        <is>
          <t>20250131</t>
        </is>
      </c>
    </row>
    <row r="386">
      <c r="A386" t="inlineStr">
        <is>
          <t>900001501</t>
        </is>
      </c>
      <c r="B386" t="inlineStr">
        <is>
          <t>DW70</t>
        </is>
      </c>
      <c r="C386" t="inlineStr">
        <is>
          <t>D089</t>
        </is>
      </c>
      <c r="D386" t="inlineStr">
        <is>
          <t>10000191</t>
        </is>
      </c>
      <c r="E386" t="inlineStr"/>
      <c r="F386" s="11" t="n">
        <v>85.64</v>
      </c>
      <c r="G386" t="inlineStr"/>
      <c r="I386" t="inlineStr">
        <is>
          <t>TN</t>
        </is>
      </c>
      <c r="J386" t="inlineStr"/>
      <c r="K386" t="inlineStr">
        <is>
          <t>20230501</t>
        </is>
      </c>
      <c r="L386" t="inlineStr">
        <is>
          <t>20250131</t>
        </is>
      </c>
    </row>
    <row r="387">
      <c r="A387" t="inlineStr">
        <is>
          <t>900001501</t>
        </is>
      </c>
      <c r="B387" t="inlineStr">
        <is>
          <t>DW70</t>
        </is>
      </c>
      <c r="C387" t="inlineStr">
        <is>
          <t>D093</t>
        </is>
      </c>
      <c r="D387" t="inlineStr">
        <is>
          <t>10000191</t>
        </is>
      </c>
      <c r="E387" t="inlineStr"/>
      <c r="F387" s="11" t="n">
        <v>85.64</v>
      </c>
      <c r="G387" t="inlineStr"/>
      <c r="I387" t="inlineStr">
        <is>
          <t>TN</t>
        </is>
      </c>
      <c r="J387" t="inlineStr"/>
      <c r="K387" t="inlineStr">
        <is>
          <t>20230501</t>
        </is>
      </c>
      <c r="L387" t="inlineStr">
        <is>
          <t>20250131</t>
        </is>
      </c>
    </row>
    <row r="388">
      <c r="A388" t="inlineStr">
        <is>
          <t>900001501</t>
        </is>
      </c>
      <c r="B388" t="inlineStr">
        <is>
          <t>DW70</t>
        </is>
      </c>
      <c r="C388" t="inlineStr">
        <is>
          <t>D098</t>
        </is>
      </c>
      <c r="D388" t="inlineStr">
        <is>
          <t>10000191</t>
        </is>
      </c>
      <c r="E388" t="inlineStr"/>
      <c r="F388" s="11" t="n">
        <v>85.64</v>
      </c>
      <c r="G388" t="inlineStr"/>
      <c r="I388" t="inlineStr">
        <is>
          <t>TN</t>
        </is>
      </c>
      <c r="J388" t="inlineStr"/>
      <c r="K388" t="inlineStr">
        <is>
          <t>20230501</t>
        </is>
      </c>
      <c r="L388" t="inlineStr">
        <is>
          <t>20250131</t>
        </is>
      </c>
    </row>
    <row r="389">
      <c r="A389" t="inlineStr">
        <is>
          <t>900001501</t>
        </is>
      </c>
      <c r="B389" t="inlineStr">
        <is>
          <t>DW70</t>
        </is>
      </c>
      <c r="C389" t="inlineStr">
        <is>
          <t>D105</t>
        </is>
      </c>
      <c r="D389" t="inlineStr">
        <is>
          <t>10000191</t>
        </is>
      </c>
      <c r="E389" t="inlineStr"/>
      <c r="F389" s="11" t="n">
        <v>85.64</v>
      </c>
      <c r="G389" t="inlineStr"/>
      <c r="I389" t="inlineStr">
        <is>
          <t>TN</t>
        </is>
      </c>
      <c r="J389" t="inlineStr"/>
      <c r="K389" t="inlineStr">
        <is>
          <t>20230501</t>
        </is>
      </c>
      <c r="L389" t="inlineStr">
        <is>
          <t>20250131</t>
        </is>
      </c>
    </row>
    <row r="390">
      <c r="A390" t="inlineStr">
        <is>
          <t>900001501</t>
        </is>
      </c>
      <c r="B390" t="inlineStr">
        <is>
          <t>DW70</t>
        </is>
      </c>
      <c r="C390" t="inlineStr">
        <is>
          <t>D136</t>
        </is>
      </c>
      <c r="D390" t="inlineStr">
        <is>
          <t>10000191</t>
        </is>
      </c>
      <c r="E390" t="inlineStr"/>
      <c r="F390" s="11" t="n">
        <v>85.64</v>
      </c>
      <c r="G390" t="inlineStr"/>
      <c r="I390" t="inlineStr">
        <is>
          <t>TN</t>
        </is>
      </c>
      <c r="J390" t="inlineStr"/>
      <c r="K390" t="inlineStr">
        <is>
          <t>20230501</t>
        </is>
      </c>
      <c r="L390" t="inlineStr">
        <is>
          <t>20250131</t>
        </is>
      </c>
    </row>
    <row r="391">
      <c r="A391" t="inlineStr">
        <is>
          <t>900001501</t>
        </is>
      </c>
      <c r="B391" t="inlineStr">
        <is>
          <t>DW70</t>
        </is>
      </c>
      <c r="C391" t="inlineStr">
        <is>
          <t>D145</t>
        </is>
      </c>
      <c r="D391" t="inlineStr">
        <is>
          <t>10000191</t>
        </is>
      </c>
      <c r="E391" t="inlineStr"/>
      <c r="F391" s="11" t="n">
        <v>85.64</v>
      </c>
      <c r="G391" t="inlineStr"/>
      <c r="I391" t="inlineStr">
        <is>
          <t>TN</t>
        </is>
      </c>
      <c r="J391" t="inlineStr"/>
      <c r="K391" t="inlineStr">
        <is>
          <t>20230501</t>
        </is>
      </c>
      <c r="L391" t="inlineStr">
        <is>
          <t>20250131</t>
        </is>
      </c>
    </row>
    <row r="392">
      <c r="A392" t="inlineStr">
        <is>
          <t>900001750</t>
        </is>
      </c>
      <c r="B392" t="inlineStr">
        <is>
          <t>DW70</t>
        </is>
      </c>
      <c r="C392" t="inlineStr">
        <is>
          <t>D074</t>
        </is>
      </c>
      <c r="D392" t="inlineStr">
        <is>
          <t>10002802</t>
        </is>
      </c>
      <c r="E392" t="inlineStr"/>
      <c r="F392" s="11" t="n">
        <v>73.84999999999999</v>
      </c>
      <c r="G392" t="inlineStr"/>
      <c r="I392" t="inlineStr">
        <is>
          <t>TN</t>
        </is>
      </c>
      <c r="J392" t="inlineStr"/>
      <c r="K392" t="inlineStr">
        <is>
          <t>20230501</t>
        </is>
      </c>
      <c r="L392" t="inlineStr">
        <is>
          <t>20250131</t>
        </is>
      </c>
    </row>
    <row r="393">
      <c r="A393" t="inlineStr">
        <is>
          <t>900001750</t>
        </is>
      </c>
      <c r="B393" t="inlineStr">
        <is>
          <t>DW70</t>
        </is>
      </c>
      <c r="C393" t="inlineStr">
        <is>
          <t>D075</t>
        </is>
      </c>
      <c r="D393" t="inlineStr">
        <is>
          <t>10002802</t>
        </is>
      </c>
      <c r="E393" t="inlineStr"/>
      <c r="F393" s="11" t="n">
        <v>73.84999999999999</v>
      </c>
      <c r="G393" t="inlineStr"/>
      <c r="I393" t="inlineStr">
        <is>
          <t>TN</t>
        </is>
      </c>
      <c r="J393" t="inlineStr"/>
      <c r="K393" t="inlineStr">
        <is>
          <t>20230501</t>
        </is>
      </c>
      <c r="L393" t="inlineStr">
        <is>
          <t>20250131</t>
        </is>
      </c>
    </row>
    <row r="394">
      <c r="A394" t="inlineStr">
        <is>
          <t>900001750</t>
        </is>
      </c>
      <c r="B394" t="inlineStr">
        <is>
          <t>DW70</t>
        </is>
      </c>
      <c r="C394" t="inlineStr">
        <is>
          <t>D077</t>
        </is>
      </c>
      <c r="D394" t="inlineStr">
        <is>
          <t>10002802</t>
        </is>
      </c>
      <c r="E394" t="inlineStr"/>
      <c r="F394" s="11" t="n">
        <v>73.84999999999999</v>
      </c>
      <c r="G394" t="inlineStr"/>
      <c r="I394" t="inlineStr">
        <is>
          <t>TN</t>
        </is>
      </c>
      <c r="J394" t="inlineStr"/>
      <c r="K394" t="inlineStr">
        <is>
          <t>20230501</t>
        </is>
      </c>
      <c r="L394" t="inlineStr">
        <is>
          <t>20250131</t>
        </is>
      </c>
    </row>
    <row r="395">
      <c r="A395" t="inlineStr">
        <is>
          <t>900001750</t>
        </is>
      </c>
      <c r="B395" t="inlineStr">
        <is>
          <t>DW70</t>
        </is>
      </c>
      <c r="C395" t="inlineStr">
        <is>
          <t>D079</t>
        </is>
      </c>
      <c r="D395" t="inlineStr">
        <is>
          <t>10002802</t>
        </is>
      </c>
      <c r="E395" t="inlineStr"/>
      <c r="F395" s="11" t="n">
        <v>73.84999999999999</v>
      </c>
      <c r="G395" t="inlineStr"/>
      <c r="I395" t="inlineStr">
        <is>
          <t>TN</t>
        </is>
      </c>
      <c r="J395" t="inlineStr"/>
      <c r="K395" t="inlineStr">
        <is>
          <t>20230501</t>
        </is>
      </c>
      <c r="L395" t="inlineStr">
        <is>
          <t>20250131</t>
        </is>
      </c>
    </row>
    <row r="396">
      <c r="A396" t="inlineStr">
        <is>
          <t>900001750</t>
        </is>
      </c>
      <c r="B396" t="inlineStr">
        <is>
          <t>DW70</t>
        </is>
      </c>
      <c r="C396" t="inlineStr">
        <is>
          <t>D080</t>
        </is>
      </c>
      <c r="D396" t="inlineStr">
        <is>
          <t>10002802</t>
        </is>
      </c>
      <c r="E396" t="inlineStr"/>
      <c r="F396" s="11" t="n">
        <v>73.84999999999999</v>
      </c>
      <c r="G396" t="inlineStr"/>
      <c r="I396" t="inlineStr">
        <is>
          <t>TN</t>
        </is>
      </c>
      <c r="J396" t="inlineStr"/>
      <c r="K396" t="inlineStr">
        <is>
          <t>20230501</t>
        </is>
      </c>
      <c r="L396" t="inlineStr">
        <is>
          <t>20250131</t>
        </is>
      </c>
    </row>
    <row r="397">
      <c r="A397" t="inlineStr">
        <is>
          <t>900001750</t>
        </is>
      </c>
      <c r="B397" t="inlineStr">
        <is>
          <t>DW70</t>
        </is>
      </c>
      <c r="C397" t="inlineStr">
        <is>
          <t>D081</t>
        </is>
      </c>
      <c r="D397" t="inlineStr">
        <is>
          <t>10002802</t>
        </is>
      </c>
      <c r="E397" t="inlineStr"/>
      <c r="F397" s="11" t="n">
        <v>73.84999999999999</v>
      </c>
      <c r="G397" t="inlineStr"/>
      <c r="I397" t="inlineStr">
        <is>
          <t>TN</t>
        </is>
      </c>
      <c r="J397" t="inlineStr"/>
      <c r="K397" t="inlineStr">
        <is>
          <t>20230501</t>
        </is>
      </c>
      <c r="L397" t="inlineStr">
        <is>
          <t>20250131</t>
        </is>
      </c>
    </row>
    <row r="398">
      <c r="A398" t="inlineStr">
        <is>
          <t>900001750</t>
        </is>
      </c>
      <c r="B398" t="inlineStr">
        <is>
          <t>DW70</t>
        </is>
      </c>
      <c r="C398" t="inlineStr">
        <is>
          <t>D083</t>
        </is>
      </c>
      <c r="D398" t="inlineStr">
        <is>
          <t>10002802</t>
        </is>
      </c>
      <c r="E398" t="inlineStr"/>
      <c r="F398" s="11" t="n">
        <v>73.84999999999999</v>
      </c>
      <c r="G398" t="inlineStr"/>
      <c r="I398" t="inlineStr">
        <is>
          <t>TN</t>
        </is>
      </c>
      <c r="J398" t="inlineStr"/>
      <c r="K398" t="inlineStr">
        <is>
          <t>20230501</t>
        </is>
      </c>
      <c r="L398" t="inlineStr">
        <is>
          <t>20250131</t>
        </is>
      </c>
    </row>
    <row r="399">
      <c r="A399" t="inlineStr">
        <is>
          <t>900001750</t>
        </is>
      </c>
      <c r="B399" t="inlineStr">
        <is>
          <t>DW70</t>
        </is>
      </c>
      <c r="C399" t="inlineStr">
        <is>
          <t>D084</t>
        </is>
      </c>
      <c r="D399" t="inlineStr">
        <is>
          <t>10002802</t>
        </is>
      </c>
      <c r="E399" t="inlineStr"/>
      <c r="F399" s="11" t="n">
        <v>73.84999999999999</v>
      </c>
      <c r="G399" t="inlineStr"/>
      <c r="I399" t="inlineStr">
        <is>
          <t>TN</t>
        </is>
      </c>
      <c r="J399" t="inlineStr"/>
      <c r="K399" t="inlineStr">
        <is>
          <t>20230501</t>
        </is>
      </c>
      <c r="L399" t="inlineStr">
        <is>
          <t>20250131</t>
        </is>
      </c>
    </row>
    <row r="400">
      <c r="A400" t="inlineStr">
        <is>
          <t>900001750</t>
        </is>
      </c>
      <c r="B400" t="inlineStr">
        <is>
          <t>DW70</t>
        </is>
      </c>
      <c r="C400" t="inlineStr">
        <is>
          <t>D085</t>
        </is>
      </c>
      <c r="D400" t="inlineStr">
        <is>
          <t>10002802</t>
        </is>
      </c>
      <c r="E400" t="inlineStr"/>
      <c r="F400" s="11" t="n">
        <v>73.84999999999999</v>
      </c>
      <c r="G400" t="inlineStr"/>
      <c r="I400" t="inlineStr">
        <is>
          <t>TN</t>
        </is>
      </c>
      <c r="J400" t="inlineStr"/>
      <c r="K400" t="inlineStr">
        <is>
          <t>20230501</t>
        </is>
      </c>
      <c r="L400" t="inlineStr">
        <is>
          <t>20250131</t>
        </is>
      </c>
    </row>
    <row r="401">
      <c r="A401" t="inlineStr">
        <is>
          <t>900001750</t>
        </is>
      </c>
      <c r="B401" t="inlineStr">
        <is>
          <t>DW70</t>
        </is>
      </c>
      <c r="C401" t="inlineStr">
        <is>
          <t>D086</t>
        </is>
      </c>
      <c r="D401" t="inlineStr">
        <is>
          <t>10002802</t>
        </is>
      </c>
      <c r="E401" t="inlineStr"/>
      <c r="F401" s="11" t="n">
        <v>73.84999999999999</v>
      </c>
      <c r="G401" t="inlineStr"/>
      <c r="I401" t="inlineStr">
        <is>
          <t>TN</t>
        </is>
      </c>
      <c r="J401" t="inlineStr"/>
      <c r="K401" t="inlineStr">
        <is>
          <t>20230501</t>
        </is>
      </c>
      <c r="L401" t="inlineStr">
        <is>
          <t>20250131</t>
        </is>
      </c>
    </row>
    <row r="402">
      <c r="A402" t="inlineStr">
        <is>
          <t>900001750</t>
        </is>
      </c>
      <c r="B402" t="inlineStr">
        <is>
          <t>DW70</t>
        </is>
      </c>
      <c r="C402" t="inlineStr">
        <is>
          <t>D089</t>
        </is>
      </c>
      <c r="D402" t="inlineStr">
        <is>
          <t>10002802</t>
        </is>
      </c>
      <c r="E402" t="inlineStr"/>
      <c r="F402" s="11" t="n">
        <v>73.84999999999999</v>
      </c>
      <c r="G402" t="inlineStr"/>
      <c r="I402" t="inlineStr">
        <is>
          <t>TN</t>
        </is>
      </c>
      <c r="J402" t="inlineStr"/>
      <c r="K402" t="inlineStr">
        <is>
          <t>20230501</t>
        </is>
      </c>
      <c r="L402" t="inlineStr">
        <is>
          <t>20250131</t>
        </is>
      </c>
    </row>
    <row r="403">
      <c r="A403" t="inlineStr">
        <is>
          <t>900001750</t>
        </is>
      </c>
      <c r="B403" t="inlineStr">
        <is>
          <t>DW70</t>
        </is>
      </c>
      <c r="C403" t="inlineStr">
        <is>
          <t>D098</t>
        </is>
      </c>
      <c r="D403" t="inlineStr">
        <is>
          <t>10002802</t>
        </is>
      </c>
      <c r="E403" t="inlineStr"/>
      <c r="F403" s="11" t="n">
        <v>73.84999999999999</v>
      </c>
      <c r="G403" t="inlineStr"/>
      <c r="I403" t="inlineStr">
        <is>
          <t>TN</t>
        </is>
      </c>
      <c r="J403" t="inlineStr"/>
      <c r="K403" t="inlineStr">
        <is>
          <t>20230501</t>
        </is>
      </c>
      <c r="L403" t="inlineStr">
        <is>
          <t>20250131</t>
        </is>
      </c>
    </row>
    <row r="404">
      <c r="A404" t="inlineStr">
        <is>
          <t>900001750</t>
        </is>
      </c>
      <c r="B404" t="inlineStr">
        <is>
          <t>DW70</t>
        </is>
      </c>
      <c r="C404" t="inlineStr">
        <is>
          <t>D105</t>
        </is>
      </c>
      <c r="D404" t="inlineStr">
        <is>
          <t>10002802</t>
        </is>
      </c>
      <c r="E404" t="inlineStr"/>
      <c r="F404" s="11" t="n">
        <v>73.84999999999999</v>
      </c>
      <c r="G404" t="inlineStr"/>
      <c r="I404" t="inlineStr">
        <is>
          <t>TN</t>
        </is>
      </c>
      <c r="J404" t="inlineStr"/>
      <c r="K404" t="inlineStr">
        <is>
          <t>20230501</t>
        </is>
      </c>
      <c r="L404" t="inlineStr">
        <is>
          <t>20250131</t>
        </is>
      </c>
    </row>
    <row r="405">
      <c r="A405" t="inlineStr">
        <is>
          <t>900001750</t>
        </is>
      </c>
      <c r="B405" t="inlineStr">
        <is>
          <t>DW70</t>
        </is>
      </c>
      <c r="C405" t="inlineStr">
        <is>
          <t>D110</t>
        </is>
      </c>
      <c r="D405" t="inlineStr">
        <is>
          <t>10002802</t>
        </is>
      </c>
      <c r="E405" t="inlineStr"/>
      <c r="F405" s="11" t="n">
        <v>73.84999999999999</v>
      </c>
      <c r="G405" t="inlineStr"/>
      <c r="I405" t="inlineStr">
        <is>
          <t>TN</t>
        </is>
      </c>
      <c r="J405" t="inlineStr"/>
      <c r="K405" t="inlineStr">
        <is>
          <t>20230501</t>
        </is>
      </c>
      <c r="L405" t="inlineStr">
        <is>
          <t>20250131</t>
        </is>
      </c>
    </row>
    <row r="406">
      <c r="A406" t="inlineStr">
        <is>
          <t>900001750</t>
        </is>
      </c>
      <c r="B406" t="inlineStr">
        <is>
          <t>DW70</t>
        </is>
      </c>
      <c r="C406" t="inlineStr">
        <is>
          <t>D132</t>
        </is>
      </c>
      <c r="D406" t="inlineStr">
        <is>
          <t>10002802</t>
        </is>
      </c>
      <c r="E406" t="inlineStr"/>
      <c r="F406" s="11" t="n">
        <v>73.84999999999999</v>
      </c>
      <c r="G406" t="inlineStr"/>
      <c r="I406" t="inlineStr">
        <is>
          <t>TN</t>
        </is>
      </c>
      <c r="J406" t="inlineStr"/>
      <c r="K406" t="inlineStr">
        <is>
          <t>20230501</t>
        </is>
      </c>
      <c r="L406" t="inlineStr">
        <is>
          <t>20250131</t>
        </is>
      </c>
    </row>
    <row r="407">
      <c r="A407" t="inlineStr">
        <is>
          <t>900001750</t>
        </is>
      </c>
      <c r="B407" t="inlineStr">
        <is>
          <t>DW70</t>
        </is>
      </c>
      <c r="C407" t="inlineStr">
        <is>
          <t>D136</t>
        </is>
      </c>
      <c r="D407" t="inlineStr">
        <is>
          <t>10002802</t>
        </is>
      </c>
      <c r="E407" t="inlineStr"/>
      <c r="F407" s="11" t="n">
        <v>73.84999999999999</v>
      </c>
      <c r="G407" t="inlineStr"/>
      <c r="I407" t="inlineStr">
        <is>
          <t>TN</t>
        </is>
      </c>
      <c r="J407" t="inlineStr"/>
      <c r="K407" t="inlineStr">
        <is>
          <t>20230501</t>
        </is>
      </c>
      <c r="L407" t="inlineStr">
        <is>
          <t>20250131</t>
        </is>
      </c>
    </row>
    <row r="408">
      <c r="A408" t="inlineStr">
        <is>
          <t>900001750</t>
        </is>
      </c>
      <c r="B408" t="inlineStr">
        <is>
          <t>DW70</t>
        </is>
      </c>
      <c r="C408" t="inlineStr">
        <is>
          <t>D145</t>
        </is>
      </c>
      <c r="D408" t="inlineStr">
        <is>
          <t>10002802</t>
        </is>
      </c>
      <c r="E408" t="inlineStr"/>
      <c r="F408" s="11" t="n">
        <v>74.45999999999999</v>
      </c>
      <c r="G408" t="inlineStr"/>
      <c r="I408" t="inlineStr">
        <is>
          <t>TN</t>
        </is>
      </c>
      <c r="J408" t="inlineStr"/>
      <c r="K408" t="inlineStr">
        <is>
          <t>20230501</t>
        </is>
      </c>
      <c r="L408" t="inlineStr">
        <is>
          <t>20250131</t>
        </is>
      </c>
    </row>
    <row r="409">
      <c r="A409" t="inlineStr">
        <is>
          <t>900001810</t>
        </is>
      </c>
      <c r="B409" t="inlineStr">
        <is>
          <t>DW70</t>
        </is>
      </c>
      <c r="C409" t="inlineStr">
        <is>
          <t>D074</t>
        </is>
      </c>
      <c r="D409" t="inlineStr">
        <is>
          <t>10000160</t>
        </is>
      </c>
      <c r="E409" t="inlineStr"/>
      <c r="F409" s="11" t="n">
        <v>76.65000000000001</v>
      </c>
      <c r="G409" t="inlineStr"/>
      <c r="I409" t="inlineStr">
        <is>
          <t>TN</t>
        </is>
      </c>
      <c r="J409" t="inlineStr"/>
      <c r="K409" t="inlineStr">
        <is>
          <t>20260115</t>
        </is>
      </c>
      <c r="L409" t="inlineStr">
        <is>
          <t>20260115</t>
        </is>
      </c>
    </row>
    <row r="410">
      <c r="A410" t="inlineStr">
        <is>
          <t>900001810</t>
        </is>
      </c>
      <c r="B410" t="inlineStr">
        <is>
          <t>DW70</t>
        </is>
      </c>
      <c r="C410" t="inlineStr">
        <is>
          <t>D074</t>
        </is>
      </c>
      <c r="D410" t="inlineStr">
        <is>
          <t>10000357</t>
        </is>
      </c>
      <c r="E410" t="inlineStr"/>
      <c r="F410" s="11" t="n">
        <v>95.78</v>
      </c>
      <c r="G410" t="inlineStr"/>
      <c r="I410" t="inlineStr">
        <is>
          <t>TN</t>
        </is>
      </c>
      <c r="J410" t="inlineStr"/>
      <c r="K410" t="inlineStr">
        <is>
          <t>20260115</t>
        </is>
      </c>
      <c r="L410" t="inlineStr">
        <is>
          <t>20260115</t>
        </is>
      </c>
    </row>
    <row r="411">
      <c r="A411" t="inlineStr">
        <is>
          <t>900001810</t>
        </is>
      </c>
      <c r="B411" t="inlineStr">
        <is>
          <t>DW70</t>
        </is>
      </c>
      <c r="C411" t="inlineStr">
        <is>
          <t>D074</t>
        </is>
      </c>
      <c r="D411" t="inlineStr">
        <is>
          <t>10000627</t>
        </is>
      </c>
      <c r="E411" t="inlineStr"/>
      <c r="F411" s="11" t="n">
        <v>63.91</v>
      </c>
      <c r="G411" t="inlineStr"/>
      <c r="I411" t="inlineStr">
        <is>
          <t>TN</t>
        </is>
      </c>
      <c r="J411" t="inlineStr"/>
      <c r="K411" t="inlineStr">
        <is>
          <t>20260115</t>
        </is>
      </c>
      <c r="L411" t="inlineStr">
        <is>
          <t>99991231</t>
        </is>
      </c>
    </row>
    <row r="412">
      <c r="A412" t="inlineStr">
        <is>
          <t>900001810</t>
        </is>
      </c>
      <c r="B412" t="inlineStr">
        <is>
          <t>DW70</t>
        </is>
      </c>
      <c r="C412" t="inlineStr">
        <is>
          <t>D074</t>
        </is>
      </c>
      <c r="D412" t="inlineStr">
        <is>
          <t>10275116</t>
        </is>
      </c>
      <c r="E412" t="inlineStr"/>
      <c r="F412" s="11" t="n">
        <v>97.79000000000001</v>
      </c>
      <c r="G412" t="inlineStr"/>
      <c r="I412" t="inlineStr">
        <is>
          <t>TN</t>
        </is>
      </c>
      <c r="J412" t="inlineStr"/>
      <c r="K412" t="inlineStr">
        <is>
          <t>20260317</t>
        </is>
      </c>
      <c r="L412" t="inlineStr">
        <is>
          <t>99991231</t>
        </is>
      </c>
    </row>
    <row r="413">
      <c r="A413" t="inlineStr">
        <is>
          <t>900001810</t>
        </is>
      </c>
      <c r="B413" t="inlineStr">
        <is>
          <t>DW70</t>
        </is>
      </c>
      <c r="C413" t="inlineStr">
        <is>
          <t>D074</t>
        </is>
      </c>
      <c r="D413" t="inlineStr">
        <is>
          <t>10275118</t>
        </is>
      </c>
      <c r="E413" t="inlineStr"/>
      <c r="F413" s="11" t="n">
        <v>80.66</v>
      </c>
      <c r="G413" t="inlineStr"/>
      <c r="I413" t="inlineStr">
        <is>
          <t>TN</t>
        </is>
      </c>
      <c r="J413" t="inlineStr"/>
      <c r="K413" t="inlineStr">
        <is>
          <t>20260317</t>
        </is>
      </c>
      <c r="L413" t="inlineStr">
        <is>
          <t>99991231</t>
        </is>
      </c>
    </row>
    <row r="414">
      <c r="A414" t="inlineStr">
        <is>
          <t>900001810</t>
        </is>
      </c>
      <c r="B414" t="inlineStr">
        <is>
          <t>DW70</t>
        </is>
      </c>
      <c r="C414" t="inlineStr">
        <is>
          <t>D075</t>
        </is>
      </c>
      <c r="D414" t="inlineStr">
        <is>
          <t>10000160</t>
        </is>
      </c>
      <c r="E414" t="inlineStr"/>
      <c r="F414" s="11" t="n">
        <v>76.65000000000001</v>
      </c>
      <c r="G414" t="inlineStr"/>
      <c r="I414" t="inlineStr">
        <is>
          <t>TN</t>
        </is>
      </c>
      <c r="J414" t="inlineStr"/>
      <c r="K414" t="inlineStr">
        <is>
          <t>20260115</t>
        </is>
      </c>
      <c r="L414" t="inlineStr">
        <is>
          <t>20260115</t>
        </is>
      </c>
    </row>
    <row r="415">
      <c r="A415" t="inlineStr">
        <is>
          <t>900001810</t>
        </is>
      </c>
      <c r="B415" t="inlineStr">
        <is>
          <t>DW70</t>
        </is>
      </c>
      <c r="C415" t="inlineStr">
        <is>
          <t>D075</t>
        </is>
      </c>
      <c r="D415" t="inlineStr">
        <is>
          <t>10000357</t>
        </is>
      </c>
      <c r="E415" t="inlineStr"/>
      <c r="F415" s="11" t="n">
        <v>95.78</v>
      </c>
      <c r="G415" t="inlineStr"/>
      <c r="I415" t="inlineStr">
        <is>
          <t>TN</t>
        </is>
      </c>
      <c r="J415" t="inlineStr"/>
      <c r="K415" t="inlineStr">
        <is>
          <t>20260115</t>
        </is>
      </c>
      <c r="L415" t="inlineStr">
        <is>
          <t>20260115</t>
        </is>
      </c>
    </row>
    <row r="416">
      <c r="A416" t="inlineStr">
        <is>
          <t>900001810</t>
        </is>
      </c>
      <c r="B416" t="inlineStr">
        <is>
          <t>DW70</t>
        </is>
      </c>
      <c r="C416" t="inlineStr">
        <is>
          <t>D075</t>
        </is>
      </c>
      <c r="D416" t="inlineStr">
        <is>
          <t>10000627</t>
        </is>
      </c>
      <c r="E416" t="inlineStr"/>
      <c r="F416" s="11" t="n">
        <v>63.91</v>
      </c>
      <c r="G416" t="inlineStr"/>
      <c r="I416" t="inlineStr">
        <is>
          <t>TN</t>
        </is>
      </c>
      <c r="J416" t="inlineStr"/>
      <c r="K416" t="inlineStr">
        <is>
          <t>20260115</t>
        </is>
      </c>
      <c r="L416" t="inlineStr">
        <is>
          <t>99991231</t>
        </is>
      </c>
    </row>
    <row r="417">
      <c r="A417" t="inlineStr">
        <is>
          <t>900001810</t>
        </is>
      </c>
      <c r="B417" t="inlineStr">
        <is>
          <t>DW70</t>
        </is>
      </c>
      <c r="C417" t="inlineStr">
        <is>
          <t>D075</t>
        </is>
      </c>
      <c r="D417" t="inlineStr">
        <is>
          <t>10275116</t>
        </is>
      </c>
      <c r="E417" t="inlineStr"/>
      <c r="F417" s="11" t="n">
        <v>97.79000000000001</v>
      </c>
      <c r="G417" t="inlineStr"/>
      <c r="I417" t="inlineStr">
        <is>
          <t>TN</t>
        </is>
      </c>
      <c r="J417" t="inlineStr"/>
      <c r="K417" t="inlineStr">
        <is>
          <t>20260317</t>
        </is>
      </c>
      <c r="L417" t="inlineStr">
        <is>
          <t>99991231</t>
        </is>
      </c>
    </row>
    <row r="418">
      <c r="A418" t="inlineStr">
        <is>
          <t>900001810</t>
        </is>
      </c>
      <c r="B418" t="inlineStr">
        <is>
          <t>DW70</t>
        </is>
      </c>
      <c r="C418" t="inlineStr">
        <is>
          <t>D075</t>
        </is>
      </c>
      <c r="D418" t="inlineStr">
        <is>
          <t>10275118</t>
        </is>
      </c>
      <c r="E418" t="inlineStr"/>
      <c r="F418" s="11" t="n">
        <v>80.66</v>
      </c>
      <c r="G418" t="inlineStr"/>
      <c r="I418" t="inlineStr">
        <is>
          <t>TN</t>
        </is>
      </c>
      <c r="J418" t="inlineStr"/>
      <c r="K418" t="inlineStr">
        <is>
          <t>20260317</t>
        </is>
      </c>
      <c r="L418" t="inlineStr">
        <is>
          <t>99991231</t>
        </is>
      </c>
    </row>
    <row r="419">
      <c r="A419" t="inlineStr">
        <is>
          <t>900001810</t>
        </is>
      </c>
      <c r="B419" t="inlineStr">
        <is>
          <t>DW70</t>
        </is>
      </c>
      <c r="C419" t="inlineStr">
        <is>
          <t>D077</t>
        </is>
      </c>
      <c r="D419" t="inlineStr">
        <is>
          <t>10000160</t>
        </is>
      </c>
      <c r="E419" t="inlineStr"/>
      <c r="F419" s="11" t="n">
        <v>76.65000000000001</v>
      </c>
      <c r="G419" t="inlineStr"/>
      <c r="I419" t="inlineStr">
        <is>
          <t>TN</t>
        </is>
      </c>
      <c r="J419" t="inlineStr"/>
      <c r="K419" t="inlineStr">
        <is>
          <t>20260115</t>
        </is>
      </c>
      <c r="L419" t="inlineStr">
        <is>
          <t>20260115</t>
        </is>
      </c>
    </row>
    <row r="420">
      <c r="A420" t="inlineStr">
        <is>
          <t>900001810</t>
        </is>
      </c>
      <c r="B420" t="inlineStr">
        <is>
          <t>DW70</t>
        </is>
      </c>
      <c r="C420" t="inlineStr">
        <is>
          <t>D077</t>
        </is>
      </c>
      <c r="D420" t="inlineStr">
        <is>
          <t>10000357</t>
        </is>
      </c>
      <c r="E420" t="inlineStr"/>
      <c r="F420" s="11" t="n">
        <v>95.78</v>
      </c>
      <c r="G420" t="inlineStr"/>
      <c r="I420" t="inlineStr">
        <is>
          <t>TN</t>
        </is>
      </c>
      <c r="J420" t="inlineStr"/>
      <c r="K420" t="inlineStr">
        <is>
          <t>20260115</t>
        </is>
      </c>
      <c r="L420" t="inlineStr">
        <is>
          <t>20260115</t>
        </is>
      </c>
    </row>
    <row r="421">
      <c r="A421" t="inlineStr">
        <is>
          <t>900001810</t>
        </is>
      </c>
      <c r="B421" t="inlineStr">
        <is>
          <t>DW70</t>
        </is>
      </c>
      <c r="C421" t="inlineStr">
        <is>
          <t>D077</t>
        </is>
      </c>
      <c r="D421" t="inlineStr">
        <is>
          <t>10000627</t>
        </is>
      </c>
      <c r="E421" t="inlineStr"/>
      <c r="F421" s="11" t="n">
        <v>63.91</v>
      </c>
      <c r="G421" t="inlineStr"/>
      <c r="I421" t="inlineStr">
        <is>
          <t>TN</t>
        </is>
      </c>
      <c r="J421" t="inlineStr"/>
      <c r="K421" t="inlineStr">
        <is>
          <t>20260115</t>
        </is>
      </c>
      <c r="L421" t="inlineStr">
        <is>
          <t>99991231</t>
        </is>
      </c>
    </row>
    <row r="422">
      <c r="A422" t="inlineStr">
        <is>
          <t>900001810</t>
        </is>
      </c>
      <c r="B422" t="inlineStr">
        <is>
          <t>DW70</t>
        </is>
      </c>
      <c r="C422" t="inlineStr">
        <is>
          <t>D077</t>
        </is>
      </c>
      <c r="D422" t="inlineStr">
        <is>
          <t>10275116</t>
        </is>
      </c>
      <c r="E422" t="inlineStr"/>
      <c r="F422" s="11" t="n">
        <v>97.79000000000001</v>
      </c>
      <c r="G422" t="inlineStr"/>
      <c r="I422" t="inlineStr">
        <is>
          <t>TN</t>
        </is>
      </c>
      <c r="J422" t="inlineStr"/>
      <c r="K422" t="inlineStr">
        <is>
          <t>20260317</t>
        </is>
      </c>
      <c r="L422" t="inlineStr">
        <is>
          <t>99991231</t>
        </is>
      </c>
    </row>
    <row r="423">
      <c r="A423" t="inlineStr">
        <is>
          <t>900001810</t>
        </is>
      </c>
      <c r="B423" t="inlineStr">
        <is>
          <t>DW70</t>
        </is>
      </c>
      <c r="C423" t="inlineStr">
        <is>
          <t>D077</t>
        </is>
      </c>
      <c r="D423" t="inlineStr">
        <is>
          <t>10275118</t>
        </is>
      </c>
      <c r="E423" t="inlineStr"/>
      <c r="F423" s="11" t="n">
        <v>80.66</v>
      </c>
      <c r="G423" t="inlineStr"/>
      <c r="I423" t="inlineStr">
        <is>
          <t>TN</t>
        </is>
      </c>
      <c r="J423" t="inlineStr"/>
      <c r="K423" t="inlineStr">
        <is>
          <t>20260317</t>
        </is>
      </c>
      <c r="L423" t="inlineStr">
        <is>
          <t>99991231</t>
        </is>
      </c>
    </row>
    <row r="424">
      <c r="A424" t="inlineStr">
        <is>
          <t>900001810</t>
        </is>
      </c>
      <c r="B424" t="inlineStr">
        <is>
          <t>DW70</t>
        </is>
      </c>
      <c r="C424" t="inlineStr">
        <is>
          <t>D079</t>
        </is>
      </c>
      <c r="D424" t="inlineStr">
        <is>
          <t>10000160</t>
        </is>
      </c>
      <c r="E424" t="inlineStr"/>
      <c r="F424" s="11" t="n">
        <v>76.65000000000001</v>
      </c>
      <c r="G424" t="inlineStr"/>
      <c r="I424" t="inlineStr">
        <is>
          <t>TN</t>
        </is>
      </c>
      <c r="J424" t="inlineStr"/>
      <c r="K424" t="inlineStr">
        <is>
          <t>20260115</t>
        </is>
      </c>
      <c r="L424" t="inlineStr">
        <is>
          <t>20260115</t>
        </is>
      </c>
    </row>
    <row r="425">
      <c r="A425" t="inlineStr">
        <is>
          <t>900001810</t>
        </is>
      </c>
      <c r="B425" t="inlineStr">
        <is>
          <t>DW70</t>
        </is>
      </c>
      <c r="C425" t="inlineStr">
        <is>
          <t>D079</t>
        </is>
      </c>
      <c r="D425" t="inlineStr">
        <is>
          <t>10000357</t>
        </is>
      </c>
      <c r="E425" t="inlineStr"/>
      <c r="F425" s="11" t="n">
        <v>95.78</v>
      </c>
      <c r="G425" t="inlineStr"/>
      <c r="I425" t="inlineStr">
        <is>
          <t>TN</t>
        </is>
      </c>
      <c r="J425" t="inlineStr"/>
      <c r="K425" t="inlineStr">
        <is>
          <t>20260115</t>
        </is>
      </c>
      <c r="L425" t="inlineStr">
        <is>
          <t>20260115</t>
        </is>
      </c>
    </row>
    <row r="426">
      <c r="A426" t="inlineStr">
        <is>
          <t>900001810</t>
        </is>
      </c>
      <c r="B426" t="inlineStr">
        <is>
          <t>DW70</t>
        </is>
      </c>
      <c r="C426" t="inlineStr">
        <is>
          <t>D079</t>
        </is>
      </c>
      <c r="D426" t="inlineStr">
        <is>
          <t>10000627</t>
        </is>
      </c>
      <c r="E426" t="inlineStr"/>
      <c r="F426" s="11" t="n">
        <v>63.91</v>
      </c>
      <c r="G426" t="inlineStr"/>
      <c r="I426" t="inlineStr">
        <is>
          <t>TN</t>
        </is>
      </c>
      <c r="J426" t="inlineStr"/>
      <c r="K426" t="inlineStr">
        <is>
          <t>20260115</t>
        </is>
      </c>
      <c r="L426" t="inlineStr">
        <is>
          <t>99991231</t>
        </is>
      </c>
    </row>
    <row r="427">
      <c r="A427" t="inlineStr">
        <is>
          <t>900001810</t>
        </is>
      </c>
      <c r="B427" t="inlineStr">
        <is>
          <t>DW70</t>
        </is>
      </c>
      <c r="C427" t="inlineStr">
        <is>
          <t>D079</t>
        </is>
      </c>
      <c r="D427" t="inlineStr">
        <is>
          <t>10275116</t>
        </is>
      </c>
      <c r="E427" t="inlineStr"/>
      <c r="F427" s="11" t="n">
        <v>97.79000000000001</v>
      </c>
      <c r="G427" t="inlineStr"/>
      <c r="I427" t="inlineStr">
        <is>
          <t>TN</t>
        </is>
      </c>
      <c r="J427" t="inlineStr"/>
      <c r="K427" t="inlineStr">
        <is>
          <t>20260317</t>
        </is>
      </c>
      <c r="L427" t="inlineStr">
        <is>
          <t>99991231</t>
        </is>
      </c>
    </row>
    <row r="428">
      <c r="A428" t="inlineStr">
        <is>
          <t>900001810</t>
        </is>
      </c>
      <c r="B428" t="inlineStr">
        <is>
          <t>DW70</t>
        </is>
      </c>
      <c r="C428" t="inlineStr">
        <is>
          <t>D079</t>
        </is>
      </c>
      <c r="D428" t="inlineStr">
        <is>
          <t>10275118</t>
        </is>
      </c>
      <c r="E428" t="inlineStr"/>
      <c r="F428" s="11" t="n">
        <v>80.66</v>
      </c>
      <c r="G428" t="inlineStr"/>
      <c r="I428" t="inlineStr">
        <is>
          <t>TN</t>
        </is>
      </c>
      <c r="J428" t="inlineStr"/>
      <c r="K428" t="inlineStr">
        <is>
          <t>20260317</t>
        </is>
      </c>
      <c r="L428" t="inlineStr">
        <is>
          <t>99991231</t>
        </is>
      </c>
    </row>
    <row r="429">
      <c r="A429" t="inlineStr">
        <is>
          <t>900001810</t>
        </is>
      </c>
      <c r="B429" t="inlineStr">
        <is>
          <t>DW70</t>
        </is>
      </c>
      <c r="C429" t="inlineStr">
        <is>
          <t>D080</t>
        </is>
      </c>
      <c r="D429" t="inlineStr">
        <is>
          <t>10000160</t>
        </is>
      </c>
      <c r="E429" t="inlineStr"/>
      <c r="F429" s="11" t="n">
        <v>76.65000000000001</v>
      </c>
      <c r="G429" t="inlineStr"/>
      <c r="I429" t="inlineStr">
        <is>
          <t>TN</t>
        </is>
      </c>
      <c r="J429" t="inlineStr"/>
      <c r="K429" t="inlineStr">
        <is>
          <t>20260115</t>
        </is>
      </c>
      <c r="L429" t="inlineStr">
        <is>
          <t>20260115</t>
        </is>
      </c>
    </row>
    <row r="430">
      <c r="A430" t="inlineStr">
        <is>
          <t>900001810</t>
        </is>
      </c>
      <c r="B430" t="inlineStr">
        <is>
          <t>DW70</t>
        </is>
      </c>
      <c r="C430" t="inlineStr">
        <is>
          <t>D080</t>
        </is>
      </c>
      <c r="D430" t="inlineStr">
        <is>
          <t>10000357</t>
        </is>
      </c>
      <c r="E430" t="inlineStr"/>
      <c r="F430" s="11" t="n">
        <v>95.78</v>
      </c>
      <c r="G430" t="inlineStr"/>
      <c r="I430" t="inlineStr">
        <is>
          <t>TN</t>
        </is>
      </c>
      <c r="J430" t="inlineStr"/>
      <c r="K430" t="inlineStr">
        <is>
          <t>20260115</t>
        </is>
      </c>
      <c r="L430" t="inlineStr">
        <is>
          <t>20260115</t>
        </is>
      </c>
    </row>
    <row r="431">
      <c r="A431" t="inlineStr">
        <is>
          <t>900001810</t>
        </is>
      </c>
      <c r="B431" t="inlineStr">
        <is>
          <t>DW70</t>
        </is>
      </c>
      <c r="C431" t="inlineStr">
        <is>
          <t>D080</t>
        </is>
      </c>
      <c r="D431" t="inlineStr">
        <is>
          <t>10000627</t>
        </is>
      </c>
      <c r="E431" t="inlineStr"/>
      <c r="F431" s="11" t="n">
        <v>63.91</v>
      </c>
      <c r="G431" t="inlineStr"/>
      <c r="I431" t="inlineStr">
        <is>
          <t>TN</t>
        </is>
      </c>
      <c r="J431" t="inlineStr"/>
      <c r="K431" t="inlineStr">
        <is>
          <t>20260115</t>
        </is>
      </c>
      <c r="L431" t="inlineStr">
        <is>
          <t>99991231</t>
        </is>
      </c>
    </row>
    <row r="432">
      <c r="A432" t="inlineStr">
        <is>
          <t>900001810</t>
        </is>
      </c>
      <c r="B432" t="inlineStr">
        <is>
          <t>DW70</t>
        </is>
      </c>
      <c r="C432" t="inlineStr">
        <is>
          <t>D080</t>
        </is>
      </c>
      <c r="D432" t="inlineStr">
        <is>
          <t>10275116</t>
        </is>
      </c>
      <c r="E432" t="inlineStr"/>
      <c r="F432" s="11" t="n">
        <v>97.79000000000001</v>
      </c>
      <c r="G432" t="inlineStr"/>
      <c r="I432" t="inlineStr">
        <is>
          <t>TN</t>
        </is>
      </c>
      <c r="J432" t="inlineStr"/>
      <c r="K432" t="inlineStr">
        <is>
          <t>20260317</t>
        </is>
      </c>
      <c r="L432" t="inlineStr">
        <is>
          <t>99991231</t>
        </is>
      </c>
    </row>
    <row r="433">
      <c r="A433" t="inlineStr">
        <is>
          <t>900001810</t>
        </is>
      </c>
      <c r="B433" t="inlineStr">
        <is>
          <t>DW70</t>
        </is>
      </c>
      <c r="C433" t="inlineStr">
        <is>
          <t>D080</t>
        </is>
      </c>
      <c r="D433" t="inlineStr">
        <is>
          <t>10275118</t>
        </is>
      </c>
      <c r="E433" t="inlineStr"/>
      <c r="F433" s="11" t="n">
        <v>80.66</v>
      </c>
      <c r="G433" t="inlineStr"/>
      <c r="I433" t="inlineStr">
        <is>
          <t>TN</t>
        </is>
      </c>
      <c r="J433" t="inlineStr"/>
      <c r="K433" t="inlineStr">
        <is>
          <t>20260317</t>
        </is>
      </c>
      <c r="L433" t="inlineStr">
        <is>
          <t>99991231</t>
        </is>
      </c>
    </row>
    <row r="434">
      <c r="A434" t="inlineStr">
        <is>
          <t>900001810</t>
        </is>
      </c>
      <c r="B434" t="inlineStr">
        <is>
          <t>DW70</t>
        </is>
      </c>
      <c r="C434" t="inlineStr">
        <is>
          <t>D081</t>
        </is>
      </c>
      <c r="D434" t="inlineStr">
        <is>
          <t>10000160</t>
        </is>
      </c>
      <c r="E434" t="inlineStr"/>
      <c r="F434" s="11" t="n">
        <v>76.65000000000001</v>
      </c>
      <c r="G434" t="inlineStr"/>
      <c r="I434" t="inlineStr">
        <is>
          <t>TN</t>
        </is>
      </c>
      <c r="J434" t="inlineStr"/>
      <c r="K434" t="inlineStr">
        <is>
          <t>20260115</t>
        </is>
      </c>
      <c r="L434" t="inlineStr">
        <is>
          <t>20260115</t>
        </is>
      </c>
    </row>
    <row r="435">
      <c r="A435" t="inlineStr">
        <is>
          <t>900001810</t>
        </is>
      </c>
      <c r="B435" t="inlineStr">
        <is>
          <t>DW70</t>
        </is>
      </c>
      <c r="C435" t="inlineStr">
        <is>
          <t>D081</t>
        </is>
      </c>
      <c r="D435" t="inlineStr">
        <is>
          <t>10000357</t>
        </is>
      </c>
      <c r="E435" t="inlineStr"/>
      <c r="F435" s="11" t="n">
        <v>95.78</v>
      </c>
      <c r="G435" t="inlineStr"/>
      <c r="I435" t="inlineStr">
        <is>
          <t>TN</t>
        </is>
      </c>
      <c r="J435" t="inlineStr"/>
      <c r="K435" t="inlineStr">
        <is>
          <t>20260115</t>
        </is>
      </c>
      <c r="L435" t="inlineStr">
        <is>
          <t>20260115</t>
        </is>
      </c>
    </row>
    <row r="436">
      <c r="A436" t="inlineStr">
        <is>
          <t>900001810</t>
        </is>
      </c>
      <c r="B436" t="inlineStr">
        <is>
          <t>DW70</t>
        </is>
      </c>
      <c r="C436" t="inlineStr">
        <is>
          <t>D081</t>
        </is>
      </c>
      <c r="D436" t="inlineStr">
        <is>
          <t>10000627</t>
        </is>
      </c>
      <c r="E436" t="inlineStr"/>
      <c r="F436" s="11" t="n">
        <v>63.91</v>
      </c>
      <c r="G436" t="inlineStr"/>
      <c r="I436" t="inlineStr">
        <is>
          <t>TN</t>
        </is>
      </c>
      <c r="J436" t="inlineStr"/>
      <c r="K436" t="inlineStr">
        <is>
          <t>20260115</t>
        </is>
      </c>
      <c r="L436" t="inlineStr">
        <is>
          <t>99991231</t>
        </is>
      </c>
    </row>
    <row r="437">
      <c r="A437" t="inlineStr">
        <is>
          <t>900001810</t>
        </is>
      </c>
      <c r="B437" t="inlineStr">
        <is>
          <t>DW70</t>
        </is>
      </c>
      <c r="C437" t="inlineStr">
        <is>
          <t>D081</t>
        </is>
      </c>
      <c r="D437" t="inlineStr">
        <is>
          <t>10275116</t>
        </is>
      </c>
      <c r="E437" t="inlineStr"/>
      <c r="F437" s="11" t="n">
        <v>97.79000000000001</v>
      </c>
      <c r="G437" t="inlineStr"/>
      <c r="I437" t="inlineStr">
        <is>
          <t>TN</t>
        </is>
      </c>
      <c r="J437" t="inlineStr"/>
      <c r="K437" t="inlineStr">
        <is>
          <t>20260317</t>
        </is>
      </c>
      <c r="L437" t="inlineStr">
        <is>
          <t>99991231</t>
        </is>
      </c>
    </row>
    <row r="438">
      <c r="A438" t="inlineStr">
        <is>
          <t>900001810</t>
        </is>
      </c>
      <c r="B438" t="inlineStr">
        <is>
          <t>DW70</t>
        </is>
      </c>
      <c r="C438" t="inlineStr">
        <is>
          <t>D081</t>
        </is>
      </c>
      <c r="D438" t="inlineStr">
        <is>
          <t>10275118</t>
        </is>
      </c>
      <c r="E438" t="inlineStr"/>
      <c r="F438" s="11" t="n">
        <v>80.66</v>
      </c>
      <c r="G438" t="inlineStr"/>
      <c r="I438" t="inlineStr">
        <is>
          <t>TN</t>
        </is>
      </c>
      <c r="J438" t="inlineStr"/>
      <c r="K438" t="inlineStr">
        <is>
          <t>20260317</t>
        </is>
      </c>
      <c r="L438" t="inlineStr">
        <is>
          <t>99991231</t>
        </is>
      </c>
    </row>
    <row r="439">
      <c r="A439" t="inlineStr">
        <is>
          <t>900001810</t>
        </is>
      </c>
      <c r="B439" t="inlineStr">
        <is>
          <t>DW70</t>
        </is>
      </c>
      <c r="C439" t="inlineStr">
        <is>
          <t>D083</t>
        </is>
      </c>
      <c r="D439" t="inlineStr">
        <is>
          <t>10000160</t>
        </is>
      </c>
      <c r="E439" t="inlineStr"/>
      <c r="F439" s="11" t="n">
        <v>76.65000000000001</v>
      </c>
      <c r="G439" t="inlineStr"/>
      <c r="I439" t="inlineStr">
        <is>
          <t>TN</t>
        </is>
      </c>
      <c r="J439" t="inlineStr"/>
      <c r="K439" t="inlineStr">
        <is>
          <t>20260115</t>
        </is>
      </c>
      <c r="L439" t="inlineStr">
        <is>
          <t>20260115</t>
        </is>
      </c>
    </row>
    <row r="440">
      <c r="A440" t="inlineStr">
        <is>
          <t>900001810</t>
        </is>
      </c>
      <c r="B440" t="inlineStr">
        <is>
          <t>DW70</t>
        </is>
      </c>
      <c r="C440" t="inlineStr">
        <is>
          <t>D083</t>
        </is>
      </c>
      <c r="D440" t="inlineStr">
        <is>
          <t>10000357</t>
        </is>
      </c>
      <c r="E440" t="inlineStr"/>
      <c r="F440" s="11" t="n">
        <v>95.78</v>
      </c>
      <c r="G440" t="inlineStr"/>
      <c r="I440" t="inlineStr">
        <is>
          <t>TN</t>
        </is>
      </c>
      <c r="J440" t="inlineStr"/>
      <c r="K440" t="inlineStr">
        <is>
          <t>20260115</t>
        </is>
      </c>
      <c r="L440" t="inlineStr">
        <is>
          <t>20260115</t>
        </is>
      </c>
    </row>
    <row r="441">
      <c r="A441" t="inlineStr">
        <is>
          <t>900001810</t>
        </is>
      </c>
      <c r="B441" t="inlineStr">
        <is>
          <t>DW70</t>
        </is>
      </c>
      <c r="C441" t="inlineStr">
        <is>
          <t>D083</t>
        </is>
      </c>
      <c r="D441" t="inlineStr">
        <is>
          <t>10000627</t>
        </is>
      </c>
      <c r="E441" t="inlineStr"/>
      <c r="F441" s="11" t="n">
        <v>63.91</v>
      </c>
      <c r="G441" t="inlineStr"/>
      <c r="I441" t="inlineStr">
        <is>
          <t>TN</t>
        </is>
      </c>
      <c r="J441" t="inlineStr"/>
      <c r="K441" t="inlineStr">
        <is>
          <t>20260115</t>
        </is>
      </c>
      <c r="L441" t="inlineStr">
        <is>
          <t>99991231</t>
        </is>
      </c>
    </row>
    <row r="442">
      <c r="A442" t="inlineStr">
        <is>
          <t>900001810</t>
        </is>
      </c>
      <c r="B442" t="inlineStr">
        <is>
          <t>DW70</t>
        </is>
      </c>
      <c r="C442" t="inlineStr">
        <is>
          <t>D083</t>
        </is>
      </c>
      <c r="D442" t="inlineStr">
        <is>
          <t>10275116</t>
        </is>
      </c>
      <c r="E442" t="inlineStr"/>
      <c r="F442" s="11" t="n">
        <v>97.79000000000001</v>
      </c>
      <c r="G442" t="inlineStr"/>
      <c r="I442" t="inlineStr">
        <is>
          <t>TN</t>
        </is>
      </c>
      <c r="J442" t="inlineStr"/>
      <c r="K442" t="inlineStr">
        <is>
          <t>20260317</t>
        </is>
      </c>
      <c r="L442" t="inlineStr">
        <is>
          <t>99991231</t>
        </is>
      </c>
    </row>
    <row r="443">
      <c r="A443" t="inlineStr">
        <is>
          <t>900001810</t>
        </is>
      </c>
      <c r="B443" t="inlineStr">
        <is>
          <t>DW70</t>
        </is>
      </c>
      <c r="C443" t="inlineStr">
        <is>
          <t>D083</t>
        </is>
      </c>
      <c r="D443" t="inlineStr">
        <is>
          <t>10275118</t>
        </is>
      </c>
      <c r="E443" t="inlineStr"/>
      <c r="F443" s="11" t="n">
        <v>80.66</v>
      </c>
      <c r="G443" t="inlineStr"/>
      <c r="I443" t="inlineStr">
        <is>
          <t>TN</t>
        </is>
      </c>
      <c r="J443" t="inlineStr"/>
      <c r="K443" t="inlineStr">
        <is>
          <t>20260317</t>
        </is>
      </c>
      <c r="L443" t="inlineStr">
        <is>
          <t>99991231</t>
        </is>
      </c>
    </row>
    <row r="444">
      <c r="A444" t="inlineStr">
        <is>
          <t>900001810</t>
        </is>
      </c>
      <c r="B444" t="inlineStr">
        <is>
          <t>DW70</t>
        </is>
      </c>
      <c r="C444" t="inlineStr">
        <is>
          <t>D084</t>
        </is>
      </c>
      <c r="D444" t="inlineStr">
        <is>
          <t>10000160</t>
        </is>
      </c>
      <c r="E444" t="inlineStr"/>
      <c r="F444" s="11" t="n">
        <v>76.65000000000001</v>
      </c>
      <c r="G444" t="inlineStr"/>
      <c r="I444" t="inlineStr">
        <is>
          <t>TN</t>
        </is>
      </c>
      <c r="J444" t="inlineStr"/>
      <c r="K444" t="inlineStr">
        <is>
          <t>20260115</t>
        </is>
      </c>
      <c r="L444" t="inlineStr">
        <is>
          <t>20260115</t>
        </is>
      </c>
    </row>
    <row r="445">
      <c r="A445" t="inlineStr">
        <is>
          <t>900001810</t>
        </is>
      </c>
      <c r="B445" t="inlineStr">
        <is>
          <t>DW70</t>
        </is>
      </c>
      <c r="C445" t="inlineStr">
        <is>
          <t>D084</t>
        </is>
      </c>
      <c r="D445" t="inlineStr">
        <is>
          <t>10000357</t>
        </is>
      </c>
      <c r="E445" t="inlineStr"/>
      <c r="F445" s="11" t="n">
        <v>95.78</v>
      </c>
      <c r="G445" t="inlineStr"/>
      <c r="I445" t="inlineStr">
        <is>
          <t>TN</t>
        </is>
      </c>
      <c r="J445" t="inlineStr"/>
      <c r="K445" t="inlineStr">
        <is>
          <t>20260115</t>
        </is>
      </c>
      <c r="L445" t="inlineStr">
        <is>
          <t>20260115</t>
        </is>
      </c>
    </row>
    <row r="446">
      <c r="A446" t="inlineStr">
        <is>
          <t>900001810</t>
        </is>
      </c>
      <c r="B446" t="inlineStr">
        <is>
          <t>DW70</t>
        </is>
      </c>
      <c r="C446" t="inlineStr">
        <is>
          <t>D084</t>
        </is>
      </c>
      <c r="D446" t="inlineStr">
        <is>
          <t>10000627</t>
        </is>
      </c>
      <c r="E446" t="inlineStr"/>
      <c r="F446" s="11" t="n">
        <v>63.91</v>
      </c>
      <c r="G446" t="inlineStr"/>
      <c r="I446" t="inlineStr">
        <is>
          <t>TN</t>
        </is>
      </c>
      <c r="J446" t="inlineStr"/>
      <c r="K446" t="inlineStr">
        <is>
          <t>20260115</t>
        </is>
      </c>
      <c r="L446" t="inlineStr">
        <is>
          <t>99991231</t>
        </is>
      </c>
    </row>
    <row r="447">
      <c r="A447" t="inlineStr">
        <is>
          <t>900001810</t>
        </is>
      </c>
      <c r="B447" t="inlineStr">
        <is>
          <t>DW70</t>
        </is>
      </c>
      <c r="C447" t="inlineStr">
        <is>
          <t>D084</t>
        </is>
      </c>
      <c r="D447" t="inlineStr">
        <is>
          <t>10275116</t>
        </is>
      </c>
      <c r="E447" t="inlineStr"/>
      <c r="F447" s="11" t="n">
        <v>97.79000000000001</v>
      </c>
      <c r="G447" t="inlineStr"/>
      <c r="I447" t="inlineStr">
        <is>
          <t>TN</t>
        </is>
      </c>
      <c r="J447" t="inlineStr"/>
      <c r="K447" t="inlineStr">
        <is>
          <t>20260317</t>
        </is>
      </c>
      <c r="L447" t="inlineStr">
        <is>
          <t>99991231</t>
        </is>
      </c>
    </row>
    <row r="448">
      <c r="A448" t="inlineStr">
        <is>
          <t>900001810</t>
        </is>
      </c>
      <c r="B448" t="inlineStr">
        <is>
          <t>DW70</t>
        </is>
      </c>
      <c r="C448" t="inlineStr">
        <is>
          <t>D084</t>
        </is>
      </c>
      <c r="D448" t="inlineStr">
        <is>
          <t>10275118</t>
        </is>
      </c>
      <c r="E448" t="inlineStr"/>
      <c r="F448" s="11" t="n">
        <v>80.66</v>
      </c>
      <c r="G448" t="inlineStr"/>
      <c r="I448" t="inlineStr">
        <is>
          <t>TN</t>
        </is>
      </c>
      <c r="J448" t="inlineStr"/>
      <c r="K448" t="inlineStr">
        <is>
          <t>20260317</t>
        </is>
      </c>
      <c r="L448" t="inlineStr">
        <is>
          <t>99991231</t>
        </is>
      </c>
    </row>
    <row r="449">
      <c r="A449" t="inlineStr">
        <is>
          <t>900001810</t>
        </is>
      </c>
      <c r="B449" t="inlineStr">
        <is>
          <t>DW70</t>
        </is>
      </c>
      <c r="C449" t="inlineStr">
        <is>
          <t>D085</t>
        </is>
      </c>
      <c r="D449" t="inlineStr">
        <is>
          <t>10000160</t>
        </is>
      </c>
      <c r="E449" t="inlineStr"/>
      <c r="F449" s="11" t="n">
        <v>76.65000000000001</v>
      </c>
      <c r="G449" t="inlineStr"/>
      <c r="I449" t="inlineStr">
        <is>
          <t>TN</t>
        </is>
      </c>
      <c r="J449" t="inlineStr"/>
      <c r="K449" t="inlineStr">
        <is>
          <t>20260115</t>
        </is>
      </c>
      <c r="L449" t="inlineStr">
        <is>
          <t>20260115</t>
        </is>
      </c>
    </row>
    <row r="450">
      <c r="A450" t="inlineStr">
        <is>
          <t>900001810</t>
        </is>
      </c>
      <c r="B450" t="inlineStr">
        <is>
          <t>DW70</t>
        </is>
      </c>
      <c r="C450" t="inlineStr">
        <is>
          <t>D085</t>
        </is>
      </c>
      <c r="D450" t="inlineStr">
        <is>
          <t>10000357</t>
        </is>
      </c>
      <c r="E450" t="inlineStr"/>
      <c r="F450" s="11" t="n">
        <v>95.78</v>
      </c>
      <c r="G450" t="inlineStr"/>
      <c r="I450" t="inlineStr">
        <is>
          <t>TN</t>
        </is>
      </c>
      <c r="J450" t="inlineStr"/>
      <c r="K450" t="inlineStr">
        <is>
          <t>20260115</t>
        </is>
      </c>
      <c r="L450" t="inlineStr">
        <is>
          <t>20260115</t>
        </is>
      </c>
    </row>
    <row r="451">
      <c r="A451" t="inlineStr">
        <is>
          <t>900001810</t>
        </is>
      </c>
      <c r="B451" t="inlineStr">
        <is>
          <t>DW70</t>
        </is>
      </c>
      <c r="C451" t="inlineStr">
        <is>
          <t>D085</t>
        </is>
      </c>
      <c r="D451" t="inlineStr">
        <is>
          <t>10000627</t>
        </is>
      </c>
      <c r="E451" t="inlineStr"/>
      <c r="F451" s="11" t="n">
        <v>63.91</v>
      </c>
      <c r="G451" t="inlineStr"/>
      <c r="I451" t="inlineStr">
        <is>
          <t>TN</t>
        </is>
      </c>
      <c r="J451" t="inlineStr"/>
      <c r="K451" t="inlineStr">
        <is>
          <t>20260115</t>
        </is>
      </c>
      <c r="L451" t="inlineStr">
        <is>
          <t>99991231</t>
        </is>
      </c>
    </row>
    <row r="452">
      <c r="A452" t="inlineStr">
        <is>
          <t>900001810</t>
        </is>
      </c>
      <c r="B452" t="inlineStr">
        <is>
          <t>DW70</t>
        </is>
      </c>
      <c r="C452" t="inlineStr">
        <is>
          <t>D085</t>
        </is>
      </c>
      <c r="D452" t="inlineStr">
        <is>
          <t>10275116</t>
        </is>
      </c>
      <c r="E452" t="inlineStr"/>
      <c r="F452" s="11" t="n">
        <v>97.79000000000001</v>
      </c>
      <c r="G452" t="inlineStr"/>
      <c r="I452" t="inlineStr">
        <is>
          <t>TN</t>
        </is>
      </c>
      <c r="J452" t="inlineStr"/>
      <c r="K452" t="inlineStr">
        <is>
          <t>20260317</t>
        </is>
      </c>
      <c r="L452" t="inlineStr">
        <is>
          <t>99991231</t>
        </is>
      </c>
    </row>
    <row r="453">
      <c r="A453" t="inlineStr">
        <is>
          <t>900001810</t>
        </is>
      </c>
      <c r="B453" t="inlineStr">
        <is>
          <t>DW70</t>
        </is>
      </c>
      <c r="C453" t="inlineStr">
        <is>
          <t>D085</t>
        </is>
      </c>
      <c r="D453" t="inlineStr">
        <is>
          <t>10275118</t>
        </is>
      </c>
      <c r="E453" t="inlineStr"/>
      <c r="F453" s="11" t="n">
        <v>80.66</v>
      </c>
      <c r="G453" t="inlineStr"/>
      <c r="I453" t="inlineStr">
        <is>
          <t>TN</t>
        </is>
      </c>
      <c r="J453" t="inlineStr"/>
      <c r="K453" t="inlineStr">
        <is>
          <t>20260317</t>
        </is>
      </c>
      <c r="L453" t="inlineStr">
        <is>
          <t>99991231</t>
        </is>
      </c>
    </row>
    <row r="454">
      <c r="A454" t="inlineStr">
        <is>
          <t>900001810</t>
        </is>
      </c>
      <c r="B454" t="inlineStr">
        <is>
          <t>DW70</t>
        </is>
      </c>
      <c r="C454" t="inlineStr">
        <is>
          <t>D086</t>
        </is>
      </c>
      <c r="D454" t="inlineStr">
        <is>
          <t>10000160</t>
        </is>
      </c>
      <c r="E454" t="inlineStr"/>
      <c r="F454" s="11" t="n">
        <v>76.65000000000001</v>
      </c>
      <c r="G454" t="inlineStr"/>
      <c r="I454" t="inlineStr">
        <is>
          <t>TN</t>
        </is>
      </c>
      <c r="J454" t="inlineStr"/>
      <c r="K454" t="inlineStr">
        <is>
          <t>20260115</t>
        </is>
      </c>
      <c r="L454" t="inlineStr">
        <is>
          <t>20260115</t>
        </is>
      </c>
    </row>
    <row r="455">
      <c r="A455" t="inlineStr">
        <is>
          <t>900001810</t>
        </is>
      </c>
      <c r="B455" t="inlineStr">
        <is>
          <t>DW70</t>
        </is>
      </c>
      <c r="C455" t="inlineStr">
        <is>
          <t>D086</t>
        </is>
      </c>
      <c r="D455" t="inlineStr">
        <is>
          <t>10000357</t>
        </is>
      </c>
      <c r="E455" t="inlineStr"/>
      <c r="F455" s="11" t="n">
        <v>95.78</v>
      </c>
      <c r="G455" t="inlineStr"/>
      <c r="I455" t="inlineStr">
        <is>
          <t>TN</t>
        </is>
      </c>
      <c r="J455" t="inlineStr"/>
      <c r="K455" t="inlineStr">
        <is>
          <t>20260115</t>
        </is>
      </c>
      <c r="L455" t="inlineStr">
        <is>
          <t>20260115</t>
        </is>
      </c>
    </row>
    <row r="456">
      <c r="A456" t="inlineStr">
        <is>
          <t>900001810</t>
        </is>
      </c>
      <c r="B456" t="inlineStr">
        <is>
          <t>DW70</t>
        </is>
      </c>
      <c r="C456" t="inlineStr">
        <is>
          <t>D086</t>
        </is>
      </c>
      <c r="D456" t="inlineStr">
        <is>
          <t>10000627</t>
        </is>
      </c>
      <c r="E456" t="inlineStr"/>
      <c r="F456" s="11" t="n">
        <v>63.91</v>
      </c>
      <c r="G456" t="inlineStr"/>
      <c r="I456" t="inlineStr">
        <is>
          <t>TN</t>
        </is>
      </c>
      <c r="J456" t="inlineStr"/>
      <c r="K456" t="inlineStr">
        <is>
          <t>20260115</t>
        </is>
      </c>
      <c r="L456" t="inlineStr">
        <is>
          <t>99991231</t>
        </is>
      </c>
    </row>
    <row r="457">
      <c r="A457" t="inlineStr">
        <is>
          <t>900001810</t>
        </is>
      </c>
      <c r="B457" t="inlineStr">
        <is>
          <t>DW70</t>
        </is>
      </c>
      <c r="C457" t="inlineStr">
        <is>
          <t>D086</t>
        </is>
      </c>
      <c r="D457" t="inlineStr">
        <is>
          <t>10275116</t>
        </is>
      </c>
      <c r="E457" t="inlineStr"/>
      <c r="F457" s="11" t="n">
        <v>97.79000000000001</v>
      </c>
      <c r="G457" t="inlineStr"/>
      <c r="I457" t="inlineStr">
        <is>
          <t>TN</t>
        </is>
      </c>
      <c r="J457" t="inlineStr"/>
      <c r="K457" t="inlineStr">
        <is>
          <t>20260317</t>
        </is>
      </c>
      <c r="L457" t="inlineStr">
        <is>
          <t>99991231</t>
        </is>
      </c>
    </row>
    <row r="458">
      <c r="A458" t="inlineStr">
        <is>
          <t>900001810</t>
        </is>
      </c>
      <c r="B458" t="inlineStr">
        <is>
          <t>DW70</t>
        </is>
      </c>
      <c r="C458" t="inlineStr">
        <is>
          <t>D086</t>
        </is>
      </c>
      <c r="D458" t="inlineStr">
        <is>
          <t>10275118</t>
        </is>
      </c>
      <c r="E458" t="inlineStr"/>
      <c r="F458" s="11" t="n">
        <v>80.66</v>
      </c>
      <c r="G458" t="inlineStr"/>
      <c r="I458" t="inlineStr">
        <is>
          <t>TN</t>
        </is>
      </c>
      <c r="J458" t="inlineStr"/>
      <c r="K458" t="inlineStr">
        <is>
          <t>20260317</t>
        </is>
      </c>
      <c r="L458" t="inlineStr">
        <is>
          <t>99991231</t>
        </is>
      </c>
    </row>
    <row r="459">
      <c r="A459" t="inlineStr">
        <is>
          <t>900001810</t>
        </is>
      </c>
      <c r="B459" t="inlineStr">
        <is>
          <t>DW70</t>
        </is>
      </c>
      <c r="C459" t="inlineStr">
        <is>
          <t>D088</t>
        </is>
      </c>
      <c r="D459" t="inlineStr">
        <is>
          <t>10000160</t>
        </is>
      </c>
      <c r="E459" t="inlineStr"/>
      <c r="F459" s="11" t="n">
        <v>76.65000000000001</v>
      </c>
      <c r="G459" t="inlineStr"/>
      <c r="I459" t="inlineStr">
        <is>
          <t>TN</t>
        </is>
      </c>
      <c r="J459" t="inlineStr"/>
      <c r="K459" t="inlineStr">
        <is>
          <t>20250701</t>
        </is>
      </c>
      <c r="L459" t="inlineStr">
        <is>
          <t>20251031</t>
        </is>
      </c>
    </row>
    <row r="460">
      <c r="A460" t="inlineStr">
        <is>
          <t>900001810</t>
        </is>
      </c>
      <c r="B460" t="inlineStr">
        <is>
          <t>DW70</t>
        </is>
      </c>
      <c r="C460" t="inlineStr">
        <is>
          <t>D088</t>
        </is>
      </c>
      <c r="D460" t="inlineStr">
        <is>
          <t>10000357</t>
        </is>
      </c>
      <c r="E460" t="inlineStr"/>
      <c r="F460" s="11" t="n">
        <v>95.78</v>
      </c>
      <c r="G460" t="inlineStr"/>
      <c r="I460" t="inlineStr">
        <is>
          <t>TN</t>
        </is>
      </c>
      <c r="J460" t="inlineStr"/>
      <c r="K460" t="inlineStr">
        <is>
          <t>20250701</t>
        </is>
      </c>
      <c r="L460" t="inlineStr">
        <is>
          <t>20251031</t>
        </is>
      </c>
    </row>
    <row r="461">
      <c r="A461" t="inlineStr">
        <is>
          <t>900001810</t>
        </is>
      </c>
      <c r="B461" t="inlineStr">
        <is>
          <t>DW70</t>
        </is>
      </c>
      <c r="C461" t="inlineStr">
        <is>
          <t>D088</t>
        </is>
      </c>
      <c r="D461" t="inlineStr">
        <is>
          <t>10000627</t>
        </is>
      </c>
      <c r="E461" t="inlineStr"/>
      <c r="F461" s="11" t="n">
        <v>63.91</v>
      </c>
      <c r="G461" t="inlineStr"/>
      <c r="I461" t="inlineStr">
        <is>
          <t>TN</t>
        </is>
      </c>
      <c r="J461" t="inlineStr"/>
      <c r="K461" t="inlineStr">
        <is>
          <t>20250701</t>
        </is>
      </c>
      <c r="L461" t="inlineStr">
        <is>
          <t>20251031</t>
        </is>
      </c>
    </row>
    <row r="462">
      <c r="A462" t="inlineStr">
        <is>
          <t>900001810</t>
        </is>
      </c>
      <c r="B462" t="inlineStr">
        <is>
          <t>DW70</t>
        </is>
      </c>
      <c r="C462" t="inlineStr">
        <is>
          <t>D093</t>
        </is>
      </c>
      <c r="D462" t="inlineStr">
        <is>
          <t>10000160</t>
        </is>
      </c>
      <c r="E462" t="inlineStr"/>
      <c r="F462" s="11" t="n">
        <v>76.65000000000001</v>
      </c>
      <c r="G462" t="inlineStr"/>
      <c r="I462" t="inlineStr">
        <is>
          <t>TN</t>
        </is>
      </c>
      <c r="J462" t="inlineStr"/>
      <c r="K462" t="inlineStr">
        <is>
          <t>20260115</t>
        </is>
      </c>
      <c r="L462" t="inlineStr">
        <is>
          <t>20260115</t>
        </is>
      </c>
    </row>
    <row r="463">
      <c r="A463" t="inlineStr">
        <is>
          <t>900001810</t>
        </is>
      </c>
      <c r="B463" t="inlineStr">
        <is>
          <t>DW70</t>
        </is>
      </c>
      <c r="C463" t="inlineStr">
        <is>
          <t>D093</t>
        </is>
      </c>
      <c r="D463" t="inlineStr">
        <is>
          <t>10000357</t>
        </is>
      </c>
      <c r="E463" t="inlineStr"/>
      <c r="F463" s="11" t="n">
        <v>95.78</v>
      </c>
      <c r="G463" t="inlineStr"/>
      <c r="I463" t="inlineStr">
        <is>
          <t>TN</t>
        </is>
      </c>
      <c r="J463" t="inlineStr"/>
      <c r="K463" t="inlineStr">
        <is>
          <t>20260115</t>
        </is>
      </c>
      <c r="L463" t="inlineStr">
        <is>
          <t>20260115</t>
        </is>
      </c>
    </row>
    <row r="464">
      <c r="A464" t="inlineStr">
        <is>
          <t>900001810</t>
        </is>
      </c>
      <c r="B464" t="inlineStr">
        <is>
          <t>DW70</t>
        </is>
      </c>
      <c r="C464" t="inlineStr">
        <is>
          <t>D093</t>
        </is>
      </c>
      <c r="D464" t="inlineStr">
        <is>
          <t>10000627</t>
        </is>
      </c>
      <c r="E464" t="inlineStr"/>
      <c r="F464" s="11" t="n">
        <v>63.91</v>
      </c>
      <c r="G464" t="inlineStr"/>
      <c r="I464" t="inlineStr">
        <is>
          <t>TN</t>
        </is>
      </c>
      <c r="J464" t="inlineStr"/>
      <c r="K464" t="inlineStr">
        <is>
          <t>20260115</t>
        </is>
      </c>
      <c r="L464" t="inlineStr">
        <is>
          <t>99991231</t>
        </is>
      </c>
    </row>
    <row r="465">
      <c r="A465" t="inlineStr">
        <is>
          <t>900001810</t>
        </is>
      </c>
      <c r="B465" t="inlineStr">
        <is>
          <t>DW70</t>
        </is>
      </c>
      <c r="C465" t="inlineStr">
        <is>
          <t>D093</t>
        </is>
      </c>
      <c r="D465" t="inlineStr">
        <is>
          <t>10275116</t>
        </is>
      </c>
      <c r="E465" t="inlineStr"/>
      <c r="F465" s="11" t="n">
        <v>97.79000000000001</v>
      </c>
      <c r="G465" t="inlineStr"/>
      <c r="I465" t="inlineStr">
        <is>
          <t>TN</t>
        </is>
      </c>
      <c r="J465" t="inlineStr"/>
      <c r="K465" t="inlineStr">
        <is>
          <t>20260317</t>
        </is>
      </c>
      <c r="L465" t="inlineStr">
        <is>
          <t>99991231</t>
        </is>
      </c>
    </row>
    <row r="466">
      <c r="A466" t="inlineStr">
        <is>
          <t>900001810</t>
        </is>
      </c>
      <c r="B466" t="inlineStr">
        <is>
          <t>DW70</t>
        </is>
      </c>
      <c r="C466" t="inlineStr">
        <is>
          <t>D093</t>
        </is>
      </c>
      <c r="D466" t="inlineStr">
        <is>
          <t>10275118</t>
        </is>
      </c>
      <c r="E466" t="inlineStr"/>
      <c r="F466" s="11" t="n">
        <v>80.66</v>
      </c>
      <c r="G466" t="inlineStr"/>
      <c r="I466" t="inlineStr">
        <is>
          <t>TN</t>
        </is>
      </c>
      <c r="J466" t="inlineStr"/>
      <c r="K466" t="inlineStr">
        <is>
          <t>20260317</t>
        </is>
      </c>
      <c r="L466" t="inlineStr">
        <is>
          <t>99991231</t>
        </is>
      </c>
    </row>
    <row r="467">
      <c r="A467" t="inlineStr">
        <is>
          <t>900001810</t>
        </is>
      </c>
      <c r="B467" t="inlineStr">
        <is>
          <t>DW70</t>
        </is>
      </c>
      <c r="C467" t="inlineStr">
        <is>
          <t>D098</t>
        </is>
      </c>
      <c r="D467" t="inlineStr">
        <is>
          <t>10000160</t>
        </is>
      </c>
      <c r="E467" t="inlineStr"/>
      <c r="F467" s="11" t="n">
        <v>76.65000000000001</v>
      </c>
      <c r="G467" t="inlineStr"/>
      <c r="I467" t="inlineStr">
        <is>
          <t>TN</t>
        </is>
      </c>
      <c r="J467" t="inlineStr"/>
      <c r="K467" t="inlineStr">
        <is>
          <t>20260115</t>
        </is>
      </c>
      <c r="L467" t="inlineStr">
        <is>
          <t>20260115</t>
        </is>
      </c>
    </row>
    <row r="468">
      <c r="A468" t="inlineStr">
        <is>
          <t>900001810</t>
        </is>
      </c>
      <c r="B468" t="inlineStr">
        <is>
          <t>DW70</t>
        </is>
      </c>
      <c r="C468" t="inlineStr">
        <is>
          <t>D098</t>
        </is>
      </c>
      <c r="D468" t="inlineStr">
        <is>
          <t>10000357</t>
        </is>
      </c>
      <c r="E468" t="inlineStr"/>
      <c r="F468" s="11" t="n">
        <v>95.78</v>
      </c>
      <c r="G468" t="inlineStr"/>
      <c r="I468" t="inlineStr">
        <is>
          <t>TN</t>
        </is>
      </c>
      <c r="J468" t="inlineStr"/>
      <c r="K468" t="inlineStr">
        <is>
          <t>20260115</t>
        </is>
      </c>
      <c r="L468" t="inlineStr">
        <is>
          <t>20260115</t>
        </is>
      </c>
    </row>
    <row r="469">
      <c r="A469" t="inlineStr">
        <is>
          <t>900001810</t>
        </is>
      </c>
      <c r="B469" t="inlineStr">
        <is>
          <t>DW70</t>
        </is>
      </c>
      <c r="C469" t="inlineStr">
        <is>
          <t>D098</t>
        </is>
      </c>
      <c r="D469" t="inlineStr">
        <is>
          <t>10000627</t>
        </is>
      </c>
      <c r="E469" t="inlineStr"/>
      <c r="F469" s="11" t="n">
        <v>63.91</v>
      </c>
      <c r="G469" t="inlineStr"/>
      <c r="I469" t="inlineStr">
        <is>
          <t>TN</t>
        </is>
      </c>
      <c r="J469" t="inlineStr"/>
      <c r="K469" t="inlineStr">
        <is>
          <t>20260115</t>
        </is>
      </c>
      <c r="L469" t="inlineStr">
        <is>
          <t>99991231</t>
        </is>
      </c>
    </row>
    <row r="470">
      <c r="A470" t="inlineStr">
        <is>
          <t>900001810</t>
        </is>
      </c>
      <c r="B470" t="inlineStr">
        <is>
          <t>DW70</t>
        </is>
      </c>
      <c r="C470" t="inlineStr">
        <is>
          <t>D098</t>
        </is>
      </c>
      <c r="D470" t="inlineStr">
        <is>
          <t>10275116</t>
        </is>
      </c>
      <c r="E470" t="inlineStr"/>
      <c r="F470" s="11" t="n">
        <v>97.79000000000001</v>
      </c>
      <c r="G470" t="inlineStr"/>
      <c r="I470" t="inlineStr">
        <is>
          <t>TN</t>
        </is>
      </c>
      <c r="J470" t="inlineStr"/>
      <c r="K470" t="inlineStr">
        <is>
          <t>20260317</t>
        </is>
      </c>
      <c r="L470" t="inlineStr">
        <is>
          <t>99991231</t>
        </is>
      </c>
    </row>
    <row r="471">
      <c r="A471" t="inlineStr">
        <is>
          <t>900001810</t>
        </is>
      </c>
      <c r="B471" t="inlineStr">
        <is>
          <t>DW70</t>
        </is>
      </c>
      <c r="C471" t="inlineStr">
        <is>
          <t>D098</t>
        </is>
      </c>
      <c r="D471" t="inlineStr">
        <is>
          <t>10275118</t>
        </is>
      </c>
      <c r="E471" t="inlineStr"/>
      <c r="F471" s="11" t="n">
        <v>80.66</v>
      </c>
      <c r="G471" t="inlineStr"/>
      <c r="I471" t="inlineStr">
        <is>
          <t>TN</t>
        </is>
      </c>
      <c r="J471" t="inlineStr"/>
      <c r="K471" t="inlineStr">
        <is>
          <t>20260317</t>
        </is>
      </c>
      <c r="L471" t="inlineStr">
        <is>
          <t>99991231</t>
        </is>
      </c>
    </row>
    <row r="472">
      <c r="A472" t="inlineStr">
        <is>
          <t>900001810</t>
        </is>
      </c>
      <c r="B472" t="inlineStr">
        <is>
          <t>DW70</t>
        </is>
      </c>
      <c r="C472" t="inlineStr">
        <is>
          <t>D105</t>
        </is>
      </c>
      <c r="D472" t="inlineStr">
        <is>
          <t>10000160</t>
        </is>
      </c>
      <c r="E472" t="inlineStr"/>
      <c r="F472" s="11" t="n">
        <v>76.65000000000001</v>
      </c>
      <c r="G472" t="inlineStr"/>
      <c r="I472" t="inlineStr">
        <is>
          <t>TN</t>
        </is>
      </c>
      <c r="J472" t="inlineStr"/>
      <c r="K472" t="inlineStr">
        <is>
          <t>20260115</t>
        </is>
      </c>
      <c r="L472" t="inlineStr">
        <is>
          <t>20260115</t>
        </is>
      </c>
    </row>
    <row r="473">
      <c r="A473" t="inlineStr">
        <is>
          <t>900001810</t>
        </is>
      </c>
      <c r="B473" t="inlineStr">
        <is>
          <t>DW70</t>
        </is>
      </c>
      <c r="C473" t="inlineStr">
        <is>
          <t>D105</t>
        </is>
      </c>
      <c r="D473" t="inlineStr">
        <is>
          <t>10000357</t>
        </is>
      </c>
      <c r="E473" t="inlineStr"/>
      <c r="F473" s="11" t="n">
        <v>95.78</v>
      </c>
      <c r="G473" t="inlineStr"/>
      <c r="I473" t="inlineStr">
        <is>
          <t>TN</t>
        </is>
      </c>
      <c r="J473" t="inlineStr"/>
      <c r="K473" t="inlineStr">
        <is>
          <t>20260115</t>
        </is>
      </c>
      <c r="L473" t="inlineStr">
        <is>
          <t>20260115</t>
        </is>
      </c>
    </row>
    <row r="474">
      <c r="A474" t="inlineStr">
        <is>
          <t>900001810</t>
        </is>
      </c>
      <c r="B474" t="inlineStr">
        <is>
          <t>DW70</t>
        </is>
      </c>
      <c r="C474" t="inlineStr">
        <is>
          <t>D105</t>
        </is>
      </c>
      <c r="D474" t="inlineStr">
        <is>
          <t>10000627</t>
        </is>
      </c>
      <c r="E474" t="inlineStr"/>
      <c r="F474" s="11" t="n">
        <v>63.91</v>
      </c>
      <c r="G474" t="inlineStr"/>
      <c r="I474" t="inlineStr">
        <is>
          <t>TN</t>
        </is>
      </c>
      <c r="J474" t="inlineStr"/>
      <c r="K474" t="inlineStr">
        <is>
          <t>20260115</t>
        </is>
      </c>
      <c r="L474" t="inlineStr">
        <is>
          <t>99991231</t>
        </is>
      </c>
    </row>
    <row r="475">
      <c r="A475" t="inlineStr">
        <is>
          <t>900001810</t>
        </is>
      </c>
      <c r="B475" t="inlineStr">
        <is>
          <t>DW70</t>
        </is>
      </c>
      <c r="C475" t="inlineStr">
        <is>
          <t>D105</t>
        </is>
      </c>
      <c r="D475" t="inlineStr">
        <is>
          <t>10275116</t>
        </is>
      </c>
      <c r="E475" t="inlineStr"/>
      <c r="F475" s="11" t="n">
        <v>97.79000000000001</v>
      </c>
      <c r="G475" t="inlineStr"/>
      <c r="I475" t="inlineStr">
        <is>
          <t>TN</t>
        </is>
      </c>
      <c r="J475" t="inlineStr"/>
      <c r="K475" t="inlineStr">
        <is>
          <t>20260317</t>
        </is>
      </c>
      <c r="L475" t="inlineStr">
        <is>
          <t>99991231</t>
        </is>
      </c>
    </row>
    <row r="476">
      <c r="A476" t="inlineStr">
        <is>
          <t>900001810</t>
        </is>
      </c>
      <c r="B476" t="inlineStr">
        <is>
          <t>DW70</t>
        </is>
      </c>
      <c r="C476" t="inlineStr">
        <is>
          <t>D105</t>
        </is>
      </c>
      <c r="D476" t="inlineStr">
        <is>
          <t>10275118</t>
        </is>
      </c>
      <c r="E476" t="inlineStr"/>
      <c r="F476" s="11" t="n">
        <v>80.66</v>
      </c>
      <c r="G476" t="inlineStr"/>
      <c r="I476" t="inlineStr">
        <is>
          <t>TN</t>
        </is>
      </c>
      <c r="J476" t="inlineStr"/>
      <c r="K476" t="inlineStr">
        <is>
          <t>20260317</t>
        </is>
      </c>
      <c r="L476" t="inlineStr">
        <is>
          <t>99991231</t>
        </is>
      </c>
    </row>
    <row r="477">
      <c r="A477" t="inlineStr">
        <is>
          <t>900001810</t>
        </is>
      </c>
      <c r="B477" t="inlineStr">
        <is>
          <t>DW70</t>
        </is>
      </c>
      <c r="C477" t="inlineStr">
        <is>
          <t>D136</t>
        </is>
      </c>
      <c r="D477" t="inlineStr">
        <is>
          <t>10000160</t>
        </is>
      </c>
      <c r="E477" t="inlineStr"/>
      <c r="F477" s="11" t="n">
        <v>76.65000000000001</v>
      </c>
      <c r="G477" t="inlineStr"/>
      <c r="I477" t="inlineStr">
        <is>
          <t>TN</t>
        </is>
      </c>
      <c r="J477" t="inlineStr"/>
      <c r="K477" t="inlineStr">
        <is>
          <t>20260115</t>
        </is>
      </c>
      <c r="L477" t="inlineStr">
        <is>
          <t>20260115</t>
        </is>
      </c>
    </row>
    <row r="478">
      <c r="A478" t="inlineStr">
        <is>
          <t>900001810</t>
        </is>
      </c>
      <c r="B478" t="inlineStr">
        <is>
          <t>DW70</t>
        </is>
      </c>
      <c r="C478" t="inlineStr">
        <is>
          <t>D136</t>
        </is>
      </c>
      <c r="D478" t="inlineStr">
        <is>
          <t>10000357</t>
        </is>
      </c>
      <c r="E478" t="inlineStr"/>
      <c r="F478" s="11" t="n">
        <v>95.78</v>
      </c>
      <c r="G478" t="inlineStr"/>
      <c r="I478" t="inlineStr">
        <is>
          <t>TN</t>
        </is>
      </c>
      <c r="J478" t="inlineStr"/>
      <c r="K478" t="inlineStr">
        <is>
          <t>20260115</t>
        </is>
      </c>
      <c r="L478" t="inlineStr">
        <is>
          <t>20260115</t>
        </is>
      </c>
    </row>
    <row r="479">
      <c r="A479" t="inlineStr">
        <is>
          <t>900001810</t>
        </is>
      </c>
      <c r="B479" t="inlineStr">
        <is>
          <t>DW70</t>
        </is>
      </c>
      <c r="C479" t="inlineStr">
        <is>
          <t>D136</t>
        </is>
      </c>
      <c r="D479" t="inlineStr">
        <is>
          <t>10000627</t>
        </is>
      </c>
      <c r="E479" t="inlineStr"/>
      <c r="F479" s="11" t="n">
        <v>63.91</v>
      </c>
      <c r="G479" t="inlineStr"/>
      <c r="I479" t="inlineStr">
        <is>
          <t>TN</t>
        </is>
      </c>
      <c r="J479" t="inlineStr"/>
      <c r="K479" t="inlineStr">
        <is>
          <t>20260115</t>
        </is>
      </c>
      <c r="L479" t="inlineStr">
        <is>
          <t>99991231</t>
        </is>
      </c>
    </row>
    <row r="480">
      <c r="A480" t="inlineStr">
        <is>
          <t>900001810</t>
        </is>
      </c>
      <c r="B480" t="inlineStr">
        <is>
          <t>DW70</t>
        </is>
      </c>
      <c r="C480" t="inlineStr">
        <is>
          <t>D136</t>
        </is>
      </c>
      <c r="D480" t="inlineStr">
        <is>
          <t>10275116</t>
        </is>
      </c>
      <c r="E480" t="inlineStr"/>
      <c r="F480" s="11" t="n">
        <v>97.79000000000001</v>
      </c>
      <c r="G480" t="inlineStr"/>
      <c r="I480" t="inlineStr">
        <is>
          <t>TN</t>
        </is>
      </c>
      <c r="J480" t="inlineStr"/>
      <c r="K480" t="inlineStr">
        <is>
          <t>20260317</t>
        </is>
      </c>
      <c r="L480" t="inlineStr">
        <is>
          <t>99991231</t>
        </is>
      </c>
    </row>
    <row r="481">
      <c r="A481" t="inlineStr">
        <is>
          <t>900001810</t>
        </is>
      </c>
      <c r="B481" t="inlineStr">
        <is>
          <t>DW70</t>
        </is>
      </c>
      <c r="C481" t="inlineStr">
        <is>
          <t>D136</t>
        </is>
      </c>
      <c r="D481" t="inlineStr">
        <is>
          <t>10275118</t>
        </is>
      </c>
      <c r="E481" t="inlineStr"/>
      <c r="F481" s="11" t="n">
        <v>80.66</v>
      </c>
      <c r="G481" t="inlineStr"/>
      <c r="I481" t="inlineStr">
        <is>
          <t>TN</t>
        </is>
      </c>
      <c r="J481" t="inlineStr"/>
      <c r="K481" t="inlineStr">
        <is>
          <t>20260317</t>
        </is>
      </c>
      <c r="L481" t="inlineStr">
        <is>
          <t>99991231</t>
        </is>
      </c>
    </row>
    <row r="482">
      <c r="A482" t="inlineStr">
        <is>
          <t>900001810</t>
        </is>
      </c>
      <c r="B482" t="inlineStr">
        <is>
          <t>DW70</t>
        </is>
      </c>
      <c r="C482" t="inlineStr">
        <is>
          <t>D145</t>
        </is>
      </c>
      <c r="D482" t="inlineStr">
        <is>
          <t>10000160</t>
        </is>
      </c>
      <c r="E482" t="inlineStr"/>
      <c r="F482" s="11" t="n">
        <v>76.65000000000001</v>
      </c>
      <c r="G482" t="inlineStr"/>
      <c r="I482" t="inlineStr">
        <is>
          <t>TN</t>
        </is>
      </c>
      <c r="J482" t="inlineStr"/>
      <c r="K482" t="inlineStr">
        <is>
          <t>20260115</t>
        </is>
      </c>
      <c r="L482" t="inlineStr">
        <is>
          <t>20260115</t>
        </is>
      </c>
    </row>
    <row r="483">
      <c r="A483" t="inlineStr">
        <is>
          <t>900001810</t>
        </is>
      </c>
      <c r="B483" t="inlineStr">
        <is>
          <t>DW70</t>
        </is>
      </c>
      <c r="C483" t="inlineStr">
        <is>
          <t>D145</t>
        </is>
      </c>
      <c r="D483" t="inlineStr">
        <is>
          <t>10000357</t>
        </is>
      </c>
      <c r="E483" t="inlineStr"/>
      <c r="F483" s="11" t="n">
        <v>95.78</v>
      </c>
      <c r="G483" t="inlineStr"/>
      <c r="I483" t="inlineStr">
        <is>
          <t>TN</t>
        </is>
      </c>
      <c r="J483" t="inlineStr"/>
      <c r="K483" t="inlineStr">
        <is>
          <t>20260115</t>
        </is>
      </c>
      <c r="L483" t="inlineStr">
        <is>
          <t>20260115</t>
        </is>
      </c>
    </row>
    <row r="484">
      <c r="A484" t="inlineStr">
        <is>
          <t>900001810</t>
        </is>
      </c>
      <c r="B484" t="inlineStr">
        <is>
          <t>DW70</t>
        </is>
      </c>
      <c r="C484" t="inlineStr">
        <is>
          <t>D145</t>
        </is>
      </c>
      <c r="D484" t="inlineStr">
        <is>
          <t>10000627</t>
        </is>
      </c>
      <c r="E484" t="inlineStr"/>
      <c r="F484" s="11" t="n">
        <v>63.91</v>
      </c>
      <c r="G484" t="inlineStr"/>
      <c r="I484" t="inlineStr">
        <is>
          <t>TN</t>
        </is>
      </c>
      <c r="J484" t="inlineStr"/>
      <c r="K484" t="inlineStr">
        <is>
          <t>20260115</t>
        </is>
      </c>
      <c r="L484" t="inlineStr">
        <is>
          <t>99991231</t>
        </is>
      </c>
    </row>
    <row r="485">
      <c r="A485" t="inlineStr">
        <is>
          <t>900001810</t>
        </is>
      </c>
      <c r="B485" t="inlineStr">
        <is>
          <t>DW70</t>
        </is>
      </c>
      <c r="C485" t="inlineStr">
        <is>
          <t>D145</t>
        </is>
      </c>
      <c r="D485" t="inlineStr">
        <is>
          <t>10275116</t>
        </is>
      </c>
      <c r="E485" t="inlineStr"/>
      <c r="F485" s="11" t="n">
        <v>97.79000000000001</v>
      </c>
      <c r="G485" t="inlineStr"/>
      <c r="I485" t="inlineStr">
        <is>
          <t>TN</t>
        </is>
      </c>
      <c r="J485" t="inlineStr"/>
      <c r="K485" t="inlineStr">
        <is>
          <t>20260317</t>
        </is>
      </c>
      <c r="L485" t="inlineStr">
        <is>
          <t>99991231</t>
        </is>
      </c>
    </row>
    <row r="486">
      <c r="A486" t="inlineStr">
        <is>
          <t>900001810</t>
        </is>
      </c>
      <c r="B486" t="inlineStr">
        <is>
          <t>DW70</t>
        </is>
      </c>
      <c r="C486" t="inlineStr">
        <is>
          <t>D145</t>
        </is>
      </c>
      <c r="D486" t="inlineStr">
        <is>
          <t>10275118</t>
        </is>
      </c>
      <c r="E486" t="inlineStr"/>
      <c r="F486" s="11" t="n">
        <v>80.66</v>
      </c>
      <c r="G486" t="inlineStr"/>
      <c r="I486" t="inlineStr">
        <is>
          <t>TN</t>
        </is>
      </c>
      <c r="J486" t="inlineStr"/>
      <c r="K486" t="inlineStr">
        <is>
          <t>20260317</t>
        </is>
      </c>
      <c r="L486" t="inlineStr">
        <is>
          <t>99991231</t>
        </is>
      </c>
    </row>
    <row r="487">
      <c r="A487" t="inlineStr">
        <is>
          <t>900001810</t>
        </is>
      </c>
      <c r="B487" t="inlineStr">
        <is>
          <t>DW70</t>
        </is>
      </c>
      <c r="C487" t="inlineStr">
        <is>
          <t>ENDC</t>
        </is>
      </c>
      <c r="D487" t="inlineStr">
        <is>
          <t>10000160</t>
        </is>
      </c>
      <c r="E487" t="inlineStr"/>
      <c r="F487" s="11" t="n">
        <v>223.56</v>
      </c>
      <c r="G487" t="inlineStr"/>
      <c r="I487" t="inlineStr">
        <is>
          <t>TN</t>
        </is>
      </c>
      <c r="J487" t="inlineStr"/>
      <c r="K487" t="inlineStr">
        <is>
          <t>20250701</t>
        </is>
      </c>
      <c r="L487" t="inlineStr">
        <is>
          <t>20251031</t>
        </is>
      </c>
    </row>
    <row r="488">
      <c r="A488" t="inlineStr">
        <is>
          <t>900001810</t>
        </is>
      </c>
      <c r="B488" t="inlineStr">
        <is>
          <t>DW70</t>
        </is>
      </c>
      <c r="C488" t="inlineStr">
        <is>
          <t>ENDC</t>
        </is>
      </c>
      <c r="D488" t="inlineStr">
        <is>
          <t>10000206</t>
        </is>
      </c>
      <c r="E488" t="inlineStr"/>
      <c r="F488" s="11" t="n">
        <v>168.13</v>
      </c>
      <c r="G488" t="inlineStr"/>
      <c r="I488" t="inlineStr">
        <is>
          <t>TN</t>
        </is>
      </c>
      <c r="J488" t="inlineStr"/>
      <c r="K488" t="inlineStr">
        <is>
          <t>20250701</t>
        </is>
      </c>
      <c r="L488" t="inlineStr">
        <is>
          <t>20251031</t>
        </is>
      </c>
    </row>
    <row r="489">
      <c r="A489" t="inlineStr">
        <is>
          <t>900001810</t>
        </is>
      </c>
      <c r="B489" t="inlineStr">
        <is>
          <t>DW70</t>
        </is>
      </c>
      <c r="C489" t="inlineStr">
        <is>
          <t>ENDC</t>
        </is>
      </c>
      <c r="D489" t="inlineStr">
        <is>
          <t>10175723</t>
        </is>
      </c>
      <c r="E489" t="inlineStr"/>
      <c r="F489" s="11" t="n">
        <v>106.06</v>
      </c>
      <c r="G489" t="inlineStr"/>
      <c r="I489" t="inlineStr">
        <is>
          <t>TN</t>
        </is>
      </c>
      <c r="J489" t="inlineStr"/>
      <c r="K489" t="inlineStr">
        <is>
          <t>20260113</t>
        </is>
      </c>
      <c r="L489" t="inlineStr">
        <is>
          <t>99991231</t>
        </is>
      </c>
    </row>
    <row r="490">
      <c r="A490" t="inlineStr">
        <is>
          <t>900001810</t>
        </is>
      </c>
      <c r="B490" t="inlineStr">
        <is>
          <t>DW70</t>
        </is>
      </c>
      <c r="C490" t="inlineStr">
        <is>
          <t>ENXF</t>
        </is>
      </c>
      <c r="D490" t="inlineStr">
        <is>
          <t>10175723</t>
        </is>
      </c>
      <c r="E490" t="inlineStr"/>
      <c r="F490" s="11" t="n">
        <v>106.06</v>
      </c>
      <c r="G490" t="inlineStr"/>
      <c r="I490" t="inlineStr">
        <is>
          <t>TN</t>
        </is>
      </c>
      <c r="J490" t="inlineStr"/>
      <c r="K490" t="inlineStr">
        <is>
          <t>20260113</t>
        </is>
      </c>
      <c r="L490" t="inlineStr">
        <is>
          <t>99991231</t>
        </is>
      </c>
    </row>
    <row r="491">
      <c r="A491" t="inlineStr">
        <is>
          <t>900002366</t>
        </is>
      </c>
      <c r="B491" t="inlineStr">
        <is>
          <t>DW70</t>
        </is>
      </c>
      <c r="C491" t="inlineStr">
        <is>
          <t>D074</t>
        </is>
      </c>
      <c r="D491" t="inlineStr">
        <is>
          <t>10035042</t>
        </is>
      </c>
      <c r="E491" t="inlineStr"/>
      <c r="F491" s="11" t="n">
        <v>80.83</v>
      </c>
      <c r="G491" t="inlineStr"/>
      <c r="I491" t="inlineStr">
        <is>
          <t>TN</t>
        </is>
      </c>
      <c r="J491" t="inlineStr"/>
      <c r="K491" t="inlineStr">
        <is>
          <t>20230501</t>
        </is>
      </c>
      <c r="L491" t="inlineStr">
        <is>
          <t>20250131</t>
        </is>
      </c>
    </row>
    <row r="492">
      <c r="A492" t="inlineStr">
        <is>
          <t>900002366</t>
        </is>
      </c>
      <c r="B492" t="inlineStr">
        <is>
          <t>DW70</t>
        </is>
      </c>
      <c r="C492" t="inlineStr">
        <is>
          <t>D081</t>
        </is>
      </c>
      <c r="D492" t="inlineStr">
        <is>
          <t>10035042</t>
        </is>
      </c>
      <c r="E492" t="inlineStr"/>
      <c r="F492" s="11" t="n">
        <v>80.83</v>
      </c>
      <c r="G492" t="inlineStr"/>
      <c r="I492" t="inlineStr">
        <is>
          <t>TN</t>
        </is>
      </c>
      <c r="J492" t="inlineStr"/>
      <c r="K492" t="inlineStr">
        <is>
          <t>20230501</t>
        </is>
      </c>
      <c r="L492" t="inlineStr">
        <is>
          <t>20250131</t>
        </is>
      </c>
    </row>
    <row r="493">
      <c r="A493" t="inlineStr">
        <is>
          <t>900002366</t>
        </is>
      </c>
      <c r="B493" t="inlineStr">
        <is>
          <t>DW70</t>
        </is>
      </c>
      <c r="C493" t="inlineStr">
        <is>
          <t>D083</t>
        </is>
      </c>
      <c r="D493" t="inlineStr">
        <is>
          <t>10035042</t>
        </is>
      </c>
      <c r="E493" t="inlineStr"/>
      <c r="F493" s="11" t="n">
        <v>80.83</v>
      </c>
      <c r="G493" t="inlineStr"/>
      <c r="I493" t="inlineStr">
        <is>
          <t>TN</t>
        </is>
      </c>
      <c r="J493" t="inlineStr"/>
      <c r="K493" t="inlineStr">
        <is>
          <t>20230501</t>
        </is>
      </c>
      <c r="L493" t="inlineStr">
        <is>
          <t>20250131</t>
        </is>
      </c>
    </row>
    <row r="494">
      <c r="A494" t="inlineStr">
        <is>
          <t>900002366</t>
        </is>
      </c>
      <c r="B494" t="inlineStr">
        <is>
          <t>DW70</t>
        </is>
      </c>
      <c r="C494" t="inlineStr">
        <is>
          <t>D105</t>
        </is>
      </c>
      <c r="D494" t="inlineStr">
        <is>
          <t>10035042</t>
        </is>
      </c>
      <c r="E494" t="inlineStr"/>
      <c r="F494" s="11" t="n">
        <v>80.83</v>
      </c>
      <c r="G494" t="inlineStr"/>
      <c r="I494" t="inlineStr">
        <is>
          <t>TN</t>
        </is>
      </c>
      <c r="J494" t="inlineStr"/>
      <c r="K494" t="inlineStr">
        <is>
          <t>20230501</t>
        </is>
      </c>
      <c r="L494" t="inlineStr">
        <is>
          <t>20250131</t>
        </is>
      </c>
    </row>
    <row r="495">
      <c r="A495" t="inlineStr">
        <is>
          <t>900002366</t>
        </is>
      </c>
      <c r="B495" t="inlineStr">
        <is>
          <t>DW70</t>
        </is>
      </c>
      <c r="C495" t="inlineStr">
        <is>
          <t>D136</t>
        </is>
      </c>
      <c r="D495" t="inlineStr">
        <is>
          <t>10035042</t>
        </is>
      </c>
      <c r="E495" t="inlineStr"/>
      <c r="F495" s="11" t="n">
        <v>80.83</v>
      </c>
      <c r="G495" t="inlineStr"/>
      <c r="I495" t="inlineStr">
        <is>
          <t>TN</t>
        </is>
      </c>
      <c r="J495" t="inlineStr"/>
      <c r="K495" t="inlineStr">
        <is>
          <t>20230501</t>
        </is>
      </c>
      <c r="L495" t="inlineStr">
        <is>
          <t>20250131</t>
        </is>
      </c>
    </row>
    <row r="496">
      <c r="A496" t="inlineStr">
        <is>
          <t>900002813</t>
        </is>
      </c>
      <c r="B496" t="inlineStr">
        <is>
          <t>DW70</t>
        </is>
      </c>
      <c r="C496" t="inlineStr">
        <is>
          <t>D074</t>
        </is>
      </c>
      <c r="D496" t="inlineStr">
        <is>
          <t>10000133</t>
        </is>
      </c>
      <c r="E496" t="inlineStr"/>
      <c r="F496" s="11" t="n">
        <v>100</v>
      </c>
      <c r="G496" t="inlineStr"/>
      <c r="I496" t="inlineStr">
        <is>
          <t>TN</t>
        </is>
      </c>
      <c r="J496" t="inlineStr"/>
      <c r="K496" t="inlineStr">
        <is>
          <t>20260330</t>
        </is>
      </c>
      <c r="L496" t="inlineStr">
        <is>
          <t>99991231</t>
        </is>
      </c>
    </row>
    <row r="497">
      <c r="A497" t="inlineStr">
        <is>
          <t>900002813</t>
        </is>
      </c>
      <c r="B497" t="inlineStr">
        <is>
          <t>DW70</t>
        </is>
      </c>
      <c r="C497" t="inlineStr">
        <is>
          <t>D074</t>
        </is>
      </c>
      <c r="D497" t="inlineStr">
        <is>
          <t>10000623</t>
        </is>
      </c>
      <c r="E497" t="inlineStr"/>
      <c r="F497" s="11" t="n">
        <v>110</v>
      </c>
      <c r="G497" t="inlineStr"/>
      <c r="I497" t="inlineStr">
        <is>
          <t>TN</t>
        </is>
      </c>
      <c r="J497" t="inlineStr"/>
      <c r="K497" t="inlineStr">
        <is>
          <t>20260330</t>
        </is>
      </c>
      <c r="L497" t="inlineStr">
        <is>
          <t>99991231</t>
        </is>
      </c>
    </row>
    <row r="498">
      <c r="A498" t="inlineStr">
        <is>
          <t>900002813</t>
        </is>
      </c>
      <c r="B498" t="inlineStr">
        <is>
          <t>DW70</t>
        </is>
      </c>
      <c r="C498" t="inlineStr">
        <is>
          <t>D074</t>
        </is>
      </c>
      <c r="D498" t="inlineStr">
        <is>
          <t>10000630</t>
        </is>
      </c>
      <c r="E498" t="inlineStr"/>
      <c r="F498" s="11" t="n">
        <v>98.42</v>
      </c>
      <c r="G498" t="inlineStr"/>
      <c r="I498" t="inlineStr">
        <is>
          <t>TN</t>
        </is>
      </c>
      <c r="J498" t="inlineStr"/>
      <c r="K498" t="inlineStr">
        <is>
          <t>20230501</t>
        </is>
      </c>
      <c r="L498" t="inlineStr">
        <is>
          <t>20250131</t>
        </is>
      </c>
    </row>
    <row r="499">
      <c r="A499" t="inlineStr">
        <is>
          <t>900002813</t>
        </is>
      </c>
      <c r="B499" t="inlineStr">
        <is>
          <t>DW70</t>
        </is>
      </c>
      <c r="C499" t="inlineStr">
        <is>
          <t>D074</t>
        </is>
      </c>
      <c r="D499" t="inlineStr">
        <is>
          <t>10000722</t>
        </is>
      </c>
      <c r="E499" t="inlineStr"/>
      <c r="F499" s="11" t="n">
        <v>98.43000000000001</v>
      </c>
      <c r="G499" t="inlineStr"/>
      <c r="I499" t="inlineStr">
        <is>
          <t>TN</t>
        </is>
      </c>
      <c r="J499" t="inlineStr"/>
      <c r="K499" t="inlineStr">
        <is>
          <t>20230501</t>
        </is>
      </c>
      <c r="L499" t="inlineStr">
        <is>
          <t>20250131</t>
        </is>
      </c>
    </row>
    <row r="500">
      <c r="A500" t="inlineStr">
        <is>
          <t>900002813</t>
        </is>
      </c>
      <c r="B500" t="inlineStr">
        <is>
          <t>DW70</t>
        </is>
      </c>
      <c r="C500" t="inlineStr">
        <is>
          <t>D074</t>
        </is>
      </c>
      <c r="D500" t="inlineStr">
        <is>
          <t>10257024</t>
        </is>
      </c>
      <c r="E500" t="inlineStr"/>
      <c r="F500" s="11" t="n">
        <v>115</v>
      </c>
      <c r="G500" t="inlineStr"/>
      <c r="I500" t="inlineStr">
        <is>
          <t>TN</t>
        </is>
      </c>
      <c r="J500" t="inlineStr"/>
      <c r="K500" t="inlineStr">
        <is>
          <t>20260330</t>
        </is>
      </c>
      <c r="L500" t="inlineStr">
        <is>
          <t>99991231</t>
        </is>
      </c>
    </row>
    <row r="501">
      <c r="A501" t="inlineStr">
        <is>
          <t>900002813</t>
        </is>
      </c>
      <c r="B501" t="inlineStr">
        <is>
          <t>DW70</t>
        </is>
      </c>
      <c r="C501" t="inlineStr">
        <is>
          <t>D075</t>
        </is>
      </c>
      <c r="D501" t="inlineStr">
        <is>
          <t>10000133</t>
        </is>
      </c>
      <c r="E501" t="inlineStr"/>
      <c r="F501" s="11" t="n">
        <v>100</v>
      </c>
      <c r="G501" t="inlineStr"/>
      <c r="I501" t="inlineStr">
        <is>
          <t>TN</t>
        </is>
      </c>
      <c r="J501" t="inlineStr"/>
      <c r="K501" t="inlineStr">
        <is>
          <t>20260330</t>
        </is>
      </c>
      <c r="L501" t="inlineStr">
        <is>
          <t>99991231</t>
        </is>
      </c>
    </row>
    <row r="502">
      <c r="A502" t="inlineStr">
        <is>
          <t>900002813</t>
        </is>
      </c>
      <c r="B502" t="inlineStr">
        <is>
          <t>DW70</t>
        </is>
      </c>
      <c r="C502" t="inlineStr">
        <is>
          <t>D075</t>
        </is>
      </c>
      <c r="D502" t="inlineStr">
        <is>
          <t>10000623</t>
        </is>
      </c>
      <c r="E502" t="inlineStr"/>
      <c r="F502" s="11" t="n">
        <v>110</v>
      </c>
      <c r="G502" t="inlineStr"/>
      <c r="I502" t="inlineStr">
        <is>
          <t>TN</t>
        </is>
      </c>
      <c r="J502" t="inlineStr"/>
      <c r="K502" t="inlineStr">
        <is>
          <t>20260330</t>
        </is>
      </c>
      <c r="L502" t="inlineStr">
        <is>
          <t>99991231</t>
        </is>
      </c>
    </row>
    <row r="503">
      <c r="A503" t="inlineStr">
        <is>
          <t>900002813</t>
        </is>
      </c>
      <c r="B503" t="inlineStr">
        <is>
          <t>DW70</t>
        </is>
      </c>
      <c r="C503" t="inlineStr">
        <is>
          <t>D075</t>
        </is>
      </c>
      <c r="D503" t="inlineStr">
        <is>
          <t>10000630</t>
        </is>
      </c>
      <c r="E503" t="inlineStr"/>
      <c r="F503" s="11" t="n">
        <v>98.42</v>
      </c>
      <c r="G503" t="inlineStr"/>
      <c r="I503" t="inlineStr">
        <is>
          <t>TN</t>
        </is>
      </c>
      <c r="J503" t="inlineStr"/>
      <c r="K503" t="inlineStr">
        <is>
          <t>20230501</t>
        </is>
      </c>
      <c r="L503" t="inlineStr">
        <is>
          <t>20250131</t>
        </is>
      </c>
    </row>
    <row r="504">
      <c r="A504" t="inlineStr">
        <is>
          <t>900002813</t>
        </is>
      </c>
      <c r="B504" t="inlineStr">
        <is>
          <t>DW70</t>
        </is>
      </c>
      <c r="C504" t="inlineStr">
        <is>
          <t>D075</t>
        </is>
      </c>
      <c r="D504" t="inlineStr">
        <is>
          <t>10000722</t>
        </is>
      </c>
      <c r="E504" t="inlineStr"/>
      <c r="F504" s="11" t="n">
        <v>98.43000000000001</v>
      </c>
      <c r="G504" t="inlineStr"/>
      <c r="I504" t="inlineStr">
        <is>
          <t>TN</t>
        </is>
      </c>
      <c r="J504" t="inlineStr"/>
      <c r="K504" t="inlineStr">
        <is>
          <t>20230501</t>
        </is>
      </c>
      <c r="L504" t="inlineStr">
        <is>
          <t>20250131</t>
        </is>
      </c>
    </row>
    <row r="505">
      <c r="A505" t="inlineStr">
        <is>
          <t>900002813</t>
        </is>
      </c>
      <c r="B505" t="inlineStr">
        <is>
          <t>DW70</t>
        </is>
      </c>
      <c r="C505" t="inlineStr">
        <is>
          <t>D075</t>
        </is>
      </c>
      <c r="D505" t="inlineStr">
        <is>
          <t>10257024</t>
        </is>
      </c>
      <c r="E505" t="inlineStr"/>
      <c r="F505" s="11" t="n">
        <v>115</v>
      </c>
      <c r="G505" t="inlineStr"/>
      <c r="I505" t="inlineStr">
        <is>
          <t>TN</t>
        </is>
      </c>
      <c r="J505" t="inlineStr"/>
      <c r="K505" t="inlineStr">
        <is>
          <t>20260330</t>
        </is>
      </c>
      <c r="L505" t="inlineStr">
        <is>
          <t>99991231</t>
        </is>
      </c>
    </row>
    <row r="506">
      <c r="A506" t="inlineStr">
        <is>
          <t>900002813</t>
        </is>
      </c>
      <c r="B506" t="inlineStr">
        <is>
          <t>DW70</t>
        </is>
      </c>
      <c r="C506" t="inlineStr">
        <is>
          <t>D077</t>
        </is>
      </c>
      <c r="D506" t="inlineStr">
        <is>
          <t>10000133</t>
        </is>
      </c>
      <c r="E506" t="inlineStr"/>
      <c r="F506" s="11" t="n">
        <v>100</v>
      </c>
      <c r="G506" t="inlineStr"/>
      <c r="I506" t="inlineStr">
        <is>
          <t>TN</t>
        </is>
      </c>
      <c r="J506" t="inlineStr"/>
      <c r="K506" t="inlineStr">
        <is>
          <t>20260330</t>
        </is>
      </c>
      <c r="L506" t="inlineStr">
        <is>
          <t>99991231</t>
        </is>
      </c>
    </row>
    <row r="507">
      <c r="A507" t="inlineStr">
        <is>
          <t>900002813</t>
        </is>
      </c>
      <c r="B507" t="inlineStr">
        <is>
          <t>DW70</t>
        </is>
      </c>
      <c r="C507" t="inlineStr">
        <is>
          <t>D077</t>
        </is>
      </c>
      <c r="D507" t="inlineStr">
        <is>
          <t>10000623</t>
        </is>
      </c>
      <c r="E507" t="inlineStr"/>
      <c r="F507" s="11" t="n">
        <v>110</v>
      </c>
      <c r="G507" t="inlineStr"/>
      <c r="I507" t="inlineStr">
        <is>
          <t>TN</t>
        </is>
      </c>
      <c r="J507" t="inlineStr"/>
      <c r="K507" t="inlineStr">
        <is>
          <t>20260330</t>
        </is>
      </c>
      <c r="L507" t="inlineStr">
        <is>
          <t>99991231</t>
        </is>
      </c>
    </row>
    <row r="508">
      <c r="A508" t="inlineStr">
        <is>
          <t>900002813</t>
        </is>
      </c>
      <c r="B508" t="inlineStr">
        <is>
          <t>DW70</t>
        </is>
      </c>
      <c r="C508" t="inlineStr">
        <is>
          <t>D077</t>
        </is>
      </c>
      <c r="D508" t="inlineStr">
        <is>
          <t>10000630</t>
        </is>
      </c>
      <c r="E508" t="inlineStr"/>
      <c r="F508" s="11" t="n">
        <v>98.42</v>
      </c>
      <c r="G508" t="inlineStr"/>
      <c r="I508" t="inlineStr">
        <is>
          <t>TN</t>
        </is>
      </c>
      <c r="J508" t="inlineStr"/>
      <c r="K508" t="inlineStr">
        <is>
          <t>20230501</t>
        </is>
      </c>
      <c r="L508" t="inlineStr">
        <is>
          <t>20250131</t>
        </is>
      </c>
    </row>
    <row r="509">
      <c r="A509" t="inlineStr">
        <is>
          <t>900002813</t>
        </is>
      </c>
      <c r="B509" t="inlineStr">
        <is>
          <t>DW70</t>
        </is>
      </c>
      <c r="C509" t="inlineStr">
        <is>
          <t>D077</t>
        </is>
      </c>
      <c r="D509" t="inlineStr">
        <is>
          <t>10000722</t>
        </is>
      </c>
      <c r="E509" t="inlineStr"/>
      <c r="F509" s="11" t="n">
        <v>98.43000000000001</v>
      </c>
      <c r="G509" t="inlineStr"/>
      <c r="I509" t="inlineStr">
        <is>
          <t>TN</t>
        </is>
      </c>
      <c r="J509" t="inlineStr"/>
      <c r="K509" t="inlineStr">
        <is>
          <t>20230501</t>
        </is>
      </c>
      <c r="L509" t="inlineStr">
        <is>
          <t>20250131</t>
        </is>
      </c>
    </row>
    <row r="510">
      <c r="A510" t="inlineStr">
        <is>
          <t>900002813</t>
        </is>
      </c>
      <c r="B510" t="inlineStr">
        <is>
          <t>DW70</t>
        </is>
      </c>
      <c r="C510" t="inlineStr">
        <is>
          <t>D077</t>
        </is>
      </c>
      <c r="D510" t="inlineStr">
        <is>
          <t>10257024</t>
        </is>
      </c>
      <c r="E510" t="inlineStr"/>
      <c r="F510" s="11" t="n">
        <v>115</v>
      </c>
      <c r="G510" t="inlineStr"/>
      <c r="I510" t="inlineStr">
        <is>
          <t>TN</t>
        </is>
      </c>
      <c r="J510" t="inlineStr"/>
      <c r="K510" t="inlineStr">
        <is>
          <t>20260330</t>
        </is>
      </c>
      <c r="L510" t="inlineStr">
        <is>
          <t>99991231</t>
        </is>
      </c>
    </row>
    <row r="511">
      <c r="A511" t="inlineStr">
        <is>
          <t>900002813</t>
        </is>
      </c>
      <c r="B511" t="inlineStr">
        <is>
          <t>DW70</t>
        </is>
      </c>
      <c r="C511" t="inlineStr">
        <is>
          <t>D079</t>
        </is>
      </c>
      <c r="D511" t="inlineStr">
        <is>
          <t>10000133</t>
        </is>
      </c>
      <c r="E511" t="inlineStr"/>
      <c r="F511" s="11" t="n">
        <v>100</v>
      </c>
      <c r="G511" t="inlineStr"/>
      <c r="I511" t="inlineStr">
        <is>
          <t>TN</t>
        </is>
      </c>
      <c r="J511" t="inlineStr"/>
      <c r="K511" t="inlineStr">
        <is>
          <t>20260330</t>
        </is>
      </c>
      <c r="L511" t="inlineStr">
        <is>
          <t>99991231</t>
        </is>
      </c>
    </row>
    <row r="512">
      <c r="A512" t="inlineStr">
        <is>
          <t>900002813</t>
        </is>
      </c>
      <c r="B512" t="inlineStr">
        <is>
          <t>DW70</t>
        </is>
      </c>
      <c r="C512" t="inlineStr">
        <is>
          <t>D079</t>
        </is>
      </c>
      <c r="D512" t="inlineStr">
        <is>
          <t>10000623</t>
        </is>
      </c>
      <c r="E512" t="inlineStr"/>
      <c r="F512" s="11" t="n">
        <v>110</v>
      </c>
      <c r="G512" t="inlineStr"/>
      <c r="I512" t="inlineStr">
        <is>
          <t>TN</t>
        </is>
      </c>
      <c r="J512" t="inlineStr"/>
      <c r="K512" t="inlineStr">
        <is>
          <t>20260330</t>
        </is>
      </c>
      <c r="L512" t="inlineStr">
        <is>
          <t>99991231</t>
        </is>
      </c>
    </row>
    <row r="513">
      <c r="A513" t="inlineStr">
        <is>
          <t>900002813</t>
        </is>
      </c>
      <c r="B513" t="inlineStr">
        <is>
          <t>DW70</t>
        </is>
      </c>
      <c r="C513" t="inlineStr">
        <is>
          <t>D079</t>
        </is>
      </c>
      <c r="D513" t="inlineStr">
        <is>
          <t>10000630</t>
        </is>
      </c>
      <c r="E513" t="inlineStr"/>
      <c r="F513" s="11" t="n">
        <v>98.42</v>
      </c>
      <c r="G513" t="inlineStr"/>
      <c r="I513" t="inlineStr">
        <is>
          <t>TN</t>
        </is>
      </c>
      <c r="J513" t="inlineStr"/>
      <c r="K513" t="inlineStr">
        <is>
          <t>20230501</t>
        </is>
      </c>
      <c r="L513" t="inlineStr">
        <is>
          <t>20250131</t>
        </is>
      </c>
    </row>
    <row r="514">
      <c r="A514" t="inlineStr">
        <is>
          <t>900002813</t>
        </is>
      </c>
      <c r="B514" t="inlineStr">
        <is>
          <t>DW70</t>
        </is>
      </c>
      <c r="C514" t="inlineStr">
        <is>
          <t>D079</t>
        </is>
      </c>
      <c r="D514" t="inlineStr">
        <is>
          <t>10000722</t>
        </is>
      </c>
      <c r="E514" t="inlineStr"/>
      <c r="F514" s="11" t="n">
        <v>98.43000000000001</v>
      </c>
      <c r="G514" t="inlineStr"/>
      <c r="I514" t="inlineStr">
        <is>
          <t>TN</t>
        </is>
      </c>
      <c r="J514" t="inlineStr"/>
      <c r="K514" t="inlineStr">
        <is>
          <t>20230501</t>
        </is>
      </c>
      <c r="L514" t="inlineStr">
        <is>
          <t>20250131</t>
        </is>
      </c>
    </row>
    <row r="515">
      <c r="A515" t="inlineStr">
        <is>
          <t>900002813</t>
        </is>
      </c>
      <c r="B515" t="inlineStr">
        <is>
          <t>DW70</t>
        </is>
      </c>
      <c r="C515" t="inlineStr">
        <is>
          <t>D079</t>
        </is>
      </c>
      <c r="D515" t="inlineStr">
        <is>
          <t>10257024</t>
        </is>
      </c>
      <c r="E515" t="inlineStr"/>
      <c r="F515" s="11" t="n">
        <v>115</v>
      </c>
      <c r="G515" t="inlineStr"/>
      <c r="I515" t="inlineStr">
        <is>
          <t>TN</t>
        </is>
      </c>
      <c r="J515" t="inlineStr"/>
      <c r="K515" t="inlineStr">
        <is>
          <t>20260330</t>
        </is>
      </c>
      <c r="L515" t="inlineStr">
        <is>
          <t>99991231</t>
        </is>
      </c>
    </row>
    <row r="516">
      <c r="A516" t="inlineStr">
        <is>
          <t>900002813</t>
        </is>
      </c>
      <c r="B516" t="inlineStr">
        <is>
          <t>DW70</t>
        </is>
      </c>
      <c r="C516" t="inlineStr">
        <is>
          <t>D080</t>
        </is>
      </c>
      <c r="D516" t="inlineStr">
        <is>
          <t>10000133</t>
        </is>
      </c>
      <c r="E516" t="inlineStr"/>
      <c r="F516" s="11" t="n">
        <v>100</v>
      </c>
      <c r="G516" t="inlineStr"/>
      <c r="I516" t="inlineStr">
        <is>
          <t>TN</t>
        </is>
      </c>
      <c r="J516" t="inlineStr"/>
      <c r="K516" t="inlineStr">
        <is>
          <t>20260330</t>
        </is>
      </c>
      <c r="L516" t="inlineStr">
        <is>
          <t>99991231</t>
        </is>
      </c>
    </row>
    <row r="517">
      <c r="A517" t="inlineStr">
        <is>
          <t>900002813</t>
        </is>
      </c>
      <c r="B517" t="inlineStr">
        <is>
          <t>DW70</t>
        </is>
      </c>
      <c r="C517" t="inlineStr">
        <is>
          <t>D080</t>
        </is>
      </c>
      <c r="D517" t="inlineStr">
        <is>
          <t>10000623</t>
        </is>
      </c>
      <c r="E517" t="inlineStr"/>
      <c r="F517" s="11" t="n">
        <v>110</v>
      </c>
      <c r="G517" t="inlineStr"/>
      <c r="I517" t="inlineStr">
        <is>
          <t>TN</t>
        </is>
      </c>
      <c r="J517" t="inlineStr"/>
      <c r="K517" t="inlineStr">
        <is>
          <t>20260330</t>
        </is>
      </c>
      <c r="L517" t="inlineStr">
        <is>
          <t>99991231</t>
        </is>
      </c>
    </row>
    <row r="518">
      <c r="A518" t="inlineStr">
        <is>
          <t>900002813</t>
        </is>
      </c>
      <c r="B518" t="inlineStr">
        <is>
          <t>DW70</t>
        </is>
      </c>
      <c r="C518" t="inlineStr">
        <is>
          <t>D080</t>
        </is>
      </c>
      <c r="D518" t="inlineStr">
        <is>
          <t>10000630</t>
        </is>
      </c>
      <c r="E518" t="inlineStr"/>
      <c r="F518" s="11" t="n">
        <v>98.42</v>
      </c>
      <c r="G518" t="inlineStr"/>
      <c r="I518" t="inlineStr">
        <is>
          <t>TN</t>
        </is>
      </c>
      <c r="J518" t="inlineStr"/>
      <c r="K518" t="inlineStr">
        <is>
          <t>20230501</t>
        </is>
      </c>
      <c r="L518" t="inlineStr">
        <is>
          <t>20250131</t>
        </is>
      </c>
    </row>
    <row r="519">
      <c r="A519" t="inlineStr">
        <is>
          <t>900002813</t>
        </is>
      </c>
      <c r="B519" t="inlineStr">
        <is>
          <t>DW70</t>
        </is>
      </c>
      <c r="C519" t="inlineStr">
        <is>
          <t>D080</t>
        </is>
      </c>
      <c r="D519" t="inlineStr">
        <is>
          <t>10000722</t>
        </is>
      </c>
      <c r="E519" t="inlineStr"/>
      <c r="F519" s="11" t="n">
        <v>98.43000000000001</v>
      </c>
      <c r="G519" t="inlineStr"/>
      <c r="I519" t="inlineStr">
        <is>
          <t>TN</t>
        </is>
      </c>
      <c r="J519" t="inlineStr"/>
      <c r="K519" t="inlineStr">
        <is>
          <t>20230501</t>
        </is>
      </c>
      <c r="L519" t="inlineStr">
        <is>
          <t>20250131</t>
        </is>
      </c>
    </row>
    <row r="520">
      <c r="A520" t="inlineStr">
        <is>
          <t>900002813</t>
        </is>
      </c>
      <c r="B520" t="inlineStr">
        <is>
          <t>DW70</t>
        </is>
      </c>
      <c r="C520" t="inlineStr">
        <is>
          <t>D080</t>
        </is>
      </c>
      <c r="D520" t="inlineStr">
        <is>
          <t>10257024</t>
        </is>
      </c>
      <c r="E520" t="inlineStr"/>
      <c r="F520" s="11" t="n">
        <v>115</v>
      </c>
      <c r="G520" t="inlineStr"/>
      <c r="I520" t="inlineStr">
        <is>
          <t>TN</t>
        </is>
      </c>
      <c r="J520" t="inlineStr"/>
      <c r="K520" t="inlineStr">
        <is>
          <t>20260330</t>
        </is>
      </c>
      <c r="L520" t="inlineStr">
        <is>
          <t>99991231</t>
        </is>
      </c>
    </row>
    <row r="521">
      <c r="A521" t="inlineStr">
        <is>
          <t>900002813</t>
        </is>
      </c>
      <c r="B521" t="inlineStr">
        <is>
          <t>DW70</t>
        </is>
      </c>
      <c r="C521" t="inlineStr">
        <is>
          <t>D081</t>
        </is>
      </c>
      <c r="D521" t="inlineStr">
        <is>
          <t>10000133</t>
        </is>
      </c>
      <c r="E521" t="inlineStr"/>
      <c r="F521" s="11" t="n">
        <v>100</v>
      </c>
      <c r="G521" t="inlineStr"/>
      <c r="I521" t="inlineStr">
        <is>
          <t>TN</t>
        </is>
      </c>
      <c r="J521" t="inlineStr"/>
      <c r="K521" t="inlineStr">
        <is>
          <t>20260330</t>
        </is>
      </c>
      <c r="L521" t="inlineStr">
        <is>
          <t>99991231</t>
        </is>
      </c>
    </row>
    <row r="522">
      <c r="A522" t="inlineStr">
        <is>
          <t>900002813</t>
        </is>
      </c>
      <c r="B522" t="inlineStr">
        <is>
          <t>DW70</t>
        </is>
      </c>
      <c r="C522" t="inlineStr">
        <is>
          <t>D081</t>
        </is>
      </c>
      <c r="D522" t="inlineStr">
        <is>
          <t>10000623</t>
        </is>
      </c>
      <c r="E522" t="inlineStr"/>
      <c r="F522" s="11" t="n">
        <v>110</v>
      </c>
      <c r="G522" t="inlineStr"/>
      <c r="I522" t="inlineStr">
        <is>
          <t>TN</t>
        </is>
      </c>
      <c r="J522" t="inlineStr"/>
      <c r="K522" t="inlineStr">
        <is>
          <t>20260330</t>
        </is>
      </c>
      <c r="L522" t="inlineStr">
        <is>
          <t>99991231</t>
        </is>
      </c>
    </row>
    <row r="523">
      <c r="A523" t="inlineStr">
        <is>
          <t>900002813</t>
        </is>
      </c>
      <c r="B523" t="inlineStr">
        <is>
          <t>DW70</t>
        </is>
      </c>
      <c r="C523" t="inlineStr">
        <is>
          <t>D081</t>
        </is>
      </c>
      <c r="D523" t="inlineStr">
        <is>
          <t>10000630</t>
        </is>
      </c>
      <c r="E523" t="inlineStr"/>
      <c r="F523" s="11" t="n">
        <v>98.42</v>
      </c>
      <c r="G523" t="inlineStr"/>
      <c r="I523" t="inlineStr">
        <is>
          <t>TN</t>
        </is>
      </c>
      <c r="J523" t="inlineStr"/>
      <c r="K523" t="inlineStr">
        <is>
          <t>20230501</t>
        </is>
      </c>
      <c r="L523" t="inlineStr">
        <is>
          <t>20250131</t>
        </is>
      </c>
    </row>
    <row r="524">
      <c r="A524" t="inlineStr">
        <is>
          <t>900002813</t>
        </is>
      </c>
      <c r="B524" t="inlineStr">
        <is>
          <t>DW70</t>
        </is>
      </c>
      <c r="C524" t="inlineStr">
        <is>
          <t>D081</t>
        </is>
      </c>
      <c r="D524" t="inlineStr">
        <is>
          <t>10000722</t>
        </is>
      </c>
      <c r="E524" t="inlineStr"/>
      <c r="F524" s="11" t="n">
        <v>98.43000000000001</v>
      </c>
      <c r="G524" t="inlineStr"/>
      <c r="I524" t="inlineStr">
        <is>
          <t>TN</t>
        </is>
      </c>
      <c r="J524" t="inlineStr"/>
      <c r="K524" t="inlineStr">
        <is>
          <t>20230501</t>
        </is>
      </c>
      <c r="L524" t="inlineStr">
        <is>
          <t>20250131</t>
        </is>
      </c>
    </row>
    <row r="525">
      <c r="A525" t="inlineStr">
        <is>
          <t>900002813</t>
        </is>
      </c>
      <c r="B525" t="inlineStr">
        <is>
          <t>DW70</t>
        </is>
      </c>
      <c r="C525" t="inlineStr">
        <is>
          <t>D081</t>
        </is>
      </c>
      <c r="D525" t="inlineStr">
        <is>
          <t>10257024</t>
        </is>
      </c>
      <c r="E525" t="inlineStr"/>
      <c r="F525" s="11" t="n">
        <v>115</v>
      </c>
      <c r="G525" t="inlineStr"/>
      <c r="I525" t="inlineStr">
        <is>
          <t>TN</t>
        </is>
      </c>
      <c r="J525" t="inlineStr"/>
      <c r="K525" t="inlineStr">
        <is>
          <t>20260330</t>
        </is>
      </c>
      <c r="L525" t="inlineStr">
        <is>
          <t>99991231</t>
        </is>
      </c>
    </row>
    <row r="526">
      <c r="A526" t="inlineStr">
        <is>
          <t>900002813</t>
        </is>
      </c>
      <c r="B526" t="inlineStr">
        <is>
          <t>DW70</t>
        </is>
      </c>
      <c r="C526" t="inlineStr">
        <is>
          <t>D083</t>
        </is>
      </c>
      <c r="D526" t="inlineStr">
        <is>
          <t>10000133</t>
        </is>
      </c>
      <c r="E526" t="inlineStr"/>
      <c r="F526" s="11" t="n">
        <v>100</v>
      </c>
      <c r="G526" t="inlineStr"/>
      <c r="I526" t="inlineStr">
        <is>
          <t>TN</t>
        </is>
      </c>
      <c r="J526" t="inlineStr"/>
      <c r="K526" t="inlineStr">
        <is>
          <t>20260330</t>
        </is>
      </c>
      <c r="L526" t="inlineStr">
        <is>
          <t>99991231</t>
        </is>
      </c>
    </row>
    <row r="527">
      <c r="A527" t="inlineStr">
        <is>
          <t>900002813</t>
        </is>
      </c>
      <c r="B527" t="inlineStr">
        <is>
          <t>DW70</t>
        </is>
      </c>
      <c r="C527" t="inlineStr">
        <is>
          <t>D083</t>
        </is>
      </c>
      <c r="D527" t="inlineStr">
        <is>
          <t>10000623</t>
        </is>
      </c>
      <c r="E527" t="inlineStr"/>
      <c r="F527" s="11" t="n">
        <v>110</v>
      </c>
      <c r="G527" t="inlineStr"/>
      <c r="I527" t="inlineStr">
        <is>
          <t>TN</t>
        </is>
      </c>
      <c r="J527" t="inlineStr"/>
      <c r="K527" t="inlineStr">
        <is>
          <t>20260330</t>
        </is>
      </c>
      <c r="L527" t="inlineStr">
        <is>
          <t>99991231</t>
        </is>
      </c>
    </row>
    <row r="528">
      <c r="A528" t="inlineStr">
        <is>
          <t>900002813</t>
        </is>
      </c>
      <c r="B528" t="inlineStr">
        <is>
          <t>DW70</t>
        </is>
      </c>
      <c r="C528" t="inlineStr">
        <is>
          <t>D083</t>
        </is>
      </c>
      <c r="D528" t="inlineStr">
        <is>
          <t>10000630</t>
        </is>
      </c>
      <c r="E528" t="inlineStr"/>
      <c r="F528" s="11" t="n">
        <v>98.42</v>
      </c>
      <c r="G528" t="inlineStr"/>
      <c r="I528" t="inlineStr">
        <is>
          <t>TN</t>
        </is>
      </c>
      <c r="J528" t="inlineStr"/>
      <c r="K528" t="inlineStr">
        <is>
          <t>20230501</t>
        </is>
      </c>
      <c r="L528" t="inlineStr">
        <is>
          <t>20250131</t>
        </is>
      </c>
    </row>
    <row r="529">
      <c r="A529" t="inlineStr">
        <is>
          <t>900002813</t>
        </is>
      </c>
      <c r="B529" t="inlineStr">
        <is>
          <t>DW70</t>
        </is>
      </c>
      <c r="C529" t="inlineStr">
        <is>
          <t>D083</t>
        </is>
      </c>
      <c r="D529" t="inlineStr">
        <is>
          <t>10000722</t>
        </is>
      </c>
      <c r="E529" t="inlineStr"/>
      <c r="F529" s="11" t="n">
        <v>98.43000000000001</v>
      </c>
      <c r="G529" t="inlineStr"/>
      <c r="I529" t="inlineStr">
        <is>
          <t>TN</t>
        </is>
      </c>
      <c r="J529" t="inlineStr"/>
      <c r="K529" t="inlineStr">
        <is>
          <t>20230501</t>
        </is>
      </c>
      <c r="L529" t="inlineStr">
        <is>
          <t>20250131</t>
        </is>
      </c>
    </row>
    <row r="530">
      <c r="A530" t="inlineStr">
        <is>
          <t>900002813</t>
        </is>
      </c>
      <c r="B530" t="inlineStr">
        <is>
          <t>DW70</t>
        </is>
      </c>
      <c r="C530" t="inlineStr">
        <is>
          <t>D083</t>
        </is>
      </c>
      <c r="D530" t="inlineStr">
        <is>
          <t>10257024</t>
        </is>
      </c>
      <c r="E530" t="inlineStr"/>
      <c r="F530" s="11" t="n">
        <v>115</v>
      </c>
      <c r="G530" t="inlineStr"/>
      <c r="I530" t="inlineStr">
        <is>
          <t>TN</t>
        </is>
      </c>
      <c r="J530" t="inlineStr"/>
      <c r="K530" t="inlineStr">
        <is>
          <t>20260330</t>
        </is>
      </c>
      <c r="L530" t="inlineStr">
        <is>
          <t>99991231</t>
        </is>
      </c>
    </row>
    <row r="531">
      <c r="A531" t="inlineStr">
        <is>
          <t>900002813</t>
        </is>
      </c>
      <c r="B531" t="inlineStr">
        <is>
          <t>DW70</t>
        </is>
      </c>
      <c r="C531" t="inlineStr">
        <is>
          <t>D084</t>
        </is>
      </c>
      <c r="D531" t="inlineStr">
        <is>
          <t>10000133</t>
        </is>
      </c>
      <c r="E531" t="inlineStr"/>
      <c r="F531" s="11" t="n">
        <v>100</v>
      </c>
      <c r="G531" t="inlineStr"/>
      <c r="I531" t="inlineStr">
        <is>
          <t>TN</t>
        </is>
      </c>
      <c r="J531" t="inlineStr"/>
      <c r="K531" t="inlineStr">
        <is>
          <t>20260330</t>
        </is>
      </c>
      <c r="L531" t="inlineStr">
        <is>
          <t>99991231</t>
        </is>
      </c>
    </row>
    <row r="532">
      <c r="A532" t="inlineStr">
        <is>
          <t>900002813</t>
        </is>
      </c>
      <c r="B532" t="inlineStr">
        <is>
          <t>DW70</t>
        </is>
      </c>
      <c r="C532" t="inlineStr">
        <is>
          <t>D084</t>
        </is>
      </c>
      <c r="D532" t="inlineStr">
        <is>
          <t>10000623</t>
        </is>
      </c>
      <c r="E532" t="inlineStr"/>
      <c r="F532" s="11" t="n">
        <v>110</v>
      </c>
      <c r="G532" t="inlineStr"/>
      <c r="I532" t="inlineStr">
        <is>
          <t>TN</t>
        </is>
      </c>
      <c r="J532" t="inlineStr"/>
      <c r="K532" t="inlineStr">
        <is>
          <t>20260330</t>
        </is>
      </c>
      <c r="L532" t="inlineStr">
        <is>
          <t>99991231</t>
        </is>
      </c>
    </row>
    <row r="533">
      <c r="A533" t="inlineStr">
        <is>
          <t>900002813</t>
        </is>
      </c>
      <c r="B533" t="inlineStr">
        <is>
          <t>DW70</t>
        </is>
      </c>
      <c r="C533" t="inlineStr">
        <is>
          <t>D084</t>
        </is>
      </c>
      <c r="D533" t="inlineStr">
        <is>
          <t>10000630</t>
        </is>
      </c>
      <c r="E533" t="inlineStr"/>
      <c r="F533" s="11" t="n">
        <v>98.42</v>
      </c>
      <c r="G533" t="inlineStr"/>
      <c r="I533" t="inlineStr">
        <is>
          <t>TN</t>
        </is>
      </c>
      <c r="J533" t="inlineStr"/>
      <c r="K533" t="inlineStr">
        <is>
          <t>20230501</t>
        </is>
      </c>
      <c r="L533" t="inlineStr">
        <is>
          <t>20250131</t>
        </is>
      </c>
    </row>
    <row r="534">
      <c r="A534" t="inlineStr">
        <is>
          <t>900002813</t>
        </is>
      </c>
      <c r="B534" t="inlineStr">
        <is>
          <t>DW70</t>
        </is>
      </c>
      <c r="C534" t="inlineStr">
        <is>
          <t>D084</t>
        </is>
      </c>
      <c r="D534" t="inlineStr">
        <is>
          <t>10000722</t>
        </is>
      </c>
      <c r="E534" t="inlineStr"/>
      <c r="F534" s="11" t="n">
        <v>98.43000000000001</v>
      </c>
      <c r="G534" t="inlineStr"/>
      <c r="I534" t="inlineStr">
        <is>
          <t>TN</t>
        </is>
      </c>
      <c r="J534" t="inlineStr"/>
      <c r="K534" t="inlineStr">
        <is>
          <t>20230501</t>
        </is>
      </c>
      <c r="L534" t="inlineStr">
        <is>
          <t>20250131</t>
        </is>
      </c>
    </row>
    <row r="535">
      <c r="A535" t="inlineStr">
        <is>
          <t>900002813</t>
        </is>
      </c>
      <c r="B535" t="inlineStr">
        <is>
          <t>DW70</t>
        </is>
      </c>
      <c r="C535" t="inlineStr">
        <is>
          <t>D084</t>
        </is>
      </c>
      <c r="D535" t="inlineStr">
        <is>
          <t>10257024</t>
        </is>
      </c>
      <c r="E535" t="inlineStr"/>
      <c r="F535" s="11" t="n">
        <v>115</v>
      </c>
      <c r="G535" t="inlineStr"/>
      <c r="I535" t="inlineStr">
        <is>
          <t>TN</t>
        </is>
      </c>
      <c r="J535" t="inlineStr"/>
      <c r="K535" t="inlineStr">
        <is>
          <t>20260330</t>
        </is>
      </c>
      <c r="L535" t="inlineStr">
        <is>
          <t>99991231</t>
        </is>
      </c>
    </row>
    <row r="536">
      <c r="A536" t="inlineStr">
        <is>
          <t>900002813</t>
        </is>
      </c>
      <c r="B536" t="inlineStr">
        <is>
          <t>DW70</t>
        </is>
      </c>
      <c r="C536" t="inlineStr">
        <is>
          <t>D085</t>
        </is>
      </c>
      <c r="D536" t="inlineStr">
        <is>
          <t>10000133</t>
        </is>
      </c>
      <c r="E536" t="inlineStr"/>
      <c r="F536" s="11" t="n">
        <v>100</v>
      </c>
      <c r="G536" t="inlineStr"/>
      <c r="I536" t="inlineStr">
        <is>
          <t>TN</t>
        </is>
      </c>
      <c r="J536" t="inlineStr"/>
      <c r="K536" t="inlineStr">
        <is>
          <t>20260330</t>
        </is>
      </c>
      <c r="L536" t="inlineStr">
        <is>
          <t>99991231</t>
        </is>
      </c>
    </row>
    <row r="537">
      <c r="A537" t="inlineStr">
        <is>
          <t>900002813</t>
        </is>
      </c>
      <c r="B537" t="inlineStr">
        <is>
          <t>DW70</t>
        </is>
      </c>
      <c r="C537" t="inlineStr">
        <is>
          <t>D085</t>
        </is>
      </c>
      <c r="D537" t="inlineStr">
        <is>
          <t>10000623</t>
        </is>
      </c>
      <c r="E537" t="inlineStr"/>
      <c r="F537" s="11" t="n">
        <v>110</v>
      </c>
      <c r="G537" t="inlineStr"/>
      <c r="I537" t="inlineStr">
        <is>
          <t>TN</t>
        </is>
      </c>
      <c r="J537" t="inlineStr"/>
      <c r="K537" t="inlineStr">
        <is>
          <t>20260330</t>
        </is>
      </c>
      <c r="L537" t="inlineStr">
        <is>
          <t>99991231</t>
        </is>
      </c>
    </row>
    <row r="538">
      <c r="A538" t="inlineStr">
        <is>
          <t>900002813</t>
        </is>
      </c>
      <c r="B538" t="inlineStr">
        <is>
          <t>DW70</t>
        </is>
      </c>
      <c r="C538" t="inlineStr">
        <is>
          <t>D085</t>
        </is>
      </c>
      <c r="D538" t="inlineStr">
        <is>
          <t>10000630</t>
        </is>
      </c>
      <c r="E538" t="inlineStr"/>
      <c r="F538" s="11" t="n">
        <v>98.42</v>
      </c>
      <c r="G538" t="inlineStr"/>
      <c r="I538" t="inlineStr">
        <is>
          <t>TN</t>
        </is>
      </c>
      <c r="J538" t="inlineStr"/>
      <c r="K538" t="inlineStr">
        <is>
          <t>20230501</t>
        </is>
      </c>
      <c r="L538" t="inlineStr">
        <is>
          <t>20250131</t>
        </is>
      </c>
    </row>
    <row r="539">
      <c r="A539" t="inlineStr">
        <is>
          <t>900002813</t>
        </is>
      </c>
      <c r="B539" t="inlineStr">
        <is>
          <t>DW70</t>
        </is>
      </c>
      <c r="C539" t="inlineStr">
        <is>
          <t>D085</t>
        </is>
      </c>
      <c r="D539" t="inlineStr">
        <is>
          <t>10000722</t>
        </is>
      </c>
      <c r="E539" t="inlineStr"/>
      <c r="F539" s="11" t="n">
        <v>98.43000000000001</v>
      </c>
      <c r="G539" t="inlineStr"/>
      <c r="I539" t="inlineStr">
        <is>
          <t>TN</t>
        </is>
      </c>
      <c r="J539" t="inlineStr"/>
      <c r="K539" t="inlineStr">
        <is>
          <t>20230501</t>
        </is>
      </c>
      <c r="L539" t="inlineStr">
        <is>
          <t>20250131</t>
        </is>
      </c>
    </row>
    <row r="540">
      <c r="A540" t="inlineStr">
        <is>
          <t>900002813</t>
        </is>
      </c>
      <c r="B540" t="inlineStr">
        <is>
          <t>DW70</t>
        </is>
      </c>
      <c r="C540" t="inlineStr">
        <is>
          <t>D085</t>
        </is>
      </c>
      <c r="D540" t="inlineStr">
        <is>
          <t>10257024</t>
        </is>
      </c>
      <c r="E540" t="inlineStr"/>
      <c r="F540" s="11" t="n">
        <v>115</v>
      </c>
      <c r="G540" t="inlineStr"/>
      <c r="I540" t="inlineStr">
        <is>
          <t>TN</t>
        </is>
      </c>
      <c r="J540" t="inlineStr"/>
      <c r="K540" t="inlineStr">
        <is>
          <t>20260330</t>
        </is>
      </c>
      <c r="L540" t="inlineStr">
        <is>
          <t>99991231</t>
        </is>
      </c>
    </row>
    <row r="541">
      <c r="A541" t="inlineStr">
        <is>
          <t>900002813</t>
        </is>
      </c>
      <c r="B541" t="inlineStr">
        <is>
          <t>DW70</t>
        </is>
      </c>
      <c r="C541" t="inlineStr">
        <is>
          <t>D086</t>
        </is>
      </c>
      <c r="D541" t="inlineStr">
        <is>
          <t>10000133</t>
        </is>
      </c>
      <c r="E541" t="inlineStr"/>
      <c r="F541" s="11" t="n">
        <v>100</v>
      </c>
      <c r="G541" t="inlineStr"/>
      <c r="I541" t="inlineStr">
        <is>
          <t>TN</t>
        </is>
      </c>
      <c r="J541" t="inlineStr"/>
      <c r="K541" t="inlineStr">
        <is>
          <t>20260330</t>
        </is>
      </c>
      <c r="L541" t="inlineStr">
        <is>
          <t>99991231</t>
        </is>
      </c>
    </row>
    <row r="542">
      <c r="A542" t="inlineStr">
        <is>
          <t>900002813</t>
        </is>
      </c>
      <c r="B542" t="inlineStr">
        <is>
          <t>DW70</t>
        </is>
      </c>
      <c r="C542" t="inlineStr">
        <is>
          <t>D086</t>
        </is>
      </c>
      <c r="D542" t="inlineStr">
        <is>
          <t>10000623</t>
        </is>
      </c>
      <c r="E542" t="inlineStr"/>
      <c r="F542" s="11" t="n">
        <v>110</v>
      </c>
      <c r="G542" t="inlineStr"/>
      <c r="I542" t="inlineStr">
        <is>
          <t>TN</t>
        </is>
      </c>
      <c r="J542" t="inlineStr"/>
      <c r="K542" t="inlineStr">
        <is>
          <t>20260330</t>
        </is>
      </c>
      <c r="L542" t="inlineStr">
        <is>
          <t>99991231</t>
        </is>
      </c>
    </row>
    <row r="543">
      <c r="A543" t="inlineStr">
        <is>
          <t>900002813</t>
        </is>
      </c>
      <c r="B543" t="inlineStr">
        <is>
          <t>DW70</t>
        </is>
      </c>
      <c r="C543" t="inlineStr">
        <is>
          <t>D086</t>
        </is>
      </c>
      <c r="D543" t="inlineStr">
        <is>
          <t>10000630</t>
        </is>
      </c>
      <c r="E543" t="inlineStr"/>
      <c r="F543" s="11" t="n">
        <v>98.42</v>
      </c>
      <c r="G543" t="inlineStr"/>
      <c r="I543" t="inlineStr">
        <is>
          <t>TN</t>
        </is>
      </c>
      <c r="J543" t="inlineStr"/>
      <c r="K543" t="inlineStr">
        <is>
          <t>20230501</t>
        </is>
      </c>
      <c r="L543" t="inlineStr">
        <is>
          <t>20250131</t>
        </is>
      </c>
    </row>
    <row r="544">
      <c r="A544" t="inlineStr">
        <is>
          <t>900002813</t>
        </is>
      </c>
      <c r="B544" t="inlineStr">
        <is>
          <t>DW70</t>
        </is>
      </c>
      <c r="C544" t="inlineStr">
        <is>
          <t>D086</t>
        </is>
      </c>
      <c r="D544" t="inlineStr">
        <is>
          <t>10000722</t>
        </is>
      </c>
      <c r="E544" t="inlineStr"/>
      <c r="F544" s="11" t="n">
        <v>98.43000000000001</v>
      </c>
      <c r="G544" t="inlineStr"/>
      <c r="I544" t="inlineStr">
        <is>
          <t>TN</t>
        </is>
      </c>
      <c r="J544" t="inlineStr"/>
      <c r="K544" t="inlineStr">
        <is>
          <t>20230501</t>
        </is>
      </c>
      <c r="L544" t="inlineStr">
        <is>
          <t>20250131</t>
        </is>
      </c>
    </row>
    <row r="545">
      <c r="A545" t="inlineStr">
        <is>
          <t>900002813</t>
        </is>
      </c>
      <c r="B545" t="inlineStr">
        <is>
          <t>DW70</t>
        </is>
      </c>
      <c r="C545" t="inlineStr">
        <is>
          <t>D086</t>
        </is>
      </c>
      <c r="D545" t="inlineStr">
        <is>
          <t>10257024</t>
        </is>
      </c>
      <c r="E545" t="inlineStr"/>
      <c r="F545" s="11" t="n">
        <v>115</v>
      </c>
      <c r="G545" t="inlineStr"/>
      <c r="I545" t="inlineStr">
        <is>
          <t>TN</t>
        </is>
      </c>
      <c r="J545" t="inlineStr"/>
      <c r="K545" t="inlineStr">
        <is>
          <t>20260330</t>
        </is>
      </c>
      <c r="L545" t="inlineStr">
        <is>
          <t>99991231</t>
        </is>
      </c>
    </row>
    <row r="546">
      <c r="A546" t="inlineStr">
        <is>
          <t>900002813</t>
        </is>
      </c>
      <c r="B546" t="inlineStr">
        <is>
          <t>DW70</t>
        </is>
      </c>
      <c r="C546" t="inlineStr">
        <is>
          <t>D087</t>
        </is>
      </c>
      <c r="D546" t="inlineStr">
        <is>
          <t>10000630</t>
        </is>
      </c>
      <c r="E546" t="inlineStr"/>
      <c r="F546" s="11" t="n">
        <v>94.19</v>
      </c>
      <c r="G546" t="inlineStr"/>
      <c r="I546" t="inlineStr">
        <is>
          <t>TN</t>
        </is>
      </c>
      <c r="J546" t="inlineStr"/>
      <c r="K546" t="inlineStr">
        <is>
          <t>20230501</t>
        </is>
      </c>
      <c r="L546" t="inlineStr">
        <is>
          <t>20250131</t>
        </is>
      </c>
    </row>
    <row r="547">
      <c r="A547" t="inlineStr">
        <is>
          <t>900002813</t>
        </is>
      </c>
      <c r="B547" t="inlineStr">
        <is>
          <t>DW70</t>
        </is>
      </c>
      <c r="C547" t="inlineStr">
        <is>
          <t>D088</t>
        </is>
      </c>
      <c r="D547" t="inlineStr">
        <is>
          <t>10000630</t>
        </is>
      </c>
      <c r="E547" t="inlineStr"/>
      <c r="F547" s="11" t="n">
        <v>98.42</v>
      </c>
      <c r="G547" t="inlineStr"/>
      <c r="I547" t="inlineStr">
        <is>
          <t>TN</t>
        </is>
      </c>
      <c r="J547" t="inlineStr"/>
      <c r="K547" t="inlineStr">
        <is>
          <t>20230501</t>
        </is>
      </c>
      <c r="L547" t="inlineStr">
        <is>
          <t>20250131</t>
        </is>
      </c>
    </row>
    <row r="548">
      <c r="A548" t="inlineStr">
        <is>
          <t>900002813</t>
        </is>
      </c>
      <c r="B548" t="inlineStr">
        <is>
          <t>DW70</t>
        </is>
      </c>
      <c r="C548" t="inlineStr">
        <is>
          <t>D088</t>
        </is>
      </c>
      <c r="D548" t="inlineStr">
        <is>
          <t>10000722</t>
        </is>
      </c>
      <c r="E548" t="inlineStr"/>
      <c r="F548" s="11" t="n">
        <v>98.43000000000001</v>
      </c>
      <c r="G548" t="inlineStr"/>
      <c r="I548" t="inlineStr">
        <is>
          <t>TN</t>
        </is>
      </c>
      <c r="J548" t="inlineStr"/>
      <c r="K548" t="inlineStr">
        <is>
          <t>20230501</t>
        </is>
      </c>
      <c r="L548" t="inlineStr">
        <is>
          <t>20250131</t>
        </is>
      </c>
    </row>
    <row r="549">
      <c r="A549" t="inlineStr">
        <is>
          <t>900002813</t>
        </is>
      </c>
      <c r="B549" t="inlineStr">
        <is>
          <t>DW70</t>
        </is>
      </c>
      <c r="C549" t="inlineStr">
        <is>
          <t>D089</t>
        </is>
      </c>
      <c r="D549" t="inlineStr">
        <is>
          <t>10000630</t>
        </is>
      </c>
      <c r="E549" t="inlineStr"/>
      <c r="F549" s="11" t="n">
        <v>98.42</v>
      </c>
      <c r="G549" t="inlineStr"/>
      <c r="I549" t="inlineStr">
        <is>
          <t>TN</t>
        </is>
      </c>
      <c r="J549" t="inlineStr"/>
      <c r="K549" t="inlineStr">
        <is>
          <t>20230501</t>
        </is>
      </c>
      <c r="L549" t="inlineStr">
        <is>
          <t>20250131</t>
        </is>
      </c>
    </row>
    <row r="550">
      <c r="A550" t="inlineStr">
        <is>
          <t>900002813</t>
        </is>
      </c>
      <c r="B550" t="inlineStr">
        <is>
          <t>DW70</t>
        </is>
      </c>
      <c r="C550" t="inlineStr">
        <is>
          <t>D089</t>
        </is>
      </c>
      <c r="D550" t="inlineStr">
        <is>
          <t>10000722</t>
        </is>
      </c>
      <c r="E550" t="inlineStr"/>
      <c r="F550" s="11" t="n">
        <v>98.43000000000001</v>
      </c>
      <c r="G550" t="inlineStr"/>
      <c r="I550" t="inlineStr">
        <is>
          <t>TN</t>
        </is>
      </c>
      <c r="J550" t="inlineStr"/>
      <c r="K550" t="inlineStr">
        <is>
          <t>20230501</t>
        </is>
      </c>
      <c r="L550" t="inlineStr">
        <is>
          <t>20250131</t>
        </is>
      </c>
    </row>
    <row r="551">
      <c r="A551" t="inlineStr">
        <is>
          <t>900002813</t>
        </is>
      </c>
      <c r="B551" t="inlineStr">
        <is>
          <t>DW70</t>
        </is>
      </c>
      <c r="C551" t="inlineStr">
        <is>
          <t>D093</t>
        </is>
      </c>
      <c r="D551" t="inlineStr">
        <is>
          <t>10000133</t>
        </is>
      </c>
      <c r="E551" t="inlineStr"/>
      <c r="F551" s="11" t="n">
        <v>100</v>
      </c>
      <c r="G551" t="inlineStr"/>
      <c r="I551" t="inlineStr">
        <is>
          <t>TN</t>
        </is>
      </c>
      <c r="J551" t="inlineStr"/>
      <c r="K551" t="inlineStr">
        <is>
          <t>20260330</t>
        </is>
      </c>
      <c r="L551" t="inlineStr">
        <is>
          <t>99991231</t>
        </is>
      </c>
    </row>
    <row r="552">
      <c r="A552" t="inlineStr">
        <is>
          <t>900002813</t>
        </is>
      </c>
      <c r="B552" t="inlineStr">
        <is>
          <t>DW70</t>
        </is>
      </c>
      <c r="C552" t="inlineStr">
        <is>
          <t>D093</t>
        </is>
      </c>
      <c r="D552" t="inlineStr">
        <is>
          <t>10000623</t>
        </is>
      </c>
      <c r="E552" t="inlineStr"/>
      <c r="F552" s="11" t="n">
        <v>110</v>
      </c>
      <c r="G552" t="inlineStr"/>
      <c r="I552" t="inlineStr">
        <is>
          <t>TN</t>
        </is>
      </c>
      <c r="J552" t="inlineStr"/>
      <c r="K552" t="inlineStr">
        <is>
          <t>20260330</t>
        </is>
      </c>
      <c r="L552" t="inlineStr">
        <is>
          <t>99991231</t>
        </is>
      </c>
    </row>
    <row r="553">
      <c r="A553" t="inlineStr">
        <is>
          <t>900002813</t>
        </is>
      </c>
      <c r="B553" t="inlineStr">
        <is>
          <t>DW70</t>
        </is>
      </c>
      <c r="C553" t="inlineStr">
        <is>
          <t>D093</t>
        </is>
      </c>
      <c r="D553" t="inlineStr">
        <is>
          <t>10000630</t>
        </is>
      </c>
      <c r="E553" t="inlineStr"/>
      <c r="F553" s="11" t="n">
        <v>94.19</v>
      </c>
      <c r="G553" t="inlineStr"/>
      <c r="I553" t="inlineStr">
        <is>
          <t>TN</t>
        </is>
      </c>
      <c r="J553" t="inlineStr"/>
      <c r="K553" t="inlineStr">
        <is>
          <t>20230501</t>
        </is>
      </c>
      <c r="L553" t="inlineStr">
        <is>
          <t>20250131</t>
        </is>
      </c>
    </row>
    <row r="554">
      <c r="A554" t="inlineStr">
        <is>
          <t>900002813</t>
        </is>
      </c>
      <c r="B554" t="inlineStr">
        <is>
          <t>DW70</t>
        </is>
      </c>
      <c r="C554" t="inlineStr">
        <is>
          <t>D093</t>
        </is>
      </c>
      <c r="D554" t="inlineStr">
        <is>
          <t>10257024</t>
        </is>
      </c>
      <c r="E554" t="inlineStr"/>
      <c r="F554" s="11" t="n">
        <v>115</v>
      </c>
      <c r="G554" t="inlineStr"/>
      <c r="I554" t="inlineStr">
        <is>
          <t>TN</t>
        </is>
      </c>
      <c r="J554" t="inlineStr"/>
      <c r="K554" t="inlineStr">
        <is>
          <t>20260330</t>
        </is>
      </c>
      <c r="L554" t="inlineStr">
        <is>
          <t>99991231</t>
        </is>
      </c>
    </row>
    <row r="555">
      <c r="A555" t="inlineStr">
        <is>
          <t>900002813</t>
        </is>
      </c>
      <c r="B555" t="inlineStr">
        <is>
          <t>DW70</t>
        </is>
      </c>
      <c r="C555" t="inlineStr">
        <is>
          <t>D098</t>
        </is>
      </c>
      <c r="D555" t="inlineStr">
        <is>
          <t>10000133</t>
        </is>
      </c>
      <c r="E555" t="inlineStr"/>
      <c r="F555" s="11" t="n">
        <v>100</v>
      </c>
      <c r="G555" t="inlineStr"/>
      <c r="I555" t="inlineStr">
        <is>
          <t>TN</t>
        </is>
      </c>
      <c r="J555" t="inlineStr"/>
      <c r="K555" t="inlineStr">
        <is>
          <t>20260330</t>
        </is>
      </c>
      <c r="L555" t="inlineStr">
        <is>
          <t>99991231</t>
        </is>
      </c>
    </row>
    <row r="556">
      <c r="A556" t="inlineStr">
        <is>
          <t>900002813</t>
        </is>
      </c>
      <c r="B556" t="inlineStr">
        <is>
          <t>DW70</t>
        </is>
      </c>
      <c r="C556" t="inlineStr">
        <is>
          <t>D098</t>
        </is>
      </c>
      <c r="D556" t="inlineStr">
        <is>
          <t>10000623</t>
        </is>
      </c>
      <c r="E556" t="inlineStr"/>
      <c r="F556" s="11" t="n">
        <v>110</v>
      </c>
      <c r="G556" t="inlineStr"/>
      <c r="I556" t="inlineStr">
        <is>
          <t>TN</t>
        </is>
      </c>
      <c r="J556" t="inlineStr"/>
      <c r="K556" t="inlineStr">
        <is>
          <t>20260330</t>
        </is>
      </c>
      <c r="L556" t="inlineStr">
        <is>
          <t>99991231</t>
        </is>
      </c>
    </row>
    <row r="557">
      <c r="A557" t="inlineStr">
        <is>
          <t>900002813</t>
        </is>
      </c>
      <c r="B557" t="inlineStr">
        <is>
          <t>DW70</t>
        </is>
      </c>
      <c r="C557" t="inlineStr">
        <is>
          <t>D098</t>
        </is>
      </c>
      <c r="D557" t="inlineStr">
        <is>
          <t>10000630</t>
        </is>
      </c>
      <c r="E557" t="inlineStr"/>
      <c r="F557" s="11" t="n">
        <v>98.42</v>
      </c>
      <c r="G557" t="inlineStr"/>
      <c r="I557" t="inlineStr">
        <is>
          <t>TN</t>
        </is>
      </c>
      <c r="J557" t="inlineStr"/>
      <c r="K557" t="inlineStr">
        <is>
          <t>20230501</t>
        </is>
      </c>
      <c r="L557" t="inlineStr">
        <is>
          <t>20250131</t>
        </is>
      </c>
    </row>
    <row r="558">
      <c r="A558" t="inlineStr">
        <is>
          <t>900002813</t>
        </is>
      </c>
      <c r="B558" t="inlineStr">
        <is>
          <t>DW70</t>
        </is>
      </c>
      <c r="C558" t="inlineStr">
        <is>
          <t>D098</t>
        </is>
      </c>
      <c r="D558" t="inlineStr">
        <is>
          <t>10000722</t>
        </is>
      </c>
      <c r="E558" t="inlineStr"/>
      <c r="F558" s="11" t="n">
        <v>98.43000000000001</v>
      </c>
      <c r="G558" t="inlineStr"/>
      <c r="I558" t="inlineStr">
        <is>
          <t>TN</t>
        </is>
      </c>
      <c r="J558" t="inlineStr"/>
      <c r="K558" t="inlineStr">
        <is>
          <t>20230501</t>
        </is>
      </c>
      <c r="L558" t="inlineStr">
        <is>
          <t>20250131</t>
        </is>
      </c>
    </row>
    <row r="559">
      <c r="A559" t="inlineStr">
        <is>
          <t>900002813</t>
        </is>
      </c>
      <c r="B559" t="inlineStr">
        <is>
          <t>DW70</t>
        </is>
      </c>
      <c r="C559" t="inlineStr">
        <is>
          <t>D098</t>
        </is>
      </c>
      <c r="D559" t="inlineStr">
        <is>
          <t>10257024</t>
        </is>
      </c>
      <c r="E559" t="inlineStr"/>
      <c r="F559" s="11" t="n">
        <v>115</v>
      </c>
      <c r="G559" t="inlineStr"/>
      <c r="I559" t="inlineStr">
        <is>
          <t>TN</t>
        </is>
      </c>
      <c r="J559" t="inlineStr"/>
      <c r="K559" t="inlineStr">
        <is>
          <t>20260330</t>
        </is>
      </c>
      <c r="L559" t="inlineStr">
        <is>
          <t>99991231</t>
        </is>
      </c>
    </row>
    <row r="560">
      <c r="A560" t="inlineStr">
        <is>
          <t>900002813</t>
        </is>
      </c>
      <c r="B560" t="inlineStr">
        <is>
          <t>DW70</t>
        </is>
      </c>
      <c r="C560" t="inlineStr">
        <is>
          <t>D105</t>
        </is>
      </c>
      <c r="D560" t="inlineStr">
        <is>
          <t>10000133</t>
        </is>
      </c>
      <c r="E560" t="inlineStr"/>
      <c r="F560" s="11" t="n">
        <v>100</v>
      </c>
      <c r="G560" t="inlineStr"/>
      <c r="I560" t="inlineStr">
        <is>
          <t>TN</t>
        </is>
      </c>
      <c r="J560" t="inlineStr"/>
      <c r="K560" t="inlineStr">
        <is>
          <t>20260330</t>
        </is>
      </c>
      <c r="L560" t="inlineStr">
        <is>
          <t>99991231</t>
        </is>
      </c>
    </row>
    <row r="561">
      <c r="A561" t="inlineStr">
        <is>
          <t>900002813</t>
        </is>
      </c>
      <c r="B561" t="inlineStr">
        <is>
          <t>DW70</t>
        </is>
      </c>
      <c r="C561" t="inlineStr">
        <is>
          <t>D105</t>
        </is>
      </c>
      <c r="D561" t="inlineStr">
        <is>
          <t>10000623</t>
        </is>
      </c>
      <c r="E561" t="inlineStr"/>
      <c r="F561" s="11" t="n">
        <v>110</v>
      </c>
      <c r="G561" t="inlineStr"/>
      <c r="I561" t="inlineStr">
        <is>
          <t>TN</t>
        </is>
      </c>
      <c r="J561" t="inlineStr"/>
      <c r="K561" t="inlineStr">
        <is>
          <t>20260330</t>
        </is>
      </c>
      <c r="L561" t="inlineStr">
        <is>
          <t>99991231</t>
        </is>
      </c>
    </row>
    <row r="562">
      <c r="A562" t="inlineStr">
        <is>
          <t>900002813</t>
        </is>
      </c>
      <c r="B562" t="inlineStr">
        <is>
          <t>DW70</t>
        </is>
      </c>
      <c r="C562" t="inlineStr">
        <is>
          <t>D105</t>
        </is>
      </c>
      <c r="D562" t="inlineStr">
        <is>
          <t>10000630</t>
        </is>
      </c>
      <c r="E562" t="inlineStr"/>
      <c r="F562" s="11" t="n">
        <v>98.42</v>
      </c>
      <c r="G562" t="inlineStr"/>
      <c r="I562" t="inlineStr">
        <is>
          <t>TN</t>
        </is>
      </c>
      <c r="J562" t="inlineStr"/>
      <c r="K562" t="inlineStr">
        <is>
          <t>20230501</t>
        </is>
      </c>
      <c r="L562" t="inlineStr">
        <is>
          <t>20250131</t>
        </is>
      </c>
    </row>
    <row r="563">
      <c r="A563" t="inlineStr">
        <is>
          <t>900002813</t>
        </is>
      </c>
      <c r="B563" t="inlineStr">
        <is>
          <t>DW70</t>
        </is>
      </c>
      <c r="C563" t="inlineStr">
        <is>
          <t>D105</t>
        </is>
      </c>
      <c r="D563" t="inlineStr">
        <is>
          <t>10000722</t>
        </is>
      </c>
      <c r="E563" t="inlineStr"/>
      <c r="F563" s="11" t="n">
        <v>98.43000000000001</v>
      </c>
      <c r="G563" t="inlineStr"/>
      <c r="I563" t="inlineStr">
        <is>
          <t>TN</t>
        </is>
      </c>
      <c r="J563" t="inlineStr"/>
      <c r="K563" t="inlineStr">
        <is>
          <t>20230501</t>
        </is>
      </c>
      <c r="L563" t="inlineStr">
        <is>
          <t>20250131</t>
        </is>
      </c>
    </row>
    <row r="564">
      <c r="A564" t="inlineStr">
        <is>
          <t>900002813</t>
        </is>
      </c>
      <c r="B564" t="inlineStr">
        <is>
          <t>DW70</t>
        </is>
      </c>
      <c r="C564" t="inlineStr">
        <is>
          <t>D105</t>
        </is>
      </c>
      <c r="D564" t="inlineStr">
        <is>
          <t>10257024</t>
        </is>
      </c>
      <c r="E564" t="inlineStr"/>
      <c r="F564" s="11" t="n">
        <v>115</v>
      </c>
      <c r="G564" t="inlineStr"/>
      <c r="I564" t="inlineStr">
        <is>
          <t>TN</t>
        </is>
      </c>
      <c r="J564" t="inlineStr"/>
      <c r="K564" t="inlineStr">
        <is>
          <t>20260330</t>
        </is>
      </c>
      <c r="L564" t="inlineStr">
        <is>
          <t>99991231</t>
        </is>
      </c>
    </row>
    <row r="565">
      <c r="A565" t="inlineStr">
        <is>
          <t>900002813</t>
        </is>
      </c>
      <c r="B565" t="inlineStr">
        <is>
          <t>DW70</t>
        </is>
      </c>
      <c r="C565" t="inlineStr">
        <is>
          <t>D110</t>
        </is>
      </c>
      <c r="D565" t="inlineStr">
        <is>
          <t>10000630</t>
        </is>
      </c>
      <c r="E565" t="inlineStr"/>
      <c r="F565" s="11" t="n">
        <v>94.19</v>
      </c>
      <c r="G565" t="inlineStr"/>
      <c r="I565" t="inlineStr">
        <is>
          <t>TN</t>
        </is>
      </c>
      <c r="J565" t="inlineStr"/>
      <c r="K565" t="inlineStr">
        <is>
          <t>20230501</t>
        </is>
      </c>
      <c r="L565" t="inlineStr">
        <is>
          <t>20250131</t>
        </is>
      </c>
    </row>
    <row r="566">
      <c r="A566" t="inlineStr">
        <is>
          <t>900002813</t>
        </is>
      </c>
      <c r="B566" t="inlineStr">
        <is>
          <t>DW70</t>
        </is>
      </c>
      <c r="C566" t="inlineStr">
        <is>
          <t>D110</t>
        </is>
      </c>
      <c r="D566" t="inlineStr">
        <is>
          <t>10000722</t>
        </is>
      </c>
      <c r="E566" t="inlineStr"/>
      <c r="F566" s="11" t="n">
        <v>98.43000000000001</v>
      </c>
      <c r="G566" t="inlineStr"/>
      <c r="I566" t="inlineStr">
        <is>
          <t>TN</t>
        </is>
      </c>
      <c r="J566" t="inlineStr"/>
      <c r="K566" t="inlineStr">
        <is>
          <t>20230501</t>
        </is>
      </c>
      <c r="L566" t="inlineStr">
        <is>
          <t>20250131</t>
        </is>
      </c>
    </row>
    <row r="567">
      <c r="A567" t="inlineStr">
        <is>
          <t>900002813</t>
        </is>
      </c>
      <c r="B567" t="inlineStr">
        <is>
          <t>DW70</t>
        </is>
      </c>
      <c r="C567" t="inlineStr">
        <is>
          <t>D136</t>
        </is>
      </c>
      <c r="D567" t="inlineStr">
        <is>
          <t>10000133</t>
        </is>
      </c>
      <c r="E567" t="inlineStr"/>
      <c r="F567" s="11" t="n">
        <v>100</v>
      </c>
      <c r="G567" t="inlineStr"/>
      <c r="I567" t="inlineStr">
        <is>
          <t>TN</t>
        </is>
      </c>
      <c r="J567" t="inlineStr"/>
      <c r="K567" t="inlineStr">
        <is>
          <t>20260330</t>
        </is>
      </c>
      <c r="L567" t="inlineStr">
        <is>
          <t>99991231</t>
        </is>
      </c>
    </row>
    <row r="568">
      <c r="A568" t="inlineStr">
        <is>
          <t>900002813</t>
        </is>
      </c>
      <c r="B568" t="inlineStr">
        <is>
          <t>DW70</t>
        </is>
      </c>
      <c r="C568" t="inlineStr">
        <is>
          <t>D136</t>
        </is>
      </c>
      <c r="D568" t="inlineStr">
        <is>
          <t>10000623</t>
        </is>
      </c>
      <c r="E568" t="inlineStr"/>
      <c r="F568" s="11" t="n">
        <v>110</v>
      </c>
      <c r="G568" t="inlineStr"/>
      <c r="I568" t="inlineStr">
        <is>
          <t>TN</t>
        </is>
      </c>
      <c r="J568" t="inlineStr"/>
      <c r="K568" t="inlineStr">
        <is>
          <t>20260330</t>
        </is>
      </c>
      <c r="L568" t="inlineStr">
        <is>
          <t>99991231</t>
        </is>
      </c>
    </row>
    <row r="569">
      <c r="A569" t="inlineStr">
        <is>
          <t>900002813</t>
        </is>
      </c>
      <c r="B569" t="inlineStr">
        <is>
          <t>DW70</t>
        </is>
      </c>
      <c r="C569" t="inlineStr">
        <is>
          <t>D136</t>
        </is>
      </c>
      <c r="D569" t="inlineStr">
        <is>
          <t>10000630</t>
        </is>
      </c>
      <c r="E569" t="inlineStr"/>
      <c r="F569" s="11" t="n">
        <v>94.19</v>
      </c>
      <c r="G569" t="inlineStr"/>
      <c r="I569" t="inlineStr">
        <is>
          <t>TN</t>
        </is>
      </c>
      <c r="J569" t="inlineStr"/>
      <c r="K569" t="inlineStr">
        <is>
          <t>20230501</t>
        </is>
      </c>
      <c r="L569" t="inlineStr">
        <is>
          <t>20250131</t>
        </is>
      </c>
    </row>
    <row r="570">
      <c r="A570" t="inlineStr">
        <is>
          <t>900002813</t>
        </is>
      </c>
      <c r="B570" t="inlineStr">
        <is>
          <t>DW70</t>
        </is>
      </c>
      <c r="C570" t="inlineStr">
        <is>
          <t>D136</t>
        </is>
      </c>
      <c r="D570" t="inlineStr">
        <is>
          <t>10000722</t>
        </is>
      </c>
      <c r="E570" t="inlineStr"/>
      <c r="F570" s="11" t="n">
        <v>98.43000000000001</v>
      </c>
      <c r="G570" t="inlineStr"/>
      <c r="I570" t="inlineStr">
        <is>
          <t>TN</t>
        </is>
      </c>
      <c r="J570" t="inlineStr"/>
      <c r="K570" t="inlineStr">
        <is>
          <t>20230501</t>
        </is>
      </c>
      <c r="L570" t="inlineStr">
        <is>
          <t>20250131</t>
        </is>
      </c>
    </row>
    <row r="571">
      <c r="A571" t="inlineStr">
        <is>
          <t>900002813</t>
        </is>
      </c>
      <c r="B571" t="inlineStr">
        <is>
          <t>DW70</t>
        </is>
      </c>
      <c r="C571" t="inlineStr">
        <is>
          <t>D136</t>
        </is>
      </c>
      <c r="D571" t="inlineStr">
        <is>
          <t>10257024</t>
        </is>
      </c>
      <c r="E571" t="inlineStr"/>
      <c r="F571" s="11" t="n">
        <v>115</v>
      </c>
      <c r="G571" t="inlineStr"/>
      <c r="I571" t="inlineStr">
        <is>
          <t>TN</t>
        </is>
      </c>
      <c r="J571" t="inlineStr"/>
      <c r="K571" t="inlineStr">
        <is>
          <t>20260330</t>
        </is>
      </c>
      <c r="L571" t="inlineStr">
        <is>
          <t>99991231</t>
        </is>
      </c>
    </row>
    <row r="572">
      <c r="A572" t="inlineStr">
        <is>
          <t>900002813</t>
        </is>
      </c>
      <c r="B572" t="inlineStr">
        <is>
          <t>DW70</t>
        </is>
      </c>
      <c r="C572" t="inlineStr">
        <is>
          <t>D145</t>
        </is>
      </c>
      <c r="D572" t="inlineStr">
        <is>
          <t>10000133</t>
        </is>
      </c>
      <c r="E572" t="inlineStr"/>
      <c r="F572" s="11" t="n">
        <v>100</v>
      </c>
      <c r="G572" t="inlineStr"/>
      <c r="I572" t="inlineStr">
        <is>
          <t>TN</t>
        </is>
      </c>
      <c r="J572" t="inlineStr"/>
      <c r="K572" t="inlineStr">
        <is>
          <t>20260330</t>
        </is>
      </c>
      <c r="L572" t="inlineStr">
        <is>
          <t>99991231</t>
        </is>
      </c>
    </row>
    <row r="573">
      <c r="A573" t="inlineStr">
        <is>
          <t>900002813</t>
        </is>
      </c>
      <c r="B573" t="inlineStr">
        <is>
          <t>DW70</t>
        </is>
      </c>
      <c r="C573" t="inlineStr">
        <is>
          <t>D145</t>
        </is>
      </c>
      <c r="D573" t="inlineStr">
        <is>
          <t>10000623</t>
        </is>
      </c>
      <c r="E573" t="inlineStr"/>
      <c r="F573" s="11" t="n">
        <v>110</v>
      </c>
      <c r="G573" t="inlineStr"/>
      <c r="I573" t="inlineStr">
        <is>
          <t>TN</t>
        </is>
      </c>
      <c r="J573" t="inlineStr"/>
      <c r="K573" t="inlineStr">
        <is>
          <t>20260330</t>
        </is>
      </c>
      <c r="L573" t="inlineStr">
        <is>
          <t>99991231</t>
        </is>
      </c>
    </row>
    <row r="574">
      <c r="A574" t="inlineStr">
        <is>
          <t>900002813</t>
        </is>
      </c>
      <c r="B574" t="inlineStr">
        <is>
          <t>DW70</t>
        </is>
      </c>
      <c r="C574" t="inlineStr">
        <is>
          <t>D145</t>
        </is>
      </c>
      <c r="D574" t="inlineStr">
        <is>
          <t>10000630</t>
        </is>
      </c>
      <c r="E574" t="inlineStr"/>
      <c r="F574" s="11" t="n">
        <v>94.19</v>
      </c>
      <c r="G574" t="inlineStr"/>
      <c r="I574" t="inlineStr">
        <is>
          <t>TN</t>
        </is>
      </c>
      <c r="J574" t="inlineStr"/>
      <c r="K574" t="inlineStr">
        <is>
          <t>20230501</t>
        </is>
      </c>
      <c r="L574" t="inlineStr">
        <is>
          <t>20250131</t>
        </is>
      </c>
    </row>
    <row r="575">
      <c r="A575" t="inlineStr">
        <is>
          <t>900002813</t>
        </is>
      </c>
      <c r="B575" t="inlineStr">
        <is>
          <t>DW70</t>
        </is>
      </c>
      <c r="C575" t="inlineStr">
        <is>
          <t>D145</t>
        </is>
      </c>
      <c r="D575" t="inlineStr">
        <is>
          <t>10000722</t>
        </is>
      </c>
      <c r="E575" t="inlineStr"/>
      <c r="F575" s="11" t="n">
        <v>98.43000000000001</v>
      </c>
      <c r="G575" t="inlineStr"/>
      <c r="I575" t="inlineStr">
        <is>
          <t>TN</t>
        </is>
      </c>
      <c r="J575" t="inlineStr"/>
      <c r="K575" t="inlineStr">
        <is>
          <t>20230501</t>
        </is>
      </c>
      <c r="L575" t="inlineStr">
        <is>
          <t>20250131</t>
        </is>
      </c>
    </row>
    <row r="576">
      <c r="A576" t="inlineStr">
        <is>
          <t>900002813</t>
        </is>
      </c>
      <c r="B576" t="inlineStr">
        <is>
          <t>DW70</t>
        </is>
      </c>
      <c r="C576" t="inlineStr">
        <is>
          <t>D145</t>
        </is>
      </c>
      <c r="D576" t="inlineStr">
        <is>
          <t>10257024</t>
        </is>
      </c>
      <c r="E576" t="inlineStr"/>
      <c r="F576" s="11" t="n">
        <v>115</v>
      </c>
      <c r="G576" t="inlineStr"/>
      <c r="I576" t="inlineStr">
        <is>
          <t>TN</t>
        </is>
      </c>
      <c r="J576" t="inlineStr"/>
      <c r="K576" t="inlineStr">
        <is>
          <t>20260330</t>
        </is>
      </c>
      <c r="L576" t="inlineStr">
        <is>
          <t>99991231</t>
        </is>
      </c>
    </row>
    <row r="577">
      <c r="A577" t="inlineStr">
        <is>
          <t>900002813</t>
        </is>
      </c>
      <c r="B577" t="inlineStr">
        <is>
          <t>DW70</t>
        </is>
      </c>
      <c r="C577" t="inlineStr">
        <is>
          <t>D681</t>
        </is>
      </c>
      <c r="D577" t="inlineStr">
        <is>
          <t>10000133</t>
        </is>
      </c>
      <c r="E577" t="inlineStr"/>
      <c r="F577" s="11" t="n">
        <v>100</v>
      </c>
      <c r="G577" t="inlineStr"/>
      <c r="I577" t="inlineStr">
        <is>
          <t>TN</t>
        </is>
      </c>
      <c r="J577" t="inlineStr"/>
      <c r="K577" t="inlineStr">
        <is>
          <t>20260330</t>
        </is>
      </c>
      <c r="L577" t="inlineStr">
        <is>
          <t>99991231</t>
        </is>
      </c>
    </row>
    <row r="578">
      <c r="A578" t="inlineStr">
        <is>
          <t>900002813</t>
        </is>
      </c>
      <c r="B578" t="inlineStr">
        <is>
          <t>DW70</t>
        </is>
      </c>
      <c r="C578" t="inlineStr">
        <is>
          <t>D681</t>
        </is>
      </c>
      <c r="D578" t="inlineStr">
        <is>
          <t>10000623</t>
        </is>
      </c>
      <c r="E578" t="inlineStr"/>
      <c r="F578" s="11" t="n">
        <v>110</v>
      </c>
      <c r="G578" t="inlineStr"/>
      <c r="I578" t="inlineStr">
        <is>
          <t>TN</t>
        </is>
      </c>
      <c r="J578" t="inlineStr"/>
      <c r="K578" t="inlineStr">
        <is>
          <t>20260330</t>
        </is>
      </c>
      <c r="L578" t="inlineStr">
        <is>
          <t>99991231</t>
        </is>
      </c>
    </row>
    <row r="579">
      <c r="A579" t="inlineStr">
        <is>
          <t>900002813</t>
        </is>
      </c>
      <c r="B579" t="inlineStr">
        <is>
          <t>DW70</t>
        </is>
      </c>
      <c r="C579" t="inlineStr">
        <is>
          <t>D681</t>
        </is>
      </c>
      <c r="D579" t="inlineStr">
        <is>
          <t>10257024</t>
        </is>
      </c>
      <c r="E579" t="inlineStr"/>
      <c r="F579" s="11" t="n">
        <v>115</v>
      </c>
      <c r="G579" t="inlineStr"/>
      <c r="I579" t="inlineStr">
        <is>
          <t>TN</t>
        </is>
      </c>
      <c r="J579" t="inlineStr"/>
      <c r="K579" t="inlineStr">
        <is>
          <t>20260330</t>
        </is>
      </c>
      <c r="L579" t="inlineStr">
        <is>
          <t>99991231</t>
        </is>
      </c>
    </row>
    <row r="580">
      <c r="A580" t="inlineStr">
        <is>
          <t>900003438</t>
        </is>
      </c>
      <c r="B580" t="inlineStr">
        <is>
          <t>DW70</t>
        </is>
      </c>
      <c r="C580" t="inlineStr">
        <is>
          <t>D074</t>
        </is>
      </c>
      <c r="D580" t="inlineStr">
        <is>
          <t>10000623</t>
        </is>
      </c>
      <c r="E580" t="inlineStr"/>
      <c r="F580" s="11" t="n">
        <v>109.94</v>
      </c>
      <c r="G580" t="inlineStr"/>
      <c r="I580" t="inlineStr">
        <is>
          <t>TN</t>
        </is>
      </c>
      <c r="J580" t="inlineStr"/>
      <c r="K580" t="inlineStr">
        <is>
          <t>20230501</t>
        </is>
      </c>
      <c r="L580" t="inlineStr">
        <is>
          <t>20250131</t>
        </is>
      </c>
    </row>
    <row r="581">
      <c r="A581" t="inlineStr">
        <is>
          <t>900003438</t>
        </is>
      </c>
      <c r="B581" t="inlineStr">
        <is>
          <t>DW70</t>
        </is>
      </c>
      <c r="C581" t="inlineStr">
        <is>
          <t>D074</t>
        </is>
      </c>
      <c r="D581" t="inlineStr">
        <is>
          <t>10000630</t>
        </is>
      </c>
      <c r="E581" t="inlineStr"/>
      <c r="F581" s="11" t="n">
        <v>110.72</v>
      </c>
      <c r="G581" t="inlineStr"/>
      <c r="I581" t="inlineStr">
        <is>
          <t>TN</t>
        </is>
      </c>
      <c r="J581" t="inlineStr"/>
      <c r="K581" t="inlineStr">
        <is>
          <t>20230501</t>
        </is>
      </c>
      <c r="L581" t="inlineStr">
        <is>
          <t>20250131</t>
        </is>
      </c>
    </row>
    <row r="582">
      <c r="A582" t="inlineStr">
        <is>
          <t>900003438</t>
        </is>
      </c>
      <c r="B582" t="inlineStr">
        <is>
          <t>DW70</t>
        </is>
      </c>
      <c r="C582" t="inlineStr">
        <is>
          <t>D074</t>
        </is>
      </c>
      <c r="D582" t="inlineStr">
        <is>
          <t>10000811</t>
        </is>
      </c>
      <c r="E582" t="inlineStr"/>
      <c r="F582" s="11" t="n">
        <v>97.44</v>
      </c>
      <c r="G582" t="inlineStr"/>
      <c r="I582" t="inlineStr">
        <is>
          <t>TN</t>
        </is>
      </c>
      <c r="J582" t="inlineStr"/>
      <c r="K582" t="inlineStr">
        <is>
          <t>20230501</t>
        </is>
      </c>
      <c r="L582" t="inlineStr">
        <is>
          <t>20250131</t>
        </is>
      </c>
    </row>
    <row r="583">
      <c r="A583" t="inlineStr">
        <is>
          <t>900003438</t>
        </is>
      </c>
      <c r="B583" t="inlineStr">
        <is>
          <t>DW70</t>
        </is>
      </c>
      <c r="C583" t="inlineStr">
        <is>
          <t>D074</t>
        </is>
      </c>
      <c r="D583" t="inlineStr">
        <is>
          <t>10002802</t>
        </is>
      </c>
      <c r="E583" t="inlineStr"/>
      <c r="F583" s="11" t="n">
        <v>92.28</v>
      </c>
      <c r="G583" t="inlineStr"/>
      <c r="I583" t="inlineStr">
        <is>
          <t>TN</t>
        </is>
      </c>
      <c r="J583" t="inlineStr"/>
      <c r="K583" t="inlineStr">
        <is>
          <t>20250701</t>
        </is>
      </c>
      <c r="L583" t="inlineStr">
        <is>
          <t>20251031</t>
        </is>
      </c>
    </row>
    <row r="584">
      <c r="A584" t="inlineStr">
        <is>
          <t>900003438</t>
        </is>
      </c>
      <c r="B584" t="inlineStr">
        <is>
          <t>DW70</t>
        </is>
      </c>
      <c r="C584" t="inlineStr">
        <is>
          <t>D074</t>
        </is>
      </c>
      <c r="D584" t="inlineStr">
        <is>
          <t>10059180</t>
        </is>
      </c>
      <c r="E584" t="inlineStr"/>
      <c r="F584" s="11" t="n">
        <v>58.06</v>
      </c>
      <c r="G584" t="inlineStr"/>
      <c r="I584" t="inlineStr">
        <is>
          <t>TN</t>
        </is>
      </c>
      <c r="J584" t="inlineStr"/>
      <c r="K584" t="inlineStr">
        <is>
          <t>20230501</t>
        </is>
      </c>
      <c r="L584" t="inlineStr">
        <is>
          <t>20250131</t>
        </is>
      </c>
    </row>
    <row r="585">
      <c r="A585" t="inlineStr">
        <is>
          <t>900003438</t>
        </is>
      </c>
      <c r="B585" t="inlineStr">
        <is>
          <t>DW70</t>
        </is>
      </c>
      <c r="C585" t="inlineStr">
        <is>
          <t>D075</t>
        </is>
      </c>
      <c r="D585" t="inlineStr">
        <is>
          <t>10000623</t>
        </is>
      </c>
      <c r="E585" t="inlineStr"/>
      <c r="F585" s="11" t="n">
        <v>109.94</v>
      </c>
      <c r="G585" t="inlineStr"/>
      <c r="I585" t="inlineStr">
        <is>
          <t>TN</t>
        </is>
      </c>
      <c r="J585" t="inlineStr"/>
      <c r="K585" t="inlineStr">
        <is>
          <t>20230501</t>
        </is>
      </c>
      <c r="L585" t="inlineStr">
        <is>
          <t>20250131</t>
        </is>
      </c>
    </row>
    <row r="586">
      <c r="A586" t="inlineStr">
        <is>
          <t>900003438</t>
        </is>
      </c>
      <c r="B586" t="inlineStr">
        <is>
          <t>DW70</t>
        </is>
      </c>
      <c r="C586" t="inlineStr">
        <is>
          <t>D075</t>
        </is>
      </c>
      <c r="D586" t="inlineStr">
        <is>
          <t>10000630</t>
        </is>
      </c>
      <c r="E586" t="inlineStr"/>
      <c r="F586" s="11" t="n">
        <v>110.72</v>
      </c>
      <c r="G586" t="inlineStr"/>
      <c r="I586" t="inlineStr">
        <is>
          <t>TN</t>
        </is>
      </c>
      <c r="J586" t="inlineStr"/>
      <c r="K586" t="inlineStr">
        <is>
          <t>20230501</t>
        </is>
      </c>
      <c r="L586" t="inlineStr">
        <is>
          <t>20250131</t>
        </is>
      </c>
    </row>
    <row r="587">
      <c r="A587" t="inlineStr">
        <is>
          <t>900003438</t>
        </is>
      </c>
      <c r="B587" t="inlineStr">
        <is>
          <t>DW70</t>
        </is>
      </c>
      <c r="C587" t="inlineStr">
        <is>
          <t>D075</t>
        </is>
      </c>
      <c r="D587" t="inlineStr">
        <is>
          <t>10000811</t>
        </is>
      </c>
      <c r="E587" t="inlineStr"/>
      <c r="F587" s="11" t="n">
        <v>97.44</v>
      </c>
      <c r="G587" t="inlineStr"/>
      <c r="I587" t="inlineStr">
        <is>
          <t>TN</t>
        </is>
      </c>
      <c r="J587" t="inlineStr"/>
      <c r="K587" t="inlineStr">
        <is>
          <t>20230501</t>
        </is>
      </c>
      <c r="L587" t="inlineStr">
        <is>
          <t>20250131</t>
        </is>
      </c>
    </row>
    <row r="588">
      <c r="A588" t="inlineStr">
        <is>
          <t>900003438</t>
        </is>
      </c>
      <c r="B588" t="inlineStr">
        <is>
          <t>DW70</t>
        </is>
      </c>
      <c r="C588" t="inlineStr">
        <is>
          <t>D075</t>
        </is>
      </c>
      <c r="D588" t="inlineStr">
        <is>
          <t>10002802</t>
        </is>
      </c>
      <c r="E588" t="inlineStr"/>
      <c r="F588" s="11" t="n">
        <v>92.28</v>
      </c>
      <c r="G588" t="inlineStr"/>
      <c r="I588" t="inlineStr">
        <is>
          <t>TN</t>
        </is>
      </c>
      <c r="J588" t="inlineStr"/>
      <c r="K588" t="inlineStr">
        <is>
          <t>20250701</t>
        </is>
      </c>
      <c r="L588" t="inlineStr">
        <is>
          <t>99991231</t>
        </is>
      </c>
    </row>
    <row r="589">
      <c r="A589" t="inlineStr">
        <is>
          <t>900003438</t>
        </is>
      </c>
      <c r="B589" t="inlineStr">
        <is>
          <t>DW70</t>
        </is>
      </c>
      <c r="C589" t="inlineStr">
        <is>
          <t>D075</t>
        </is>
      </c>
      <c r="D589" t="inlineStr">
        <is>
          <t>10059180</t>
        </is>
      </c>
      <c r="E589" t="inlineStr"/>
      <c r="F589" s="11" t="n">
        <v>58.06</v>
      </c>
      <c r="G589" t="inlineStr"/>
      <c r="I589" t="inlineStr">
        <is>
          <t>TN</t>
        </is>
      </c>
      <c r="J589" t="inlineStr"/>
      <c r="K589" t="inlineStr">
        <is>
          <t>20230501</t>
        </is>
      </c>
      <c r="L589" t="inlineStr">
        <is>
          <t>20250131</t>
        </is>
      </c>
    </row>
    <row r="590">
      <c r="A590" t="inlineStr">
        <is>
          <t>900003438</t>
        </is>
      </c>
      <c r="B590" t="inlineStr">
        <is>
          <t>DW70</t>
        </is>
      </c>
      <c r="C590" t="inlineStr">
        <is>
          <t>D077</t>
        </is>
      </c>
      <c r="D590" t="inlineStr">
        <is>
          <t>10000623</t>
        </is>
      </c>
      <c r="E590" t="inlineStr"/>
      <c r="F590" s="11" t="n">
        <v>109.94</v>
      </c>
      <c r="G590" t="inlineStr"/>
      <c r="I590" t="inlineStr">
        <is>
          <t>TN</t>
        </is>
      </c>
      <c r="J590" t="inlineStr"/>
      <c r="K590" t="inlineStr">
        <is>
          <t>20230501</t>
        </is>
      </c>
      <c r="L590" t="inlineStr">
        <is>
          <t>20250131</t>
        </is>
      </c>
    </row>
    <row r="591">
      <c r="A591" t="inlineStr">
        <is>
          <t>900003438</t>
        </is>
      </c>
      <c r="B591" t="inlineStr">
        <is>
          <t>DW70</t>
        </is>
      </c>
      <c r="C591" t="inlineStr">
        <is>
          <t>D077</t>
        </is>
      </c>
      <c r="D591" t="inlineStr">
        <is>
          <t>10000630</t>
        </is>
      </c>
      <c r="E591" t="inlineStr"/>
      <c r="F591" s="11" t="n">
        <v>110.72</v>
      </c>
      <c r="G591" t="inlineStr"/>
      <c r="I591" t="inlineStr">
        <is>
          <t>TN</t>
        </is>
      </c>
      <c r="J591" t="inlineStr"/>
      <c r="K591" t="inlineStr">
        <is>
          <t>20230501</t>
        </is>
      </c>
      <c r="L591" t="inlineStr">
        <is>
          <t>20250131</t>
        </is>
      </c>
    </row>
    <row r="592">
      <c r="A592" t="inlineStr">
        <is>
          <t>900003438</t>
        </is>
      </c>
      <c r="B592" t="inlineStr">
        <is>
          <t>DW70</t>
        </is>
      </c>
      <c r="C592" t="inlineStr">
        <is>
          <t>D077</t>
        </is>
      </c>
      <c r="D592" t="inlineStr">
        <is>
          <t>10000811</t>
        </is>
      </c>
      <c r="E592" t="inlineStr"/>
      <c r="F592" s="11" t="n">
        <v>97.44</v>
      </c>
      <c r="G592" t="inlineStr"/>
      <c r="I592" t="inlineStr">
        <is>
          <t>TN</t>
        </is>
      </c>
      <c r="J592" t="inlineStr"/>
      <c r="K592" t="inlineStr">
        <is>
          <t>20230501</t>
        </is>
      </c>
      <c r="L592" t="inlineStr">
        <is>
          <t>20250131</t>
        </is>
      </c>
    </row>
    <row r="593">
      <c r="A593" t="inlineStr">
        <is>
          <t>900003438</t>
        </is>
      </c>
      <c r="B593" t="inlineStr">
        <is>
          <t>DW70</t>
        </is>
      </c>
      <c r="C593" t="inlineStr">
        <is>
          <t>D077</t>
        </is>
      </c>
      <c r="D593" t="inlineStr">
        <is>
          <t>10002802</t>
        </is>
      </c>
      <c r="E593" t="inlineStr"/>
      <c r="F593" s="11" t="n">
        <v>102.54</v>
      </c>
      <c r="G593" t="inlineStr"/>
      <c r="I593" t="inlineStr">
        <is>
          <t>TN</t>
        </is>
      </c>
      <c r="J593" t="inlineStr"/>
      <c r="K593" t="inlineStr">
        <is>
          <t>20250701</t>
        </is>
      </c>
      <c r="L593" t="inlineStr">
        <is>
          <t>20251031</t>
        </is>
      </c>
    </row>
    <row r="594">
      <c r="A594" t="inlineStr">
        <is>
          <t>900003438</t>
        </is>
      </c>
      <c r="B594" t="inlineStr">
        <is>
          <t>DW70</t>
        </is>
      </c>
      <c r="C594" t="inlineStr">
        <is>
          <t>D077</t>
        </is>
      </c>
      <c r="D594" t="inlineStr">
        <is>
          <t>10059180</t>
        </is>
      </c>
      <c r="E594" t="inlineStr"/>
      <c r="F594" s="11" t="n">
        <v>58.06</v>
      </c>
      <c r="G594" t="inlineStr"/>
      <c r="I594" t="inlineStr">
        <is>
          <t>TN</t>
        </is>
      </c>
      <c r="J594" t="inlineStr"/>
      <c r="K594" t="inlineStr">
        <is>
          <t>20230501</t>
        </is>
      </c>
      <c r="L594" t="inlineStr">
        <is>
          <t>20250131</t>
        </is>
      </c>
    </row>
    <row r="595">
      <c r="A595" t="inlineStr">
        <is>
          <t>900003438</t>
        </is>
      </c>
      <c r="B595" t="inlineStr">
        <is>
          <t>DW70</t>
        </is>
      </c>
      <c r="C595" t="inlineStr">
        <is>
          <t>D079</t>
        </is>
      </c>
      <c r="D595" t="inlineStr">
        <is>
          <t>10000623</t>
        </is>
      </c>
      <c r="E595" t="inlineStr"/>
      <c r="F595" s="11" t="n">
        <v>109.94</v>
      </c>
      <c r="G595" t="inlineStr"/>
      <c r="I595" t="inlineStr">
        <is>
          <t>TN</t>
        </is>
      </c>
      <c r="J595" t="inlineStr"/>
      <c r="K595" t="inlineStr">
        <is>
          <t>20230501</t>
        </is>
      </c>
      <c r="L595" t="inlineStr">
        <is>
          <t>20250131</t>
        </is>
      </c>
    </row>
    <row r="596">
      <c r="A596" t="inlineStr">
        <is>
          <t>900003438</t>
        </is>
      </c>
      <c r="B596" t="inlineStr">
        <is>
          <t>DW70</t>
        </is>
      </c>
      <c r="C596" t="inlineStr">
        <is>
          <t>D079</t>
        </is>
      </c>
      <c r="D596" t="inlineStr">
        <is>
          <t>10000630</t>
        </is>
      </c>
      <c r="E596" t="inlineStr"/>
      <c r="F596" s="11" t="n">
        <v>110.72</v>
      </c>
      <c r="G596" t="inlineStr"/>
      <c r="I596" t="inlineStr">
        <is>
          <t>TN</t>
        </is>
      </c>
      <c r="J596" t="inlineStr"/>
      <c r="K596" t="inlineStr">
        <is>
          <t>20230501</t>
        </is>
      </c>
      <c r="L596" t="inlineStr">
        <is>
          <t>20250131</t>
        </is>
      </c>
    </row>
    <row r="597">
      <c r="A597" t="inlineStr">
        <is>
          <t>900003438</t>
        </is>
      </c>
      <c r="B597" t="inlineStr">
        <is>
          <t>DW70</t>
        </is>
      </c>
      <c r="C597" t="inlineStr">
        <is>
          <t>D079</t>
        </is>
      </c>
      <c r="D597" t="inlineStr">
        <is>
          <t>10000811</t>
        </is>
      </c>
      <c r="E597" t="inlineStr"/>
      <c r="F597" s="11" t="n">
        <v>97.44</v>
      </c>
      <c r="G597" t="inlineStr"/>
      <c r="I597" t="inlineStr">
        <is>
          <t>TN</t>
        </is>
      </c>
      <c r="J597" t="inlineStr"/>
      <c r="K597" t="inlineStr">
        <is>
          <t>20230501</t>
        </is>
      </c>
      <c r="L597" t="inlineStr">
        <is>
          <t>20250131</t>
        </is>
      </c>
    </row>
    <row r="598">
      <c r="A598" t="inlineStr">
        <is>
          <t>900003438</t>
        </is>
      </c>
      <c r="B598" t="inlineStr">
        <is>
          <t>DW70</t>
        </is>
      </c>
      <c r="C598" t="inlineStr">
        <is>
          <t>D079</t>
        </is>
      </c>
      <c r="D598" t="inlineStr">
        <is>
          <t>10002802</t>
        </is>
      </c>
      <c r="E598" t="inlineStr"/>
      <c r="F598" s="11" t="n">
        <v>92.28</v>
      </c>
      <c r="G598" t="inlineStr"/>
      <c r="I598" t="inlineStr">
        <is>
          <t>TN</t>
        </is>
      </c>
      <c r="J598" t="inlineStr"/>
      <c r="K598" t="inlineStr">
        <is>
          <t>20250701</t>
        </is>
      </c>
      <c r="L598" t="inlineStr">
        <is>
          <t>20251031</t>
        </is>
      </c>
    </row>
    <row r="599">
      <c r="A599" t="inlineStr">
        <is>
          <t>900003438</t>
        </is>
      </c>
      <c r="B599" t="inlineStr">
        <is>
          <t>DW70</t>
        </is>
      </c>
      <c r="C599" t="inlineStr">
        <is>
          <t>D079</t>
        </is>
      </c>
      <c r="D599" t="inlineStr">
        <is>
          <t>10059180</t>
        </is>
      </c>
      <c r="E599" t="inlineStr"/>
      <c r="F599" s="11" t="n">
        <v>58.06</v>
      </c>
      <c r="G599" t="inlineStr"/>
      <c r="I599" t="inlineStr">
        <is>
          <t>TN</t>
        </is>
      </c>
      <c r="J599" t="inlineStr"/>
      <c r="K599" t="inlineStr">
        <is>
          <t>20230501</t>
        </is>
      </c>
      <c r="L599" t="inlineStr">
        <is>
          <t>20250131</t>
        </is>
      </c>
    </row>
    <row r="600">
      <c r="A600" t="inlineStr">
        <is>
          <t>900003438</t>
        </is>
      </c>
      <c r="B600" t="inlineStr">
        <is>
          <t>DW70</t>
        </is>
      </c>
      <c r="C600" t="inlineStr">
        <is>
          <t>D080</t>
        </is>
      </c>
      <c r="D600" t="inlineStr">
        <is>
          <t>10000623</t>
        </is>
      </c>
      <c r="E600" t="inlineStr"/>
      <c r="F600" s="11" t="n">
        <v>109.94</v>
      </c>
      <c r="G600" t="inlineStr"/>
      <c r="I600" t="inlineStr">
        <is>
          <t>TN</t>
        </is>
      </c>
      <c r="J600" t="inlineStr"/>
      <c r="K600" t="inlineStr">
        <is>
          <t>20230501</t>
        </is>
      </c>
      <c r="L600" t="inlineStr">
        <is>
          <t>20250131</t>
        </is>
      </c>
    </row>
    <row r="601">
      <c r="A601" t="inlineStr">
        <is>
          <t>900003438</t>
        </is>
      </c>
      <c r="B601" t="inlineStr">
        <is>
          <t>DW70</t>
        </is>
      </c>
      <c r="C601" t="inlineStr">
        <is>
          <t>D080</t>
        </is>
      </c>
      <c r="D601" t="inlineStr">
        <is>
          <t>10000630</t>
        </is>
      </c>
      <c r="E601" t="inlineStr"/>
      <c r="F601" s="11" t="n">
        <v>110.72</v>
      </c>
      <c r="G601" t="inlineStr"/>
      <c r="I601" t="inlineStr">
        <is>
          <t>TN</t>
        </is>
      </c>
      <c r="J601" t="inlineStr"/>
      <c r="K601" t="inlineStr">
        <is>
          <t>20230501</t>
        </is>
      </c>
      <c r="L601" t="inlineStr">
        <is>
          <t>20250131</t>
        </is>
      </c>
    </row>
    <row r="602">
      <c r="A602" t="inlineStr">
        <is>
          <t>900003438</t>
        </is>
      </c>
      <c r="B602" t="inlineStr">
        <is>
          <t>DW70</t>
        </is>
      </c>
      <c r="C602" t="inlineStr">
        <is>
          <t>D080</t>
        </is>
      </c>
      <c r="D602" t="inlineStr">
        <is>
          <t>10000811</t>
        </is>
      </c>
      <c r="E602" t="inlineStr"/>
      <c r="F602" s="11" t="n">
        <v>97.44</v>
      </c>
      <c r="G602" t="inlineStr"/>
      <c r="I602" t="inlineStr">
        <is>
          <t>TN</t>
        </is>
      </c>
      <c r="J602" t="inlineStr"/>
      <c r="K602" t="inlineStr">
        <is>
          <t>20230501</t>
        </is>
      </c>
      <c r="L602" t="inlineStr">
        <is>
          <t>20250131</t>
        </is>
      </c>
    </row>
    <row r="603">
      <c r="A603" t="inlineStr">
        <is>
          <t>900003438</t>
        </is>
      </c>
      <c r="B603" t="inlineStr">
        <is>
          <t>DW70</t>
        </is>
      </c>
      <c r="C603" t="inlineStr">
        <is>
          <t>D080</t>
        </is>
      </c>
      <c r="D603" t="inlineStr">
        <is>
          <t>10002802</t>
        </is>
      </c>
      <c r="E603" t="inlineStr"/>
      <c r="F603" s="11" t="n">
        <v>92.28</v>
      </c>
      <c r="G603" t="inlineStr"/>
      <c r="I603" t="inlineStr">
        <is>
          <t>TN</t>
        </is>
      </c>
      <c r="J603" t="inlineStr"/>
      <c r="K603" t="inlineStr">
        <is>
          <t>20250701</t>
        </is>
      </c>
      <c r="L603" t="inlineStr">
        <is>
          <t>99991231</t>
        </is>
      </c>
    </row>
    <row r="604">
      <c r="A604" t="inlineStr">
        <is>
          <t>900003438</t>
        </is>
      </c>
      <c r="B604" t="inlineStr">
        <is>
          <t>DW70</t>
        </is>
      </c>
      <c r="C604" t="inlineStr">
        <is>
          <t>D080</t>
        </is>
      </c>
      <c r="D604" t="inlineStr">
        <is>
          <t>10059180</t>
        </is>
      </c>
      <c r="E604" t="inlineStr"/>
      <c r="F604" s="11" t="n">
        <v>58.06</v>
      </c>
      <c r="G604" t="inlineStr"/>
      <c r="I604" t="inlineStr">
        <is>
          <t>TN</t>
        </is>
      </c>
      <c r="J604" t="inlineStr"/>
      <c r="K604" t="inlineStr">
        <is>
          <t>20230501</t>
        </is>
      </c>
      <c r="L604" t="inlineStr">
        <is>
          <t>20250131</t>
        </is>
      </c>
    </row>
    <row r="605">
      <c r="A605" t="inlineStr">
        <is>
          <t>900003438</t>
        </is>
      </c>
      <c r="B605" t="inlineStr">
        <is>
          <t>DW70</t>
        </is>
      </c>
      <c r="C605" t="inlineStr">
        <is>
          <t>D081</t>
        </is>
      </c>
      <c r="D605" t="inlineStr">
        <is>
          <t>10000104</t>
        </is>
      </c>
      <c r="E605" t="inlineStr"/>
      <c r="F605" s="11" t="n">
        <v>76.87</v>
      </c>
      <c r="G605" t="inlineStr"/>
      <c r="I605" t="inlineStr">
        <is>
          <t>TN</t>
        </is>
      </c>
      <c r="J605" t="inlineStr"/>
      <c r="K605" t="inlineStr">
        <is>
          <t>20230501</t>
        </is>
      </c>
      <c r="L605" t="inlineStr">
        <is>
          <t>20250131</t>
        </is>
      </c>
    </row>
    <row r="606">
      <c r="A606" t="inlineStr">
        <is>
          <t>900003438</t>
        </is>
      </c>
      <c r="B606" t="inlineStr">
        <is>
          <t>DW70</t>
        </is>
      </c>
      <c r="C606" t="inlineStr">
        <is>
          <t>D081</t>
        </is>
      </c>
      <c r="D606" t="inlineStr">
        <is>
          <t>10000436</t>
        </is>
      </c>
      <c r="E606" t="inlineStr"/>
      <c r="F606" s="11" t="n">
        <v>1897.5</v>
      </c>
      <c r="G606" t="inlineStr"/>
      <c r="I606" t="inlineStr">
        <is>
          <t>TN</t>
        </is>
      </c>
      <c r="J606" t="inlineStr"/>
      <c r="K606" t="inlineStr">
        <is>
          <t>20230501</t>
        </is>
      </c>
      <c r="L606" t="inlineStr">
        <is>
          <t>20250131</t>
        </is>
      </c>
    </row>
    <row r="607">
      <c r="A607" t="inlineStr">
        <is>
          <t>900003438</t>
        </is>
      </c>
      <c r="B607" t="inlineStr">
        <is>
          <t>DW70</t>
        </is>
      </c>
      <c r="C607" t="inlineStr">
        <is>
          <t>D081</t>
        </is>
      </c>
      <c r="D607" t="inlineStr">
        <is>
          <t>10000623</t>
        </is>
      </c>
      <c r="E607" t="inlineStr"/>
      <c r="F607" s="11" t="n">
        <v>109.94</v>
      </c>
      <c r="G607" t="inlineStr"/>
      <c r="I607" t="inlineStr">
        <is>
          <t>TN</t>
        </is>
      </c>
      <c r="J607" t="inlineStr"/>
      <c r="K607" t="inlineStr">
        <is>
          <t>20230501</t>
        </is>
      </c>
      <c r="L607" t="inlineStr">
        <is>
          <t>20250131</t>
        </is>
      </c>
    </row>
    <row r="608">
      <c r="A608" t="inlineStr">
        <is>
          <t>900003438</t>
        </is>
      </c>
      <c r="B608" t="inlineStr">
        <is>
          <t>DW70</t>
        </is>
      </c>
      <c r="C608" t="inlineStr">
        <is>
          <t>D081</t>
        </is>
      </c>
      <c r="D608" t="inlineStr">
        <is>
          <t>10000630</t>
        </is>
      </c>
      <c r="E608" t="inlineStr"/>
      <c r="F608" s="11" t="n">
        <v>110.72</v>
      </c>
      <c r="G608" t="inlineStr"/>
      <c r="I608" t="inlineStr">
        <is>
          <t>TN</t>
        </is>
      </c>
      <c r="J608" t="inlineStr"/>
      <c r="K608" t="inlineStr">
        <is>
          <t>20230501</t>
        </is>
      </c>
      <c r="L608" t="inlineStr">
        <is>
          <t>20250131</t>
        </is>
      </c>
    </row>
    <row r="609">
      <c r="A609" t="inlineStr">
        <is>
          <t>900003438</t>
        </is>
      </c>
      <c r="B609" t="inlineStr">
        <is>
          <t>DW70</t>
        </is>
      </c>
      <c r="C609" t="inlineStr">
        <is>
          <t>D081</t>
        </is>
      </c>
      <c r="D609" t="inlineStr">
        <is>
          <t>10000811</t>
        </is>
      </c>
      <c r="E609" t="inlineStr"/>
      <c r="F609" s="11" t="n">
        <v>138.22</v>
      </c>
      <c r="G609" t="inlineStr"/>
      <c r="I609" t="inlineStr">
        <is>
          <t>TN</t>
        </is>
      </c>
      <c r="J609" t="inlineStr"/>
      <c r="K609" t="inlineStr">
        <is>
          <t>20260819</t>
        </is>
      </c>
      <c r="L609" t="inlineStr">
        <is>
          <t>99991231</t>
        </is>
      </c>
    </row>
    <row r="610">
      <c r="A610" t="inlineStr">
        <is>
          <t>900003438</t>
        </is>
      </c>
      <c r="B610" t="inlineStr">
        <is>
          <t>DW70</t>
        </is>
      </c>
      <c r="C610" t="inlineStr">
        <is>
          <t>D081</t>
        </is>
      </c>
      <c r="D610" t="inlineStr">
        <is>
          <t>10002802</t>
        </is>
      </c>
      <c r="E610" t="inlineStr"/>
      <c r="F610" s="11" t="n">
        <v>102.54</v>
      </c>
      <c r="G610" t="inlineStr"/>
      <c r="I610" t="inlineStr">
        <is>
          <t>TN</t>
        </is>
      </c>
      <c r="J610" t="inlineStr"/>
      <c r="K610" t="inlineStr">
        <is>
          <t>20250701</t>
        </is>
      </c>
      <c r="L610" t="inlineStr">
        <is>
          <t>20251031</t>
        </is>
      </c>
    </row>
    <row r="611">
      <c r="A611" t="inlineStr">
        <is>
          <t>900003438</t>
        </is>
      </c>
      <c r="B611" t="inlineStr">
        <is>
          <t>DW70</t>
        </is>
      </c>
      <c r="C611" t="inlineStr">
        <is>
          <t>D081</t>
        </is>
      </c>
      <c r="D611" t="inlineStr">
        <is>
          <t>10017387</t>
        </is>
      </c>
      <c r="E611" t="inlineStr"/>
      <c r="F611" s="11" t="n">
        <v>2105.26</v>
      </c>
      <c r="G611" t="inlineStr"/>
      <c r="I611" t="inlineStr">
        <is>
          <t>TN</t>
        </is>
      </c>
      <c r="J611" t="inlineStr"/>
      <c r="K611" t="inlineStr">
        <is>
          <t>20230501</t>
        </is>
      </c>
      <c r="L611" t="inlineStr">
        <is>
          <t>20250131</t>
        </is>
      </c>
    </row>
    <row r="612">
      <c r="A612" t="inlineStr">
        <is>
          <t>900003438</t>
        </is>
      </c>
      <c r="B612" t="inlineStr">
        <is>
          <t>DW70</t>
        </is>
      </c>
      <c r="C612" t="inlineStr">
        <is>
          <t>D081</t>
        </is>
      </c>
      <c r="D612" t="inlineStr">
        <is>
          <t>10017461</t>
        </is>
      </c>
      <c r="E612" t="inlineStr"/>
      <c r="F612" s="11" t="n">
        <v>1289.47</v>
      </c>
      <c r="G612" t="inlineStr"/>
      <c r="I612" t="inlineStr">
        <is>
          <t>TN</t>
        </is>
      </c>
      <c r="J612" t="inlineStr"/>
      <c r="K612" t="inlineStr">
        <is>
          <t>20230501</t>
        </is>
      </c>
      <c r="L612" t="inlineStr">
        <is>
          <t>20250131</t>
        </is>
      </c>
    </row>
    <row r="613">
      <c r="A613" t="inlineStr">
        <is>
          <t>900003438</t>
        </is>
      </c>
      <c r="B613" t="inlineStr">
        <is>
          <t>DW70</t>
        </is>
      </c>
      <c r="C613" t="inlineStr">
        <is>
          <t>D081</t>
        </is>
      </c>
      <c r="D613" t="inlineStr">
        <is>
          <t>10059180</t>
        </is>
      </c>
      <c r="E613" t="inlineStr"/>
      <c r="F613" s="11" t="n">
        <v>58.06</v>
      </c>
      <c r="G613" t="inlineStr"/>
      <c r="I613" t="inlineStr">
        <is>
          <t>TN</t>
        </is>
      </c>
      <c r="J613" t="inlineStr"/>
      <c r="K613" t="inlineStr">
        <is>
          <t>20230501</t>
        </is>
      </c>
      <c r="L613" t="inlineStr">
        <is>
          <t>20250131</t>
        </is>
      </c>
    </row>
    <row r="614">
      <c r="A614" t="inlineStr">
        <is>
          <t>900003438</t>
        </is>
      </c>
      <c r="B614" t="inlineStr">
        <is>
          <t>DW70</t>
        </is>
      </c>
      <c r="C614" t="inlineStr">
        <is>
          <t>D083</t>
        </is>
      </c>
      <c r="D614" t="inlineStr">
        <is>
          <t>10000104</t>
        </is>
      </c>
      <c r="E614" t="inlineStr"/>
      <c r="F614" s="11" t="n">
        <v>73.39</v>
      </c>
      <c r="G614" t="inlineStr"/>
      <c r="I614" t="inlineStr">
        <is>
          <t>TN</t>
        </is>
      </c>
      <c r="J614" t="inlineStr"/>
      <c r="K614" t="inlineStr">
        <is>
          <t>20230501</t>
        </is>
      </c>
      <c r="L614" t="inlineStr">
        <is>
          <t>20250131</t>
        </is>
      </c>
    </row>
    <row r="615">
      <c r="A615" t="inlineStr">
        <is>
          <t>900003438</t>
        </is>
      </c>
      <c r="B615" t="inlineStr">
        <is>
          <t>DW70</t>
        </is>
      </c>
      <c r="C615" t="inlineStr">
        <is>
          <t>D083</t>
        </is>
      </c>
      <c r="D615" t="inlineStr">
        <is>
          <t>10000623</t>
        </is>
      </c>
      <c r="E615" t="inlineStr"/>
      <c r="F615" s="11" t="n">
        <v>109.94</v>
      </c>
      <c r="G615" t="inlineStr"/>
      <c r="I615" t="inlineStr">
        <is>
          <t>TN</t>
        </is>
      </c>
      <c r="J615" t="inlineStr"/>
      <c r="K615" t="inlineStr">
        <is>
          <t>20230501</t>
        </is>
      </c>
      <c r="L615" t="inlineStr">
        <is>
          <t>20250131</t>
        </is>
      </c>
    </row>
    <row r="616">
      <c r="A616" t="inlineStr">
        <is>
          <t>900003438</t>
        </is>
      </c>
      <c r="B616" t="inlineStr">
        <is>
          <t>DW70</t>
        </is>
      </c>
      <c r="C616" t="inlineStr">
        <is>
          <t>D083</t>
        </is>
      </c>
      <c r="D616" t="inlineStr">
        <is>
          <t>10000630</t>
        </is>
      </c>
      <c r="E616" t="inlineStr"/>
      <c r="F616" s="11" t="n">
        <v>110.72</v>
      </c>
      <c r="G616" t="inlineStr"/>
      <c r="I616" t="inlineStr">
        <is>
          <t>TN</t>
        </is>
      </c>
      <c r="J616" t="inlineStr"/>
      <c r="K616" t="inlineStr">
        <is>
          <t>20230501</t>
        </is>
      </c>
      <c r="L616" t="inlineStr">
        <is>
          <t>20250131</t>
        </is>
      </c>
    </row>
    <row r="617">
      <c r="A617" t="inlineStr">
        <is>
          <t>900003438</t>
        </is>
      </c>
      <c r="B617" t="inlineStr">
        <is>
          <t>DW70</t>
        </is>
      </c>
      <c r="C617" t="inlineStr">
        <is>
          <t>D083</t>
        </is>
      </c>
      <c r="D617" t="inlineStr">
        <is>
          <t>10000811</t>
        </is>
      </c>
      <c r="E617" t="inlineStr"/>
      <c r="F617" s="11" t="n">
        <v>97.44</v>
      </c>
      <c r="G617" t="inlineStr"/>
      <c r="I617" t="inlineStr">
        <is>
          <t>TN</t>
        </is>
      </c>
      <c r="J617" t="inlineStr"/>
      <c r="K617" t="inlineStr">
        <is>
          <t>20230501</t>
        </is>
      </c>
      <c r="L617" t="inlineStr">
        <is>
          <t>20250131</t>
        </is>
      </c>
    </row>
    <row r="618">
      <c r="A618" t="inlineStr">
        <is>
          <t>900003438</t>
        </is>
      </c>
      <c r="B618" t="inlineStr">
        <is>
          <t>DW70</t>
        </is>
      </c>
      <c r="C618" t="inlineStr">
        <is>
          <t>D083</t>
        </is>
      </c>
      <c r="D618" t="inlineStr">
        <is>
          <t>10002802</t>
        </is>
      </c>
      <c r="E618" t="inlineStr"/>
      <c r="F618" s="11" t="n">
        <v>102.54</v>
      </c>
      <c r="G618" t="inlineStr"/>
      <c r="I618" t="inlineStr">
        <is>
          <t>TN</t>
        </is>
      </c>
      <c r="J618" t="inlineStr"/>
      <c r="K618" t="inlineStr">
        <is>
          <t>20230501</t>
        </is>
      </c>
      <c r="L618" t="inlineStr">
        <is>
          <t>20250131</t>
        </is>
      </c>
    </row>
    <row r="619">
      <c r="A619" t="inlineStr">
        <is>
          <t>900003438</t>
        </is>
      </c>
      <c r="B619" t="inlineStr">
        <is>
          <t>DW70</t>
        </is>
      </c>
      <c r="C619" t="inlineStr">
        <is>
          <t>D083</t>
        </is>
      </c>
      <c r="D619" t="inlineStr">
        <is>
          <t>10059180</t>
        </is>
      </c>
      <c r="E619" t="inlineStr"/>
      <c r="F619" s="11" t="n">
        <v>58.06</v>
      </c>
      <c r="G619" t="inlineStr"/>
      <c r="I619" t="inlineStr">
        <is>
          <t>TN</t>
        </is>
      </c>
      <c r="J619" t="inlineStr"/>
      <c r="K619" t="inlineStr">
        <is>
          <t>20230501</t>
        </is>
      </c>
      <c r="L619" t="inlineStr">
        <is>
          <t>20250131</t>
        </is>
      </c>
    </row>
    <row r="620">
      <c r="A620" t="inlineStr">
        <is>
          <t>900003438</t>
        </is>
      </c>
      <c r="B620" t="inlineStr">
        <is>
          <t>DW70</t>
        </is>
      </c>
      <c r="C620" t="inlineStr">
        <is>
          <t>D084</t>
        </is>
      </c>
      <c r="D620" t="inlineStr">
        <is>
          <t>10000623</t>
        </is>
      </c>
      <c r="E620" t="inlineStr"/>
      <c r="F620" s="11" t="n">
        <v>109.94</v>
      </c>
      <c r="G620" t="inlineStr"/>
      <c r="I620" t="inlineStr">
        <is>
          <t>TN</t>
        </is>
      </c>
      <c r="J620" t="inlineStr"/>
      <c r="K620" t="inlineStr">
        <is>
          <t>20230501</t>
        </is>
      </c>
      <c r="L620" t="inlineStr">
        <is>
          <t>20250131</t>
        </is>
      </c>
    </row>
    <row r="621">
      <c r="A621" t="inlineStr">
        <is>
          <t>900003438</t>
        </is>
      </c>
      <c r="B621" t="inlineStr">
        <is>
          <t>DW70</t>
        </is>
      </c>
      <c r="C621" t="inlineStr">
        <is>
          <t>D084</t>
        </is>
      </c>
      <c r="D621" t="inlineStr">
        <is>
          <t>10000630</t>
        </is>
      </c>
      <c r="E621" t="inlineStr"/>
      <c r="F621" s="11" t="n">
        <v>110.72</v>
      </c>
      <c r="G621" t="inlineStr"/>
      <c r="I621" t="inlineStr">
        <is>
          <t>TN</t>
        </is>
      </c>
      <c r="J621" t="inlineStr"/>
      <c r="K621" t="inlineStr">
        <is>
          <t>20230501</t>
        </is>
      </c>
      <c r="L621" t="inlineStr">
        <is>
          <t>20250131</t>
        </is>
      </c>
    </row>
    <row r="622">
      <c r="A622" t="inlineStr">
        <is>
          <t>900003438</t>
        </is>
      </c>
      <c r="B622" t="inlineStr">
        <is>
          <t>DW70</t>
        </is>
      </c>
      <c r="C622" t="inlineStr">
        <is>
          <t>D084</t>
        </is>
      </c>
      <c r="D622" t="inlineStr">
        <is>
          <t>10000811</t>
        </is>
      </c>
      <c r="E622" t="inlineStr"/>
      <c r="F622" s="11" t="n">
        <v>97.44</v>
      </c>
      <c r="G622" t="inlineStr"/>
      <c r="I622" t="inlineStr">
        <is>
          <t>TN</t>
        </is>
      </c>
      <c r="J622" t="inlineStr"/>
      <c r="K622" t="inlineStr">
        <is>
          <t>20230501</t>
        </is>
      </c>
      <c r="L622" t="inlineStr">
        <is>
          <t>20250131</t>
        </is>
      </c>
    </row>
    <row r="623">
      <c r="A623" t="inlineStr">
        <is>
          <t>900003438</t>
        </is>
      </c>
      <c r="B623" t="inlineStr">
        <is>
          <t>DW70</t>
        </is>
      </c>
      <c r="C623" t="inlineStr">
        <is>
          <t>D084</t>
        </is>
      </c>
      <c r="D623" t="inlineStr">
        <is>
          <t>10002802</t>
        </is>
      </c>
      <c r="E623" t="inlineStr"/>
      <c r="F623" s="11" t="n">
        <v>92.28</v>
      </c>
      <c r="G623" t="inlineStr"/>
      <c r="I623" t="inlineStr">
        <is>
          <t>TN</t>
        </is>
      </c>
      <c r="J623" t="inlineStr"/>
      <c r="K623" t="inlineStr">
        <is>
          <t>20250701</t>
        </is>
      </c>
      <c r="L623" t="inlineStr">
        <is>
          <t>20251031</t>
        </is>
      </c>
    </row>
    <row r="624">
      <c r="A624" t="inlineStr">
        <is>
          <t>900003438</t>
        </is>
      </c>
      <c r="B624" t="inlineStr">
        <is>
          <t>DW70</t>
        </is>
      </c>
      <c r="C624" t="inlineStr">
        <is>
          <t>D084</t>
        </is>
      </c>
      <c r="D624" t="inlineStr">
        <is>
          <t>10059180</t>
        </is>
      </c>
      <c r="E624" t="inlineStr"/>
      <c r="F624" s="11" t="n">
        <v>58.06</v>
      </c>
      <c r="G624" t="inlineStr"/>
      <c r="I624" t="inlineStr">
        <is>
          <t>TN</t>
        </is>
      </c>
      <c r="J624" t="inlineStr"/>
      <c r="K624" t="inlineStr">
        <is>
          <t>20230501</t>
        </is>
      </c>
      <c r="L624" t="inlineStr">
        <is>
          <t>20250131</t>
        </is>
      </c>
    </row>
    <row r="625">
      <c r="A625" t="inlineStr">
        <is>
          <t>900003438</t>
        </is>
      </c>
      <c r="B625" t="inlineStr">
        <is>
          <t>DW70</t>
        </is>
      </c>
      <c r="C625" t="inlineStr">
        <is>
          <t>D085</t>
        </is>
      </c>
      <c r="D625" t="inlineStr">
        <is>
          <t>10000623</t>
        </is>
      </c>
      <c r="E625" t="inlineStr"/>
      <c r="F625" s="11" t="n">
        <v>109.94</v>
      </c>
      <c r="G625" t="inlineStr"/>
      <c r="I625" t="inlineStr">
        <is>
          <t>TN</t>
        </is>
      </c>
      <c r="J625" t="inlineStr"/>
      <c r="K625" t="inlineStr">
        <is>
          <t>20230501</t>
        </is>
      </c>
      <c r="L625" t="inlineStr">
        <is>
          <t>20250131</t>
        </is>
      </c>
    </row>
    <row r="626">
      <c r="A626" t="inlineStr">
        <is>
          <t>900003438</t>
        </is>
      </c>
      <c r="B626" t="inlineStr">
        <is>
          <t>DW70</t>
        </is>
      </c>
      <c r="C626" t="inlineStr">
        <is>
          <t>D085</t>
        </is>
      </c>
      <c r="D626" t="inlineStr">
        <is>
          <t>10000630</t>
        </is>
      </c>
      <c r="E626" t="inlineStr"/>
      <c r="F626" s="11" t="n">
        <v>110.72</v>
      </c>
      <c r="G626" t="inlineStr"/>
      <c r="I626" t="inlineStr">
        <is>
          <t>TN</t>
        </is>
      </c>
      <c r="J626" t="inlineStr"/>
      <c r="K626" t="inlineStr">
        <is>
          <t>20230501</t>
        </is>
      </c>
      <c r="L626" t="inlineStr">
        <is>
          <t>20250131</t>
        </is>
      </c>
    </row>
    <row r="627">
      <c r="A627" t="inlineStr">
        <is>
          <t>900003438</t>
        </is>
      </c>
      <c r="B627" t="inlineStr">
        <is>
          <t>DW70</t>
        </is>
      </c>
      <c r="C627" t="inlineStr">
        <is>
          <t>D085</t>
        </is>
      </c>
      <c r="D627" t="inlineStr">
        <is>
          <t>10000811</t>
        </is>
      </c>
      <c r="E627" t="inlineStr"/>
      <c r="F627" s="11" t="n">
        <v>97.44</v>
      </c>
      <c r="G627" t="inlineStr"/>
      <c r="I627" t="inlineStr">
        <is>
          <t>TN</t>
        </is>
      </c>
      <c r="J627" t="inlineStr"/>
      <c r="K627" t="inlineStr">
        <is>
          <t>20230501</t>
        </is>
      </c>
      <c r="L627" t="inlineStr">
        <is>
          <t>20250131</t>
        </is>
      </c>
    </row>
    <row r="628">
      <c r="A628" t="inlineStr">
        <is>
          <t>900003438</t>
        </is>
      </c>
      <c r="B628" t="inlineStr">
        <is>
          <t>DW70</t>
        </is>
      </c>
      <c r="C628" t="inlineStr">
        <is>
          <t>D085</t>
        </is>
      </c>
      <c r="D628" t="inlineStr">
        <is>
          <t>10002802</t>
        </is>
      </c>
      <c r="E628" t="inlineStr"/>
      <c r="F628" s="11" t="n">
        <v>92.28</v>
      </c>
      <c r="G628" t="inlineStr"/>
      <c r="I628" t="inlineStr">
        <is>
          <t>TN</t>
        </is>
      </c>
      <c r="J628" t="inlineStr"/>
      <c r="K628" t="inlineStr">
        <is>
          <t>20250701</t>
        </is>
      </c>
      <c r="L628" t="inlineStr">
        <is>
          <t>20251031</t>
        </is>
      </c>
    </row>
    <row r="629">
      <c r="A629" t="inlineStr">
        <is>
          <t>900003438</t>
        </is>
      </c>
      <c r="B629" t="inlineStr">
        <is>
          <t>DW70</t>
        </is>
      </c>
      <c r="C629" t="inlineStr">
        <is>
          <t>D085</t>
        </is>
      </c>
      <c r="D629" t="inlineStr">
        <is>
          <t>10059180</t>
        </is>
      </c>
      <c r="E629" t="inlineStr"/>
      <c r="F629" s="11" t="n">
        <v>58.06</v>
      </c>
      <c r="G629" t="inlineStr"/>
      <c r="I629" t="inlineStr">
        <is>
          <t>TN</t>
        </is>
      </c>
      <c r="J629" t="inlineStr"/>
      <c r="K629" t="inlineStr">
        <is>
          <t>20230501</t>
        </is>
      </c>
      <c r="L629" t="inlineStr">
        <is>
          <t>20250131</t>
        </is>
      </c>
    </row>
    <row r="630">
      <c r="A630" t="inlineStr">
        <is>
          <t>900003438</t>
        </is>
      </c>
      <c r="B630" t="inlineStr">
        <is>
          <t>DW70</t>
        </is>
      </c>
      <c r="C630" t="inlineStr">
        <is>
          <t>D086</t>
        </is>
      </c>
      <c r="D630" t="inlineStr">
        <is>
          <t>10000623</t>
        </is>
      </c>
      <c r="E630" t="inlineStr"/>
      <c r="F630" s="11" t="n">
        <v>109.94</v>
      </c>
      <c r="G630" t="inlineStr"/>
      <c r="I630" t="inlineStr">
        <is>
          <t>TN</t>
        </is>
      </c>
      <c r="J630" t="inlineStr"/>
      <c r="K630" t="inlineStr">
        <is>
          <t>20230501</t>
        </is>
      </c>
      <c r="L630" t="inlineStr">
        <is>
          <t>20250131</t>
        </is>
      </c>
    </row>
    <row r="631">
      <c r="A631" t="inlineStr">
        <is>
          <t>900003438</t>
        </is>
      </c>
      <c r="B631" t="inlineStr">
        <is>
          <t>DW70</t>
        </is>
      </c>
      <c r="C631" t="inlineStr">
        <is>
          <t>D086</t>
        </is>
      </c>
      <c r="D631" t="inlineStr">
        <is>
          <t>10000630</t>
        </is>
      </c>
      <c r="E631" t="inlineStr"/>
      <c r="F631" s="11" t="n">
        <v>110.72</v>
      </c>
      <c r="G631" t="inlineStr"/>
      <c r="I631" t="inlineStr">
        <is>
          <t>TN</t>
        </is>
      </c>
      <c r="J631" t="inlineStr"/>
      <c r="K631" t="inlineStr">
        <is>
          <t>20230501</t>
        </is>
      </c>
      <c r="L631" t="inlineStr">
        <is>
          <t>20250131</t>
        </is>
      </c>
    </row>
    <row r="632">
      <c r="A632" t="inlineStr">
        <is>
          <t>900003438</t>
        </is>
      </c>
      <c r="B632" t="inlineStr">
        <is>
          <t>DW70</t>
        </is>
      </c>
      <c r="C632" t="inlineStr">
        <is>
          <t>D086</t>
        </is>
      </c>
      <c r="D632" t="inlineStr">
        <is>
          <t>10000811</t>
        </is>
      </c>
      <c r="E632" t="inlineStr"/>
      <c r="F632" s="11" t="n">
        <v>138.22</v>
      </c>
      <c r="G632" t="inlineStr"/>
      <c r="I632" t="inlineStr">
        <is>
          <t>TN</t>
        </is>
      </c>
      <c r="J632" t="inlineStr"/>
      <c r="K632" t="inlineStr">
        <is>
          <t>20260819</t>
        </is>
      </c>
      <c r="L632" t="inlineStr">
        <is>
          <t>99991231</t>
        </is>
      </c>
    </row>
    <row r="633">
      <c r="A633" t="inlineStr">
        <is>
          <t>900003438</t>
        </is>
      </c>
      <c r="B633" t="inlineStr">
        <is>
          <t>DW70</t>
        </is>
      </c>
      <c r="C633" t="inlineStr">
        <is>
          <t>D086</t>
        </is>
      </c>
      <c r="D633" t="inlineStr">
        <is>
          <t>10002802</t>
        </is>
      </c>
      <c r="E633" t="inlineStr"/>
      <c r="F633" s="11" t="n">
        <v>102.54</v>
      </c>
      <c r="G633" t="inlineStr"/>
      <c r="I633" t="inlineStr">
        <is>
          <t>TN</t>
        </is>
      </c>
      <c r="J633" t="inlineStr"/>
      <c r="K633" t="inlineStr">
        <is>
          <t>20250701</t>
        </is>
      </c>
      <c r="L633" t="inlineStr">
        <is>
          <t>20251031</t>
        </is>
      </c>
    </row>
    <row r="634">
      <c r="A634" t="inlineStr">
        <is>
          <t>900003438</t>
        </is>
      </c>
      <c r="B634" t="inlineStr">
        <is>
          <t>DW70</t>
        </is>
      </c>
      <c r="C634" t="inlineStr">
        <is>
          <t>D086</t>
        </is>
      </c>
      <c r="D634" t="inlineStr">
        <is>
          <t>10059180</t>
        </is>
      </c>
      <c r="E634" t="inlineStr"/>
      <c r="F634" s="11" t="n">
        <v>58.06</v>
      </c>
      <c r="G634" t="inlineStr"/>
      <c r="I634" t="inlineStr">
        <is>
          <t>TN</t>
        </is>
      </c>
      <c r="J634" t="inlineStr"/>
      <c r="K634" t="inlineStr">
        <is>
          <t>20230501</t>
        </is>
      </c>
      <c r="L634" t="inlineStr">
        <is>
          <t>20250131</t>
        </is>
      </c>
    </row>
    <row r="635">
      <c r="A635" t="inlineStr">
        <is>
          <t>900003438</t>
        </is>
      </c>
      <c r="B635" t="inlineStr">
        <is>
          <t>DW70</t>
        </is>
      </c>
      <c r="C635" t="inlineStr">
        <is>
          <t>D088</t>
        </is>
      </c>
      <c r="D635" t="inlineStr">
        <is>
          <t>10000623</t>
        </is>
      </c>
      <c r="E635" t="inlineStr"/>
      <c r="F635" s="11" t="n">
        <v>95.73999999999999</v>
      </c>
      <c r="G635" t="inlineStr"/>
      <c r="I635" t="inlineStr">
        <is>
          <t>TN</t>
        </is>
      </c>
      <c r="J635" t="inlineStr"/>
      <c r="K635" t="inlineStr">
        <is>
          <t>20230501</t>
        </is>
      </c>
      <c r="L635" t="inlineStr">
        <is>
          <t>20250131</t>
        </is>
      </c>
    </row>
    <row r="636">
      <c r="A636" t="inlineStr">
        <is>
          <t>900003438</t>
        </is>
      </c>
      <c r="B636" t="inlineStr">
        <is>
          <t>DW70</t>
        </is>
      </c>
      <c r="C636" t="inlineStr">
        <is>
          <t>D088</t>
        </is>
      </c>
      <c r="D636" t="inlineStr">
        <is>
          <t>10000630</t>
        </is>
      </c>
      <c r="E636" t="inlineStr"/>
      <c r="F636" s="11" t="n">
        <v>96.43000000000001</v>
      </c>
      <c r="G636" t="inlineStr"/>
      <c r="I636" t="inlineStr">
        <is>
          <t>TN</t>
        </is>
      </c>
      <c r="J636" t="inlineStr"/>
      <c r="K636" t="inlineStr">
        <is>
          <t>20230501</t>
        </is>
      </c>
      <c r="L636" t="inlineStr">
        <is>
          <t>20250131</t>
        </is>
      </c>
    </row>
    <row r="637">
      <c r="A637" t="inlineStr">
        <is>
          <t>900003438</t>
        </is>
      </c>
      <c r="B637" t="inlineStr">
        <is>
          <t>DW70</t>
        </is>
      </c>
      <c r="C637" t="inlineStr">
        <is>
          <t>D088</t>
        </is>
      </c>
      <c r="D637" t="inlineStr">
        <is>
          <t>10000811</t>
        </is>
      </c>
      <c r="E637" t="inlineStr"/>
      <c r="F637" s="11" t="n">
        <v>97.44</v>
      </c>
      <c r="G637" t="inlineStr"/>
      <c r="I637" t="inlineStr">
        <is>
          <t>TN</t>
        </is>
      </c>
      <c r="J637" t="inlineStr"/>
      <c r="K637" t="inlineStr">
        <is>
          <t>20230501</t>
        </is>
      </c>
      <c r="L637" t="inlineStr">
        <is>
          <t>20250131</t>
        </is>
      </c>
    </row>
    <row r="638">
      <c r="A638" t="inlineStr">
        <is>
          <t>900003438</t>
        </is>
      </c>
      <c r="B638" t="inlineStr">
        <is>
          <t>DW70</t>
        </is>
      </c>
      <c r="C638" t="inlineStr">
        <is>
          <t>D088</t>
        </is>
      </c>
      <c r="D638" t="inlineStr">
        <is>
          <t>10059180</t>
        </is>
      </c>
      <c r="E638" t="inlineStr"/>
      <c r="F638" s="11" t="n">
        <v>58.06</v>
      </c>
      <c r="G638" t="inlineStr"/>
      <c r="I638" t="inlineStr">
        <is>
          <t>TN</t>
        </is>
      </c>
      <c r="J638" t="inlineStr"/>
      <c r="K638" t="inlineStr">
        <is>
          <t>20230501</t>
        </is>
      </c>
      <c r="L638" t="inlineStr">
        <is>
          <t>20250131</t>
        </is>
      </c>
    </row>
    <row r="639">
      <c r="A639" t="inlineStr">
        <is>
          <t>900003438</t>
        </is>
      </c>
      <c r="B639" t="inlineStr">
        <is>
          <t>DW70</t>
        </is>
      </c>
      <c r="C639" t="inlineStr">
        <is>
          <t>D093</t>
        </is>
      </c>
      <c r="D639" t="inlineStr">
        <is>
          <t>10000623</t>
        </is>
      </c>
      <c r="E639" t="inlineStr"/>
      <c r="F639" s="11" t="n">
        <v>109.94</v>
      </c>
      <c r="G639" t="inlineStr"/>
      <c r="I639" t="inlineStr">
        <is>
          <t>TN</t>
        </is>
      </c>
      <c r="J639" t="inlineStr"/>
      <c r="K639" t="inlineStr">
        <is>
          <t>20230501</t>
        </is>
      </c>
      <c r="L639" t="inlineStr">
        <is>
          <t>20250131</t>
        </is>
      </c>
    </row>
    <row r="640">
      <c r="A640" t="inlineStr">
        <is>
          <t>900003438</t>
        </is>
      </c>
      <c r="B640" t="inlineStr">
        <is>
          <t>DW70</t>
        </is>
      </c>
      <c r="C640" t="inlineStr">
        <is>
          <t>D093</t>
        </is>
      </c>
      <c r="D640" t="inlineStr">
        <is>
          <t>10000630</t>
        </is>
      </c>
      <c r="E640" t="inlineStr"/>
      <c r="F640" s="11" t="n">
        <v>110.72</v>
      </c>
      <c r="G640" t="inlineStr"/>
      <c r="I640" t="inlineStr">
        <is>
          <t>TN</t>
        </is>
      </c>
      <c r="J640" t="inlineStr"/>
      <c r="K640" t="inlineStr">
        <is>
          <t>20230501</t>
        </is>
      </c>
      <c r="L640" t="inlineStr">
        <is>
          <t>20250131</t>
        </is>
      </c>
    </row>
    <row r="641">
      <c r="A641" t="inlineStr">
        <is>
          <t>900003438</t>
        </is>
      </c>
      <c r="B641" t="inlineStr">
        <is>
          <t>DW70</t>
        </is>
      </c>
      <c r="C641" t="inlineStr">
        <is>
          <t>D093</t>
        </is>
      </c>
      <c r="D641" t="inlineStr">
        <is>
          <t>10000811</t>
        </is>
      </c>
      <c r="E641" t="inlineStr"/>
      <c r="F641" s="11" t="n">
        <v>138.22</v>
      </c>
      <c r="G641" t="inlineStr"/>
      <c r="I641" t="inlineStr">
        <is>
          <t>TN</t>
        </is>
      </c>
      <c r="J641" t="inlineStr"/>
      <c r="K641" t="inlineStr">
        <is>
          <t>20260819</t>
        </is>
      </c>
      <c r="L641" t="inlineStr">
        <is>
          <t>99991231</t>
        </is>
      </c>
    </row>
    <row r="642">
      <c r="A642" t="inlineStr">
        <is>
          <t>900003438</t>
        </is>
      </c>
      <c r="B642" t="inlineStr">
        <is>
          <t>DW70</t>
        </is>
      </c>
      <c r="C642" t="inlineStr">
        <is>
          <t>D093</t>
        </is>
      </c>
      <c r="D642" t="inlineStr">
        <is>
          <t>10002802</t>
        </is>
      </c>
      <c r="E642" t="inlineStr"/>
      <c r="F642" s="11" t="n">
        <v>102.54</v>
      </c>
      <c r="G642" t="inlineStr"/>
      <c r="I642" t="inlineStr">
        <is>
          <t>TN</t>
        </is>
      </c>
      <c r="J642" t="inlineStr"/>
      <c r="K642" t="inlineStr">
        <is>
          <t>20230501</t>
        </is>
      </c>
      <c r="L642" t="inlineStr">
        <is>
          <t>20250131</t>
        </is>
      </c>
    </row>
    <row r="643">
      <c r="A643" t="inlineStr">
        <is>
          <t>900003438</t>
        </is>
      </c>
      <c r="B643" t="inlineStr">
        <is>
          <t>DW70</t>
        </is>
      </c>
      <c r="C643" t="inlineStr">
        <is>
          <t>D098</t>
        </is>
      </c>
      <c r="D643" t="inlineStr">
        <is>
          <t>10000623</t>
        </is>
      </c>
      <c r="E643" t="inlineStr"/>
      <c r="F643" s="11" t="n">
        <v>109.94</v>
      </c>
      <c r="G643" t="inlineStr"/>
      <c r="I643" t="inlineStr">
        <is>
          <t>TN</t>
        </is>
      </c>
      <c r="J643" t="inlineStr"/>
      <c r="K643" t="inlineStr">
        <is>
          <t>20230501</t>
        </is>
      </c>
      <c r="L643" t="inlineStr">
        <is>
          <t>20250131</t>
        </is>
      </c>
    </row>
    <row r="644">
      <c r="A644" t="inlineStr">
        <is>
          <t>900003438</t>
        </is>
      </c>
      <c r="B644" t="inlineStr">
        <is>
          <t>DW70</t>
        </is>
      </c>
      <c r="C644" t="inlineStr">
        <is>
          <t>D098</t>
        </is>
      </c>
      <c r="D644" t="inlineStr">
        <is>
          <t>10000630</t>
        </is>
      </c>
      <c r="E644" t="inlineStr"/>
      <c r="F644" s="11" t="n">
        <v>110.72</v>
      </c>
      <c r="G644" t="inlineStr"/>
      <c r="I644" t="inlineStr">
        <is>
          <t>TN</t>
        </is>
      </c>
      <c r="J644" t="inlineStr"/>
      <c r="K644" t="inlineStr">
        <is>
          <t>20230501</t>
        </is>
      </c>
      <c r="L644" t="inlineStr">
        <is>
          <t>20250131</t>
        </is>
      </c>
    </row>
    <row r="645">
      <c r="A645" t="inlineStr">
        <is>
          <t>900003438</t>
        </is>
      </c>
      <c r="B645" t="inlineStr">
        <is>
          <t>DW70</t>
        </is>
      </c>
      <c r="C645" t="inlineStr">
        <is>
          <t>D098</t>
        </is>
      </c>
      <c r="D645" t="inlineStr">
        <is>
          <t>10000811</t>
        </is>
      </c>
      <c r="E645" t="inlineStr"/>
      <c r="F645" s="11" t="n">
        <v>138.22</v>
      </c>
      <c r="G645" t="inlineStr"/>
      <c r="I645" t="inlineStr">
        <is>
          <t>TN</t>
        </is>
      </c>
      <c r="J645" t="inlineStr"/>
      <c r="K645" t="inlineStr">
        <is>
          <t>20260819</t>
        </is>
      </c>
      <c r="L645" t="inlineStr">
        <is>
          <t>99991231</t>
        </is>
      </c>
    </row>
    <row r="646">
      <c r="A646" t="inlineStr">
        <is>
          <t>900003438</t>
        </is>
      </c>
      <c r="B646" t="inlineStr">
        <is>
          <t>DW70</t>
        </is>
      </c>
      <c r="C646" t="inlineStr">
        <is>
          <t>D098</t>
        </is>
      </c>
      <c r="D646" t="inlineStr">
        <is>
          <t>10002802</t>
        </is>
      </c>
      <c r="E646" t="inlineStr"/>
      <c r="F646" s="11" t="n">
        <v>102.54</v>
      </c>
      <c r="G646" t="inlineStr"/>
      <c r="I646" t="inlineStr">
        <is>
          <t>TN</t>
        </is>
      </c>
      <c r="J646" t="inlineStr"/>
      <c r="K646" t="inlineStr">
        <is>
          <t>20250701</t>
        </is>
      </c>
      <c r="L646" t="inlineStr">
        <is>
          <t>20251031</t>
        </is>
      </c>
    </row>
    <row r="647">
      <c r="A647" t="inlineStr">
        <is>
          <t>900003438</t>
        </is>
      </c>
      <c r="B647" t="inlineStr">
        <is>
          <t>DW70</t>
        </is>
      </c>
      <c r="C647" t="inlineStr">
        <is>
          <t>D098</t>
        </is>
      </c>
      <c r="D647" t="inlineStr">
        <is>
          <t>10059180</t>
        </is>
      </c>
      <c r="E647" t="inlineStr"/>
      <c r="F647" s="11" t="n">
        <v>58.06</v>
      </c>
      <c r="G647" t="inlineStr"/>
      <c r="I647" t="inlineStr">
        <is>
          <t>TN</t>
        </is>
      </c>
      <c r="J647" t="inlineStr"/>
      <c r="K647" t="inlineStr">
        <is>
          <t>20230501</t>
        </is>
      </c>
      <c r="L647" t="inlineStr">
        <is>
          <t>20250131</t>
        </is>
      </c>
    </row>
    <row r="648">
      <c r="A648" t="inlineStr">
        <is>
          <t>900003438</t>
        </is>
      </c>
      <c r="B648" t="inlineStr">
        <is>
          <t>DW70</t>
        </is>
      </c>
      <c r="C648" t="inlineStr">
        <is>
          <t>D105</t>
        </is>
      </c>
      <c r="D648" t="inlineStr">
        <is>
          <t>10000623</t>
        </is>
      </c>
      <c r="E648" t="inlineStr"/>
      <c r="F648" s="11" t="n">
        <v>109.94</v>
      </c>
      <c r="G648" t="inlineStr"/>
      <c r="I648" t="inlineStr">
        <is>
          <t>TN</t>
        </is>
      </c>
      <c r="J648" t="inlineStr"/>
      <c r="K648" t="inlineStr">
        <is>
          <t>20230501</t>
        </is>
      </c>
      <c r="L648" t="inlineStr">
        <is>
          <t>20250131</t>
        </is>
      </c>
    </row>
    <row r="649">
      <c r="A649" t="inlineStr">
        <is>
          <t>900003438</t>
        </is>
      </c>
      <c r="B649" t="inlineStr">
        <is>
          <t>DW70</t>
        </is>
      </c>
      <c r="C649" t="inlineStr">
        <is>
          <t>D105</t>
        </is>
      </c>
      <c r="D649" t="inlineStr">
        <is>
          <t>10000630</t>
        </is>
      </c>
      <c r="E649" t="inlineStr"/>
      <c r="F649" s="11" t="n">
        <v>110.72</v>
      </c>
      <c r="G649" t="inlineStr"/>
      <c r="I649" t="inlineStr">
        <is>
          <t>TN</t>
        </is>
      </c>
      <c r="J649" t="inlineStr"/>
      <c r="K649" t="inlineStr">
        <is>
          <t>20230501</t>
        </is>
      </c>
      <c r="L649" t="inlineStr">
        <is>
          <t>20250131</t>
        </is>
      </c>
    </row>
    <row r="650">
      <c r="A650" t="inlineStr">
        <is>
          <t>900003438</t>
        </is>
      </c>
      <c r="B650" t="inlineStr">
        <is>
          <t>DW70</t>
        </is>
      </c>
      <c r="C650" t="inlineStr">
        <is>
          <t>D105</t>
        </is>
      </c>
      <c r="D650" t="inlineStr">
        <is>
          <t>10000811</t>
        </is>
      </c>
      <c r="E650" t="inlineStr"/>
      <c r="F650" s="11" t="n">
        <v>97.44</v>
      </c>
      <c r="G650" t="inlineStr"/>
      <c r="I650" t="inlineStr">
        <is>
          <t>TN</t>
        </is>
      </c>
      <c r="J650" t="inlineStr"/>
      <c r="K650" t="inlineStr">
        <is>
          <t>20230501</t>
        </is>
      </c>
      <c r="L650" t="inlineStr">
        <is>
          <t>20250131</t>
        </is>
      </c>
    </row>
    <row r="651">
      <c r="A651" t="inlineStr">
        <is>
          <t>900003438</t>
        </is>
      </c>
      <c r="B651" t="inlineStr">
        <is>
          <t>DW70</t>
        </is>
      </c>
      <c r="C651" t="inlineStr">
        <is>
          <t>D105</t>
        </is>
      </c>
      <c r="D651" t="inlineStr">
        <is>
          <t>10002802</t>
        </is>
      </c>
      <c r="E651" t="inlineStr"/>
      <c r="F651" s="11" t="n">
        <v>102.54</v>
      </c>
      <c r="G651" t="inlineStr"/>
      <c r="I651" t="inlineStr">
        <is>
          <t>TN</t>
        </is>
      </c>
      <c r="J651" t="inlineStr"/>
      <c r="K651" t="inlineStr">
        <is>
          <t>20230501</t>
        </is>
      </c>
      <c r="L651" t="inlineStr">
        <is>
          <t>20250131</t>
        </is>
      </c>
    </row>
    <row r="652">
      <c r="A652" t="inlineStr">
        <is>
          <t>900003438</t>
        </is>
      </c>
      <c r="B652" t="inlineStr">
        <is>
          <t>DW70</t>
        </is>
      </c>
      <c r="C652" t="inlineStr">
        <is>
          <t>D105</t>
        </is>
      </c>
      <c r="D652" t="inlineStr">
        <is>
          <t>10059180</t>
        </is>
      </c>
      <c r="E652" t="inlineStr"/>
      <c r="F652" s="11" t="n">
        <v>58.06</v>
      </c>
      <c r="G652" t="inlineStr"/>
      <c r="I652" t="inlineStr">
        <is>
          <t>TN</t>
        </is>
      </c>
      <c r="J652" t="inlineStr"/>
      <c r="K652" t="inlineStr">
        <is>
          <t>20230501</t>
        </is>
      </c>
      <c r="L652" t="inlineStr">
        <is>
          <t>20250131</t>
        </is>
      </c>
    </row>
    <row r="653">
      <c r="A653" t="inlineStr">
        <is>
          <t>900003438</t>
        </is>
      </c>
      <c r="B653" t="inlineStr">
        <is>
          <t>DW70</t>
        </is>
      </c>
      <c r="C653" t="inlineStr">
        <is>
          <t>D110</t>
        </is>
      </c>
      <c r="D653" t="inlineStr">
        <is>
          <t>10002802</t>
        </is>
      </c>
      <c r="E653" t="inlineStr"/>
      <c r="F653" s="11" t="n">
        <v>89.89</v>
      </c>
      <c r="G653" t="inlineStr"/>
      <c r="I653" t="inlineStr">
        <is>
          <t>TN</t>
        </is>
      </c>
      <c r="J653" t="inlineStr"/>
      <c r="K653" t="inlineStr">
        <is>
          <t>20230501</t>
        </is>
      </c>
      <c r="L653" t="inlineStr">
        <is>
          <t>20250131</t>
        </is>
      </c>
    </row>
    <row r="654">
      <c r="A654" t="inlineStr">
        <is>
          <t>900003438</t>
        </is>
      </c>
      <c r="B654" t="inlineStr">
        <is>
          <t>DW70</t>
        </is>
      </c>
      <c r="C654" t="inlineStr">
        <is>
          <t>D111</t>
        </is>
      </c>
      <c r="D654" t="inlineStr">
        <is>
          <t>10000623</t>
        </is>
      </c>
      <c r="E654" t="inlineStr"/>
      <c r="F654" s="11" t="n">
        <v>95.73999999999999</v>
      </c>
      <c r="G654" t="inlineStr"/>
      <c r="I654" t="inlineStr">
        <is>
          <t>TN</t>
        </is>
      </c>
      <c r="J654" t="inlineStr"/>
      <c r="K654" t="inlineStr">
        <is>
          <t>20230501</t>
        </is>
      </c>
      <c r="L654" t="inlineStr">
        <is>
          <t>20250131</t>
        </is>
      </c>
    </row>
    <row r="655">
      <c r="A655" t="inlineStr">
        <is>
          <t>900003438</t>
        </is>
      </c>
      <c r="B655" t="inlineStr">
        <is>
          <t>DW70</t>
        </is>
      </c>
      <c r="C655" t="inlineStr">
        <is>
          <t>D111</t>
        </is>
      </c>
      <c r="D655" t="inlineStr">
        <is>
          <t>10000630</t>
        </is>
      </c>
      <c r="E655" t="inlineStr"/>
      <c r="F655" s="11" t="n">
        <v>96.43000000000001</v>
      </c>
      <c r="G655" t="inlineStr"/>
      <c r="I655" t="inlineStr">
        <is>
          <t>TN</t>
        </is>
      </c>
      <c r="J655" t="inlineStr"/>
      <c r="K655" t="inlineStr">
        <is>
          <t>20230501</t>
        </is>
      </c>
      <c r="L655" t="inlineStr">
        <is>
          <t>20250131</t>
        </is>
      </c>
    </row>
    <row r="656">
      <c r="A656" t="inlineStr">
        <is>
          <t>900003438</t>
        </is>
      </c>
      <c r="B656" t="inlineStr">
        <is>
          <t>DW70</t>
        </is>
      </c>
      <c r="C656" t="inlineStr">
        <is>
          <t>D111</t>
        </is>
      </c>
      <c r="D656" t="inlineStr">
        <is>
          <t>10000811</t>
        </is>
      </c>
      <c r="E656" t="inlineStr"/>
      <c r="F656" s="11" t="n">
        <v>97.44</v>
      </c>
      <c r="G656" t="inlineStr"/>
      <c r="I656" t="inlineStr">
        <is>
          <t>TN</t>
        </is>
      </c>
      <c r="J656" t="inlineStr"/>
      <c r="K656" t="inlineStr">
        <is>
          <t>20230501</t>
        </is>
      </c>
      <c r="L656" t="inlineStr">
        <is>
          <t>20250131</t>
        </is>
      </c>
    </row>
    <row r="657">
      <c r="A657" t="inlineStr">
        <is>
          <t>900003438</t>
        </is>
      </c>
      <c r="B657" t="inlineStr">
        <is>
          <t>DW70</t>
        </is>
      </c>
      <c r="C657" t="inlineStr">
        <is>
          <t>D111</t>
        </is>
      </c>
      <c r="D657" t="inlineStr">
        <is>
          <t>10002802</t>
        </is>
      </c>
      <c r="E657" t="inlineStr"/>
      <c r="F657" s="11" t="n">
        <v>90.23</v>
      </c>
      <c r="G657" t="inlineStr"/>
      <c r="I657" t="inlineStr">
        <is>
          <t>TN</t>
        </is>
      </c>
      <c r="J657" t="inlineStr"/>
      <c r="K657" t="inlineStr">
        <is>
          <t>20230501</t>
        </is>
      </c>
      <c r="L657" t="inlineStr">
        <is>
          <t>20250131</t>
        </is>
      </c>
    </row>
    <row r="658">
      <c r="A658" t="inlineStr">
        <is>
          <t>900003438</t>
        </is>
      </c>
      <c r="B658" t="inlineStr">
        <is>
          <t>DW70</t>
        </is>
      </c>
      <c r="C658" t="inlineStr">
        <is>
          <t>D136</t>
        </is>
      </c>
      <c r="D658" t="inlineStr">
        <is>
          <t>10000623</t>
        </is>
      </c>
      <c r="E658" t="inlineStr"/>
      <c r="F658" s="11" t="n">
        <v>109.94</v>
      </c>
      <c r="G658" t="inlineStr"/>
      <c r="I658" t="inlineStr">
        <is>
          <t>TN</t>
        </is>
      </c>
      <c r="J658" t="inlineStr"/>
      <c r="K658" t="inlineStr">
        <is>
          <t>20230501</t>
        </is>
      </c>
      <c r="L658" t="inlineStr">
        <is>
          <t>20250131</t>
        </is>
      </c>
    </row>
    <row r="659">
      <c r="A659" t="inlineStr">
        <is>
          <t>900003438</t>
        </is>
      </c>
      <c r="B659" t="inlineStr">
        <is>
          <t>DW70</t>
        </is>
      </c>
      <c r="C659" t="inlineStr">
        <is>
          <t>D136</t>
        </is>
      </c>
      <c r="D659" t="inlineStr">
        <is>
          <t>10000630</t>
        </is>
      </c>
      <c r="E659" t="inlineStr"/>
      <c r="F659" s="11" t="n">
        <v>110.72</v>
      </c>
      <c r="G659" t="inlineStr"/>
      <c r="I659" t="inlineStr">
        <is>
          <t>TN</t>
        </is>
      </c>
      <c r="J659" t="inlineStr"/>
      <c r="K659" t="inlineStr">
        <is>
          <t>20230501</t>
        </is>
      </c>
      <c r="L659" t="inlineStr">
        <is>
          <t>20250131</t>
        </is>
      </c>
    </row>
    <row r="660">
      <c r="A660" t="inlineStr">
        <is>
          <t>900003438</t>
        </is>
      </c>
      <c r="B660" t="inlineStr">
        <is>
          <t>DW70</t>
        </is>
      </c>
      <c r="C660" t="inlineStr">
        <is>
          <t>D136</t>
        </is>
      </c>
      <c r="D660" t="inlineStr">
        <is>
          <t>10000811</t>
        </is>
      </c>
      <c r="E660" t="inlineStr"/>
      <c r="F660" s="11" t="n">
        <v>97.44</v>
      </c>
      <c r="G660" t="inlineStr"/>
      <c r="I660" t="inlineStr">
        <is>
          <t>TN</t>
        </is>
      </c>
      <c r="J660" t="inlineStr"/>
      <c r="K660" t="inlineStr">
        <is>
          <t>20230501</t>
        </is>
      </c>
      <c r="L660" t="inlineStr">
        <is>
          <t>20250131</t>
        </is>
      </c>
    </row>
    <row r="661">
      <c r="A661" t="inlineStr">
        <is>
          <t>900003438</t>
        </is>
      </c>
      <c r="B661" t="inlineStr">
        <is>
          <t>DW70</t>
        </is>
      </c>
      <c r="C661" t="inlineStr">
        <is>
          <t>D136</t>
        </is>
      </c>
      <c r="D661" t="inlineStr">
        <is>
          <t>10002802</t>
        </is>
      </c>
      <c r="E661" t="inlineStr"/>
      <c r="F661" s="11" t="n">
        <v>102.54</v>
      </c>
      <c r="G661" t="inlineStr"/>
      <c r="I661" t="inlineStr">
        <is>
          <t>TN</t>
        </is>
      </c>
      <c r="J661" t="inlineStr"/>
      <c r="K661" t="inlineStr">
        <is>
          <t>20230501</t>
        </is>
      </c>
      <c r="L661" t="inlineStr">
        <is>
          <t>20250131</t>
        </is>
      </c>
    </row>
    <row r="662">
      <c r="A662" t="inlineStr">
        <is>
          <t>900003438</t>
        </is>
      </c>
      <c r="B662" t="inlineStr">
        <is>
          <t>DW70</t>
        </is>
      </c>
      <c r="C662" t="inlineStr">
        <is>
          <t>D136</t>
        </is>
      </c>
      <c r="D662" t="inlineStr">
        <is>
          <t>10059180</t>
        </is>
      </c>
      <c r="E662" t="inlineStr"/>
      <c r="F662" s="11" t="n">
        <v>58.06</v>
      </c>
      <c r="G662" t="inlineStr"/>
      <c r="I662" t="inlineStr">
        <is>
          <t>TN</t>
        </is>
      </c>
      <c r="J662" t="inlineStr"/>
      <c r="K662" t="inlineStr">
        <is>
          <t>20230501</t>
        </is>
      </c>
      <c r="L662" t="inlineStr">
        <is>
          <t>20250131</t>
        </is>
      </c>
    </row>
    <row r="663">
      <c r="A663" t="inlineStr">
        <is>
          <t>900003438</t>
        </is>
      </c>
      <c r="B663" t="inlineStr">
        <is>
          <t>DW70</t>
        </is>
      </c>
      <c r="C663" t="inlineStr">
        <is>
          <t>D145</t>
        </is>
      </c>
      <c r="D663" t="inlineStr">
        <is>
          <t>10000623</t>
        </is>
      </c>
      <c r="E663" t="inlineStr"/>
      <c r="F663" s="11" t="n">
        <v>109.94</v>
      </c>
      <c r="G663" t="inlineStr"/>
      <c r="I663" t="inlineStr">
        <is>
          <t>TN</t>
        </is>
      </c>
      <c r="J663" t="inlineStr"/>
      <c r="K663" t="inlineStr">
        <is>
          <t>20230501</t>
        </is>
      </c>
      <c r="L663" t="inlineStr">
        <is>
          <t>20250131</t>
        </is>
      </c>
    </row>
    <row r="664">
      <c r="A664" t="inlineStr">
        <is>
          <t>900003438</t>
        </is>
      </c>
      <c r="B664" t="inlineStr">
        <is>
          <t>DW70</t>
        </is>
      </c>
      <c r="C664" t="inlineStr">
        <is>
          <t>D145</t>
        </is>
      </c>
      <c r="D664" t="inlineStr">
        <is>
          <t>10000630</t>
        </is>
      </c>
      <c r="E664" t="inlineStr"/>
      <c r="F664" s="11" t="n">
        <v>110.72</v>
      </c>
      <c r="G664" t="inlineStr"/>
      <c r="I664" t="inlineStr">
        <is>
          <t>TN</t>
        </is>
      </c>
      <c r="J664" t="inlineStr"/>
      <c r="K664" t="inlineStr">
        <is>
          <t>20230501</t>
        </is>
      </c>
      <c r="L664" t="inlineStr">
        <is>
          <t>20250131</t>
        </is>
      </c>
    </row>
    <row r="665">
      <c r="A665" t="inlineStr">
        <is>
          <t>900003438</t>
        </is>
      </c>
      <c r="B665" t="inlineStr">
        <is>
          <t>DW70</t>
        </is>
      </c>
      <c r="C665" t="inlineStr">
        <is>
          <t>D145</t>
        </is>
      </c>
      <c r="D665" t="inlineStr">
        <is>
          <t>10000811</t>
        </is>
      </c>
      <c r="E665" t="inlineStr"/>
      <c r="F665" s="11" t="n">
        <v>138.22</v>
      </c>
      <c r="G665" t="inlineStr"/>
      <c r="I665" t="inlineStr">
        <is>
          <t>TN</t>
        </is>
      </c>
      <c r="J665" t="inlineStr"/>
      <c r="K665" t="inlineStr">
        <is>
          <t>20260819</t>
        </is>
      </c>
      <c r="L665" t="inlineStr">
        <is>
          <t>99991231</t>
        </is>
      </c>
    </row>
    <row r="666">
      <c r="A666" t="inlineStr">
        <is>
          <t>900003438</t>
        </is>
      </c>
      <c r="B666" t="inlineStr">
        <is>
          <t>DW70</t>
        </is>
      </c>
      <c r="C666" t="inlineStr">
        <is>
          <t>D145</t>
        </is>
      </c>
      <c r="D666" t="inlineStr">
        <is>
          <t>10002802</t>
        </is>
      </c>
      <c r="E666" t="inlineStr"/>
      <c r="F666" s="11" t="n">
        <v>92.28</v>
      </c>
      <c r="G666" t="inlineStr"/>
      <c r="I666" t="inlineStr">
        <is>
          <t>TN</t>
        </is>
      </c>
      <c r="J666" t="inlineStr"/>
      <c r="K666" t="inlineStr">
        <is>
          <t>20250701</t>
        </is>
      </c>
      <c r="L666" t="inlineStr">
        <is>
          <t>20251031</t>
        </is>
      </c>
    </row>
    <row r="667">
      <c r="A667" t="inlineStr">
        <is>
          <t>900003438</t>
        </is>
      </c>
      <c r="B667" t="inlineStr">
        <is>
          <t>DW70</t>
        </is>
      </c>
      <c r="C667" t="inlineStr">
        <is>
          <t>D145</t>
        </is>
      </c>
      <c r="D667" t="inlineStr">
        <is>
          <t>10059180</t>
        </is>
      </c>
      <c r="E667" t="inlineStr"/>
      <c r="F667" s="11" t="n">
        <v>58.06</v>
      </c>
      <c r="G667" t="inlineStr"/>
      <c r="I667" t="inlineStr">
        <is>
          <t>TN</t>
        </is>
      </c>
      <c r="J667" t="inlineStr"/>
      <c r="K667" t="inlineStr">
        <is>
          <t>20230501</t>
        </is>
      </c>
      <c r="L667" t="inlineStr">
        <is>
          <t>20250131</t>
        </is>
      </c>
    </row>
    <row r="668">
      <c r="A668" t="inlineStr">
        <is>
          <t>900003438</t>
        </is>
      </c>
      <c r="B668" t="inlineStr">
        <is>
          <t>DW70</t>
        </is>
      </c>
      <c r="C668" t="inlineStr">
        <is>
          <t>D681</t>
        </is>
      </c>
      <c r="D668" t="inlineStr">
        <is>
          <t>10000811</t>
        </is>
      </c>
      <c r="E668" t="inlineStr"/>
      <c r="F668" s="11" t="n">
        <v>138.22</v>
      </c>
      <c r="G668" t="inlineStr"/>
      <c r="I668" t="inlineStr">
        <is>
          <t>TN</t>
        </is>
      </c>
      <c r="J668" t="inlineStr"/>
      <c r="K668" t="inlineStr">
        <is>
          <t>20260819</t>
        </is>
      </c>
      <c r="L668" t="inlineStr">
        <is>
          <t>99991231</t>
        </is>
      </c>
    </row>
    <row r="669">
      <c r="A669" t="inlineStr">
        <is>
          <t>900003438</t>
        </is>
      </c>
      <c r="B669" t="inlineStr">
        <is>
          <t>DW70</t>
        </is>
      </c>
      <c r="C669" t="inlineStr">
        <is>
          <t>D681</t>
        </is>
      </c>
      <c r="D669" t="inlineStr">
        <is>
          <t>10002802</t>
        </is>
      </c>
      <c r="E669" t="inlineStr"/>
      <c r="F669" s="11" t="n">
        <v>92.28</v>
      </c>
      <c r="G669" t="inlineStr"/>
      <c r="I669" t="inlineStr">
        <is>
          <t>TN</t>
        </is>
      </c>
      <c r="J669" t="inlineStr"/>
      <c r="K669" t="inlineStr">
        <is>
          <t>20250701</t>
        </is>
      </c>
      <c r="L669" t="inlineStr">
        <is>
          <t>20251031</t>
        </is>
      </c>
    </row>
    <row r="670">
      <c r="A670" t="inlineStr">
        <is>
          <t>900003438</t>
        </is>
      </c>
      <c r="B670" t="inlineStr">
        <is>
          <t>DW70</t>
        </is>
      </c>
      <c r="C670" t="inlineStr">
        <is>
          <t>DE16</t>
        </is>
      </c>
      <c r="D670" t="inlineStr">
        <is>
          <t>10000811</t>
        </is>
      </c>
      <c r="E670" t="inlineStr"/>
      <c r="F670" s="11" t="n">
        <v>102.57</v>
      </c>
      <c r="G670" t="inlineStr"/>
      <c r="I670" t="inlineStr">
        <is>
          <t>TN</t>
        </is>
      </c>
      <c r="J670" t="inlineStr"/>
      <c r="K670" t="inlineStr">
        <is>
          <t>20230501</t>
        </is>
      </c>
      <c r="L670" t="inlineStr">
        <is>
          <t>20250131</t>
        </is>
      </c>
    </row>
    <row r="671">
      <c r="A671" t="inlineStr">
        <is>
          <t>900003438</t>
        </is>
      </c>
      <c r="B671" t="inlineStr">
        <is>
          <t>DW70</t>
        </is>
      </c>
      <c r="C671" t="inlineStr">
        <is>
          <t>DE17</t>
        </is>
      </c>
      <c r="D671" t="inlineStr">
        <is>
          <t>10000811</t>
        </is>
      </c>
      <c r="E671" t="inlineStr"/>
      <c r="F671" s="11" t="n">
        <v>102.57</v>
      </c>
      <c r="G671" t="inlineStr"/>
      <c r="I671" t="inlineStr">
        <is>
          <t>TN</t>
        </is>
      </c>
      <c r="J671" t="inlineStr"/>
      <c r="K671" t="inlineStr">
        <is>
          <t>20230501</t>
        </is>
      </c>
      <c r="L671" t="inlineStr">
        <is>
          <t>20250131</t>
        </is>
      </c>
    </row>
    <row r="672">
      <c r="A672" t="inlineStr">
        <is>
          <t>900003438</t>
        </is>
      </c>
      <c r="B672" t="inlineStr">
        <is>
          <t>DW70</t>
        </is>
      </c>
      <c r="C672" t="inlineStr">
        <is>
          <t>DE19</t>
        </is>
      </c>
      <c r="D672" t="inlineStr">
        <is>
          <t>10000811</t>
        </is>
      </c>
      <c r="E672" t="inlineStr"/>
      <c r="F672" s="11" t="n">
        <v>102.57</v>
      </c>
      <c r="G672" t="inlineStr"/>
      <c r="I672" t="inlineStr">
        <is>
          <t>TN</t>
        </is>
      </c>
      <c r="J672" t="inlineStr"/>
      <c r="K672" t="inlineStr">
        <is>
          <t>20230501</t>
        </is>
      </c>
      <c r="L672" t="inlineStr">
        <is>
          <t>20250131</t>
        </is>
      </c>
    </row>
    <row r="673">
      <c r="A673" t="inlineStr">
        <is>
          <t>900003438</t>
        </is>
      </c>
      <c r="B673" t="inlineStr">
        <is>
          <t>DW70</t>
        </is>
      </c>
      <c r="C673" t="inlineStr">
        <is>
          <t>DE23</t>
        </is>
      </c>
      <c r="D673" t="inlineStr">
        <is>
          <t>10000811</t>
        </is>
      </c>
      <c r="E673" t="inlineStr"/>
      <c r="F673" s="11" t="n">
        <v>102.57</v>
      </c>
      <c r="G673" t="inlineStr"/>
      <c r="I673" t="inlineStr">
        <is>
          <t>TN</t>
        </is>
      </c>
      <c r="J673" t="inlineStr"/>
      <c r="K673" t="inlineStr">
        <is>
          <t>20230501</t>
        </is>
      </c>
      <c r="L673" t="inlineStr">
        <is>
          <t>20250131</t>
        </is>
      </c>
    </row>
    <row r="674">
      <c r="A674" t="inlineStr">
        <is>
          <t>900003438</t>
        </is>
      </c>
      <c r="B674" t="inlineStr">
        <is>
          <t>DW70</t>
        </is>
      </c>
      <c r="C674" t="inlineStr">
        <is>
          <t>DE26</t>
        </is>
      </c>
      <c r="D674" t="inlineStr">
        <is>
          <t>10000811</t>
        </is>
      </c>
      <c r="E674" t="inlineStr"/>
      <c r="F674" s="11" t="n">
        <v>102.57</v>
      </c>
      <c r="G674" t="inlineStr"/>
      <c r="I674" t="inlineStr">
        <is>
          <t>TN</t>
        </is>
      </c>
      <c r="J674" t="inlineStr"/>
      <c r="K674" t="inlineStr">
        <is>
          <t>20230501</t>
        </is>
      </c>
      <c r="L674" t="inlineStr">
        <is>
          <t>20250131</t>
        </is>
      </c>
    </row>
    <row r="675">
      <c r="A675" t="inlineStr">
        <is>
          <t>900003438</t>
        </is>
      </c>
      <c r="B675" t="inlineStr">
        <is>
          <t>DW70</t>
        </is>
      </c>
      <c r="C675" t="inlineStr">
        <is>
          <t>DE28</t>
        </is>
      </c>
      <c r="D675" t="inlineStr">
        <is>
          <t>10000811</t>
        </is>
      </c>
      <c r="E675" t="inlineStr"/>
      <c r="F675" s="11" t="n">
        <v>102.57</v>
      </c>
      <c r="G675" t="inlineStr"/>
      <c r="I675" t="inlineStr">
        <is>
          <t>TN</t>
        </is>
      </c>
      <c r="J675" t="inlineStr"/>
      <c r="K675" t="inlineStr">
        <is>
          <t>20230501</t>
        </is>
      </c>
      <c r="L675" t="inlineStr">
        <is>
          <t>20250131</t>
        </is>
      </c>
    </row>
    <row r="676">
      <c r="A676" t="inlineStr">
        <is>
          <t>900003438</t>
        </is>
      </c>
      <c r="B676" t="inlineStr">
        <is>
          <t>DW70</t>
        </is>
      </c>
      <c r="C676" t="inlineStr">
        <is>
          <t>DE29</t>
        </is>
      </c>
      <c r="D676" t="inlineStr">
        <is>
          <t>10000811</t>
        </is>
      </c>
      <c r="E676" t="inlineStr"/>
      <c r="F676" s="11" t="n">
        <v>102.57</v>
      </c>
      <c r="G676" t="inlineStr"/>
      <c r="I676" t="inlineStr">
        <is>
          <t>TN</t>
        </is>
      </c>
      <c r="J676" t="inlineStr"/>
      <c r="K676" t="inlineStr">
        <is>
          <t>20230501</t>
        </is>
      </c>
      <c r="L676" t="inlineStr">
        <is>
          <t>20250131</t>
        </is>
      </c>
    </row>
    <row r="677">
      <c r="A677" t="inlineStr">
        <is>
          <t>900003438</t>
        </is>
      </c>
      <c r="B677" t="inlineStr">
        <is>
          <t>DW70</t>
        </is>
      </c>
      <c r="C677" t="inlineStr">
        <is>
          <t>DE30</t>
        </is>
      </c>
      <c r="D677" t="inlineStr">
        <is>
          <t>10000811</t>
        </is>
      </c>
      <c r="E677" t="inlineStr"/>
      <c r="F677" s="11" t="n">
        <v>102.57</v>
      </c>
      <c r="G677" t="inlineStr"/>
      <c r="I677" t="inlineStr">
        <is>
          <t>TN</t>
        </is>
      </c>
      <c r="J677" t="inlineStr"/>
      <c r="K677" t="inlineStr">
        <is>
          <t>20230501</t>
        </is>
      </c>
      <c r="L677" t="inlineStr">
        <is>
          <t>20250131</t>
        </is>
      </c>
    </row>
    <row r="678">
      <c r="A678" t="inlineStr">
        <is>
          <t>900003438</t>
        </is>
      </c>
      <c r="B678" t="inlineStr">
        <is>
          <t>DW70</t>
        </is>
      </c>
      <c r="C678" t="inlineStr">
        <is>
          <t>DE31</t>
        </is>
      </c>
      <c r="D678" t="inlineStr">
        <is>
          <t>10000811</t>
        </is>
      </c>
      <c r="E678" t="inlineStr"/>
      <c r="F678" s="11" t="n">
        <v>102.57</v>
      </c>
      <c r="G678" t="inlineStr"/>
      <c r="I678" t="inlineStr">
        <is>
          <t>TN</t>
        </is>
      </c>
      <c r="J678" t="inlineStr"/>
      <c r="K678" t="inlineStr">
        <is>
          <t>20230501</t>
        </is>
      </c>
      <c r="L678" t="inlineStr">
        <is>
          <t>20250131</t>
        </is>
      </c>
    </row>
    <row r="679">
      <c r="A679" t="inlineStr">
        <is>
          <t>900003438</t>
        </is>
      </c>
      <c r="B679" t="inlineStr">
        <is>
          <t>DW70</t>
        </is>
      </c>
      <c r="C679" t="inlineStr">
        <is>
          <t>DE33</t>
        </is>
      </c>
      <c r="D679" t="inlineStr">
        <is>
          <t>10000811</t>
        </is>
      </c>
      <c r="E679" t="inlineStr"/>
      <c r="F679" s="11" t="n">
        <v>102.57</v>
      </c>
      <c r="G679" t="inlineStr"/>
      <c r="I679" t="inlineStr">
        <is>
          <t>TN</t>
        </is>
      </c>
      <c r="J679" t="inlineStr"/>
      <c r="K679" t="inlineStr">
        <is>
          <t>20230501</t>
        </is>
      </c>
      <c r="L679" t="inlineStr">
        <is>
          <t>20250131</t>
        </is>
      </c>
    </row>
    <row r="680">
      <c r="A680" t="inlineStr">
        <is>
          <t>900003438</t>
        </is>
      </c>
      <c r="B680" t="inlineStr">
        <is>
          <t>DW70</t>
        </is>
      </c>
      <c r="C680" t="inlineStr">
        <is>
          <t>DE42</t>
        </is>
      </c>
      <c r="D680" t="inlineStr">
        <is>
          <t>10000811</t>
        </is>
      </c>
      <c r="E680" t="inlineStr"/>
      <c r="F680" s="11" t="n">
        <v>102.57</v>
      </c>
      <c r="G680" t="inlineStr"/>
      <c r="I680" t="inlineStr">
        <is>
          <t>TN</t>
        </is>
      </c>
      <c r="J680" t="inlineStr"/>
      <c r="K680" t="inlineStr">
        <is>
          <t>20230501</t>
        </is>
      </c>
      <c r="L680" t="inlineStr">
        <is>
          <t>20250131</t>
        </is>
      </c>
    </row>
    <row r="681">
      <c r="A681" t="inlineStr">
        <is>
          <t>900003438</t>
        </is>
      </c>
      <c r="B681" t="inlineStr">
        <is>
          <t>DW70</t>
        </is>
      </c>
      <c r="C681" t="inlineStr">
        <is>
          <t>DE46</t>
        </is>
      </c>
      <c r="D681" t="inlineStr">
        <is>
          <t>10000811</t>
        </is>
      </c>
      <c r="E681" t="inlineStr"/>
      <c r="F681" s="11" t="n">
        <v>102.57</v>
      </c>
      <c r="G681" t="inlineStr"/>
      <c r="I681" t="inlineStr">
        <is>
          <t>TN</t>
        </is>
      </c>
      <c r="J681" t="inlineStr"/>
      <c r="K681" t="inlineStr">
        <is>
          <t>20230501</t>
        </is>
      </c>
      <c r="L681" t="inlineStr">
        <is>
          <t>20250131</t>
        </is>
      </c>
    </row>
    <row r="682">
      <c r="A682" t="inlineStr">
        <is>
          <t>900003438</t>
        </is>
      </c>
      <c r="B682" t="inlineStr">
        <is>
          <t>DW70</t>
        </is>
      </c>
      <c r="C682" t="inlineStr">
        <is>
          <t>DE50</t>
        </is>
      </c>
      <c r="D682" t="inlineStr">
        <is>
          <t>10000811</t>
        </is>
      </c>
      <c r="E682" t="inlineStr"/>
      <c r="F682" s="11" t="n">
        <v>102.57</v>
      </c>
      <c r="G682" t="inlineStr"/>
      <c r="I682" t="inlineStr">
        <is>
          <t>TN</t>
        </is>
      </c>
      <c r="J682" t="inlineStr"/>
      <c r="K682" t="inlineStr">
        <is>
          <t>20230501</t>
        </is>
      </c>
      <c r="L682" t="inlineStr">
        <is>
          <t>20250131</t>
        </is>
      </c>
    </row>
    <row r="683">
      <c r="A683" t="inlineStr">
        <is>
          <t>900003438</t>
        </is>
      </c>
      <c r="B683" t="inlineStr">
        <is>
          <t>DW70</t>
        </is>
      </c>
      <c r="C683" t="inlineStr">
        <is>
          <t>DE75</t>
        </is>
      </c>
      <c r="D683" t="inlineStr">
        <is>
          <t>10000811</t>
        </is>
      </c>
      <c r="E683" t="inlineStr"/>
      <c r="F683" s="11" t="n">
        <v>102.57</v>
      </c>
      <c r="G683" t="inlineStr"/>
      <c r="I683" t="inlineStr">
        <is>
          <t>TN</t>
        </is>
      </c>
      <c r="J683" t="inlineStr"/>
      <c r="K683" t="inlineStr">
        <is>
          <t>20230501</t>
        </is>
      </c>
      <c r="L683" t="inlineStr">
        <is>
          <t>20250131</t>
        </is>
      </c>
    </row>
    <row r="684">
      <c r="A684" t="inlineStr">
        <is>
          <t>900003438</t>
        </is>
      </c>
      <c r="B684" t="inlineStr">
        <is>
          <t>DW70</t>
        </is>
      </c>
      <c r="C684" t="inlineStr">
        <is>
          <t>DE89</t>
        </is>
      </c>
      <c r="D684" t="inlineStr">
        <is>
          <t>10000811</t>
        </is>
      </c>
      <c r="E684" t="inlineStr"/>
      <c r="F684" s="11" t="n">
        <v>102.57</v>
      </c>
      <c r="G684" t="inlineStr"/>
      <c r="I684" t="inlineStr">
        <is>
          <t>TN</t>
        </is>
      </c>
      <c r="J684" t="inlineStr"/>
      <c r="K684" t="inlineStr">
        <is>
          <t>20230501</t>
        </is>
      </c>
      <c r="L684" t="inlineStr">
        <is>
          <t>20250131</t>
        </is>
      </c>
    </row>
    <row r="685">
      <c r="A685" t="inlineStr">
        <is>
          <t>900003438</t>
        </is>
      </c>
      <c r="B685" t="inlineStr">
        <is>
          <t>DW70</t>
        </is>
      </c>
      <c r="C685" t="inlineStr">
        <is>
          <t>DE92</t>
        </is>
      </c>
      <c r="D685" t="inlineStr">
        <is>
          <t>10000811</t>
        </is>
      </c>
      <c r="E685" t="inlineStr"/>
      <c r="F685" s="11" t="n">
        <v>102.57</v>
      </c>
      <c r="G685" t="inlineStr"/>
      <c r="I685" t="inlineStr">
        <is>
          <t>TN</t>
        </is>
      </c>
      <c r="J685" t="inlineStr"/>
      <c r="K685" t="inlineStr">
        <is>
          <t>20230501</t>
        </is>
      </c>
      <c r="L685" t="inlineStr">
        <is>
          <t>20250131</t>
        </is>
      </c>
    </row>
    <row r="686">
      <c r="A686" t="inlineStr">
        <is>
          <t>900003438</t>
        </is>
      </c>
      <c r="B686" t="inlineStr">
        <is>
          <t>DW70</t>
        </is>
      </c>
      <c r="C686" t="inlineStr">
        <is>
          <t>E673</t>
        </is>
      </c>
      <c r="D686" t="inlineStr">
        <is>
          <t>10000206</t>
        </is>
      </c>
      <c r="E686" t="inlineStr"/>
      <c r="F686" s="11" t="n">
        <v>26.55</v>
      </c>
      <c r="G686" t="inlineStr"/>
      <c r="I686" t="inlineStr">
        <is>
          <t>TN</t>
        </is>
      </c>
      <c r="J686" t="inlineStr"/>
      <c r="K686" t="inlineStr">
        <is>
          <t>20230501</t>
        </is>
      </c>
      <c r="L686" t="inlineStr">
        <is>
          <t>20250131</t>
        </is>
      </c>
    </row>
    <row r="687">
      <c r="A687" t="inlineStr">
        <is>
          <t>900003438</t>
        </is>
      </c>
      <c r="B687" t="inlineStr">
        <is>
          <t>DW70</t>
        </is>
      </c>
      <c r="C687" t="inlineStr">
        <is>
          <t>E673</t>
        </is>
      </c>
      <c r="D687" t="inlineStr">
        <is>
          <t>10019515</t>
        </is>
      </c>
      <c r="E687" t="inlineStr"/>
      <c r="F687" s="11" t="n">
        <v>88.84999999999999</v>
      </c>
      <c r="G687" t="inlineStr"/>
      <c r="I687" t="inlineStr">
        <is>
          <t>TN</t>
        </is>
      </c>
      <c r="J687" t="inlineStr"/>
      <c r="K687" t="inlineStr">
        <is>
          <t>20230501</t>
        </is>
      </c>
      <c r="L687" t="inlineStr">
        <is>
          <t>20250131</t>
        </is>
      </c>
    </row>
    <row r="688">
      <c r="A688" t="inlineStr">
        <is>
          <t>900003438</t>
        </is>
      </c>
      <c r="B688" t="inlineStr">
        <is>
          <t>DW70</t>
        </is>
      </c>
      <c r="C688" t="inlineStr">
        <is>
          <t>E673</t>
        </is>
      </c>
      <c r="D688" t="inlineStr">
        <is>
          <t>10207871</t>
        </is>
      </c>
      <c r="E688" t="inlineStr"/>
      <c r="F688" s="11" t="n">
        <v>88.84999999999999</v>
      </c>
      <c r="G688" t="inlineStr"/>
      <c r="I688" t="inlineStr">
        <is>
          <t>TN</t>
        </is>
      </c>
      <c r="J688" t="inlineStr"/>
      <c r="K688" t="inlineStr">
        <is>
          <t>20230501</t>
        </is>
      </c>
      <c r="L688" t="inlineStr">
        <is>
          <t>20250131</t>
        </is>
      </c>
    </row>
    <row r="689">
      <c r="A689" t="inlineStr">
        <is>
          <t>900003438</t>
        </is>
      </c>
      <c r="B689" t="inlineStr">
        <is>
          <t>DW70</t>
        </is>
      </c>
      <c r="C689" t="inlineStr">
        <is>
          <t>E673</t>
        </is>
      </c>
      <c r="D689" t="inlineStr">
        <is>
          <t>10207892</t>
        </is>
      </c>
      <c r="E689" t="inlineStr"/>
      <c r="F689" s="11" t="n">
        <v>26.55</v>
      </c>
      <c r="G689" t="inlineStr"/>
      <c r="I689" t="inlineStr">
        <is>
          <t>TN</t>
        </is>
      </c>
      <c r="J689" t="inlineStr"/>
      <c r="K689" t="inlineStr">
        <is>
          <t>20230501</t>
        </is>
      </c>
      <c r="L689" t="inlineStr">
        <is>
          <t>20250131</t>
        </is>
      </c>
    </row>
    <row r="690">
      <c r="A690" t="inlineStr">
        <is>
          <t>900003438</t>
        </is>
      </c>
      <c r="B690" t="inlineStr">
        <is>
          <t>DW70</t>
        </is>
      </c>
      <c r="C690" t="inlineStr">
        <is>
          <t>EQ75</t>
        </is>
      </c>
      <c r="D690" t="inlineStr">
        <is>
          <t>10000206</t>
        </is>
      </c>
      <c r="E690" t="inlineStr"/>
      <c r="F690" s="11" t="n">
        <v>26.55</v>
      </c>
      <c r="G690" t="inlineStr"/>
      <c r="I690" t="inlineStr">
        <is>
          <t>TN</t>
        </is>
      </c>
      <c r="J690" t="inlineStr"/>
      <c r="K690" t="inlineStr">
        <is>
          <t>20230501</t>
        </is>
      </c>
      <c r="L690" t="inlineStr">
        <is>
          <t>20250131</t>
        </is>
      </c>
    </row>
    <row r="691">
      <c r="A691" t="inlineStr">
        <is>
          <t>900003438</t>
        </is>
      </c>
      <c r="B691" t="inlineStr">
        <is>
          <t>DW70</t>
        </is>
      </c>
      <c r="C691" t="inlineStr">
        <is>
          <t>EQ75</t>
        </is>
      </c>
      <c r="D691" t="inlineStr">
        <is>
          <t>10019515</t>
        </is>
      </c>
      <c r="E691" t="inlineStr"/>
      <c r="F691" s="11" t="n">
        <v>88.84999999999999</v>
      </c>
      <c r="G691" t="inlineStr"/>
      <c r="I691" t="inlineStr">
        <is>
          <t>TN</t>
        </is>
      </c>
      <c r="J691" t="inlineStr"/>
      <c r="K691" t="inlineStr">
        <is>
          <t>20230501</t>
        </is>
      </c>
      <c r="L691" t="inlineStr">
        <is>
          <t>20250131</t>
        </is>
      </c>
    </row>
    <row r="692">
      <c r="A692" t="inlineStr">
        <is>
          <t>900004069</t>
        </is>
      </c>
      <c r="B692" t="inlineStr">
        <is>
          <t>DW70</t>
        </is>
      </c>
      <c r="C692" t="inlineStr">
        <is>
          <t>D074</t>
        </is>
      </c>
      <c r="D692" t="inlineStr">
        <is>
          <t>10000623</t>
        </is>
      </c>
      <c r="E692" t="inlineStr"/>
      <c r="F692" s="11" t="n">
        <v>100.46</v>
      </c>
      <c r="G692" t="inlineStr"/>
      <c r="I692" t="inlineStr">
        <is>
          <t>TN</t>
        </is>
      </c>
      <c r="J692" t="inlineStr"/>
      <c r="K692" t="inlineStr">
        <is>
          <t>20230501</t>
        </is>
      </c>
      <c r="L692" t="inlineStr">
        <is>
          <t>20250131</t>
        </is>
      </c>
    </row>
    <row r="693">
      <c r="A693" t="inlineStr">
        <is>
          <t>900004069</t>
        </is>
      </c>
      <c r="B693" t="inlineStr">
        <is>
          <t>DW70</t>
        </is>
      </c>
      <c r="C693" t="inlineStr">
        <is>
          <t>D074</t>
        </is>
      </c>
      <c r="D693" t="inlineStr">
        <is>
          <t>10059180</t>
        </is>
      </c>
      <c r="E693" t="inlineStr"/>
      <c r="F693" s="11" t="n">
        <v>50.49</v>
      </c>
      <c r="G693" t="inlineStr"/>
      <c r="I693" t="inlineStr">
        <is>
          <t>TN</t>
        </is>
      </c>
      <c r="J693" t="inlineStr"/>
      <c r="K693" t="inlineStr">
        <is>
          <t>20230501</t>
        </is>
      </c>
      <c r="L693" t="inlineStr">
        <is>
          <t>20250131</t>
        </is>
      </c>
    </row>
    <row r="694">
      <c r="A694" t="inlineStr">
        <is>
          <t>900004069</t>
        </is>
      </c>
      <c r="B694" t="inlineStr">
        <is>
          <t>DW70</t>
        </is>
      </c>
      <c r="C694" t="inlineStr">
        <is>
          <t>D075</t>
        </is>
      </c>
      <c r="D694" t="inlineStr">
        <is>
          <t>10000623</t>
        </is>
      </c>
      <c r="E694" t="inlineStr"/>
      <c r="F694" s="11" t="n">
        <v>100.46</v>
      </c>
      <c r="G694" t="inlineStr"/>
      <c r="I694" t="inlineStr">
        <is>
          <t>TN</t>
        </is>
      </c>
      <c r="J694" t="inlineStr"/>
      <c r="K694" t="inlineStr">
        <is>
          <t>20230501</t>
        </is>
      </c>
      <c r="L694" t="inlineStr">
        <is>
          <t>20250131</t>
        </is>
      </c>
    </row>
    <row r="695">
      <c r="A695" t="inlineStr">
        <is>
          <t>900004069</t>
        </is>
      </c>
      <c r="B695" t="inlineStr">
        <is>
          <t>DW70</t>
        </is>
      </c>
      <c r="C695" t="inlineStr">
        <is>
          <t>D075</t>
        </is>
      </c>
      <c r="D695" t="inlineStr">
        <is>
          <t>10059180</t>
        </is>
      </c>
      <c r="E695" t="inlineStr"/>
      <c r="F695" s="11" t="n">
        <v>50.49</v>
      </c>
      <c r="G695" t="inlineStr"/>
      <c r="I695" t="inlineStr">
        <is>
          <t>TN</t>
        </is>
      </c>
      <c r="J695" t="inlineStr"/>
      <c r="K695" t="inlineStr">
        <is>
          <t>20230501</t>
        </is>
      </c>
      <c r="L695" t="inlineStr">
        <is>
          <t>20250131</t>
        </is>
      </c>
    </row>
    <row r="696">
      <c r="A696" t="inlineStr">
        <is>
          <t>900004069</t>
        </is>
      </c>
      <c r="B696" t="inlineStr">
        <is>
          <t>DW70</t>
        </is>
      </c>
      <c r="C696" t="inlineStr">
        <is>
          <t>D077</t>
        </is>
      </c>
      <c r="D696" t="inlineStr">
        <is>
          <t>10000623</t>
        </is>
      </c>
      <c r="E696" t="inlineStr"/>
      <c r="F696" s="11" t="n">
        <v>100.46</v>
      </c>
      <c r="G696" t="inlineStr"/>
      <c r="I696" t="inlineStr">
        <is>
          <t>TN</t>
        </is>
      </c>
      <c r="J696" t="inlineStr"/>
      <c r="K696" t="inlineStr">
        <is>
          <t>20230501</t>
        </is>
      </c>
      <c r="L696" t="inlineStr">
        <is>
          <t>20250131</t>
        </is>
      </c>
    </row>
    <row r="697">
      <c r="A697" t="inlineStr">
        <is>
          <t>900004069</t>
        </is>
      </c>
      <c r="B697" t="inlineStr">
        <is>
          <t>DW70</t>
        </is>
      </c>
      <c r="C697" t="inlineStr">
        <is>
          <t>D077</t>
        </is>
      </c>
      <c r="D697" t="inlineStr">
        <is>
          <t>10059180</t>
        </is>
      </c>
      <c r="E697" t="inlineStr"/>
      <c r="F697" s="11" t="n">
        <v>50.49</v>
      </c>
      <c r="G697" t="inlineStr"/>
      <c r="I697" t="inlineStr">
        <is>
          <t>TN</t>
        </is>
      </c>
      <c r="J697" t="inlineStr"/>
      <c r="K697" t="inlineStr">
        <is>
          <t>20230501</t>
        </is>
      </c>
      <c r="L697" t="inlineStr">
        <is>
          <t>20250131</t>
        </is>
      </c>
    </row>
    <row r="698">
      <c r="A698" t="inlineStr">
        <is>
          <t>900004069</t>
        </is>
      </c>
      <c r="B698" t="inlineStr">
        <is>
          <t>DW70</t>
        </is>
      </c>
      <c r="C698" t="inlineStr">
        <is>
          <t>D079</t>
        </is>
      </c>
      <c r="D698" t="inlineStr">
        <is>
          <t>10000623</t>
        </is>
      </c>
      <c r="E698" t="inlineStr"/>
      <c r="F698" s="11" t="n">
        <v>100.46</v>
      </c>
      <c r="G698" t="inlineStr"/>
      <c r="I698" t="inlineStr">
        <is>
          <t>TN</t>
        </is>
      </c>
      <c r="J698" t="inlineStr"/>
      <c r="K698" t="inlineStr">
        <is>
          <t>20230501</t>
        </is>
      </c>
      <c r="L698" t="inlineStr">
        <is>
          <t>20250131</t>
        </is>
      </c>
    </row>
    <row r="699">
      <c r="A699" t="inlineStr">
        <is>
          <t>900004069</t>
        </is>
      </c>
      <c r="B699" t="inlineStr">
        <is>
          <t>DW70</t>
        </is>
      </c>
      <c r="C699" t="inlineStr">
        <is>
          <t>D079</t>
        </is>
      </c>
      <c r="D699" t="inlineStr">
        <is>
          <t>10059180</t>
        </is>
      </c>
      <c r="E699" t="inlineStr"/>
      <c r="F699" s="11" t="n">
        <v>50.49</v>
      </c>
      <c r="G699" t="inlineStr"/>
      <c r="I699" t="inlineStr">
        <is>
          <t>TN</t>
        </is>
      </c>
      <c r="J699" t="inlineStr"/>
      <c r="K699" t="inlineStr">
        <is>
          <t>20230501</t>
        </is>
      </c>
      <c r="L699" t="inlineStr">
        <is>
          <t>20250131</t>
        </is>
      </c>
    </row>
    <row r="700">
      <c r="A700" t="inlineStr">
        <is>
          <t>900004069</t>
        </is>
      </c>
      <c r="B700" t="inlineStr">
        <is>
          <t>DW70</t>
        </is>
      </c>
      <c r="C700" t="inlineStr">
        <is>
          <t>D080</t>
        </is>
      </c>
      <c r="D700" t="inlineStr">
        <is>
          <t>10000623</t>
        </is>
      </c>
      <c r="E700" t="inlineStr"/>
      <c r="F700" s="11" t="n">
        <v>100.46</v>
      </c>
      <c r="G700" t="inlineStr"/>
      <c r="I700" t="inlineStr">
        <is>
          <t>TN</t>
        </is>
      </c>
      <c r="J700" t="inlineStr"/>
      <c r="K700" t="inlineStr">
        <is>
          <t>20230501</t>
        </is>
      </c>
      <c r="L700" t="inlineStr">
        <is>
          <t>20250131</t>
        </is>
      </c>
    </row>
    <row r="701">
      <c r="A701" t="inlineStr">
        <is>
          <t>900004069</t>
        </is>
      </c>
      <c r="B701" t="inlineStr">
        <is>
          <t>DW70</t>
        </is>
      </c>
      <c r="C701" t="inlineStr">
        <is>
          <t>D080</t>
        </is>
      </c>
      <c r="D701" t="inlineStr">
        <is>
          <t>10059180</t>
        </is>
      </c>
      <c r="E701" t="inlineStr"/>
      <c r="F701" s="11" t="n">
        <v>50.49</v>
      </c>
      <c r="G701" t="inlineStr"/>
      <c r="I701" t="inlineStr">
        <is>
          <t>TN</t>
        </is>
      </c>
      <c r="J701" t="inlineStr"/>
      <c r="K701" t="inlineStr">
        <is>
          <t>20230501</t>
        </is>
      </c>
      <c r="L701" t="inlineStr">
        <is>
          <t>20250131</t>
        </is>
      </c>
    </row>
    <row r="702">
      <c r="A702" t="inlineStr">
        <is>
          <t>900004069</t>
        </is>
      </c>
      <c r="B702" t="inlineStr">
        <is>
          <t>DW70</t>
        </is>
      </c>
      <c r="C702" t="inlineStr">
        <is>
          <t>D081</t>
        </is>
      </c>
      <c r="D702" t="inlineStr">
        <is>
          <t>10000623</t>
        </is>
      </c>
      <c r="E702" t="inlineStr"/>
      <c r="F702" s="11" t="n">
        <v>100.46</v>
      </c>
      <c r="G702" t="inlineStr"/>
      <c r="I702" t="inlineStr">
        <is>
          <t>TN</t>
        </is>
      </c>
      <c r="J702" t="inlineStr"/>
      <c r="K702" t="inlineStr">
        <is>
          <t>20230501</t>
        </is>
      </c>
      <c r="L702" t="inlineStr">
        <is>
          <t>20250131</t>
        </is>
      </c>
    </row>
    <row r="703">
      <c r="A703" t="inlineStr">
        <is>
          <t>900004069</t>
        </is>
      </c>
      <c r="B703" t="inlineStr">
        <is>
          <t>DW70</t>
        </is>
      </c>
      <c r="C703" t="inlineStr">
        <is>
          <t>D081</t>
        </is>
      </c>
      <c r="D703" t="inlineStr">
        <is>
          <t>10059180</t>
        </is>
      </c>
      <c r="E703" t="inlineStr"/>
      <c r="F703" s="11" t="n">
        <v>50.49</v>
      </c>
      <c r="G703" t="inlineStr"/>
      <c r="I703" t="inlineStr">
        <is>
          <t>TN</t>
        </is>
      </c>
      <c r="J703" t="inlineStr"/>
      <c r="K703" t="inlineStr">
        <is>
          <t>20230501</t>
        </is>
      </c>
      <c r="L703" t="inlineStr">
        <is>
          <t>20250131</t>
        </is>
      </c>
    </row>
    <row r="704">
      <c r="A704" t="inlineStr">
        <is>
          <t>900004069</t>
        </is>
      </c>
      <c r="B704" t="inlineStr">
        <is>
          <t>DW70</t>
        </is>
      </c>
      <c r="C704" t="inlineStr">
        <is>
          <t>D083</t>
        </is>
      </c>
      <c r="D704" t="inlineStr">
        <is>
          <t>10000623</t>
        </is>
      </c>
      <c r="E704" t="inlineStr"/>
      <c r="F704" s="11" t="n">
        <v>100.46</v>
      </c>
      <c r="G704" t="inlineStr"/>
      <c r="I704" t="inlineStr">
        <is>
          <t>TN</t>
        </is>
      </c>
      <c r="J704" t="inlineStr"/>
      <c r="K704" t="inlineStr">
        <is>
          <t>20230501</t>
        </is>
      </c>
      <c r="L704" t="inlineStr">
        <is>
          <t>20250131</t>
        </is>
      </c>
    </row>
    <row r="705">
      <c r="A705" t="inlineStr">
        <is>
          <t>900004069</t>
        </is>
      </c>
      <c r="B705" t="inlineStr">
        <is>
          <t>DW70</t>
        </is>
      </c>
      <c r="C705" t="inlineStr">
        <is>
          <t>D083</t>
        </is>
      </c>
      <c r="D705" t="inlineStr">
        <is>
          <t>10059180</t>
        </is>
      </c>
      <c r="E705" t="inlineStr"/>
      <c r="F705" s="11" t="n">
        <v>50.49</v>
      </c>
      <c r="G705" t="inlineStr"/>
      <c r="I705" t="inlineStr">
        <is>
          <t>TN</t>
        </is>
      </c>
      <c r="J705" t="inlineStr"/>
      <c r="K705" t="inlineStr">
        <is>
          <t>20230501</t>
        </is>
      </c>
      <c r="L705" t="inlineStr">
        <is>
          <t>20250131</t>
        </is>
      </c>
    </row>
    <row r="706">
      <c r="A706" t="inlineStr">
        <is>
          <t>900004069</t>
        </is>
      </c>
      <c r="B706" t="inlineStr">
        <is>
          <t>DW70</t>
        </is>
      </c>
      <c r="C706" t="inlineStr">
        <is>
          <t>D084</t>
        </is>
      </c>
      <c r="D706" t="inlineStr">
        <is>
          <t>10000623</t>
        </is>
      </c>
      <c r="E706" t="inlineStr"/>
      <c r="F706" s="11" t="n">
        <v>100.46</v>
      </c>
      <c r="G706" t="inlineStr"/>
      <c r="I706" t="inlineStr">
        <is>
          <t>TN</t>
        </is>
      </c>
      <c r="J706" t="inlineStr"/>
      <c r="K706" t="inlineStr">
        <is>
          <t>20230501</t>
        </is>
      </c>
      <c r="L706" t="inlineStr">
        <is>
          <t>20250131</t>
        </is>
      </c>
    </row>
    <row r="707">
      <c r="A707" t="inlineStr">
        <is>
          <t>900004069</t>
        </is>
      </c>
      <c r="B707" t="inlineStr">
        <is>
          <t>DW70</t>
        </is>
      </c>
      <c r="C707" t="inlineStr">
        <is>
          <t>D084</t>
        </is>
      </c>
      <c r="D707" t="inlineStr">
        <is>
          <t>10059180</t>
        </is>
      </c>
      <c r="E707" t="inlineStr"/>
      <c r="F707" s="11" t="n">
        <v>50.49</v>
      </c>
      <c r="G707" t="inlineStr"/>
      <c r="I707" t="inlineStr">
        <is>
          <t>TN</t>
        </is>
      </c>
      <c r="J707" t="inlineStr"/>
      <c r="K707" t="inlineStr">
        <is>
          <t>20230501</t>
        </is>
      </c>
      <c r="L707" t="inlineStr">
        <is>
          <t>20250131</t>
        </is>
      </c>
    </row>
    <row r="708">
      <c r="A708" t="inlineStr">
        <is>
          <t>900004069</t>
        </is>
      </c>
      <c r="B708" t="inlineStr">
        <is>
          <t>DW70</t>
        </is>
      </c>
      <c r="C708" t="inlineStr">
        <is>
          <t>D085</t>
        </is>
      </c>
      <c r="D708" t="inlineStr">
        <is>
          <t>10000623</t>
        </is>
      </c>
      <c r="E708" t="inlineStr"/>
      <c r="F708" s="11" t="n">
        <v>100.46</v>
      </c>
      <c r="G708" t="inlineStr"/>
      <c r="I708" t="inlineStr">
        <is>
          <t>TN</t>
        </is>
      </c>
      <c r="J708" t="inlineStr"/>
      <c r="K708" t="inlineStr">
        <is>
          <t>20230501</t>
        </is>
      </c>
      <c r="L708" t="inlineStr">
        <is>
          <t>20250131</t>
        </is>
      </c>
    </row>
    <row r="709">
      <c r="A709" t="inlineStr">
        <is>
          <t>900004069</t>
        </is>
      </c>
      <c r="B709" t="inlineStr">
        <is>
          <t>DW70</t>
        </is>
      </c>
      <c r="C709" t="inlineStr">
        <is>
          <t>D085</t>
        </is>
      </c>
      <c r="D709" t="inlineStr">
        <is>
          <t>10059180</t>
        </is>
      </c>
      <c r="E709" t="inlineStr"/>
      <c r="F709" s="11" t="n">
        <v>50.49</v>
      </c>
      <c r="G709" t="inlineStr"/>
      <c r="I709" t="inlineStr">
        <is>
          <t>TN</t>
        </is>
      </c>
      <c r="J709" t="inlineStr"/>
      <c r="K709" t="inlineStr">
        <is>
          <t>20230501</t>
        </is>
      </c>
      <c r="L709" t="inlineStr">
        <is>
          <t>20250131</t>
        </is>
      </c>
    </row>
    <row r="710">
      <c r="A710" t="inlineStr">
        <is>
          <t>900004069</t>
        </is>
      </c>
      <c r="B710" t="inlineStr">
        <is>
          <t>DW70</t>
        </is>
      </c>
      <c r="C710" t="inlineStr">
        <is>
          <t>D086</t>
        </is>
      </c>
      <c r="D710" t="inlineStr">
        <is>
          <t>10000623</t>
        </is>
      </c>
      <c r="E710" t="inlineStr"/>
      <c r="F710" s="11" t="n">
        <v>100.46</v>
      </c>
      <c r="G710" t="inlineStr"/>
      <c r="I710" t="inlineStr">
        <is>
          <t>TN</t>
        </is>
      </c>
      <c r="J710" t="inlineStr"/>
      <c r="K710" t="inlineStr">
        <is>
          <t>20230501</t>
        </is>
      </c>
      <c r="L710" t="inlineStr">
        <is>
          <t>20250131</t>
        </is>
      </c>
    </row>
    <row r="711">
      <c r="A711" t="inlineStr">
        <is>
          <t>900004069</t>
        </is>
      </c>
      <c r="B711" t="inlineStr">
        <is>
          <t>DW70</t>
        </is>
      </c>
      <c r="C711" t="inlineStr">
        <is>
          <t>D086</t>
        </is>
      </c>
      <c r="D711" t="inlineStr">
        <is>
          <t>10059180</t>
        </is>
      </c>
      <c r="E711" t="inlineStr"/>
      <c r="F711" s="11" t="n">
        <v>50.49</v>
      </c>
      <c r="G711" t="inlineStr"/>
      <c r="I711" t="inlineStr">
        <is>
          <t>TN</t>
        </is>
      </c>
      <c r="J711" t="inlineStr"/>
      <c r="K711" t="inlineStr">
        <is>
          <t>20230501</t>
        </is>
      </c>
      <c r="L711" t="inlineStr">
        <is>
          <t>20250131</t>
        </is>
      </c>
    </row>
    <row r="712">
      <c r="A712" t="inlineStr">
        <is>
          <t>900004069</t>
        </is>
      </c>
      <c r="B712" t="inlineStr">
        <is>
          <t>DW70</t>
        </is>
      </c>
      <c r="C712" t="inlineStr">
        <is>
          <t>D088</t>
        </is>
      </c>
      <c r="D712" t="inlineStr">
        <is>
          <t>10000623</t>
        </is>
      </c>
      <c r="E712" t="inlineStr"/>
      <c r="F712" s="11" t="n">
        <v>100.46</v>
      </c>
      <c r="G712" t="inlineStr"/>
      <c r="I712" t="inlineStr">
        <is>
          <t>TN</t>
        </is>
      </c>
      <c r="J712" t="inlineStr"/>
      <c r="K712" t="inlineStr">
        <is>
          <t>20230501</t>
        </is>
      </c>
      <c r="L712" t="inlineStr">
        <is>
          <t>20250131</t>
        </is>
      </c>
    </row>
    <row r="713">
      <c r="A713" t="inlineStr">
        <is>
          <t>900004069</t>
        </is>
      </c>
      <c r="B713" t="inlineStr">
        <is>
          <t>DW70</t>
        </is>
      </c>
      <c r="C713" t="inlineStr">
        <is>
          <t>D088</t>
        </is>
      </c>
      <c r="D713" t="inlineStr">
        <is>
          <t>10059180</t>
        </is>
      </c>
      <c r="E713" t="inlineStr"/>
      <c r="F713" s="11" t="n">
        <v>50.49</v>
      </c>
      <c r="G713" t="inlineStr"/>
      <c r="I713" t="inlineStr">
        <is>
          <t>TN</t>
        </is>
      </c>
      <c r="J713" t="inlineStr"/>
      <c r="K713" t="inlineStr">
        <is>
          <t>20230501</t>
        </is>
      </c>
      <c r="L713" t="inlineStr">
        <is>
          <t>20250131</t>
        </is>
      </c>
    </row>
    <row r="714">
      <c r="A714" t="inlineStr">
        <is>
          <t>900004069</t>
        </is>
      </c>
      <c r="B714" t="inlineStr">
        <is>
          <t>DW70</t>
        </is>
      </c>
      <c r="C714" t="inlineStr">
        <is>
          <t>D089</t>
        </is>
      </c>
      <c r="D714" t="inlineStr">
        <is>
          <t>10000623</t>
        </is>
      </c>
      <c r="E714" t="inlineStr"/>
      <c r="F714" s="11" t="n">
        <v>100.46</v>
      </c>
      <c r="G714" t="inlineStr"/>
      <c r="I714" t="inlineStr">
        <is>
          <t>TN</t>
        </is>
      </c>
      <c r="J714" t="inlineStr"/>
      <c r="K714" t="inlineStr">
        <is>
          <t>20230501</t>
        </is>
      </c>
      <c r="L714" t="inlineStr">
        <is>
          <t>20250131</t>
        </is>
      </c>
    </row>
    <row r="715">
      <c r="A715" t="inlineStr">
        <is>
          <t>900004069</t>
        </is>
      </c>
      <c r="B715" t="inlineStr">
        <is>
          <t>DW70</t>
        </is>
      </c>
      <c r="C715" t="inlineStr">
        <is>
          <t>D089</t>
        </is>
      </c>
      <c r="D715" t="inlineStr">
        <is>
          <t>10059180</t>
        </is>
      </c>
      <c r="E715" t="inlineStr"/>
      <c r="F715" s="11" t="n">
        <v>50.49</v>
      </c>
      <c r="G715" t="inlineStr"/>
      <c r="I715" t="inlineStr">
        <is>
          <t>TN</t>
        </is>
      </c>
      <c r="J715" t="inlineStr"/>
      <c r="K715" t="inlineStr">
        <is>
          <t>20230501</t>
        </is>
      </c>
      <c r="L715" t="inlineStr">
        <is>
          <t>20250131</t>
        </is>
      </c>
    </row>
    <row r="716">
      <c r="A716" t="inlineStr">
        <is>
          <t>900004069</t>
        </is>
      </c>
      <c r="B716" t="inlineStr">
        <is>
          <t>DW70</t>
        </is>
      </c>
      <c r="C716" t="inlineStr">
        <is>
          <t>D098</t>
        </is>
      </c>
      <c r="D716" t="inlineStr">
        <is>
          <t>10000623</t>
        </is>
      </c>
      <c r="E716" t="inlineStr"/>
      <c r="F716" s="11" t="n">
        <v>100.46</v>
      </c>
      <c r="G716" t="inlineStr"/>
      <c r="I716" t="inlineStr">
        <is>
          <t>TN</t>
        </is>
      </c>
      <c r="J716" t="inlineStr"/>
      <c r="K716" t="inlineStr">
        <is>
          <t>20230501</t>
        </is>
      </c>
      <c r="L716" t="inlineStr">
        <is>
          <t>20250131</t>
        </is>
      </c>
    </row>
    <row r="717">
      <c r="A717" t="inlineStr">
        <is>
          <t>900004069</t>
        </is>
      </c>
      <c r="B717" t="inlineStr">
        <is>
          <t>DW70</t>
        </is>
      </c>
      <c r="C717" t="inlineStr">
        <is>
          <t>D098</t>
        </is>
      </c>
      <c r="D717" t="inlineStr">
        <is>
          <t>10059180</t>
        </is>
      </c>
      <c r="E717" t="inlineStr"/>
      <c r="F717" s="11" t="n">
        <v>50.49</v>
      </c>
      <c r="G717" t="inlineStr"/>
      <c r="I717" t="inlineStr">
        <is>
          <t>TN</t>
        </is>
      </c>
      <c r="J717" t="inlineStr"/>
      <c r="K717" t="inlineStr">
        <is>
          <t>20230501</t>
        </is>
      </c>
      <c r="L717" t="inlineStr">
        <is>
          <t>20250131</t>
        </is>
      </c>
    </row>
    <row r="718">
      <c r="A718" t="inlineStr">
        <is>
          <t>900004069</t>
        </is>
      </c>
      <c r="B718" t="inlineStr">
        <is>
          <t>DW70</t>
        </is>
      </c>
      <c r="C718" t="inlineStr">
        <is>
          <t>D105</t>
        </is>
      </c>
      <c r="D718" t="inlineStr">
        <is>
          <t>10000623</t>
        </is>
      </c>
      <c r="E718" t="inlineStr"/>
      <c r="F718" s="11" t="n">
        <v>100.46</v>
      </c>
      <c r="G718" t="inlineStr"/>
      <c r="I718" t="inlineStr">
        <is>
          <t>TN</t>
        </is>
      </c>
      <c r="J718" t="inlineStr"/>
      <c r="K718" t="inlineStr">
        <is>
          <t>20230501</t>
        </is>
      </c>
      <c r="L718" t="inlineStr">
        <is>
          <t>20250131</t>
        </is>
      </c>
    </row>
    <row r="719">
      <c r="A719" t="inlineStr">
        <is>
          <t>900004069</t>
        </is>
      </c>
      <c r="B719" t="inlineStr">
        <is>
          <t>DW70</t>
        </is>
      </c>
      <c r="C719" t="inlineStr">
        <is>
          <t>D105</t>
        </is>
      </c>
      <c r="D719" t="inlineStr">
        <is>
          <t>10059180</t>
        </is>
      </c>
      <c r="E719" t="inlineStr"/>
      <c r="F719" s="11" t="n">
        <v>50.49</v>
      </c>
      <c r="G719" t="inlineStr"/>
      <c r="I719" t="inlineStr">
        <is>
          <t>TN</t>
        </is>
      </c>
      <c r="J719" t="inlineStr"/>
      <c r="K719" t="inlineStr">
        <is>
          <t>20230501</t>
        </is>
      </c>
      <c r="L719" t="inlineStr">
        <is>
          <t>20250131</t>
        </is>
      </c>
    </row>
    <row r="720">
      <c r="A720" t="inlineStr">
        <is>
          <t>900004069</t>
        </is>
      </c>
      <c r="B720" t="inlineStr">
        <is>
          <t>DW70</t>
        </is>
      </c>
      <c r="C720" t="inlineStr">
        <is>
          <t>D136</t>
        </is>
      </c>
      <c r="D720" t="inlineStr">
        <is>
          <t>10000623</t>
        </is>
      </c>
      <c r="E720" t="inlineStr"/>
      <c r="F720" s="11" t="n">
        <v>100.46</v>
      </c>
      <c r="G720" t="inlineStr"/>
      <c r="I720" t="inlineStr">
        <is>
          <t>TN</t>
        </is>
      </c>
      <c r="J720" t="inlineStr"/>
      <c r="K720" t="inlineStr">
        <is>
          <t>20230501</t>
        </is>
      </c>
      <c r="L720" t="inlineStr">
        <is>
          <t>20250131</t>
        </is>
      </c>
    </row>
    <row r="721">
      <c r="A721" t="inlineStr">
        <is>
          <t>900004069</t>
        </is>
      </c>
      <c r="B721" t="inlineStr">
        <is>
          <t>DW70</t>
        </is>
      </c>
      <c r="C721" t="inlineStr">
        <is>
          <t>D136</t>
        </is>
      </c>
      <c r="D721" t="inlineStr">
        <is>
          <t>10059180</t>
        </is>
      </c>
      <c r="E721" t="inlineStr"/>
      <c r="F721" s="11" t="n">
        <v>50.49</v>
      </c>
      <c r="G721" t="inlineStr"/>
      <c r="I721" t="inlineStr">
        <is>
          <t>TN</t>
        </is>
      </c>
      <c r="J721" t="inlineStr"/>
      <c r="K721" t="inlineStr">
        <is>
          <t>20230501</t>
        </is>
      </c>
      <c r="L721" t="inlineStr">
        <is>
          <t>20250131</t>
        </is>
      </c>
    </row>
    <row r="722">
      <c r="A722" t="inlineStr">
        <is>
          <t>900004069</t>
        </is>
      </c>
      <c r="B722" t="inlineStr">
        <is>
          <t>DW70</t>
        </is>
      </c>
      <c r="C722" t="inlineStr">
        <is>
          <t>D145</t>
        </is>
      </c>
      <c r="D722" t="inlineStr">
        <is>
          <t>10000623</t>
        </is>
      </c>
      <c r="E722" t="inlineStr"/>
      <c r="F722" s="11" t="n">
        <v>100.46</v>
      </c>
      <c r="G722" t="inlineStr"/>
      <c r="I722" t="inlineStr">
        <is>
          <t>TN</t>
        </is>
      </c>
      <c r="J722" t="inlineStr"/>
      <c r="K722" t="inlineStr">
        <is>
          <t>20230501</t>
        </is>
      </c>
      <c r="L722" t="inlineStr">
        <is>
          <t>20250131</t>
        </is>
      </c>
    </row>
    <row r="723">
      <c r="A723" t="inlineStr">
        <is>
          <t>900004069</t>
        </is>
      </c>
      <c r="B723" t="inlineStr">
        <is>
          <t>DW70</t>
        </is>
      </c>
      <c r="C723" t="inlineStr">
        <is>
          <t>D145</t>
        </is>
      </c>
      <c r="D723" t="inlineStr">
        <is>
          <t>10059180</t>
        </is>
      </c>
      <c r="E723" t="inlineStr"/>
      <c r="F723" s="11" t="n">
        <v>50.49</v>
      </c>
      <c r="G723" t="inlineStr"/>
      <c r="I723" t="inlineStr">
        <is>
          <t>TN</t>
        </is>
      </c>
      <c r="J723" t="inlineStr"/>
      <c r="K723" t="inlineStr">
        <is>
          <t>20230501</t>
        </is>
      </c>
      <c r="L723" t="inlineStr">
        <is>
          <t>20250131</t>
        </is>
      </c>
    </row>
    <row r="724">
      <c r="A724" t="inlineStr">
        <is>
          <t>900004090</t>
        </is>
      </c>
      <c r="B724" t="inlineStr">
        <is>
          <t>DW70</t>
        </is>
      </c>
      <c r="C724" t="inlineStr">
        <is>
          <t>D074</t>
        </is>
      </c>
      <c r="D724" t="inlineStr">
        <is>
          <t>10000623</t>
        </is>
      </c>
      <c r="E724" t="inlineStr"/>
      <c r="F724" s="11" t="n">
        <v>95.73999999999999</v>
      </c>
      <c r="G724" t="inlineStr"/>
      <c r="I724" t="inlineStr">
        <is>
          <t>TN</t>
        </is>
      </c>
      <c r="J724" t="inlineStr"/>
      <c r="K724" t="inlineStr">
        <is>
          <t>20230501</t>
        </is>
      </c>
      <c r="L724" t="inlineStr">
        <is>
          <t>20250131</t>
        </is>
      </c>
    </row>
    <row r="725">
      <c r="A725" t="inlineStr">
        <is>
          <t>900004090</t>
        </is>
      </c>
      <c r="B725" t="inlineStr">
        <is>
          <t>DW70</t>
        </is>
      </c>
      <c r="C725" t="inlineStr">
        <is>
          <t>D077</t>
        </is>
      </c>
      <c r="D725" t="inlineStr">
        <is>
          <t>10000623</t>
        </is>
      </c>
      <c r="E725" t="inlineStr"/>
      <c r="F725" s="11" t="n">
        <v>95.73999999999999</v>
      </c>
      <c r="G725" t="inlineStr"/>
      <c r="I725" t="inlineStr">
        <is>
          <t>TN</t>
        </is>
      </c>
      <c r="J725" t="inlineStr"/>
      <c r="K725" t="inlineStr">
        <is>
          <t>20230501</t>
        </is>
      </c>
      <c r="L725" t="inlineStr">
        <is>
          <t>20250131</t>
        </is>
      </c>
    </row>
    <row r="726">
      <c r="A726" t="inlineStr">
        <is>
          <t>900004090</t>
        </is>
      </c>
      <c r="B726" t="inlineStr">
        <is>
          <t>DW70</t>
        </is>
      </c>
      <c r="C726" t="inlineStr">
        <is>
          <t>D079</t>
        </is>
      </c>
      <c r="D726" t="inlineStr">
        <is>
          <t>10000623</t>
        </is>
      </c>
      <c r="E726" t="inlineStr"/>
      <c r="F726" s="11" t="n">
        <v>95.73999999999999</v>
      </c>
      <c r="G726" t="inlineStr"/>
      <c r="I726" t="inlineStr">
        <is>
          <t>TN</t>
        </is>
      </c>
      <c r="J726" t="inlineStr"/>
      <c r="K726" t="inlineStr">
        <is>
          <t>20230501</t>
        </is>
      </c>
      <c r="L726" t="inlineStr">
        <is>
          <t>20250131</t>
        </is>
      </c>
    </row>
    <row r="727">
      <c r="A727" t="inlineStr">
        <is>
          <t>900004090</t>
        </is>
      </c>
      <c r="B727" t="inlineStr">
        <is>
          <t>DW70</t>
        </is>
      </c>
      <c r="C727" t="inlineStr">
        <is>
          <t>D081</t>
        </is>
      </c>
      <c r="D727" t="inlineStr">
        <is>
          <t>10000623</t>
        </is>
      </c>
      <c r="E727" t="inlineStr"/>
      <c r="F727" s="11" t="n">
        <v>95.73999999999999</v>
      </c>
      <c r="G727" t="inlineStr"/>
      <c r="I727" t="inlineStr">
        <is>
          <t>TN</t>
        </is>
      </c>
      <c r="J727" t="inlineStr"/>
      <c r="K727" t="inlineStr">
        <is>
          <t>20230501</t>
        </is>
      </c>
      <c r="L727" t="inlineStr">
        <is>
          <t>20250131</t>
        </is>
      </c>
    </row>
    <row r="728">
      <c r="A728" t="inlineStr">
        <is>
          <t>900004090</t>
        </is>
      </c>
      <c r="B728" t="inlineStr">
        <is>
          <t>DW70</t>
        </is>
      </c>
      <c r="C728" t="inlineStr">
        <is>
          <t>D083</t>
        </is>
      </c>
      <c r="D728" t="inlineStr">
        <is>
          <t>10000623</t>
        </is>
      </c>
      <c r="E728" t="inlineStr"/>
      <c r="F728" s="11" t="n">
        <v>95.73999999999999</v>
      </c>
      <c r="G728" t="inlineStr"/>
      <c r="I728" t="inlineStr">
        <is>
          <t>TN</t>
        </is>
      </c>
      <c r="J728" t="inlineStr"/>
      <c r="K728" t="inlineStr">
        <is>
          <t>20230501</t>
        </is>
      </c>
      <c r="L728" t="inlineStr">
        <is>
          <t>20250131</t>
        </is>
      </c>
    </row>
    <row r="729">
      <c r="A729" t="inlineStr">
        <is>
          <t>900004090</t>
        </is>
      </c>
      <c r="B729" t="inlineStr">
        <is>
          <t>DW70</t>
        </is>
      </c>
      <c r="C729" t="inlineStr">
        <is>
          <t>D084</t>
        </is>
      </c>
      <c r="D729" t="inlineStr">
        <is>
          <t>10000623</t>
        </is>
      </c>
      <c r="E729" t="inlineStr"/>
      <c r="F729" s="11" t="n">
        <v>95.73999999999999</v>
      </c>
      <c r="G729" t="inlineStr"/>
      <c r="I729" t="inlineStr">
        <is>
          <t>TN</t>
        </is>
      </c>
      <c r="J729" t="inlineStr"/>
      <c r="K729" t="inlineStr">
        <is>
          <t>20230501</t>
        </is>
      </c>
      <c r="L729" t="inlineStr">
        <is>
          <t>20250131</t>
        </is>
      </c>
    </row>
    <row r="730">
      <c r="A730" t="inlineStr">
        <is>
          <t>900004090</t>
        </is>
      </c>
      <c r="B730" t="inlineStr">
        <is>
          <t>DW70</t>
        </is>
      </c>
      <c r="C730" t="inlineStr">
        <is>
          <t>D086</t>
        </is>
      </c>
      <c r="D730" t="inlineStr">
        <is>
          <t>10000623</t>
        </is>
      </c>
      <c r="E730" t="inlineStr"/>
      <c r="F730" s="11" t="n">
        <v>95.73999999999999</v>
      </c>
      <c r="G730" t="inlineStr"/>
      <c r="I730" t="inlineStr">
        <is>
          <t>TN</t>
        </is>
      </c>
      <c r="J730" t="inlineStr"/>
      <c r="K730" t="inlineStr">
        <is>
          <t>20230501</t>
        </is>
      </c>
      <c r="L730" t="inlineStr">
        <is>
          <t>20250131</t>
        </is>
      </c>
    </row>
    <row r="731">
      <c r="A731" t="inlineStr">
        <is>
          <t>900004090</t>
        </is>
      </c>
      <c r="B731" t="inlineStr">
        <is>
          <t>DW70</t>
        </is>
      </c>
      <c r="C731" t="inlineStr">
        <is>
          <t>D088</t>
        </is>
      </c>
      <c r="D731" t="inlineStr">
        <is>
          <t>10000623</t>
        </is>
      </c>
      <c r="E731" t="inlineStr"/>
      <c r="F731" s="11" t="n">
        <v>95.73999999999999</v>
      </c>
      <c r="G731" t="inlineStr"/>
      <c r="I731" t="inlineStr">
        <is>
          <t>TN</t>
        </is>
      </c>
      <c r="J731" t="inlineStr"/>
      <c r="K731" t="inlineStr">
        <is>
          <t>20230501</t>
        </is>
      </c>
      <c r="L731" t="inlineStr">
        <is>
          <t>20250131</t>
        </is>
      </c>
    </row>
    <row r="732">
      <c r="A732" t="inlineStr">
        <is>
          <t>900004090</t>
        </is>
      </c>
      <c r="B732" t="inlineStr">
        <is>
          <t>DW70</t>
        </is>
      </c>
      <c r="C732" t="inlineStr">
        <is>
          <t>D093</t>
        </is>
      </c>
      <c r="D732" t="inlineStr">
        <is>
          <t>10000623</t>
        </is>
      </c>
      <c r="E732" t="inlineStr"/>
      <c r="F732" s="11" t="n">
        <v>95.73999999999999</v>
      </c>
      <c r="G732" t="inlineStr"/>
      <c r="I732" t="inlineStr">
        <is>
          <t>TN</t>
        </is>
      </c>
      <c r="J732" t="inlineStr"/>
      <c r="K732" t="inlineStr">
        <is>
          <t>20230501</t>
        </is>
      </c>
      <c r="L732" t="inlineStr">
        <is>
          <t>20250131</t>
        </is>
      </c>
    </row>
    <row r="733">
      <c r="A733" t="inlineStr">
        <is>
          <t>900004090</t>
        </is>
      </c>
      <c r="B733" t="inlineStr">
        <is>
          <t>DW70</t>
        </is>
      </c>
      <c r="C733" t="inlineStr">
        <is>
          <t>D094</t>
        </is>
      </c>
      <c r="D733" t="inlineStr">
        <is>
          <t>10220798</t>
        </is>
      </c>
      <c r="E733" t="inlineStr"/>
      <c r="F733" s="11" t="n">
        <v>113.24</v>
      </c>
      <c r="G733" t="inlineStr"/>
      <c r="I733" t="inlineStr">
        <is>
          <t>TN</t>
        </is>
      </c>
      <c r="J733" t="inlineStr"/>
      <c r="K733" t="inlineStr">
        <is>
          <t>20230501</t>
        </is>
      </c>
      <c r="L733" t="inlineStr">
        <is>
          <t>20250131</t>
        </is>
      </c>
    </row>
    <row r="734">
      <c r="A734" t="inlineStr">
        <is>
          <t>900004090</t>
        </is>
      </c>
      <c r="B734" t="inlineStr">
        <is>
          <t>DW70</t>
        </is>
      </c>
      <c r="C734" t="inlineStr">
        <is>
          <t>D094</t>
        </is>
      </c>
      <c r="D734" t="inlineStr">
        <is>
          <t>10220799</t>
        </is>
      </c>
      <c r="E734" t="inlineStr"/>
      <c r="F734" s="11" t="n">
        <v>65.63</v>
      </c>
      <c r="G734" t="inlineStr"/>
      <c r="I734" t="inlineStr">
        <is>
          <t>TN</t>
        </is>
      </c>
      <c r="J734" t="inlineStr"/>
      <c r="K734" t="inlineStr">
        <is>
          <t>20230501</t>
        </is>
      </c>
      <c r="L734" t="inlineStr">
        <is>
          <t>20250131</t>
        </is>
      </c>
    </row>
    <row r="735">
      <c r="A735" t="inlineStr">
        <is>
          <t>900004090</t>
        </is>
      </c>
      <c r="B735" t="inlineStr">
        <is>
          <t>DW70</t>
        </is>
      </c>
      <c r="C735" t="inlineStr">
        <is>
          <t>D098</t>
        </is>
      </c>
      <c r="D735" t="inlineStr">
        <is>
          <t>10000623</t>
        </is>
      </c>
      <c r="E735" t="inlineStr"/>
      <c r="F735" s="11" t="n">
        <v>95.73999999999999</v>
      </c>
      <c r="G735" t="inlineStr"/>
      <c r="I735" t="inlineStr">
        <is>
          <t>TN</t>
        </is>
      </c>
      <c r="J735" t="inlineStr"/>
      <c r="K735" t="inlineStr">
        <is>
          <t>20230501</t>
        </is>
      </c>
      <c r="L735" t="inlineStr">
        <is>
          <t>20250131</t>
        </is>
      </c>
    </row>
    <row r="736">
      <c r="A736" t="inlineStr">
        <is>
          <t>900004090</t>
        </is>
      </c>
      <c r="B736" t="inlineStr">
        <is>
          <t>DW70</t>
        </is>
      </c>
      <c r="C736" t="inlineStr">
        <is>
          <t>D105</t>
        </is>
      </c>
      <c r="D736" t="inlineStr">
        <is>
          <t>10000623</t>
        </is>
      </c>
      <c r="E736" t="inlineStr"/>
      <c r="F736" s="11" t="n">
        <v>95.73999999999999</v>
      </c>
      <c r="G736" t="inlineStr"/>
      <c r="I736" t="inlineStr">
        <is>
          <t>TN</t>
        </is>
      </c>
      <c r="J736" t="inlineStr"/>
      <c r="K736" t="inlineStr">
        <is>
          <t>20230501</t>
        </is>
      </c>
      <c r="L736" t="inlineStr">
        <is>
          <t>20250131</t>
        </is>
      </c>
    </row>
    <row r="737">
      <c r="A737" t="inlineStr">
        <is>
          <t>900004184</t>
        </is>
      </c>
      <c r="B737" t="inlineStr">
        <is>
          <t>DW70</t>
        </is>
      </c>
      <c r="C737" t="inlineStr">
        <is>
          <t>D074</t>
        </is>
      </c>
      <c r="D737" t="inlineStr">
        <is>
          <t>10000623</t>
        </is>
      </c>
      <c r="E737" t="inlineStr"/>
      <c r="F737" s="11" t="n">
        <v>100.46</v>
      </c>
      <c r="G737" t="inlineStr"/>
      <c r="I737" t="inlineStr">
        <is>
          <t>TN</t>
        </is>
      </c>
      <c r="J737" t="inlineStr"/>
      <c r="K737" t="inlineStr">
        <is>
          <t>20230501</t>
        </is>
      </c>
      <c r="L737" t="inlineStr">
        <is>
          <t>20250131</t>
        </is>
      </c>
    </row>
    <row r="738">
      <c r="A738" t="inlineStr">
        <is>
          <t>900004184</t>
        </is>
      </c>
      <c r="B738" t="inlineStr">
        <is>
          <t>DW70</t>
        </is>
      </c>
      <c r="C738" t="inlineStr">
        <is>
          <t>D074</t>
        </is>
      </c>
      <c r="D738" t="inlineStr">
        <is>
          <t>10000624</t>
        </is>
      </c>
      <c r="E738" t="inlineStr"/>
      <c r="F738" s="11" t="n">
        <v>96.79000000000001</v>
      </c>
      <c r="G738" t="inlineStr"/>
      <c r="I738" t="inlineStr">
        <is>
          <t>TN</t>
        </is>
      </c>
      <c r="J738" t="inlineStr"/>
      <c r="K738" t="inlineStr">
        <is>
          <t>20230501</t>
        </is>
      </c>
      <c r="L738" t="inlineStr">
        <is>
          <t>20250131</t>
        </is>
      </c>
    </row>
    <row r="739">
      <c r="A739" t="inlineStr">
        <is>
          <t>900004184</t>
        </is>
      </c>
      <c r="B739" t="inlineStr">
        <is>
          <t>DW70</t>
        </is>
      </c>
      <c r="C739" t="inlineStr">
        <is>
          <t>D074</t>
        </is>
      </c>
      <c r="D739" t="inlineStr">
        <is>
          <t>10000811</t>
        </is>
      </c>
      <c r="E739" t="inlineStr"/>
      <c r="F739" s="11" t="n">
        <v>96.79000000000001</v>
      </c>
      <c r="G739" t="inlineStr"/>
      <c r="I739" t="inlineStr">
        <is>
          <t>TN</t>
        </is>
      </c>
      <c r="J739" t="inlineStr"/>
      <c r="K739" t="inlineStr">
        <is>
          <t>20230501</t>
        </is>
      </c>
      <c r="L739" t="inlineStr">
        <is>
          <t>20250131</t>
        </is>
      </c>
    </row>
    <row r="740">
      <c r="A740" t="inlineStr">
        <is>
          <t>900004184</t>
        </is>
      </c>
      <c r="B740" t="inlineStr">
        <is>
          <t>DW70</t>
        </is>
      </c>
      <c r="C740" t="inlineStr">
        <is>
          <t>D074</t>
        </is>
      </c>
      <c r="D740" t="inlineStr">
        <is>
          <t>10059180</t>
        </is>
      </c>
      <c r="E740" t="inlineStr"/>
      <c r="F740" s="11" t="n">
        <v>50.49</v>
      </c>
      <c r="G740" t="inlineStr"/>
      <c r="I740" t="inlineStr">
        <is>
          <t>TN</t>
        </is>
      </c>
      <c r="J740" t="inlineStr"/>
      <c r="K740" t="inlineStr">
        <is>
          <t>20230501</t>
        </is>
      </c>
      <c r="L740" t="inlineStr">
        <is>
          <t>20250131</t>
        </is>
      </c>
    </row>
    <row r="741">
      <c r="A741" t="inlineStr">
        <is>
          <t>900004184</t>
        </is>
      </c>
      <c r="B741" t="inlineStr">
        <is>
          <t>DW70</t>
        </is>
      </c>
      <c r="C741" t="inlineStr">
        <is>
          <t>D075</t>
        </is>
      </c>
      <c r="D741" t="inlineStr">
        <is>
          <t>10000623</t>
        </is>
      </c>
      <c r="E741" t="inlineStr"/>
      <c r="F741" s="11" t="n">
        <v>100.46</v>
      </c>
      <c r="G741" t="inlineStr"/>
      <c r="I741" t="inlineStr">
        <is>
          <t>TN</t>
        </is>
      </c>
      <c r="J741" t="inlineStr"/>
      <c r="K741" t="inlineStr">
        <is>
          <t>20230501</t>
        </is>
      </c>
      <c r="L741" t="inlineStr">
        <is>
          <t>20250131</t>
        </is>
      </c>
    </row>
    <row r="742">
      <c r="A742" t="inlineStr">
        <is>
          <t>900004184</t>
        </is>
      </c>
      <c r="B742" t="inlineStr">
        <is>
          <t>DW70</t>
        </is>
      </c>
      <c r="C742" t="inlineStr">
        <is>
          <t>D075</t>
        </is>
      </c>
      <c r="D742" t="inlineStr">
        <is>
          <t>10000624</t>
        </is>
      </c>
      <c r="E742" t="inlineStr"/>
      <c r="F742" s="11" t="n">
        <v>96.79000000000001</v>
      </c>
      <c r="G742" t="inlineStr"/>
      <c r="I742" t="inlineStr">
        <is>
          <t>TN</t>
        </is>
      </c>
      <c r="J742" t="inlineStr"/>
      <c r="K742" t="inlineStr">
        <is>
          <t>20230501</t>
        </is>
      </c>
      <c r="L742" t="inlineStr">
        <is>
          <t>20250131</t>
        </is>
      </c>
    </row>
    <row r="743">
      <c r="A743" t="inlineStr">
        <is>
          <t>900004184</t>
        </is>
      </c>
      <c r="B743" t="inlineStr">
        <is>
          <t>DW70</t>
        </is>
      </c>
      <c r="C743" t="inlineStr">
        <is>
          <t>D075</t>
        </is>
      </c>
      <c r="D743" t="inlineStr">
        <is>
          <t>10000811</t>
        </is>
      </c>
      <c r="E743" t="inlineStr"/>
      <c r="F743" s="11" t="n">
        <v>96.79000000000001</v>
      </c>
      <c r="G743" t="inlineStr"/>
      <c r="I743" t="inlineStr">
        <is>
          <t>TN</t>
        </is>
      </c>
      <c r="J743" t="inlineStr"/>
      <c r="K743" t="inlineStr">
        <is>
          <t>20230501</t>
        </is>
      </c>
      <c r="L743" t="inlineStr">
        <is>
          <t>20250131</t>
        </is>
      </c>
    </row>
    <row r="744">
      <c r="A744" t="inlineStr">
        <is>
          <t>900004184</t>
        </is>
      </c>
      <c r="B744" t="inlineStr">
        <is>
          <t>DW70</t>
        </is>
      </c>
      <c r="C744" t="inlineStr">
        <is>
          <t>D075</t>
        </is>
      </c>
      <c r="D744" t="inlineStr">
        <is>
          <t>10059180</t>
        </is>
      </c>
      <c r="E744" t="inlineStr"/>
      <c r="F744" s="11" t="n">
        <v>50.49</v>
      </c>
      <c r="G744" t="inlineStr"/>
      <c r="I744" t="inlineStr">
        <is>
          <t>TN</t>
        </is>
      </c>
      <c r="J744" t="inlineStr"/>
      <c r="K744" t="inlineStr">
        <is>
          <t>20230501</t>
        </is>
      </c>
      <c r="L744" t="inlineStr">
        <is>
          <t>20250131</t>
        </is>
      </c>
    </row>
    <row r="745">
      <c r="A745" t="inlineStr">
        <is>
          <t>900004184</t>
        </is>
      </c>
      <c r="B745" t="inlineStr">
        <is>
          <t>DW70</t>
        </is>
      </c>
      <c r="C745" t="inlineStr">
        <is>
          <t>D077</t>
        </is>
      </c>
      <c r="D745" t="inlineStr">
        <is>
          <t>10000623</t>
        </is>
      </c>
      <c r="E745" t="inlineStr"/>
      <c r="F745" s="11" t="n">
        <v>100.46</v>
      </c>
      <c r="G745" t="inlineStr"/>
      <c r="I745" t="inlineStr">
        <is>
          <t>TN</t>
        </is>
      </c>
      <c r="J745" t="inlineStr"/>
      <c r="K745" t="inlineStr">
        <is>
          <t>20230501</t>
        </is>
      </c>
      <c r="L745" t="inlineStr">
        <is>
          <t>20250131</t>
        </is>
      </c>
    </row>
    <row r="746">
      <c r="A746" t="inlineStr">
        <is>
          <t>900004184</t>
        </is>
      </c>
      <c r="B746" t="inlineStr">
        <is>
          <t>DW70</t>
        </is>
      </c>
      <c r="C746" t="inlineStr">
        <is>
          <t>D077</t>
        </is>
      </c>
      <c r="D746" t="inlineStr">
        <is>
          <t>10000624</t>
        </is>
      </c>
      <c r="E746" t="inlineStr"/>
      <c r="F746" s="11" t="n">
        <v>96.79000000000001</v>
      </c>
      <c r="G746" t="inlineStr"/>
      <c r="I746" t="inlineStr">
        <is>
          <t>TN</t>
        </is>
      </c>
      <c r="J746" t="inlineStr"/>
      <c r="K746" t="inlineStr">
        <is>
          <t>20230501</t>
        </is>
      </c>
      <c r="L746" t="inlineStr">
        <is>
          <t>20250131</t>
        </is>
      </c>
    </row>
    <row r="747">
      <c r="A747" t="inlineStr">
        <is>
          <t>900004184</t>
        </is>
      </c>
      <c r="B747" t="inlineStr">
        <is>
          <t>DW70</t>
        </is>
      </c>
      <c r="C747" t="inlineStr">
        <is>
          <t>D077</t>
        </is>
      </c>
      <c r="D747" t="inlineStr">
        <is>
          <t>10000811</t>
        </is>
      </c>
      <c r="E747" t="inlineStr"/>
      <c r="F747" s="11" t="n">
        <v>96.79000000000001</v>
      </c>
      <c r="G747" t="inlineStr"/>
      <c r="I747" t="inlineStr">
        <is>
          <t>TN</t>
        </is>
      </c>
      <c r="J747" t="inlineStr"/>
      <c r="K747" t="inlineStr">
        <is>
          <t>20230501</t>
        </is>
      </c>
      <c r="L747" t="inlineStr">
        <is>
          <t>20250131</t>
        </is>
      </c>
    </row>
    <row r="748">
      <c r="A748" t="inlineStr">
        <is>
          <t>900004184</t>
        </is>
      </c>
      <c r="B748" t="inlineStr">
        <is>
          <t>DW70</t>
        </is>
      </c>
      <c r="C748" t="inlineStr">
        <is>
          <t>D077</t>
        </is>
      </c>
      <c r="D748" t="inlineStr">
        <is>
          <t>10059180</t>
        </is>
      </c>
      <c r="E748" t="inlineStr"/>
      <c r="F748" s="11" t="n">
        <v>50.49</v>
      </c>
      <c r="G748" t="inlineStr"/>
      <c r="I748" t="inlineStr">
        <is>
          <t>TN</t>
        </is>
      </c>
      <c r="J748" t="inlineStr"/>
      <c r="K748" t="inlineStr">
        <is>
          <t>20230501</t>
        </is>
      </c>
      <c r="L748" t="inlineStr">
        <is>
          <t>20250131</t>
        </is>
      </c>
    </row>
    <row r="749">
      <c r="A749" t="inlineStr">
        <is>
          <t>900004184</t>
        </is>
      </c>
      <c r="B749" t="inlineStr">
        <is>
          <t>DW70</t>
        </is>
      </c>
      <c r="C749" t="inlineStr">
        <is>
          <t>D079</t>
        </is>
      </c>
      <c r="D749" t="inlineStr">
        <is>
          <t>10000623</t>
        </is>
      </c>
      <c r="E749" t="inlineStr"/>
      <c r="F749" s="11" t="n">
        <v>100.46</v>
      </c>
      <c r="G749" t="inlineStr"/>
      <c r="I749" t="inlineStr">
        <is>
          <t>TN</t>
        </is>
      </c>
      <c r="J749" t="inlineStr"/>
      <c r="K749" t="inlineStr">
        <is>
          <t>20230501</t>
        </is>
      </c>
      <c r="L749" t="inlineStr">
        <is>
          <t>20250131</t>
        </is>
      </c>
    </row>
    <row r="750">
      <c r="A750" t="inlineStr">
        <is>
          <t>900004184</t>
        </is>
      </c>
      <c r="B750" t="inlineStr">
        <is>
          <t>DW70</t>
        </is>
      </c>
      <c r="C750" t="inlineStr">
        <is>
          <t>D079</t>
        </is>
      </c>
      <c r="D750" t="inlineStr">
        <is>
          <t>10000624</t>
        </is>
      </c>
      <c r="E750" t="inlineStr"/>
      <c r="F750" s="11" t="n">
        <v>96.79000000000001</v>
      </c>
      <c r="G750" t="inlineStr"/>
      <c r="I750" t="inlineStr">
        <is>
          <t>TN</t>
        </is>
      </c>
      <c r="J750" t="inlineStr"/>
      <c r="K750" t="inlineStr">
        <is>
          <t>20230501</t>
        </is>
      </c>
      <c r="L750" t="inlineStr">
        <is>
          <t>20250131</t>
        </is>
      </c>
    </row>
    <row r="751">
      <c r="A751" t="inlineStr">
        <is>
          <t>900004184</t>
        </is>
      </c>
      <c r="B751" t="inlineStr">
        <is>
          <t>DW70</t>
        </is>
      </c>
      <c r="C751" t="inlineStr">
        <is>
          <t>D079</t>
        </is>
      </c>
      <c r="D751" t="inlineStr">
        <is>
          <t>10000811</t>
        </is>
      </c>
      <c r="E751" t="inlineStr"/>
      <c r="F751" s="11" t="n">
        <v>96.79000000000001</v>
      </c>
      <c r="G751" t="inlineStr"/>
      <c r="I751" t="inlineStr">
        <is>
          <t>TN</t>
        </is>
      </c>
      <c r="J751" t="inlineStr"/>
      <c r="K751" t="inlineStr">
        <is>
          <t>20230501</t>
        </is>
      </c>
      <c r="L751" t="inlineStr">
        <is>
          <t>20250131</t>
        </is>
      </c>
    </row>
    <row r="752">
      <c r="A752" t="inlineStr">
        <is>
          <t>900004184</t>
        </is>
      </c>
      <c r="B752" t="inlineStr">
        <is>
          <t>DW70</t>
        </is>
      </c>
      <c r="C752" t="inlineStr">
        <is>
          <t>D079</t>
        </is>
      </c>
      <c r="D752" t="inlineStr">
        <is>
          <t>10059180</t>
        </is>
      </c>
      <c r="E752" t="inlineStr"/>
      <c r="F752" s="11" t="n">
        <v>50.49</v>
      </c>
      <c r="G752" t="inlineStr"/>
      <c r="I752" t="inlineStr">
        <is>
          <t>TN</t>
        </is>
      </c>
      <c r="J752" t="inlineStr"/>
      <c r="K752" t="inlineStr">
        <is>
          <t>20230501</t>
        </is>
      </c>
      <c r="L752" t="inlineStr">
        <is>
          <t>20250131</t>
        </is>
      </c>
    </row>
    <row r="753">
      <c r="A753" t="inlineStr">
        <is>
          <t>900004184</t>
        </is>
      </c>
      <c r="B753" t="inlineStr">
        <is>
          <t>DW70</t>
        </is>
      </c>
      <c r="C753" t="inlineStr">
        <is>
          <t>D080</t>
        </is>
      </c>
      <c r="D753" t="inlineStr">
        <is>
          <t>10000623</t>
        </is>
      </c>
      <c r="E753" t="inlineStr"/>
      <c r="F753" s="11" t="n">
        <v>100.46</v>
      </c>
      <c r="G753" t="inlineStr"/>
      <c r="I753" t="inlineStr">
        <is>
          <t>TN</t>
        </is>
      </c>
      <c r="J753" t="inlineStr"/>
      <c r="K753" t="inlineStr">
        <is>
          <t>20230501</t>
        </is>
      </c>
      <c r="L753" t="inlineStr">
        <is>
          <t>20250131</t>
        </is>
      </c>
    </row>
    <row r="754">
      <c r="A754" t="inlineStr">
        <is>
          <t>900004184</t>
        </is>
      </c>
      <c r="B754" t="inlineStr">
        <is>
          <t>DW70</t>
        </is>
      </c>
      <c r="C754" t="inlineStr">
        <is>
          <t>D080</t>
        </is>
      </c>
      <c r="D754" t="inlineStr">
        <is>
          <t>10000624</t>
        </is>
      </c>
      <c r="E754" t="inlineStr"/>
      <c r="F754" s="11" t="n">
        <v>96.79000000000001</v>
      </c>
      <c r="G754" t="inlineStr"/>
      <c r="I754" t="inlineStr">
        <is>
          <t>TN</t>
        </is>
      </c>
      <c r="J754" t="inlineStr"/>
      <c r="K754" t="inlineStr">
        <is>
          <t>20230501</t>
        </is>
      </c>
      <c r="L754" t="inlineStr">
        <is>
          <t>20250131</t>
        </is>
      </c>
    </row>
    <row r="755">
      <c r="A755" t="inlineStr">
        <is>
          <t>900004184</t>
        </is>
      </c>
      <c r="B755" t="inlineStr">
        <is>
          <t>DW70</t>
        </is>
      </c>
      <c r="C755" t="inlineStr">
        <is>
          <t>D080</t>
        </is>
      </c>
      <c r="D755" t="inlineStr">
        <is>
          <t>10000811</t>
        </is>
      </c>
      <c r="E755" t="inlineStr"/>
      <c r="F755" s="11" t="n">
        <v>96.79000000000001</v>
      </c>
      <c r="G755" t="inlineStr"/>
      <c r="I755" t="inlineStr">
        <is>
          <t>TN</t>
        </is>
      </c>
      <c r="J755" t="inlineStr"/>
      <c r="K755" t="inlineStr">
        <is>
          <t>20230501</t>
        </is>
      </c>
      <c r="L755" t="inlineStr">
        <is>
          <t>20250131</t>
        </is>
      </c>
    </row>
    <row r="756">
      <c r="A756" t="inlineStr">
        <is>
          <t>900004184</t>
        </is>
      </c>
      <c r="B756" t="inlineStr">
        <is>
          <t>DW70</t>
        </is>
      </c>
      <c r="C756" t="inlineStr">
        <is>
          <t>D080</t>
        </is>
      </c>
      <c r="D756" t="inlineStr">
        <is>
          <t>10059180</t>
        </is>
      </c>
      <c r="E756" t="inlineStr"/>
      <c r="F756" s="11" t="n">
        <v>50.49</v>
      </c>
      <c r="G756" t="inlineStr"/>
      <c r="I756" t="inlineStr">
        <is>
          <t>TN</t>
        </is>
      </c>
      <c r="J756" t="inlineStr"/>
      <c r="K756" t="inlineStr">
        <is>
          <t>20230501</t>
        </is>
      </c>
      <c r="L756" t="inlineStr">
        <is>
          <t>20250131</t>
        </is>
      </c>
    </row>
    <row r="757">
      <c r="A757" t="inlineStr">
        <is>
          <t>900004184</t>
        </is>
      </c>
      <c r="B757" t="inlineStr">
        <is>
          <t>DW70</t>
        </is>
      </c>
      <c r="C757" t="inlineStr">
        <is>
          <t>D081</t>
        </is>
      </c>
      <c r="D757" t="inlineStr">
        <is>
          <t>10000623</t>
        </is>
      </c>
      <c r="E757" t="inlineStr"/>
      <c r="F757" s="11" t="n">
        <v>100.46</v>
      </c>
      <c r="G757" t="inlineStr"/>
      <c r="I757" t="inlineStr">
        <is>
          <t>TN</t>
        </is>
      </c>
      <c r="J757" t="inlineStr"/>
      <c r="K757" t="inlineStr">
        <is>
          <t>20230501</t>
        </is>
      </c>
      <c r="L757" t="inlineStr">
        <is>
          <t>20250131</t>
        </is>
      </c>
    </row>
    <row r="758">
      <c r="A758" t="inlineStr">
        <is>
          <t>900004184</t>
        </is>
      </c>
      <c r="B758" t="inlineStr">
        <is>
          <t>DW70</t>
        </is>
      </c>
      <c r="C758" t="inlineStr">
        <is>
          <t>D081</t>
        </is>
      </c>
      <c r="D758" t="inlineStr">
        <is>
          <t>10000624</t>
        </is>
      </c>
      <c r="E758" t="inlineStr"/>
      <c r="F758" s="11" t="n">
        <v>96.79000000000001</v>
      </c>
      <c r="G758" t="inlineStr"/>
      <c r="I758" t="inlineStr">
        <is>
          <t>TN</t>
        </is>
      </c>
      <c r="J758" t="inlineStr"/>
      <c r="K758" t="inlineStr">
        <is>
          <t>20230501</t>
        </is>
      </c>
      <c r="L758" t="inlineStr">
        <is>
          <t>20250131</t>
        </is>
      </c>
    </row>
    <row r="759">
      <c r="A759" t="inlineStr">
        <is>
          <t>900004184</t>
        </is>
      </c>
      <c r="B759" t="inlineStr">
        <is>
          <t>DW70</t>
        </is>
      </c>
      <c r="C759" t="inlineStr">
        <is>
          <t>D081</t>
        </is>
      </c>
      <c r="D759" t="inlineStr">
        <is>
          <t>10000811</t>
        </is>
      </c>
      <c r="E759" t="inlineStr"/>
      <c r="F759" s="11" t="n">
        <v>96.79000000000001</v>
      </c>
      <c r="G759" t="inlineStr"/>
      <c r="I759" t="inlineStr">
        <is>
          <t>TN</t>
        </is>
      </c>
      <c r="J759" t="inlineStr"/>
      <c r="K759" t="inlineStr">
        <is>
          <t>20230501</t>
        </is>
      </c>
      <c r="L759" t="inlineStr">
        <is>
          <t>20250131</t>
        </is>
      </c>
    </row>
    <row r="760">
      <c r="A760" t="inlineStr">
        <is>
          <t>900004184</t>
        </is>
      </c>
      <c r="B760" t="inlineStr">
        <is>
          <t>DW70</t>
        </is>
      </c>
      <c r="C760" t="inlineStr">
        <is>
          <t>D081</t>
        </is>
      </c>
      <c r="D760" t="inlineStr">
        <is>
          <t>10059180</t>
        </is>
      </c>
      <c r="E760" t="inlineStr"/>
      <c r="F760" s="11" t="n">
        <v>50.49</v>
      </c>
      <c r="G760" t="inlineStr"/>
      <c r="I760" t="inlineStr">
        <is>
          <t>TN</t>
        </is>
      </c>
      <c r="J760" t="inlineStr"/>
      <c r="K760" t="inlineStr">
        <is>
          <t>20230501</t>
        </is>
      </c>
      <c r="L760" t="inlineStr">
        <is>
          <t>20250131</t>
        </is>
      </c>
    </row>
    <row r="761">
      <c r="A761" t="inlineStr">
        <is>
          <t>900004184</t>
        </is>
      </c>
      <c r="B761" t="inlineStr">
        <is>
          <t>DW70</t>
        </is>
      </c>
      <c r="C761" t="inlineStr">
        <is>
          <t>D083</t>
        </is>
      </c>
      <c r="D761" t="inlineStr">
        <is>
          <t>10000623</t>
        </is>
      </c>
      <c r="E761" t="inlineStr"/>
      <c r="F761" s="11" t="n">
        <v>100.46</v>
      </c>
      <c r="G761" t="inlineStr"/>
      <c r="I761" t="inlineStr">
        <is>
          <t>TN</t>
        </is>
      </c>
      <c r="J761" t="inlineStr"/>
      <c r="K761" t="inlineStr">
        <is>
          <t>20230501</t>
        </is>
      </c>
      <c r="L761" t="inlineStr">
        <is>
          <t>20250131</t>
        </is>
      </c>
    </row>
    <row r="762">
      <c r="A762" t="inlineStr">
        <is>
          <t>900004184</t>
        </is>
      </c>
      <c r="B762" t="inlineStr">
        <is>
          <t>DW70</t>
        </is>
      </c>
      <c r="C762" t="inlineStr">
        <is>
          <t>D083</t>
        </is>
      </c>
      <c r="D762" t="inlineStr">
        <is>
          <t>10000624</t>
        </is>
      </c>
      <c r="E762" t="inlineStr"/>
      <c r="F762" s="11" t="n">
        <v>96.79000000000001</v>
      </c>
      <c r="G762" t="inlineStr"/>
      <c r="I762" t="inlineStr">
        <is>
          <t>TN</t>
        </is>
      </c>
      <c r="J762" t="inlineStr"/>
      <c r="K762" t="inlineStr">
        <is>
          <t>20230501</t>
        </is>
      </c>
      <c r="L762" t="inlineStr">
        <is>
          <t>20250131</t>
        </is>
      </c>
    </row>
    <row r="763">
      <c r="A763" t="inlineStr">
        <is>
          <t>900004184</t>
        </is>
      </c>
      <c r="B763" t="inlineStr">
        <is>
          <t>DW70</t>
        </is>
      </c>
      <c r="C763" t="inlineStr">
        <is>
          <t>D083</t>
        </is>
      </c>
      <c r="D763" t="inlineStr">
        <is>
          <t>10000811</t>
        </is>
      </c>
      <c r="E763" t="inlineStr"/>
      <c r="F763" s="11" t="n">
        <v>96.79000000000001</v>
      </c>
      <c r="G763" t="inlineStr"/>
      <c r="I763" t="inlineStr">
        <is>
          <t>TN</t>
        </is>
      </c>
      <c r="J763" t="inlineStr"/>
      <c r="K763" t="inlineStr">
        <is>
          <t>20230501</t>
        </is>
      </c>
      <c r="L763" t="inlineStr">
        <is>
          <t>20250131</t>
        </is>
      </c>
    </row>
    <row r="764">
      <c r="A764" t="inlineStr">
        <is>
          <t>900004184</t>
        </is>
      </c>
      <c r="B764" t="inlineStr">
        <is>
          <t>DW70</t>
        </is>
      </c>
      <c r="C764" t="inlineStr">
        <is>
          <t>D083</t>
        </is>
      </c>
      <c r="D764" t="inlineStr">
        <is>
          <t>10059180</t>
        </is>
      </c>
      <c r="E764" t="inlineStr"/>
      <c r="F764" s="11" t="n">
        <v>50.49</v>
      </c>
      <c r="G764" t="inlineStr"/>
      <c r="I764" t="inlineStr">
        <is>
          <t>TN</t>
        </is>
      </c>
      <c r="J764" t="inlineStr"/>
      <c r="K764" t="inlineStr">
        <is>
          <t>20230501</t>
        </is>
      </c>
      <c r="L764" t="inlineStr">
        <is>
          <t>20250131</t>
        </is>
      </c>
    </row>
    <row r="765">
      <c r="A765" t="inlineStr">
        <is>
          <t>900004184</t>
        </is>
      </c>
      <c r="B765" t="inlineStr">
        <is>
          <t>DW70</t>
        </is>
      </c>
      <c r="C765" t="inlineStr">
        <is>
          <t>D084</t>
        </is>
      </c>
      <c r="D765" t="inlineStr">
        <is>
          <t>10000623</t>
        </is>
      </c>
      <c r="E765" t="inlineStr"/>
      <c r="F765" s="11" t="n">
        <v>100.46</v>
      </c>
      <c r="G765" t="inlineStr"/>
      <c r="I765" t="inlineStr">
        <is>
          <t>TN</t>
        </is>
      </c>
      <c r="J765" t="inlineStr"/>
      <c r="K765" t="inlineStr">
        <is>
          <t>20230501</t>
        </is>
      </c>
      <c r="L765" t="inlineStr">
        <is>
          <t>20250131</t>
        </is>
      </c>
    </row>
    <row r="766">
      <c r="A766" t="inlineStr">
        <is>
          <t>900004184</t>
        </is>
      </c>
      <c r="B766" t="inlineStr">
        <is>
          <t>DW70</t>
        </is>
      </c>
      <c r="C766" t="inlineStr">
        <is>
          <t>D084</t>
        </is>
      </c>
      <c r="D766" t="inlineStr">
        <is>
          <t>10000624</t>
        </is>
      </c>
      <c r="E766" t="inlineStr"/>
      <c r="F766" s="11" t="n">
        <v>96.79000000000001</v>
      </c>
      <c r="G766" t="inlineStr"/>
      <c r="I766" t="inlineStr">
        <is>
          <t>TN</t>
        </is>
      </c>
      <c r="J766" t="inlineStr"/>
      <c r="K766" t="inlineStr">
        <is>
          <t>20230501</t>
        </is>
      </c>
      <c r="L766" t="inlineStr">
        <is>
          <t>20250131</t>
        </is>
      </c>
    </row>
    <row r="767">
      <c r="A767" t="inlineStr">
        <is>
          <t>900004184</t>
        </is>
      </c>
      <c r="B767" t="inlineStr">
        <is>
          <t>DW70</t>
        </is>
      </c>
      <c r="C767" t="inlineStr">
        <is>
          <t>D084</t>
        </is>
      </c>
      <c r="D767" t="inlineStr">
        <is>
          <t>10000811</t>
        </is>
      </c>
      <c r="E767" t="inlineStr"/>
      <c r="F767" s="11" t="n">
        <v>96.79000000000001</v>
      </c>
      <c r="G767" t="inlineStr"/>
      <c r="I767" t="inlineStr">
        <is>
          <t>TN</t>
        </is>
      </c>
      <c r="J767" t="inlineStr"/>
      <c r="K767" t="inlineStr">
        <is>
          <t>20230501</t>
        </is>
      </c>
      <c r="L767" t="inlineStr">
        <is>
          <t>20250131</t>
        </is>
      </c>
    </row>
    <row r="768">
      <c r="A768" t="inlineStr">
        <is>
          <t>900004184</t>
        </is>
      </c>
      <c r="B768" t="inlineStr">
        <is>
          <t>DW70</t>
        </is>
      </c>
      <c r="C768" t="inlineStr">
        <is>
          <t>D084</t>
        </is>
      </c>
      <c r="D768" t="inlineStr">
        <is>
          <t>10059180</t>
        </is>
      </c>
      <c r="E768" t="inlineStr"/>
      <c r="F768" s="11" t="n">
        <v>50.49</v>
      </c>
      <c r="G768" t="inlineStr"/>
      <c r="I768" t="inlineStr">
        <is>
          <t>TN</t>
        </is>
      </c>
      <c r="J768" t="inlineStr"/>
      <c r="K768" t="inlineStr">
        <is>
          <t>20230501</t>
        </is>
      </c>
      <c r="L768" t="inlineStr">
        <is>
          <t>20250131</t>
        </is>
      </c>
    </row>
    <row r="769">
      <c r="A769" t="inlineStr">
        <is>
          <t>900004184</t>
        </is>
      </c>
      <c r="B769" t="inlineStr">
        <is>
          <t>DW70</t>
        </is>
      </c>
      <c r="C769" t="inlineStr">
        <is>
          <t>D085</t>
        </is>
      </c>
      <c r="D769" t="inlineStr">
        <is>
          <t>10000623</t>
        </is>
      </c>
      <c r="E769" t="inlineStr"/>
      <c r="F769" s="11" t="n">
        <v>100.46</v>
      </c>
      <c r="G769" t="inlineStr"/>
      <c r="I769" t="inlineStr">
        <is>
          <t>TN</t>
        </is>
      </c>
      <c r="J769" t="inlineStr"/>
      <c r="K769" t="inlineStr">
        <is>
          <t>20230501</t>
        </is>
      </c>
      <c r="L769" t="inlineStr">
        <is>
          <t>20250131</t>
        </is>
      </c>
    </row>
    <row r="770">
      <c r="A770" t="inlineStr">
        <is>
          <t>900004184</t>
        </is>
      </c>
      <c r="B770" t="inlineStr">
        <is>
          <t>DW70</t>
        </is>
      </c>
      <c r="C770" t="inlineStr">
        <is>
          <t>D085</t>
        </is>
      </c>
      <c r="D770" t="inlineStr">
        <is>
          <t>10000624</t>
        </is>
      </c>
      <c r="E770" t="inlineStr"/>
      <c r="F770" s="11" t="n">
        <v>96.79000000000001</v>
      </c>
      <c r="G770" t="inlineStr"/>
      <c r="I770" t="inlineStr">
        <is>
          <t>TN</t>
        </is>
      </c>
      <c r="J770" t="inlineStr"/>
      <c r="K770" t="inlineStr">
        <is>
          <t>20230501</t>
        </is>
      </c>
      <c r="L770" t="inlineStr">
        <is>
          <t>20250131</t>
        </is>
      </c>
    </row>
    <row r="771">
      <c r="A771" t="inlineStr">
        <is>
          <t>900004184</t>
        </is>
      </c>
      <c r="B771" t="inlineStr">
        <is>
          <t>DW70</t>
        </is>
      </c>
      <c r="C771" t="inlineStr">
        <is>
          <t>D085</t>
        </is>
      </c>
      <c r="D771" t="inlineStr">
        <is>
          <t>10000811</t>
        </is>
      </c>
      <c r="E771" t="inlineStr"/>
      <c r="F771" s="11" t="n">
        <v>96.79000000000001</v>
      </c>
      <c r="G771" t="inlineStr"/>
      <c r="I771" t="inlineStr">
        <is>
          <t>TN</t>
        </is>
      </c>
      <c r="J771" t="inlineStr"/>
      <c r="K771" t="inlineStr">
        <is>
          <t>20230501</t>
        </is>
      </c>
      <c r="L771" t="inlineStr">
        <is>
          <t>20250131</t>
        </is>
      </c>
    </row>
    <row r="772">
      <c r="A772" t="inlineStr">
        <is>
          <t>900004184</t>
        </is>
      </c>
      <c r="B772" t="inlineStr">
        <is>
          <t>DW70</t>
        </is>
      </c>
      <c r="C772" t="inlineStr">
        <is>
          <t>D085</t>
        </is>
      </c>
      <c r="D772" t="inlineStr">
        <is>
          <t>10059180</t>
        </is>
      </c>
      <c r="E772" t="inlineStr"/>
      <c r="F772" s="11" t="n">
        <v>50.49</v>
      </c>
      <c r="G772" t="inlineStr"/>
      <c r="I772" t="inlineStr">
        <is>
          <t>TN</t>
        </is>
      </c>
      <c r="J772" t="inlineStr"/>
      <c r="K772" t="inlineStr">
        <is>
          <t>20230501</t>
        </is>
      </c>
      <c r="L772" t="inlineStr">
        <is>
          <t>20250131</t>
        </is>
      </c>
    </row>
    <row r="773">
      <c r="A773" t="inlineStr">
        <is>
          <t>900004184</t>
        </is>
      </c>
      <c r="B773" t="inlineStr">
        <is>
          <t>DW70</t>
        </is>
      </c>
      <c r="C773" t="inlineStr">
        <is>
          <t>D086</t>
        </is>
      </c>
      <c r="D773" t="inlineStr">
        <is>
          <t>10000623</t>
        </is>
      </c>
      <c r="E773" t="inlineStr"/>
      <c r="F773" s="11" t="n">
        <v>100.46</v>
      </c>
      <c r="G773" t="inlineStr"/>
      <c r="I773" t="inlineStr">
        <is>
          <t>TN</t>
        </is>
      </c>
      <c r="J773" t="inlineStr"/>
      <c r="K773" t="inlineStr">
        <is>
          <t>20230501</t>
        </is>
      </c>
      <c r="L773" t="inlineStr">
        <is>
          <t>20250131</t>
        </is>
      </c>
    </row>
    <row r="774">
      <c r="A774" t="inlineStr">
        <is>
          <t>900004184</t>
        </is>
      </c>
      <c r="B774" t="inlineStr">
        <is>
          <t>DW70</t>
        </is>
      </c>
      <c r="C774" t="inlineStr">
        <is>
          <t>D086</t>
        </is>
      </c>
      <c r="D774" t="inlineStr">
        <is>
          <t>10000624</t>
        </is>
      </c>
      <c r="E774" t="inlineStr"/>
      <c r="F774" s="11" t="n">
        <v>96.79000000000001</v>
      </c>
      <c r="G774" t="inlineStr"/>
      <c r="I774" t="inlineStr">
        <is>
          <t>TN</t>
        </is>
      </c>
      <c r="J774" t="inlineStr"/>
      <c r="K774" t="inlineStr">
        <is>
          <t>20230501</t>
        </is>
      </c>
      <c r="L774" t="inlineStr">
        <is>
          <t>20250131</t>
        </is>
      </c>
    </row>
    <row r="775">
      <c r="A775" t="inlineStr">
        <is>
          <t>900004184</t>
        </is>
      </c>
      <c r="B775" t="inlineStr">
        <is>
          <t>DW70</t>
        </is>
      </c>
      <c r="C775" t="inlineStr">
        <is>
          <t>D086</t>
        </is>
      </c>
      <c r="D775" t="inlineStr">
        <is>
          <t>10000811</t>
        </is>
      </c>
      <c r="E775" t="inlineStr"/>
      <c r="F775" s="11" t="n">
        <v>96.79000000000001</v>
      </c>
      <c r="G775" t="inlineStr"/>
      <c r="I775" t="inlineStr">
        <is>
          <t>TN</t>
        </is>
      </c>
      <c r="J775" t="inlineStr"/>
      <c r="K775" t="inlineStr">
        <is>
          <t>20230501</t>
        </is>
      </c>
      <c r="L775" t="inlineStr">
        <is>
          <t>20250131</t>
        </is>
      </c>
    </row>
    <row r="776">
      <c r="A776" t="inlineStr">
        <is>
          <t>900004184</t>
        </is>
      </c>
      <c r="B776" t="inlineStr">
        <is>
          <t>DW70</t>
        </is>
      </c>
      <c r="C776" t="inlineStr">
        <is>
          <t>D086</t>
        </is>
      </c>
      <c r="D776" t="inlineStr">
        <is>
          <t>10059180</t>
        </is>
      </c>
      <c r="E776" t="inlineStr"/>
      <c r="F776" s="11" t="n">
        <v>50.49</v>
      </c>
      <c r="G776" t="inlineStr"/>
      <c r="I776" t="inlineStr">
        <is>
          <t>TN</t>
        </is>
      </c>
      <c r="J776" t="inlineStr"/>
      <c r="K776" t="inlineStr">
        <is>
          <t>20230501</t>
        </is>
      </c>
      <c r="L776" t="inlineStr">
        <is>
          <t>20250131</t>
        </is>
      </c>
    </row>
    <row r="777">
      <c r="A777" t="inlineStr">
        <is>
          <t>900004184</t>
        </is>
      </c>
      <c r="B777" t="inlineStr">
        <is>
          <t>DW70</t>
        </is>
      </c>
      <c r="C777" t="inlineStr">
        <is>
          <t>D088</t>
        </is>
      </c>
      <c r="D777" t="inlineStr">
        <is>
          <t>10000623</t>
        </is>
      </c>
      <c r="E777" t="inlineStr"/>
      <c r="F777" s="11" t="n">
        <v>100.46</v>
      </c>
      <c r="G777" t="inlineStr"/>
      <c r="I777" t="inlineStr">
        <is>
          <t>TN</t>
        </is>
      </c>
      <c r="J777" t="inlineStr"/>
      <c r="K777" t="inlineStr">
        <is>
          <t>20230501</t>
        </is>
      </c>
      <c r="L777" t="inlineStr">
        <is>
          <t>20250131</t>
        </is>
      </c>
    </row>
    <row r="778">
      <c r="A778" t="inlineStr">
        <is>
          <t>900004184</t>
        </is>
      </c>
      <c r="B778" t="inlineStr">
        <is>
          <t>DW70</t>
        </is>
      </c>
      <c r="C778" t="inlineStr">
        <is>
          <t>D088</t>
        </is>
      </c>
      <c r="D778" t="inlineStr">
        <is>
          <t>10000624</t>
        </is>
      </c>
      <c r="E778" t="inlineStr"/>
      <c r="F778" s="11" t="n">
        <v>96.79000000000001</v>
      </c>
      <c r="G778" t="inlineStr"/>
      <c r="I778" t="inlineStr">
        <is>
          <t>TN</t>
        </is>
      </c>
      <c r="J778" t="inlineStr"/>
      <c r="K778" t="inlineStr">
        <is>
          <t>20230501</t>
        </is>
      </c>
      <c r="L778" t="inlineStr">
        <is>
          <t>20250131</t>
        </is>
      </c>
    </row>
    <row r="779">
      <c r="A779" t="inlineStr">
        <is>
          <t>900004184</t>
        </is>
      </c>
      <c r="B779" t="inlineStr">
        <is>
          <t>DW70</t>
        </is>
      </c>
      <c r="C779" t="inlineStr">
        <is>
          <t>D088</t>
        </is>
      </c>
      <c r="D779" t="inlineStr">
        <is>
          <t>10000811</t>
        </is>
      </c>
      <c r="E779" t="inlineStr"/>
      <c r="F779" s="11" t="n">
        <v>96.79000000000001</v>
      </c>
      <c r="G779" t="inlineStr"/>
      <c r="I779" t="inlineStr">
        <is>
          <t>TN</t>
        </is>
      </c>
      <c r="J779" t="inlineStr"/>
      <c r="K779" t="inlineStr">
        <is>
          <t>20230501</t>
        </is>
      </c>
      <c r="L779" t="inlineStr">
        <is>
          <t>20250131</t>
        </is>
      </c>
    </row>
    <row r="780">
      <c r="A780" t="inlineStr">
        <is>
          <t>900004184</t>
        </is>
      </c>
      <c r="B780" t="inlineStr">
        <is>
          <t>DW70</t>
        </is>
      </c>
      <c r="C780" t="inlineStr">
        <is>
          <t>D088</t>
        </is>
      </c>
      <c r="D780" t="inlineStr">
        <is>
          <t>10059180</t>
        </is>
      </c>
      <c r="E780" t="inlineStr"/>
      <c r="F780" s="11" t="n">
        <v>50.49</v>
      </c>
      <c r="G780" t="inlineStr"/>
      <c r="I780" t="inlineStr">
        <is>
          <t>TN</t>
        </is>
      </c>
      <c r="J780" t="inlineStr"/>
      <c r="K780" t="inlineStr">
        <is>
          <t>20230501</t>
        </is>
      </c>
      <c r="L780" t="inlineStr">
        <is>
          <t>20250131</t>
        </is>
      </c>
    </row>
    <row r="781">
      <c r="A781" t="inlineStr">
        <is>
          <t>900004184</t>
        </is>
      </c>
      <c r="B781" t="inlineStr">
        <is>
          <t>DW70</t>
        </is>
      </c>
      <c r="C781" t="inlineStr">
        <is>
          <t>D089</t>
        </is>
      </c>
      <c r="D781" t="inlineStr">
        <is>
          <t>10000623</t>
        </is>
      </c>
      <c r="E781" t="inlineStr"/>
      <c r="F781" s="11" t="n">
        <v>100.46</v>
      </c>
      <c r="G781" t="inlineStr"/>
      <c r="I781" t="inlineStr">
        <is>
          <t>TN</t>
        </is>
      </c>
      <c r="J781" t="inlineStr"/>
      <c r="K781" t="inlineStr">
        <is>
          <t>20230501</t>
        </is>
      </c>
      <c r="L781" t="inlineStr">
        <is>
          <t>20250131</t>
        </is>
      </c>
    </row>
    <row r="782">
      <c r="A782" t="inlineStr">
        <is>
          <t>900004184</t>
        </is>
      </c>
      <c r="B782" t="inlineStr">
        <is>
          <t>DW70</t>
        </is>
      </c>
      <c r="C782" t="inlineStr">
        <is>
          <t>D089</t>
        </is>
      </c>
      <c r="D782" t="inlineStr">
        <is>
          <t>10000624</t>
        </is>
      </c>
      <c r="E782" t="inlineStr"/>
      <c r="F782" s="11" t="n">
        <v>96.79000000000001</v>
      </c>
      <c r="G782" t="inlineStr"/>
      <c r="I782" t="inlineStr">
        <is>
          <t>TN</t>
        </is>
      </c>
      <c r="J782" t="inlineStr"/>
      <c r="K782" t="inlineStr">
        <is>
          <t>20230501</t>
        </is>
      </c>
      <c r="L782" t="inlineStr">
        <is>
          <t>20250131</t>
        </is>
      </c>
    </row>
    <row r="783">
      <c r="A783" t="inlineStr">
        <is>
          <t>900004184</t>
        </is>
      </c>
      <c r="B783" t="inlineStr">
        <is>
          <t>DW70</t>
        </is>
      </c>
      <c r="C783" t="inlineStr">
        <is>
          <t>D089</t>
        </is>
      </c>
      <c r="D783" t="inlineStr">
        <is>
          <t>10000811</t>
        </is>
      </c>
      <c r="E783" t="inlineStr"/>
      <c r="F783" s="11" t="n">
        <v>96.79000000000001</v>
      </c>
      <c r="G783" t="inlineStr"/>
      <c r="I783" t="inlineStr">
        <is>
          <t>TN</t>
        </is>
      </c>
      <c r="J783" t="inlineStr"/>
      <c r="K783" t="inlineStr">
        <is>
          <t>20230501</t>
        </is>
      </c>
      <c r="L783" t="inlineStr">
        <is>
          <t>20250131</t>
        </is>
      </c>
    </row>
    <row r="784">
      <c r="A784" t="inlineStr">
        <is>
          <t>900004184</t>
        </is>
      </c>
      <c r="B784" t="inlineStr">
        <is>
          <t>DW70</t>
        </is>
      </c>
      <c r="C784" t="inlineStr">
        <is>
          <t>D089</t>
        </is>
      </c>
      <c r="D784" t="inlineStr">
        <is>
          <t>10059180</t>
        </is>
      </c>
      <c r="E784" t="inlineStr"/>
      <c r="F784" s="11" t="n">
        <v>50.49</v>
      </c>
      <c r="G784" t="inlineStr"/>
      <c r="I784" t="inlineStr">
        <is>
          <t>TN</t>
        </is>
      </c>
      <c r="J784" t="inlineStr"/>
      <c r="K784" t="inlineStr">
        <is>
          <t>20230501</t>
        </is>
      </c>
      <c r="L784" t="inlineStr">
        <is>
          <t>20250131</t>
        </is>
      </c>
    </row>
    <row r="785">
      <c r="A785" t="inlineStr">
        <is>
          <t>900004184</t>
        </is>
      </c>
      <c r="B785" t="inlineStr">
        <is>
          <t>DW70</t>
        </is>
      </c>
      <c r="C785" t="inlineStr">
        <is>
          <t>D098</t>
        </is>
      </c>
      <c r="D785" t="inlineStr">
        <is>
          <t>10000623</t>
        </is>
      </c>
      <c r="E785" t="inlineStr"/>
      <c r="F785" s="11" t="n">
        <v>100.46</v>
      </c>
      <c r="G785" t="inlineStr"/>
      <c r="I785" t="inlineStr">
        <is>
          <t>TN</t>
        </is>
      </c>
      <c r="J785" t="inlineStr"/>
      <c r="K785" t="inlineStr">
        <is>
          <t>20230501</t>
        </is>
      </c>
      <c r="L785" t="inlineStr">
        <is>
          <t>20250131</t>
        </is>
      </c>
    </row>
    <row r="786">
      <c r="A786" t="inlineStr">
        <is>
          <t>900004184</t>
        </is>
      </c>
      <c r="B786" t="inlineStr">
        <is>
          <t>DW70</t>
        </is>
      </c>
      <c r="C786" t="inlineStr">
        <is>
          <t>D098</t>
        </is>
      </c>
      <c r="D786" t="inlineStr">
        <is>
          <t>10000624</t>
        </is>
      </c>
      <c r="E786" t="inlineStr"/>
      <c r="F786" s="11" t="n">
        <v>96.79000000000001</v>
      </c>
      <c r="G786" t="inlineStr"/>
      <c r="I786" t="inlineStr">
        <is>
          <t>TN</t>
        </is>
      </c>
      <c r="J786" t="inlineStr"/>
      <c r="K786" t="inlineStr">
        <is>
          <t>20230501</t>
        </is>
      </c>
      <c r="L786" t="inlineStr">
        <is>
          <t>20250131</t>
        </is>
      </c>
    </row>
    <row r="787">
      <c r="A787" t="inlineStr">
        <is>
          <t>900004184</t>
        </is>
      </c>
      <c r="B787" t="inlineStr">
        <is>
          <t>DW70</t>
        </is>
      </c>
      <c r="C787" t="inlineStr">
        <is>
          <t>D098</t>
        </is>
      </c>
      <c r="D787" t="inlineStr">
        <is>
          <t>10000811</t>
        </is>
      </c>
      <c r="E787" t="inlineStr"/>
      <c r="F787" s="11" t="n">
        <v>96.79000000000001</v>
      </c>
      <c r="G787" t="inlineStr"/>
      <c r="I787" t="inlineStr">
        <is>
          <t>TN</t>
        </is>
      </c>
      <c r="J787" t="inlineStr"/>
      <c r="K787" t="inlineStr">
        <is>
          <t>20230501</t>
        </is>
      </c>
      <c r="L787" t="inlineStr">
        <is>
          <t>20250131</t>
        </is>
      </c>
    </row>
    <row r="788">
      <c r="A788" t="inlineStr">
        <is>
          <t>900004184</t>
        </is>
      </c>
      <c r="B788" t="inlineStr">
        <is>
          <t>DW70</t>
        </is>
      </c>
      <c r="C788" t="inlineStr">
        <is>
          <t>D098</t>
        </is>
      </c>
      <c r="D788" t="inlineStr">
        <is>
          <t>10059180</t>
        </is>
      </c>
      <c r="E788" t="inlineStr"/>
      <c r="F788" s="11" t="n">
        <v>50.49</v>
      </c>
      <c r="G788" t="inlineStr"/>
      <c r="I788" t="inlineStr">
        <is>
          <t>TN</t>
        </is>
      </c>
      <c r="J788" t="inlineStr"/>
      <c r="K788" t="inlineStr">
        <is>
          <t>20230501</t>
        </is>
      </c>
      <c r="L788" t="inlineStr">
        <is>
          <t>20250131</t>
        </is>
      </c>
    </row>
    <row r="789">
      <c r="A789" t="inlineStr">
        <is>
          <t>900004184</t>
        </is>
      </c>
      <c r="B789" t="inlineStr">
        <is>
          <t>DW70</t>
        </is>
      </c>
      <c r="C789" t="inlineStr">
        <is>
          <t>D105</t>
        </is>
      </c>
      <c r="D789" t="inlineStr">
        <is>
          <t>10000623</t>
        </is>
      </c>
      <c r="E789" t="inlineStr"/>
      <c r="F789" s="11" t="n">
        <v>100.46</v>
      </c>
      <c r="G789" t="inlineStr"/>
      <c r="I789" t="inlineStr">
        <is>
          <t>TN</t>
        </is>
      </c>
      <c r="J789" t="inlineStr"/>
      <c r="K789" t="inlineStr">
        <is>
          <t>20230501</t>
        </is>
      </c>
      <c r="L789" t="inlineStr">
        <is>
          <t>20250131</t>
        </is>
      </c>
    </row>
    <row r="790">
      <c r="A790" t="inlineStr">
        <is>
          <t>900004184</t>
        </is>
      </c>
      <c r="B790" t="inlineStr">
        <is>
          <t>DW70</t>
        </is>
      </c>
      <c r="C790" t="inlineStr">
        <is>
          <t>D105</t>
        </is>
      </c>
      <c r="D790" t="inlineStr">
        <is>
          <t>10000624</t>
        </is>
      </c>
      <c r="E790" t="inlineStr"/>
      <c r="F790" s="11" t="n">
        <v>96.79000000000001</v>
      </c>
      <c r="G790" t="inlineStr"/>
      <c r="I790" t="inlineStr">
        <is>
          <t>TN</t>
        </is>
      </c>
      <c r="J790" t="inlineStr"/>
      <c r="K790" t="inlineStr">
        <is>
          <t>20230501</t>
        </is>
      </c>
      <c r="L790" t="inlineStr">
        <is>
          <t>20250131</t>
        </is>
      </c>
    </row>
    <row r="791">
      <c r="A791" t="inlineStr">
        <is>
          <t>900004184</t>
        </is>
      </c>
      <c r="B791" t="inlineStr">
        <is>
          <t>DW70</t>
        </is>
      </c>
      <c r="C791" t="inlineStr">
        <is>
          <t>D105</t>
        </is>
      </c>
      <c r="D791" t="inlineStr">
        <is>
          <t>10000811</t>
        </is>
      </c>
      <c r="E791" t="inlineStr"/>
      <c r="F791" s="11" t="n">
        <v>96.79000000000001</v>
      </c>
      <c r="G791" t="inlineStr"/>
      <c r="I791" t="inlineStr">
        <is>
          <t>TN</t>
        </is>
      </c>
      <c r="J791" t="inlineStr"/>
      <c r="K791" t="inlineStr">
        <is>
          <t>20230501</t>
        </is>
      </c>
      <c r="L791" t="inlineStr">
        <is>
          <t>20250131</t>
        </is>
      </c>
    </row>
    <row r="792">
      <c r="A792" t="inlineStr">
        <is>
          <t>900004184</t>
        </is>
      </c>
      <c r="B792" t="inlineStr">
        <is>
          <t>DW70</t>
        </is>
      </c>
      <c r="C792" t="inlineStr">
        <is>
          <t>D105</t>
        </is>
      </c>
      <c r="D792" t="inlineStr">
        <is>
          <t>10059180</t>
        </is>
      </c>
      <c r="E792" t="inlineStr"/>
      <c r="F792" s="11" t="n">
        <v>50.49</v>
      </c>
      <c r="G792" t="inlineStr"/>
      <c r="I792" t="inlineStr">
        <is>
          <t>TN</t>
        </is>
      </c>
      <c r="J792" t="inlineStr"/>
      <c r="K792" t="inlineStr">
        <is>
          <t>20230501</t>
        </is>
      </c>
      <c r="L792" t="inlineStr">
        <is>
          <t>20250131</t>
        </is>
      </c>
    </row>
    <row r="793">
      <c r="A793" t="inlineStr">
        <is>
          <t>900004184</t>
        </is>
      </c>
      <c r="B793" t="inlineStr">
        <is>
          <t>DW70</t>
        </is>
      </c>
      <c r="C793" t="inlineStr">
        <is>
          <t>D136</t>
        </is>
      </c>
      <c r="D793" t="inlineStr">
        <is>
          <t>10000623</t>
        </is>
      </c>
      <c r="E793" t="inlineStr"/>
      <c r="F793" s="11" t="n">
        <v>100.46</v>
      </c>
      <c r="G793" t="inlineStr"/>
      <c r="I793" t="inlineStr">
        <is>
          <t>TN</t>
        </is>
      </c>
      <c r="J793" t="inlineStr"/>
      <c r="K793" t="inlineStr">
        <is>
          <t>20230501</t>
        </is>
      </c>
      <c r="L793" t="inlineStr">
        <is>
          <t>20250131</t>
        </is>
      </c>
    </row>
    <row r="794">
      <c r="A794" t="inlineStr">
        <is>
          <t>900004184</t>
        </is>
      </c>
      <c r="B794" t="inlineStr">
        <is>
          <t>DW70</t>
        </is>
      </c>
      <c r="C794" t="inlineStr">
        <is>
          <t>D136</t>
        </is>
      </c>
      <c r="D794" t="inlineStr">
        <is>
          <t>10000624</t>
        </is>
      </c>
      <c r="E794" t="inlineStr"/>
      <c r="F794" s="11" t="n">
        <v>96.79000000000001</v>
      </c>
      <c r="G794" t="inlineStr"/>
      <c r="I794" t="inlineStr">
        <is>
          <t>TN</t>
        </is>
      </c>
      <c r="J794" t="inlineStr"/>
      <c r="K794" t="inlineStr">
        <is>
          <t>20230501</t>
        </is>
      </c>
      <c r="L794" t="inlineStr">
        <is>
          <t>20250131</t>
        </is>
      </c>
    </row>
    <row r="795">
      <c r="A795" t="inlineStr">
        <is>
          <t>900004184</t>
        </is>
      </c>
      <c r="B795" t="inlineStr">
        <is>
          <t>DW70</t>
        </is>
      </c>
      <c r="C795" t="inlineStr">
        <is>
          <t>D136</t>
        </is>
      </c>
      <c r="D795" t="inlineStr">
        <is>
          <t>10000811</t>
        </is>
      </c>
      <c r="E795" t="inlineStr"/>
      <c r="F795" s="11" t="n">
        <v>96.79000000000001</v>
      </c>
      <c r="G795" t="inlineStr"/>
      <c r="I795" t="inlineStr">
        <is>
          <t>TN</t>
        </is>
      </c>
      <c r="J795" t="inlineStr"/>
      <c r="K795" t="inlineStr">
        <is>
          <t>20230501</t>
        </is>
      </c>
      <c r="L795" t="inlineStr">
        <is>
          <t>20250131</t>
        </is>
      </c>
    </row>
    <row r="796">
      <c r="A796" t="inlineStr">
        <is>
          <t>900004184</t>
        </is>
      </c>
      <c r="B796" t="inlineStr">
        <is>
          <t>DW70</t>
        </is>
      </c>
      <c r="C796" t="inlineStr">
        <is>
          <t>D136</t>
        </is>
      </c>
      <c r="D796" t="inlineStr">
        <is>
          <t>10059180</t>
        </is>
      </c>
      <c r="E796" t="inlineStr"/>
      <c r="F796" s="11" t="n">
        <v>50.49</v>
      </c>
      <c r="G796" t="inlineStr"/>
      <c r="I796" t="inlineStr">
        <is>
          <t>TN</t>
        </is>
      </c>
      <c r="J796" t="inlineStr"/>
      <c r="K796" t="inlineStr">
        <is>
          <t>20230501</t>
        </is>
      </c>
      <c r="L796" t="inlineStr">
        <is>
          <t>20250131</t>
        </is>
      </c>
    </row>
    <row r="797">
      <c r="A797" t="inlineStr">
        <is>
          <t>900004184</t>
        </is>
      </c>
      <c r="B797" t="inlineStr">
        <is>
          <t>DW70</t>
        </is>
      </c>
      <c r="C797" t="inlineStr">
        <is>
          <t>D145</t>
        </is>
      </c>
      <c r="D797" t="inlineStr">
        <is>
          <t>10000623</t>
        </is>
      </c>
      <c r="E797" t="inlineStr"/>
      <c r="F797" s="11" t="n">
        <v>100.46</v>
      </c>
      <c r="G797" t="inlineStr"/>
      <c r="I797" t="inlineStr">
        <is>
          <t>TN</t>
        </is>
      </c>
      <c r="J797" t="inlineStr"/>
      <c r="K797" t="inlineStr">
        <is>
          <t>20230501</t>
        </is>
      </c>
      <c r="L797" t="inlineStr">
        <is>
          <t>20250131</t>
        </is>
      </c>
    </row>
    <row r="798">
      <c r="A798" t="inlineStr">
        <is>
          <t>900004184</t>
        </is>
      </c>
      <c r="B798" t="inlineStr">
        <is>
          <t>DW70</t>
        </is>
      </c>
      <c r="C798" t="inlineStr">
        <is>
          <t>D145</t>
        </is>
      </c>
      <c r="D798" t="inlineStr">
        <is>
          <t>10000624</t>
        </is>
      </c>
      <c r="E798" t="inlineStr"/>
      <c r="F798" s="11" t="n">
        <v>96.79000000000001</v>
      </c>
      <c r="G798" t="inlineStr"/>
      <c r="I798" t="inlineStr">
        <is>
          <t>TN</t>
        </is>
      </c>
      <c r="J798" t="inlineStr"/>
      <c r="K798" t="inlineStr">
        <is>
          <t>20230501</t>
        </is>
      </c>
      <c r="L798" t="inlineStr">
        <is>
          <t>20250131</t>
        </is>
      </c>
    </row>
    <row r="799">
      <c r="A799" t="inlineStr">
        <is>
          <t>900004184</t>
        </is>
      </c>
      <c r="B799" t="inlineStr">
        <is>
          <t>DW70</t>
        </is>
      </c>
      <c r="C799" t="inlineStr">
        <is>
          <t>D145</t>
        </is>
      </c>
      <c r="D799" t="inlineStr">
        <is>
          <t>10000811</t>
        </is>
      </c>
      <c r="E799" t="inlineStr"/>
      <c r="F799" s="11" t="n">
        <v>96.79000000000001</v>
      </c>
      <c r="G799" t="inlineStr"/>
      <c r="I799" t="inlineStr">
        <is>
          <t>TN</t>
        </is>
      </c>
      <c r="J799" t="inlineStr"/>
      <c r="K799" t="inlineStr">
        <is>
          <t>20230501</t>
        </is>
      </c>
      <c r="L799" t="inlineStr">
        <is>
          <t>20250131</t>
        </is>
      </c>
    </row>
    <row r="800">
      <c r="A800" t="inlineStr">
        <is>
          <t>900004184</t>
        </is>
      </c>
      <c r="B800" t="inlineStr">
        <is>
          <t>DW70</t>
        </is>
      </c>
      <c r="C800" t="inlineStr">
        <is>
          <t>D145</t>
        </is>
      </c>
      <c r="D800" t="inlineStr">
        <is>
          <t>10059180</t>
        </is>
      </c>
      <c r="E800" t="inlineStr"/>
      <c r="F800" s="11" t="n">
        <v>50.49</v>
      </c>
      <c r="G800" t="inlineStr"/>
      <c r="I800" t="inlineStr">
        <is>
          <t>TN</t>
        </is>
      </c>
      <c r="J800" t="inlineStr"/>
      <c r="K800" t="inlineStr">
        <is>
          <t>20230501</t>
        </is>
      </c>
      <c r="L800" t="inlineStr">
        <is>
          <t>20250131</t>
        </is>
      </c>
    </row>
    <row r="801">
      <c r="A801" t="inlineStr">
        <is>
          <t>900004322</t>
        </is>
      </c>
      <c r="B801" t="inlineStr">
        <is>
          <t>DW70</t>
        </is>
      </c>
      <c r="C801" t="inlineStr">
        <is>
          <t>D074</t>
        </is>
      </c>
      <c r="D801" t="inlineStr">
        <is>
          <t>10000160</t>
        </is>
      </c>
      <c r="E801" t="inlineStr"/>
      <c r="F801" s="11" t="n">
        <v>60.89</v>
      </c>
      <c r="G801" t="inlineStr"/>
      <c r="I801" t="inlineStr">
        <is>
          <t>TN</t>
        </is>
      </c>
      <c r="J801" t="inlineStr"/>
      <c r="K801" t="inlineStr">
        <is>
          <t>20230501</t>
        </is>
      </c>
      <c r="L801" t="inlineStr">
        <is>
          <t>20250131</t>
        </is>
      </c>
    </row>
    <row r="802">
      <c r="A802" t="inlineStr">
        <is>
          <t>900004322</t>
        </is>
      </c>
      <c r="B802" t="inlineStr">
        <is>
          <t>DW70</t>
        </is>
      </c>
      <c r="C802" t="inlineStr">
        <is>
          <t>D074</t>
        </is>
      </c>
      <c r="D802" t="inlineStr">
        <is>
          <t>10000627</t>
        </is>
      </c>
      <c r="E802" t="inlineStr"/>
      <c r="F802" s="11" t="n">
        <v>69.44</v>
      </c>
      <c r="G802" t="inlineStr"/>
      <c r="I802" t="inlineStr">
        <is>
          <t>TN</t>
        </is>
      </c>
      <c r="J802" t="inlineStr"/>
      <c r="K802" t="inlineStr">
        <is>
          <t>20230501</t>
        </is>
      </c>
      <c r="L802" t="inlineStr">
        <is>
          <t>20250131</t>
        </is>
      </c>
    </row>
    <row r="803">
      <c r="A803" t="inlineStr">
        <is>
          <t>900004322</t>
        </is>
      </c>
      <c r="B803" t="inlineStr">
        <is>
          <t>DW70</t>
        </is>
      </c>
      <c r="C803" t="inlineStr">
        <is>
          <t>D075</t>
        </is>
      </c>
      <c r="D803" t="inlineStr">
        <is>
          <t>10000160</t>
        </is>
      </c>
      <c r="E803" t="inlineStr"/>
      <c r="F803" s="11" t="n">
        <v>60.89</v>
      </c>
      <c r="G803" t="inlineStr"/>
      <c r="I803" t="inlineStr">
        <is>
          <t>TN</t>
        </is>
      </c>
      <c r="J803" t="inlineStr"/>
      <c r="K803" t="inlineStr">
        <is>
          <t>20230501</t>
        </is>
      </c>
      <c r="L803" t="inlineStr">
        <is>
          <t>20250131</t>
        </is>
      </c>
    </row>
    <row r="804">
      <c r="A804" t="inlineStr">
        <is>
          <t>900004322</t>
        </is>
      </c>
      <c r="B804" t="inlineStr">
        <is>
          <t>DW70</t>
        </is>
      </c>
      <c r="C804" t="inlineStr">
        <is>
          <t>D075</t>
        </is>
      </c>
      <c r="D804" t="inlineStr">
        <is>
          <t>10000627</t>
        </is>
      </c>
      <c r="E804" t="inlineStr"/>
      <c r="F804" s="11" t="n">
        <v>63.32</v>
      </c>
      <c r="G804" t="inlineStr"/>
      <c r="I804" t="inlineStr">
        <is>
          <t>TN</t>
        </is>
      </c>
      <c r="J804" t="inlineStr"/>
      <c r="K804" t="inlineStr">
        <is>
          <t>20230501</t>
        </is>
      </c>
      <c r="L804" t="inlineStr">
        <is>
          <t>20250131</t>
        </is>
      </c>
    </row>
    <row r="805">
      <c r="A805" t="inlineStr">
        <is>
          <t>900004322</t>
        </is>
      </c>
      <c r="B805" t="inlineStr">
        <is>
          <t>DW70</t>
        </is>
      </c>
      <c r="C805" t="inlineStr">
        <is>
          <t>D077</t>
        </is>
      </c>
      <c r="D805" t="inlineStr">
        <is>
          <t>10000160</t>
        </is>
      </c>
      <c r="E805" t="inlineStr"/>
      <c r="F805" s="11" t="n">
        <v>60.89</v>
      </c>
      <c r="G805" t="inlineStr"/>
      <c r="I805" t="inlineStr">
        <is>
          <t>TN</t>
        </is>
      </c>
      <c r="J805" t="inlineStr"/>
      <c r="K805" t="inlineStr">
        <is>
          <t>20230501</t>
        </is>
      </c>
      <c r="L805" t="inlineStr">
        <is>
          <t>20250131</t>
        </is>
      </c>
    </row>
    <row r="806">
      <c r="A806" t="inlineStr">
        <is>
          <t>900004322</t>
        </is>
      </c>
      <c r="B806" t="inlineStr">
        <is>
          <t>DW70</t>
        </is>
      </c>
      <c r="C806" t="inlineStr">
        <is>
          <t>D077</t>
        </is>
      </c>
      <c r="D806" t="inlineStr">
        <is>
          <t>10000627</t>
        </is>
      </c>
      <c r="E806" t="inlineStr"/>
      <c r="F806" s="11" t="n">
        <v>63.32</v>
      </c>
      <c r="G806" t="inlineStr"/>
      <c r="I806" t="inlineStr">
        <is>
          <t>TN</t>
        </is>
      </c>
      <c r="J806" t="inlineStr"/>
      <c r="K806" t="inlineStr">
        <is>
          <t>20230501</t>
        </is>
      </c>
      <c r="L806" t="inlineStr">
        <is>
          <t>20250131</t>
        </is>
      </c>
    </row>
    <row r="807">
      <c r="A807" t="inlineStr">
        <is>
          <t>900004322</t>
        </is>
      </c>
      <c r="B807" t="inlineStr">
        <is>
          <t>DW70</t>
        </is>
      </c>
      <c r="C807" t="inlineStr">
        <is>
          <t>D079</t>
        </is>
      </c>
      <c r="D807" t="inlineStr">
        <is>
          <t>10000160</t>
        </is>
      </c>
      <c r="E807" t="inlineStr"/>
      <c r="F807" s="11" t="n">
        <v>60.89</v>
      </c>
      <c r="G807" t="inlineStr"/>
      <c r="I807" t="inlineStr">
        <is>
          <t>TN</t>
        </is>
      </c>
      <c r="J807" t="inlineStr"/>
      <c r="K807" t="inlineStr">
        <is>
          <t>20230501</t>
        </is>
      </c>
      <c r="L807" t="inlineStr">
        <is>
          <t>20250131</t>
        </is>
      </c>
    </row>
    <row r="808">
      <c r="A808" t="inlineStr">
        <is>
          <t>900004322</t>
        </is>
      </c>
      <c r="B808" t="inlineStr">
        <is>
          <t>DW70</t>
        </is>
      </c>
      <c r="C808" t="inlineStr">
        <is>
          <t>D079</t>
        </is>
      </c>
      <c r="D808" t="inlineStr">
        <is>
          <t>10000627</t>
        </is>
      </c>
      <c r="E808" t="inlineStr"/>
      <c r="F808" s="11" t="n">
        <v>63.32</v>
      </c>
      <c r="G808" t="inlineStr"/>
      <c r="I808" t="inlineStr">
        <is>
          <t>TN</t>
        </is>
      </c>
      <c r="J808" t="inlineStr"/>
      <c r="K808" t="inlineStr">
        <is>
          <t>20230501</t>
        </is>
      </c>
      <c r="L808" t="inlineStr">
        <is>
          <t>20250131</t>
        </is>
      </c>
    </row>
    <row r="809">
      <c r="A809" t="inlineStr">
        <is>
          <t>900004322</t>
        </is>
      </c>
      <c r="B809" t="inlineStr">
        <is>
          <t>DW70</t>
        </is>
      </c>
      <c r="C809" t="inlineStr">
        <is>
          <t>D080</t>
        </is>
      </c>
      <c r="D809" t="inlineStr">
        <is>
          <t>10000160</t>
        </is>
      </c>
      <c r="E809" t="inlineStr"/>
      <c r="F809" s="11" t="n">
        <v>60.89</v>
      </c>
      <c r="G809" t="inlineStr"/>
      <c r="I809" t="inlineStr">
        <is>
          <t>TN</t>
        </is>
      </c>
      <c r="J809" t="inlineStr"/>
      <c r="K809" t="inlineStr">
        <is>
          <t>20230501</t>
        </is>
      </c>
      <c r="L809" t="inlineStr">
        <is>
          <t>20250131</t>
        </is>
      </c>
    </row>
    <row r="810">
      <c r="A810" t="inlineStr">
        <is>
          <t>900004322</t>
        </is>
      </c>
      <c r="B810" t="inlineStr">
        <is>
          <t>DW70</t>
        </is>
      </c>
      <c r="C810" t="inlineStr">
        <is>
          <t>D080</t>
        </is>
      </c>
      <c r="D810" t="inlineStr">
        <is>
          <t>10000627</t>
        </is>
      </c>
      <c r="E810" t="inlineStr"/>
      <c r="F810" s="11" t="n">
        <v>69.44</v>
      </c>
      <c r="G810" t="inlineStr"/>
      <c r="I810" t="inlineStr">
        <is>
          <t>TN</t>
        </is>
      </c>
      <c r="J810" t="inlineStr"/>
      <c r="K810" t="inlineStr">
        <is>
          <t>20230501</t>
        </is>
      </c>
      <c r="L810" t="inlineStr">
        <is>
          <t>20250131</t>
        </is>
      </c>
    </row>
    <row r="811">
      <c r="A811" t="inlineStr">
        <is>
          <t>900004322</t>
        </is>
      </c>
      <c r="B811" t="inlineStr">
        <is>
          <t>DW70</t>
        </is>
      </c>
      <c r="C811" t="inlineStr">
        <is>
          <t>D081</t>
        </is>
      </c>
      <c r="D811" t="inlineStr">
        <is>
          <t>10000160</t>
        </is>
      </c>
      <c r="E811" t="inlineStr"/>
      <c r="F811" s="11" t="n">
        <v>60.89</v>
      </c>
      <c r="G811" t="inlineStr"/>
      <c r="I811" t="inlineStr">
        <is>
          <t>TN</t>
        </is>
      </c>
      <c r="J811" t="inlineStr"/>
      <c r="K811" t="inlineStr">
        <is>
          <t>20230501</t>
        </is>
      </c>
      <c r="L811" t="inlineStr">
        <is>
          <t>20250131</t>
        </is>
      </c>
    </row>
    <row r="812">
      <c r="A812" t="inlineStr">
        <is>
          <t>900004322</t>
        </is>
      </c>
      <c r="B812" t="inlineStr">
        <is>
          <t>DW70</t>
        </is>
      </c>
      <c r="C812" t="inlineStr">
        <is>
          <t>D081</t>
        </is>
      </c>
      <c r="D812" t="inlineStr">
        <is>
          <t>10000627</t>
        </is>
      </c>
      <c r="E812" t="inlineStr"/>
      <c r="F812" s="11" t="n">
        <v>69.44</v>
      </c>
      <c r="G812" t="inlineStr"/>
      <c r="I812" t="inlineStr">
        <is>
          <t>TN</t>
        </is>
      </c>
      <c r="J812" t="inlineStr"/>
      <c r="K812" t="inlineStr">
        <is>
          <t>20230501</t>
        </is>
      </c>
      <c r="L812" t="inlineStr">
        <is>
          <t>20250131</t>
        </is>
      </c>
    </row>
    <row r="813">
      <c r="A813" t="inlineStr">
        <is>
          <t>900004322</t>
        </is>
      </c>
      <c r="B813" t="inlineStr">
        <is>
          <t>DW70</t>
        </is>
      </c>
      <c r="C813" t="inlineStr">
        <is>
          <t>D083</t>
        </is>
      </c>
      <c r="D813" t="inlineStr">
        <is>
          <t>10000160</t>
        </is>
      </c>
      <c r="E813" t="inlineStr"/>
      <c r="F813" s="11" t="n">
        <v>60.89</v>
      </c>
      <c r="G813" t="inlineStr"/>
      <c r="I813" t="inlineStr">
        <is>
          <t>TN</t>
        </is>
      </c>
      <c r="J813" t="inlineStr"/>
      <c r="K813" t="inlineStr">
        <is>
          <t>20230501</t>
        </is>
      </c>
      <c r="L813" t="inlineStr">
        <is>
          <t>20250131</t>
        </is>
      </c>
    </row>
    <row r="814">
      <c r="A814" t="inlineStr">
        <is>
          <t>900004322</t>
        </is>
      </c>
      <c r="B814" t="inlineStr">
        <is>
          <t>DW70</t>
        </is>
      </c>
      <c r="C814" t="inlineStr">
        <is>
          <t>D083</t>
        </is>
      </c>
      <c r="D814" t="inlineStr">
        <is>
          <t>10000627</t>
        </is>
      </c>
      <c r="E814" t="inlineStr"/>
      <c r="F814" s="11" t="n">
        <v>63.32</v>
      </c>
      <c r="G814" t="inlineStr"/>
      <c r="I814" t="inlineStr">
        <is>
          <t>TN</t>
        </is>
      </c>
      <c r="J814" t="inlineStr"/>
      <c r="K814" t="inlineStr">
        <is>
          <t>20230501</t>
        </is>
      </c>
      <c r="L814" t="inlineStr">
        <is>
          <t>20250131</t>
        </is>
      </c>
    </row>
    <row r="815">
      <c r="A815" t="inlineStr">
        <is>
          <t>900004322</t>
        </is>
      </c>
      <c r="B815" t="inlineStr">
        <is>
          <t>DW70</t>
        </is>
      </c>
      <c r="C815" t="inlineStr">
        <is>
          <t>D084</t>
        </is>
      </c>
      <c r="D815" t="inlineStr">
        <is>
          <t>10000160</t>
        </is>
      </c>
      <c r="E815" t="inlineStr"/>
      <c r="F815" s="11" t="n">
        <v>60.89</v>
      </c>
      <c r="G815" t="inlineStr"/>
      <c r="I815" t="inlineStr">
        <is>
          <t>TN</t>
        </is>
      </c>
      <c r="J815" t="inlineStr"/>
      <c r="K815" t="inlineStr">
        <is>
          <t>20230501</t>
        </is>
      </c>
      <c r="L815" t="inlineStr">
        <is>
          <t>20250131</t>
        </is>
      </c>
    </row>
    <row r="816">
      <c r="A816" t="inlineStr">
        <is>
          <t>900004322</t>
        </is>
      </c>
      <c r="B816" t="inlineStr">
        <is>
          <t>DW70</t>
        </is>
      </c>
      <c r="C816" t="inlineStr">
        <is>
          <t>D084</t>
        </is>
      </c>
      <c r="D816" t="inlineStr">
        <is>
          <t>10000627</t>
        </is>
      </c>
      <c r="E816" t="inlineStr"/>
      <c r="F816" s="11" t="n">
        <v>63.32</v>
      </c>
      <c r="G816" t="inlineStr"/>
      <c r="I816" t="inlineStr">
        <is>
          <t>TN</t>
        </is>
      </c>
      <c r="J816" t="inlineStr"/>
      <c r="K816" t="inlineStr">
        <is>
          <t>20230501</t>
        </is>
      </c>
      <c r="L816" t="inlineStr">
        <is>
          <t>20250131</t>
        </is>
      </c>
    </row>
    <row r="817">
      <c r="A817" t="inlineStr">
        <is>
          <t>900004322</t>
        </is>
      </c>
      <c r="B817" t="inlineStr">
        <is>
          <t>DW70</t>
        </is>
      </c>
      <c r="C817" t="inlineStr">
        <is>
          <t>D085</t>
        </is>
      </c>
      <c r="D817" t="inlineStr">
        <is>
          <t>10000160</t>
        </is>
      </c>
      <c r="E817" t="inlineStr"/>
      <c r="F817" s="11" t="n">
        <v>60.89</v>
      </c>
      <c r="G817" t="inlineStr"/>
      <c r="I817" t="inlineStr">
        <is>
          <t>TN</t>
        </is>
      </c>
      <c r="J817" t="inlineStr"/>
      <c r="K817" t="inlineStr">
        <is>
          <t>20230501</t>
        </is>
      </c>
      <c r="L817" t="inlineStr">
        <is>
          <t>20250131</t>
        </is>
      </c>
    </row>
    <row r="818">
      <c r="A818" t="inlineStr">
        <is>
          <t>900004322</t>
        </is>
      </c>
      <c r="B818" t="inlineStr">
        <is>
          <t>DW70</t>
        </is>
      </c>
      <c r="C818" t="inlineStr">
        <is>
          <t>D085</t>
        </is>
      </c>
      <c r="D818" t="inlineStr">
        <is>
          <t>10000627</t>
        </is>
      </c>
      <c r="E818" t="inlineStr"/>
      <c r="F818" s="11" t="n">
        <v>63.32</v>
      </c>
      <c r="G818" t="inlineStr"/>
      <c r="I818" t="inlineStr">
        <is>
          <t>TN</t>
        </is>
      </c>
      <c r="J818" t="inlineStr"/>
      <c r="K818" t="inlineStr">
        <is>
          <t>20230501</t>
        </is>
      </c>
      <c r="L818" t="inlineStr">
        <is>
          <t>20250131</t>
        </is>
      </c>
    </row>
    <row r="819">
      <c r="A819" t="inlineStr">
        <is>
          <t>900004322</t>
        </is>
      </c>
      <c r="B819" t="inlineStr">
        <is>
          <t>DW70</t>
        </is>
      </c>
      <c r="C819" t="inlineStr">
        <is>
          <t>D086</t>
        </is>
      </c>
      <c r="D819" t="inlineStr">
        <is>
          <t>10000160</t>
        </is>
      </c>
      <c r="E819" t="inlineStr"/>
      <c r="F819" s="11" t="n">
        <v>60.89</v>
      </c>
      <c r="G819" t="inlineStr"/>
      <c r="I819" t="inlineStr">
        <is>
          <t>TN</t>
        </is>
      </c>
      <c r="J819" t="inlineStr"/>
      <c r="K819" t="inlineStr">
        <is>
          <t>20230501</t>
        </is>
      </c>
      <c r="L819" t="inlineStr">
        <is>
          <t>20250131</t>
        </is>
      </c>
    </row>
    <row r="820">
      <c r="A820" t="inlineStr">
        <is>
          <t>900004322</t>
        </is>
      </c>
      <c r="B820" t="inlineStr">
        <is>
          <t>DW70</t>
        </is>
      </c>
      <c r="C820" t="inlineStr">
        <is>
          <t>D086</t>
        </is>
      </c>
      <c r="D820" t="inlineStr">
        <is>
          <t>10000627</t>
        </is>
      </c>
      <c r="E820" t="inlineStr"/>
      <c r="F820" s="11" t="n">
        <v>69.44</v>
      </c>
      <c r="G820" t="inlineStr"/>
      <c r="I820" t="inlineStr">
        <is>
          <t>TN</t>
        </is>
      </c>
      <c r="J820" t="inlineStr"/>
      <c r="K820" t="inlineStr">
        <is>
          <t>20230501</t>
        </is>
      </c>
      <c r="L820" t="inlineStr">
        <is>
          <t>20250131</t>
        </is>
      </c>
    </row>
    <row r="821">
      <c r="A821" t="inlineStr">
        <is>
          <t>900004322</t>
        </is>
      </c>
      <c r="B821" t="inlineStr">
        <is>
          <t>DW70</t>
        </is>
      </c>
      <c r="C821" t="inlineStr">
        <is>
          <t>D088</t>
        </is>
      </c>
      <c r="D821" t="inlineStr">
        <is>
          <t>10000160</t>
        </is>
      </c>
      <c r="E821" t="inlineStr"/>
      <c r="F821" s="11" t="n">
        <v>60.89</v>
      </c>
      <c r="G821" t="inlineStr"/>
      <c r="I821" t="inlineStr">
        <is>
          <t>TN</t>
        </is>
      </c>
      <c r="J821" t="inlineStr"/>
      <c r="K821" t="inlineStr">
        <is>
          <t>20230501</t>
        </is>
      </c>
      <c r="L821" t="inlineStr">
        <is>
          <t>20250131</t>
        </is>
      </c>
    </row>
    <row r="822">
      <c r="A822" t="inlineStr">
        <is>
          <t>900004322</t>
        </is>
      </c>
      <c r="B822" t="inlineStr">
        <is>
          <t>DW70</t>
        </is>
      </c>
      <c r="C822" t="inlineStr">
        <is>
          <t>D088</t>
        </is>
      </c>
      <c r="D822" t="inlineStr">
        <is>
          <t>10000627</t>
        </is>
      </c>
      <c r="E822" t="inlineStr"/>
      <c r="F822" s="11" t="n">
        <v>69.44</v>
      </c>
      <c r="G822" t="inlineStr"/>
      <c r="I822" t="inlineStr">
        <is>
          <t>TN</t>
        </is>
      </c>
      <c r="J822" t="inlineStr"/>
      <c r="K822" t="inlineStr">
        <is>
          <t>20230501</t>
        </is>
      </c>
      <c r="L822" t="inlineStr">
        <is>
          <t>20250131</t>
        </is>
      </c>
    </row>
    <row r="823">
      <c r="A823" t="inlineStr">
        <is>
          <t>900004322</t>
        </is>
      </c>
      <c r="B823" t="inlineStr">
        <is>
          <t>DW70</t>
        </is>
      </c>
      <c r="C823" t="inlineStr">
        <is>
          <t>D093</t>
        </is>
      </c>
      <c r="D823" t="inlineStr">
        <is>
          <t>10000160</t>
        </is>
      </c>
      <c r="E823" t="inlineStr"/>
      <c r="F823" s="11" t="n">
        <v>60.89</v>
      </c>
      <c r="G823" t="inlineStr"/>
      <c r="I823" t="inlineStr">
        <is>
          <t>TN</t>
        </is>
      </c>
      <c r="J823" t="inlineStr"/>
      <c r="K823" t="inlineStr">
        <is>
          <t>20230501</t>
        </is>
      </c>
      <c r="L823" t="inlineStr">
        <is>
          <t>20250131</t>
        </is>
      </c>
    </row>
    <row r="824">
      <c r="A824" t="inlineStr">
        <is>
          <t>900004322</t>
        </is>
      </c>
      <c r="B824" t="inlineStr">
        <is>
          <t>DW70</t>
        </is>
      </c>
      <c r="C824" t="inlineStr">
        <is>
          <t>D093</t>
        </is>
      </c>
      <c r="D824" t="inlineStr">
        <is>
          <t>10000627</t>
        </is>
      </c>
      <c r="E824" t="inlineStr"/>
      <c r="F824" s="11" t="n">
        <v>69.44</v>
      </c>
      <c r="G824" t="inlineStr"/>
      <c r="I824" t="inlineStr">
        <is>
          <t>TN</t>
        </is>
      </c>
      <c r="J824" t="inlineStr"/>
      <c r="K824" t="inlineStr">
        <is>
          <t>20230501</t>
        </is>
      </c>
      <c r="L824" t="inlineStr">
        <is>
          <t>20250131</t>
        </is>
      </c>
    </row>
    <row r="825">
      <c r="A825" t="inlineStr">
        <is>
          <t>900004322</t>
        </is>
      </c>
      <c r="B825" t="inlineStr">
        <is>
          <t>DW70</t>
        </is>
      </c>
      <c r="C825" t="inlineStr">
        <is>
          <t>D098</t>
        </is>
      </c>
      <c r="D825" t="inlineStr">
        <is>
          <t>10000160</t>
        </is>
      </c>
      <c r="E825" t="inlineStr"/>
      <c r="F825" s="11" t="n">
        <v>60.89</v>
      </c>
      <c r="G825" t="inlineStr"/>
      <c r="I825" t="inlineStr">
        <is>
          <t>TN</t>
        </is>
      </c>
      <c r="J825" t="inlineStr"/>
      <c r="K825" t="inlineStr">
        <is>
          <t>20230501</t>
        </is>
      </c>
      <c r="L825" t="inlineStr">
        <is>
          <t>20250131</t>
        </is>
      </c>
    </row>
    <row r="826">
      <c r="A826" t="inlineStr">
        <is>
          <t>900004322</t>
        </is>
      </c>
      <c r="B826" t="inlineStr">
        <is>
          <t>DW70</t>
        </is>
      </c>
      <c r="C826" t="inlineStr">
        <is>
          <t>D098</t>
        </is>
      </c>
      <c r="D826" t="inlineStr">
        <is>
          <t>10000627</t>
        </is>
      </c>
      <c r="E826" t="inlineStr"/>
      <c r="F826" s="11" t="n">
        <v>63.32</v>
      </c>
      <c r="G826" t="inlineStr"/>
      <c r="I826" t="inlineStr">
        <is>
          <t>TN</t>
        </is>
      </c>
      <c r="J826" t="inlineStr"/>
      <c r="K826" t="inlineStr">
        <is>
          <t>20230501</t>
        </is>
      </c>
      <c r="L826" t="inlineStr">
        <is>
          <t>20250131</t>
        </is>
      </c>
    </row>
    <row r="827">
      <c r="A827" t="inlineStr">
        <is>
          <t>900004322</t>
        </is>
      </c>
      <c r="B827" t="inlineStr">
        <is>
          <t>DW70</t>
        </is>
      </c>
      <c r="C827" t="inlineStr">
        <is>
          <t>D105</t>
        </is>
      </c>
      <c r="D827" t="inlineStr">
        <is>
          <t>10000160</t>
        </is>
      </c>
      <c r="E827" t="inlineStr"/>
      <c r="F827" s="11" t="n">
        <v>60.89</v>
      </c>
      <c r="G827" t="inlineStr"/>
      <c r="I827" t="inlineStr">
        <is>
          <t>TN</t>
        </is>
      </c>
      <c r="J827" t="inlineStr"/>
      <c r="K827" t="inlineStr">
        <is>
          <t>20230501</t>
        </is>
      </c>
      <c r="L827" t="inlineStr">
        <is>
          <t>20250131</t>
        </is>
      </c>
    </row>
    <row r="828">
      <c r="A828" t="inlineStr">
        <is>
          <t>900004322</t>
        </is>
      </c>
      <c r="B828" t="inlineStr">
        <is>
          <t>DW70</t>
        </is>
      </c>
      <c r="C828" t="inlineStr">
        <is>
          <t>D105</t>
        </is>
      </c>
      <c r="D828" t="inlineStr">
        <is>
          <t>10000627</t>
        </is>
      </c>
      <c r="E828" t="inlineStr"/>
      <c r="F828" s="11" t="n">
        <v>63.32</v>
      </c>
      <c r="G828" t="inlineStr"/>
      <c r="I828" t="inlineStr">
        <is>
          <t>TN</t>
        </is>
      </c>
      <c r="J828" t="inlineStr"/>
      <c r="K828" t="inlineStr">
        <is>
          <t>20230501</t>
        </is>
      </c>
      <c r="L828" t="inlineStr">
        <is>
          <t>20250131</t>
        </is>
      </c>
    </row>
    <row r="829">
      <c r="A829" t="inlineStr">
        <is>
          <t>900004322</t>
        </is>
      </c>
      <c r="B829" t="inlineStr">
        <is>
          <t>DW70</t>
        </is>
      </c>
      <c r="C829" t="inlineStr">
        <is>
          <t>D136</t>
        </is>
      </c>
      <c r="D829" t="inlineStr">
        <is>
          <t>10000160</t>
        </is>
      </c>
      <c r="E829" t="inlineStr"/>
      <c r="F829" s="11" t="n">
        <v>60.89</v>
      </c>
      <c r="G829" t="inlineStr"/>
      <c r="I829" t="inlineStr">
        <is>
          <t>TN</t>
        </is>
      </c>
      <c r="J829" t="inlineStr"/>
      <c r="K829" t="inlineStr">
        <is>
          <t>20230501</t>
        </is>
      </c>
      <c r="L829" t="inlineStr">
        <is>
          <t>20250131</t>
        </is>
      </c>
    </row>
    <row r="830">
      <c r="A830" t="inlineStr">
        <is>
          <t>900004322</t>
        </is>
      </c>
      <c r="B830" t="inlineStr">
        <is>
          <t>DW70</t>
        </is>
      </c>
      <c r="C830" t="inlineStr">
        <is>
          <t>D136</t>
        </is>
      </c>
      <c r="D830" t="inlineStr">
        <is>
          <t>10000627</t>
        </is>
      </c>
      <c r="E830" t="inlineStr"/>
      <c r="F830" s="11" t="n">
        <v>63.32</v>
      </c>
      <c r="G830" t="inlineStr"/>
      <c r="I830" t="inlineStr">
        <is>
          <t>TN</t>
        </is>
      </c>
      <c r="J830" t="inlineStr"/>
      <c r="K830" t="inlineStr">
        <is>
          <t>20230501</t>
        </is>
      </c>
      <c r="L830" t="inlineStr">
        <is>
          <t>20250131</t>
        </is>
      </c>
    </row>
    <row r="831">
      <c r="A831" t="inlineStr">
        <is>
          <t>900004322</t>
        </is>
      </c>
      <c r="B831" t="inlineStr">
        <is>
          <t>DW70</t>
        </is>
      </c>
      <c r="C831" t="inlineStr">
        <is>
          <t>D145</t>
        </is>
      </c>
      <c r="D831" t="inlineStr">
        <is>
          <t>10000160</t>
        </is>
      </c>
      <c r="E831" t="inlineStr"/>
      <c r="F831" s="11" t="n">
        <v>60.89</v>
      </c>
      <c r="G831" t="inlineStr"/>
      <c r="I831" t="inlineStr">
        <is>
          <t>TN</t>
        </is>
      </c>
      <c r="J831" t="inlineStr"/>
      <c r="K831" t="inlineStr">
        <is>
          <t>20230501</t>
        </is>
      </c>
      <c r="L831" t="inlineStr">
        <is>
          <t>20250131</t>
        </is>
      </c>
    </row>
    <row r="832">
      <c r="A832" t="inlineStr">
        <is>
          <t>900004322</t>
        </is>
      </c>
      <c r="B832" t="inlineStr">
        <is>
          <t>DW70</t>
        </is>
      </c>
      <c r="C832" t="inlineStr">
        <is>
          <t>D145</t>
        </is>
      </c>
      <c r="D832" t="inlineStr">
        <is>
          <t>10000627</t>
        </is>
      </c>
      <c r="E832" t="inlineStr"/>
      <c r="F832" s="11" t="n">
        <v>63.32</v>
      </c>
      <c r="G832" t="inlineStr"/>
      <c r="I832" t="inlineStr">
        <is>
          <t>TN</t>
        </is>
      </c>
      <c r="J832" t="inlineStr"/>
      <c r="K832" t="inlineStr">
        <is>
          <t>20230501</t>
        </is>
      </c>
      <c r="L832" t="inlineStr">
        <is>
          <t>20250131</t>
        </is>
      </c>
    </row>
    <row r="833">
      <c r="A833" t="inlineStr">
        <is>
          <t>900004324</t>
        </is>
      </c>
      <c r="B833" t="inlineStr">
        <is>
          <t>DW70</t>
        </is>
      </c>
      <c r="C833" t="inlineStr">
        <is>
          <t>ENAP</t>
        </is>
      </c>
      <c r="D833" t="inlineStr">
        <is>
          <t>10000432</t>
        </is>
      </c>
      <c r="E833" t="inlineStr"/>
      <c r="F833" s="11" t="n">
        <v>137.5</v>
      </c>
      <c r="G833" t="inlineStr"/>
      <c r="I833" t="inlineStr">
        <is>
          <t>TN</t>
        </is>
      </c>
      <c r="J833" t="inlineStr"/>
      <c r="K833" t="inlineStr">
        <is>
          <t>20250701</t>
        </is>
      </c>
      <c r="L833" t="inlineStr">
        <is>
          <t>20251031</t>
        </is>
      </c>
    </row>
    <row r="834">
      <c r="A834" t="inlineStr">
        <is>
          <t>900004324</t>
        </is>
      </c>
      <c r="B834" t="inlineStr">
        <is>
          <t>DW70</t>
        </is>
      </c>
      <c r="C834" t="inlineStr">
        <is>
          <t>ENAP</t>
        </is>
      </c>
      <c r="D834" t="inlineStr">
        <is>
          <t>10145835</t>
        </is>
      </c>
      <c r="E834" t="inlineStr"/>
      <c r="F834" s="11" t="n">
        <v>105.07</v>
      </c>
      <c r="G834" t="inlineStr"/>
      <c r="I834" t="inlineStr">
        <is>
          <t>TN</t>
        </is>
      </c>
      <c r="J834" t="inlineStr"/>
      <c r="K834" t="inlineStr">
        <is>
          <t>20250701</t>
        </is>
      </c>
      <c r="L834" t="inlineStr">
        <is>
          <t>20251031</t>
        </is>
      </c>
    </row>
    <row r="835">
      <c r="A835" t="inlineStr">
        <is>
          <t>900004324</t>
        </is>
      </c>
      <c r="B835" t="inlineStr">
        <is>
          <t>DW70</t>
        </is>
      </c>
      <c r="C835" t="inlineStr">
        <is>
          <t>ENAP</t>
        </is>
      </c>
      <c r="D835" t="inlineStr">
        <is>
          <t>10155487</t>
        </is>
      </c>
      <c r="E835" t="inlineStr"/>
      <c r="F835" s="11" t="n">
        <v>184.31</v>
      </c>
      <c r="G835" t="inlineStr"/>
      <c r="I835" t="inlineStr">
        <is>
          <t>TN</t>
        </is>
      </c>
      <c r="J835" t="inlineStr"/>
      <c r="K835" t="inlineStr">
        <is>
          <t>20250701</t>
        </is>
      </c>
      <c r="L835" t="inlineStr">
        <is>
          <t>20251031</t>
        </is>
      </c>
    </row>
    <row r="836">
      <c r="A836" t="inlineStr">
        <is>
          <t>900004324</t>
        </is>
      </c>
      <c r="B836" t="inlineStr">
        <is>
          <t>DW70</t>
        </is>
      </c>
      <c r="C836" t="inlineStr">
        <is>
          <t>ENAP</t>
        </is>
      </c>
      <c r="D836" t="inlineStr">
        <is>
          <t>10159061</t>
        </is>
      </c>
      <c r="E836" t="inlineStr"/>
      <c r="F836" s="11" t="n">
        <v>90.63</v>
      </c>
      <c r="G836" t="inlineStr"/>
      <c r="I836" t="inlineStr">
        <is>
          <t>TN</t>
        </is>
      </c>
      <c r="J836" t="inlineStr"/>
      <c r="K836" t="inlineStr">
        <is>
          <t>20230501</t>
        </is>
      </c>
      <c r="L836" t="inlineStr">
        <is>
          <t>20250131</t>
        </is>
      </c>
    </row>
    <row r="837">
      <c r="A837" t="inlineStr">
        <is>
          <t>900004324</t>
        </is>
      </c>
      <c r="B837" t="inlineStr">
        <is>
          <t>DW70</t>
        </is>
      </c>
      <c r="C837" t="inlineStr">
        <is>
          <t>ENAS</t>
        </is>
      </c>
      <c r="D837" t="inlineStr">
        <is>
          <t>10000432</t>
        </is>
      </c>
      <c r="E837" t="inlineStr"/>
      <c r="F837" s="11" t="n">
        <v>137.5</v>
      </c>
      <c r="G837" t="inlineStr"/>
      <c r="I837" t="inlineStr">
        <is>
          <t>TN</t>
        </is>
      </c>
      <c r="J837" t="inlineStr"/>
      <c r="K837" t="inlineStr">
        <is>
          <t>20250701</t>
        </is>
      </c>
      <c r="L837" t="inlineStr">
        <is>
          <t>99991231</t>
        </is>
      </c>
    </row>
    <row r="838">
      <c r="A838" t="inlineStr">
        <is>
          <t>900004324</t>
        </is>
      </c>
      <c r="B838" t="inlineStr">
        <is>
          <t>DW70</t>
        </is>
      </c>
      <c r="C838" t="inlineStr">
        <is>
          <t>ENAS</t>
        </is>
      </c>
      <c r="D838" t="inlineStr">
        <is>
          <t>10145835</t>
        </is>
      </c>
      <c r="E838" t="inlineStr"/>
      <c r="F838" s="11" t="n">
        <v>105.07</v>
      </c>
      <c r="G838" t="inlineStr"/>
      <c r="I838" t="inlineStr">
        <is>
          <t>TN</t>
        </is>
      </c>
      <c r="J838" t="inlineStr"/>
      <c r="K838" t="inlineStr">
        <is>
          <t>20250701</t>
        </is>
      </c>
      <c r="L838" t="inlineStr">
        <is>
          <t>99991231</t>
        </is>
      </c>
    </row>
    <row r="839">
      <c r="A839" t="inlineStr">
        <is>
          <t>900004324</t>
        </is>
      </c>
      <c r="B839" t="inlineStr">
        <is>
          <t>DW70</t>
        </is>
      </c>
      <c r="C839" t="inlineStr">
        <is>
          <t>ENAS</t>
        </is>
      </c>
      <c r="D839" t="inlineStr">
        <is>
          <t>10155487</t>
        </is>
      </c>
      <c r="E839" t="inlineStr"/>
      <c r="F839" s="11" t="n">
        <v>184.31</v>
      </c>
      <c r="G839" t="inlineStr"/>
      <c r="I839" t="inlineStr">
        <is>
          <t>TN</t>
        </is>
      </c>
      <c r="J839" t="inlineStr"/>
      <c r="K839" t="inlineStr">
        <is>
          <t>20250701</t>
        </is>
      </c>
      <c r="L839" t="inlineStr">
        <is>
          <t>99991231</t>
        </is>
      </c>
    </row>
    <row r="840">
      <c r="A840" t="inlineStr">
        <is>
          <t>900004324</t>
        </is>
      </c>
      <c r="B840" t="inlineStr">
        <is>
          <t>DW70</t>
        </is>
      </c>
      <c r="C840" t="inlineStr">
        <is>
          <t>ENAS</t>
        </is>
      </c>
      <c r="D840" t="inlineStr">
        <is>
          <t>10159061</t>
        </is>
      </c>
      <c r="E840" t="inlineStr"/>
      <c r="F840" s="11" t="n">
        <v>90.63</v>
      </c>
      <c r="G840" t="inlineStr"/>
      <c r="I840" t="inlineStr">
        <is>
          <t>TN</t>
        </is>
      </c>
      <c r="J840" t="inlineStr"/>
      <c r="K840" t="inlineStr">
        <is>
          <t>20250701</t>
        </is>
      </c>
      <c r="L840" t="inlineStr">
        <is>
          <t>20251031</t>
        </is>
      </c>
    </row>
    <row r="841">
      <c r="A841" t="inlineStr">
        <is>
          <t>900004324</t>
        </is>
      </c>
      <c r="B841" t="inlineStr">
        <is>
          <t>DW70</t>
        </is>
      </c>
      <c r="C841" t="inlineStr">
        <is>
          <t>ENAW</t>
        </is>
      </c>
      <c r="D841" t="inlineStr">
        <is>
          <t>10000432</t>
        </is>
      </c>
      <c r="E841" t="inlineStr"/>
      <c r="F841" s="11" t="n">
        <v>137.5</v>
      </c>
      <c r="G841" t="inlineStr"/>
      <c r="I841" t="inlineStr">
        <is>
          <t>TN</t>
        </is>
      </c>
      <c r="J841" t="inlineStr"/>
      <c r="K841" t="inlineStr">
        <is>
          <t>20250701</t>
        </is>
      </c>
      <c r="L841" t="inlineStr">
        <is>
          <t>99991231</t>
        </is>
      </c>
    </row>
    <row r="842">
      <c r="A842" t="inlineStr">
        <is>
          <t>900004324</t>
        </is>
      </c>
      <c r="B842" t="inlineStr">
        <is>
          <t>DW70</t>
        </is>
      </c>
      <c r="C842" t="inlineStr">
        <is>
          <t>ENAW</t>
        </is>
      </c>
      <c r="D842" t="inlineStr">
        <is>
          <t>10145835</t>
        </is>
      </c>
      <c r="E842" t="inlineStr"/>
      <c r="F842" s="11" t="n">
        <v>105.07</v>
      </c>
      <c r="G842" t="inlineStr"/>
      <c r="I842" t="inlineStr">
        <is>
          <t>TN</t>
        </is>
      </c>
      <c r="J842" t="inlineStr"/>
      <c r="K842" t="inlineStr">
        <is>
          <t>20250701</t>
        </is>
      </c>
      <c r="L842" t="inlineStr">
        <is>
          <t>99991231</t>
        </is>
      </c>
    </row>
    <row r="843">
      <c r="A843" t="inlineStr">
        <is>
          <t>900004324</t>
        </is>
      </c>
      <c r="B843" t="inlineStr">
        <is>
          <t>DW70</t>
        </is>
      </c>
      <c r="C843" t="inlineStr">
        <is>
          <t>ENAW</t>
        </is>
      </c>
      <c r="D843" t="inlineStr">
        <is>
          <t>10155487</t>
        </is>
      </c>
      <c r="E843" t="inlineStr"/>
      <c r="F843" s="11" t="n">
        <v>184.31</v>
      </c>
      <c r="G843" t="inlineStr"/>
      <c r="I843" t="inlineStr">
        <is>
          <t>TN</t>
        </is>
      </c>
      <c r="J843" t="inlineStr"/>
      <c r="K843" t="inlineStr">
        <is>
          <t>20250701</t>
        </is>
      </c>
      <c r="L843" t="inlineStr">
        <is>
          <t>99991231</t>
        </is>
      </c>
    </row>
    <row r="844">
      <c r="A844" t="inlineStr">
        <is>
          <t>900004324</t>
        </is>
      </c>
      <c r="B844" t="inlineStr">
        <is>
          <t>DW70</t>
        </is>
      </c>
      <c r="C844" t="inlineStr">
        <is>
          <t>ENAW</t>
        </is>
      </c>
      <c r="D844" t="inlineStr">
        <is>
          <t>10159061</t>
        </is>
      </c>
      <c r="E844" t="inlineStr"/>
      <c r="F844" s="11" t="n">
        <v>90.63</v>
      </c>
      <c r="G844" t="inlineStr"/>
      <c r="I844" t="inlineStr">
        <is>
          <t>TN</t>
        </is>
      </c>
      <c r="J844" t="inlineStr"/>
      <c r="K844" t="inlineStr">
        <is>
          <t>20250701</t>
        </is>
      </c>
      <c r="L844" t="inlineStr">
        <is>
          <t>20251031</t>
        </is>
      </c>
    </row>
    <row r="845">
      <c r="A845" t="inlineStr">
        <is>
          <t>900004324</t>
        </is>
      </c>
      <c r="B845" t="inlineStr">
        <is>
          <t>DW70</t>
        </is>
      </c>
      <c r="C845" t="inlineStr">
        <is>
          <t>ENDB</t>
        </is>
      </c>
      <c r="D845" t="inlineStr">
        <is>
          <t>10000432</t>
        </is>
      </c>
      <c r="E845" t="inlineStr"/>
      <c r="F845" s="11" t="n">
        <v>137.5</v>
      </c>
      <c r="G845" t="inlineStr"/>
      <c r="I845" t="inlineStr">
        <is>
          <t>TN</t>
        </is>
      </c>
      <c r="J845" t="inlineStr"/>
      <c r="K845" t="inlineStr">
        <is>
          <t>20250701</t>
        </is>
      </c>
      <c r="L845" t="inlineStr">
        <is>
          <t>99991231</t>
        </is>
      </c>
    </row>
    <row r="846">
      <c r="A846" t="inlineStr">
        <is>
          <t>900004324</t>
        </is>
      </c>
      <c r="B846" t="inlineStr">
        <is>
          <t>DW70</t>
        </is>
      </c>
      <c r="C846" t="inlineStr">
        <is>
          <t>ENDB</t>
        </is>
      </c>
      <c r="D846" t="inlineStr">
        <is>
          <t>10145835</t>
        </is>
      </c>
      <c r="E846" t="inlineStr"/>
      <c r="F846" s="11" t="n">
        <v>105.07</v>
      </c>
      <c r="G846" t="inlineStr"/>
      <c r="I846" t="inlineStr">
        <is>
          <t>TN</t>
        </is>
      </c>
      <c r="J846" t="inlineStr"/>
      <c r="K846" t="inlineStr">
        <is>
          <t>20250701</t>
        </is>
      </c>
      <c r="L846" t="inlineStr">
        <is>
          <t>99991231</t>
        </is>
      </c>
    </row>
    <row r="847">
      <c r="A847" t="inlineStr">
        <is>
          <t>900004324</t>
        </is>
      </c>
      <c r="B847" t="inlineStr">
        <is>
          <t>DW70</t>
        </is>
      </c>
      <c r="C847" t="inlineStr">
        <is>
          <t>ENDB</t>
        </is>
      </c>
      <c r="D847" t="inlineStr">
        <is>
          <t>10155487</t>
        </is>
      </c>
      <c r="E847" t="inlineStr"/>
      <c r="F847" s="11" t="n">
        <v>184.31</v>
      </c>
      <c r="G847" t="inlineStr"/>
      <c r="I847" t="inlineStr">
        <is>
          <t>TN</t>
        </is>
      </c>
      <c r="J847" t="inlineStr"/>
      <c r="K847" t="inlineStr">
        <is>
          <t>20250701</t>
        </is>
      </c>
      <c r="L847" t="inlineStr">
        <is>
          <t>99991231</t>
        </is>
      </c>
    </row>
    <row r="848">
      <c r="A848" t="inlineStr">
        <is>
          <t>900004324</t>
        </is>
      </c>
      <c r="B848" t="inlineStr">
        <is>
          <t>DW70</t>
        </is>
      </c>
      <c r="C848" t="inlineStr">
        <is>
          <t>ENDB</t>
        </is>
      </c>
      <c r="D848" t="inlineStr">
        <is>
          <t>10159061</t>
        </is>
      </c>
      <c r="E848" t="inlineStr"/>
      <c r="F848" s="11" t="n">
        <v>90.63</v>
      </c>
      <c r="G848" t="inlineStr"/>
      <c r="I848" t="inlineStr">
        <is>
          <t>TN</t>
        </is>
      </c>
      <c r="J848" t="inlineStr"/>
      <c r="K848" t="inlineStr">
        <is>
          <t>20250701</t>
        </is>
      </c>
      <c r="L848" t="inlineStr">
        <is>
          <t>20251031</t>
        </is>
      </c>
    </row>
    <row r="849">
      <c r="A849" t="inlineStr">
        <is>
          <t>900004324</t>
        </is>
      </c>
      <c r="B849" t="inlineStr">
        <is>
          <t>DW70</t>
        </is>
      </c>
      <c r="C849" t="inlineStr">
        <is>
          <t>ENDC</t>
        </is>
      </c>
      <c r="D849" t="inlineStr">
        <is>
          <t>10000432</t>
        </is>
      </c>
      <c r="E849" t="inlineStr"/>
      <c r="F849" s="11" t="n">
        <v>137.5</v>
      </c>
      <c r="G849" t="inlineStr"/>
      <c r="I849" t="inlineStr">
        <is>
          <t>TN</t>
        </is>
      </c>
      <c r="J849" t="inlineStr"/>
      <c r="K849" t="inlineStr">
        <is>
          <t>20250701</t>
        </is>
      </c>
      <c r="L849" t="inlineStr">
        <is>
          <t>99991231</t>
        </is>
      </c>
    </row>
    <row r="850">
      <c r="A850" t="inlineStr">
        <is>
          <t>900004324</t>
        </is>
      </c>
      <c r="B850" t="inlineStr">
        <is>
          <t>DW70</t>
        </is>
      </c>
      <c r="C850" t="inlineStr">
        <is>
          <t>ENDC</t>
        </is>
      </c>
      <c r="D850" t="inlineStr">
        <is>
          <t>10145835</t>
        </is>
      </c>
      <c r="E850" t="inlineStr"/>
      <c r="F850" s="11" t="n">
        <v>105.07</v>
      </c>
      <c r="G850" t="inlineStr"/>
      <c r="I850" t="inlineStr">
        <is>
          <t>TN</t>
        </is>
      </c>
      <c r="J850" t="inlineStr"/>
      <c r="K850" t="inlineStr">
        <is>
          <t>20250701</t>
        </is>
      </c>
      <c r="L850" t="inlineStr">
        <is>
          <t>99991231</t>
        </is>
      </c>
    </row>
    <row r="851">
      <c r="A851" t="inlineStr">
        <is>
          <t>900004324</t>
        </is>
      </c>
      <c r="B851" t="inlineStr">
        <is>
          <t>DW70</t>
        </is>
      </c>
      <c r="C851" t="inlineStr">
        <is>
          <t>ENDC</t>
        </is>
      </c>
      <c r="D851" t="inlineStr">
        <is>
          <t>10155487</t>
        </is>
      </c>
      <c r="E851" t="inlineStr"/>
      <c r="F851" s="11" t="n">
        <v>184.31</v>
      </c>
      <c r="G851" t="inlineStr"/>
      <c r="I851" t="inlineStr">
        <is>
          <t>TN</t>
        </is>
      </c>
      <c r="J851" t="inlineStr"/>
      <c r="K851" t="inlineStr">
        <is>
          <t>20250701</t>
        </is>
      </c>
      <c r="L851" t="inlineStr">
        <is>
          <t>99991231</t>
        </is>
      </c>
    </row>
    <row r="852">
      <c r="A852" t="inlineStr">
        <is>
          <t>900004324</t>
        </is>
      </c>
      <c r="B852" t="inlineStr">
        <is>
          <t>DW70</t>
        </is>
      </c>
      <c r="C852" t="inlineStr">
        <is>
          <t>ENDC</t>
        </is>
      </c>
      <c r="D852" t="inlineStr">
        <is>
          <t>10159061</t>
        </is>
      </c>
      <c r="E852" t="inlineStr"/>
      <c r="F852" s="11" t="n">
        <v>90.63</v>
      </c>
      <c r="G852" t="inlineStr"/>
      <c r="I852" t="inlineStr">
        <is>
          <t>TN</t>
        </is>
      </c>
      <c r="J852" t="inlineStr"/>
      <c r="K852" t="inlineStr">
        <is>
          <t>20250701</t>
        </is>
      </c>
      <c r="L852" t="inlineStr">
        <is>
          <t>20251031</t>
        </is>
      </c>
    </row>
    <row r="853">
      <c r="A853" t="inlineStr">
        <is>
          <t>900004324</t>
        </is>
      </c>
      <c r="B853" t="inlineStr">
        <is>
          <t>DW70</t>
        </is>
      </c>
      <c r="C853" t="inlineStr">
        <is>
          <t>ENXF</t>
        </is>
      </c>
      <c r="D853" t="inlineStr">
        <is>
          <t>10000432</t>
        </is>
      </c>
      <c r="E853" t="inlineStr"/>
      <c r="F853" s="11" t="n">
        <v>137.5</v>
      </c>
      <c r="G853" t="inlineStr"/>
      <c r="I853" t="inlineStr">
        <is>
          <t>TN</t>
        </is>
      </c>
      <c r="J853" t="inlineStr"/>
      <c r="K853" t="inlineStr">
        <is>
          <t>20251124</t>
        </is>
      </c>
      <c r="L853" t="inlineStr">
        <is>
          <t>99991231</t>
        </is>
      </c>
    </row>
    <row r="854">
      <c r="A854" t="inlineStr">
        <is>
          <t>900004324</t>
        </is>
      </c>
      <c r="B854" t="inlineStr">
        <is>
          <t>DW70</t>
        </is>
      </c>
      <c r="C854" t="inlineStr">
        <is>
          <t>ENXF</t>
        </is>
      </c>
      <c r="D854" t="inlineStr">
        <is>
          <t>10145835</t>
        </is>
      </c>
      <c r="E854" t="inlineStr"/>
      <c r="F854" s="11" t="n">
        <v>105.07</v>
      </c>
      <c r="G854" t="inlineStr"/>
      <c r="I854" t="inlineStr">
        <is>
          <t>TN</t>
        </is>
      </c>
      <c r="J854" t="inlineStr"/>
      <c r="K854" t="inlineStr">
        <is>
          <t>20251124</t>
        </is>
      </c>
      <c r="L854" t="inlineStr">
        <is>
          <t>99991231</t>
        </is>
      </c>
    </row>
    <row r="855">
      <c r="A855" t="inlineStr">
        <is>
          <t>900004324</t>
        </is>
      </c>
      <c r="B855" t="inlineStr">
        <is>
          <t>DW70</t>
        </is>
      </c>
      <c r="C855" t="inlineStr">
        <is>
          <t>ENXF</t>
        </is>
      </c>
      <c r="D855" t="inlineStr">
        <is>
          <t>10155487</t>
        </is>
      </c>
      <c r="E855" t="inlineStr"/>
      <c r="F855" s="11" t="n">
        <v>184.31</v>
      </c>
      <c r="G855" t="inlineStr"/>
      <c r="I855" t="inlineStr">
        <is>
          <t>TN</t>
        </is>
      </c>
      <c r="J855" t="inlineStr"/>
      <c r="K855" t="inlineStr">
        <is>
          <t>20251124</t>
        </is>
      </c>
      <c r="L855" t="inlineStr">
        <is>
          <t>99991231</t>
        </is>
      </c>
    </row>
    <row r="856">
      <c r="A856" t="inlineStr">
        <is>
          <t>900004446</t>
        </is>
      </c>
      <c r="B856" t="inlineStr">
        <is>
          <t>DW70</t>
        </is>
      </c>
      <c r="C856" t="inlineStr">
        <is>
          <t>D081</t>
        </is>
      </c>
      <c r="D856" t="inlineStr">
        <is>
          <t>10000829</t>
        </is>
      </c>
      <c r="E856" t="inlineStr"/>
      <c r="F856" s="11" t="n">
        <v>37.3</v>
      </c>
      <c r="G856" t="inlineStr"/>
      <c r="I856" t="inlineStr">
        <is>
          <t>TN</t>
        </is>
      </c>
      <c r="J856" t="inlineStr"/>
      <c r="K856" t="inlineStr">
        <is>
          <t>20230501</t>
        </is>
      </c>
      <c r="L856" t="inlineStr">
        <is>
          <t>20250131</t>
        </is>
      </c>
    </row>
    <row r="857">
      <c r="A857" t="inlineStr">
        <is>
          <t>900004446</t>
        </is>
      </c>
      <c r="B857" t="inlineStr">
        <is>
          <t>DW70</t>
        </is>
      </c>
      <c r="C857" t="inlineStr">
        <is>
          <t>D083</t>
        </is>
      </c>
      <c r="D857" t="inlineStr">
        <is>
          <t>10000829</t>
        </is>
      </c>
      <c r="E857" t="inlineStr"/>
      <c r="F857" s="11" t="n">
        <v>37.3</v>
      </c>
      <c r="G857" t="inlineStr"/>
      <c r="I857" t="inlineStr">
        <is>
          <t>TN</t>
        </is>
      </c>
      <c r="J857" t="inlineStr"/>
      <c r="K857" t="inlineStr">
        <is>
          <t>20230501</t>
        </is>
      </c>
      <c r="L857" t="inlineStr">
        <is>
          <t>20250131</t>
        </is>
      </c>
    </row>
    <row r="858">
      <c r="A858" t="inlineStr">
        <is>
          <t>900004446</t>
        </is>
      </c>
      <c r="B858" t="inlineStr">
        <is>
          <t>DW70</t>
        </is>
      </c>
      <c r="C858" t="inlineStr">
        <is>
          <t>D084</t>
        </is>
      </c>
      <c r="D858" t="inlineStr">
        <is>
          <t>10000829</t>
        </is>
      </c>
      <c r="E858" t="inlineStr"/>
      <c r="F858" s="11" t="n">
        <v>37.3</v>
      </c>
      <c r="G858" t="inlineStr"/>
      <c r="I858" t="inlineStr">
        <is>
          <t>TN</t>
        </is>
      </c>
      <c r="J858" t="inlineStr"/>
      <c r="K858" t="inlineStr">
        <is>
          <t>20230501</t>
        </is>
      </c>
      <c r="L858" t="inlineStr">
        <is>
          <t>20250131</t>
        </is>
      </c>
    </row>
    <row r="859">
      <c r="A859" t="inlineStr">
        <is>
          <t>900004446</t>
        </is>
      </c>
      <c r="B859" t="inlineStr">
        <is>
          <t>DW70</t>
        </is>
      </c>
      <c r="C859" t="inlineStr">
        <is>
          <t>D086</t>
        </is>
      </c>
      <c r="D859" t="inlineStr">
        <is>
          <t>10000829</t>
        </is>
      </c>
      <c r="E859" t="inlineStr"/>
      <c r="F859" s="11" t="n">
        <v>37.3</v>
      </c>
      <c r="G859" t="inlineStr"/>
      <c r="I859" t="inlineStr">
        <is>
          <t>TN</t>
        </is>
      </c>
      <c r="J859" t="inlineStr"/>
      <c r="K859" t="inlineStr">
        <is>
          <t>20230501</t>
        </is>
      </c>
      <c r="L859" t="inlineStr">
        <is>
          <t>20250131</t>
        </is>
      </c>
    </row>
    <row r="860">
      <c r="A860" t="inlineStr">
        <is>
          <t>900004446</t>
        </is>
      </c>
      <c r="B860" t="inlineStr">
        <is>
          <t>DW70</t>
        </is>
      </c>
      <c r="C860" t="inlineStr">
        <is>
          <t>D136</t>
        </is>
      </c>
      <c r="D860" t="inlineStr">
        <is>
          <t>10000829</t>
        </is>
      </c>
      <c r="E860" t="inlineStr"/>
      <c r="F860" s="11" t="n">
        <v>37.3</v>
      </c>
      <c r="G860" t="inlineStr"/>
      <c r="I860" t="inlineStr">
        <is>
          <t>TN</t>
        </is>
      </c>
      <c r="J860" t="inlineStr"/>
      <c r="K860" t="inlineStr">
        <is>
          <t>20230501</t>
        </is>
      </c>
      <c r="L860" t="inlineStr">
        <is>
          <t>20250131</t>
        </is>
      </c>
    </row>
    <row r="861">
      <c r="A861" t="inlineStr">
        <is>
          <t>900004465</t>
        </is>
      </c>
      <c r="B861" t="inlineStr">
        <is>
          <t>DW70</t>
        </is>
      </c>
      <c r="C861" t="inlineStr">
        <is>
          <t>D074</t>
        </is>
      </c>
      <c r="D861" t="inlineStr">
        <is>
          <t>10053281</t>
        </is>
      </c>
      <c r="E861" t="inlineStr"/>
      <c r="F861" s="11" t="n">
        <v>79.84999999999999</v>
      </c>
      <c r="G861" t="inlineStr"/>
      <c r="I861" t="inlineStr">
        <is>
          <t>TN</t>
        </is>
      </c>
      <c r="J861" t="inlineStr"/>
      <c r="K861" t="inlineStr">
        <is>
          <t>20230501</t>
        </is>
      </c>
      <c r="L861" t="inlineStr">
        <is>
          <t>20250131</t>
        </is>
      </c>
    </row>
    <row r="862">
      <c r="A862" t="inlineStr">
        <is>
          <t>900004465</t>
        </is>
      </c>
      <c r="B862" t="inlineStr">
        <is>
          <t>DW70</t>
        </is>
      </c>
      <c r="C862" t="inlineStr">
        <is>
          <t>D075</t>
        </is>
      </c>
      <c r="D862" t="inlineStr">
        <is>
          <t>10053281</t>
        </is>
      </c>
      <c r="E862" t="inlineStr"/>
      <c r="F862" s="11" t="n">
        <v>79.84999999999999</v>
      </c>
      <c r="G862" t="inlineStr"/>
      <c r="I862" t="inlineStr">
        <is>
          <t>TN</t>
        </is>
      </c>
      <c r="J862" t="inlineStr"/>
      <c r="K862" t="inlineStr">
        <is>
          <t>20230501</t>
        </is>
      </c>
      <c r="L862" t="inlineStr">
        <is>
          <t>20250131</t>
        </is>
      </c>
    </row>
    <row r="863">
      <c r="A863" t="inlineStr">
        <is>
          <t>900004465</t>
        </is>
      </c>
      <c r="B863" t="inlineStr">
        <is>
          <t>DW70</t>
        </is>
      </c>
      <c r="C863" t="inlineStr">
        <is>
          <t>D077</t>
        </is>
      </c>
      <c r="D863" t="inlineStr">
        <is>
          <t>10053281</t>
        </is>
      </c>
      <c r="E863" t="inlineStr"/>
      <c r="F863" s="11" t="n">
        <v>79.84999999999999</v>
      </c>
      <c r="G863" t="inlineStr"/>
      <c r="I863" t="inlineStr">
        <is>
          <t>TN</t>
        </is>
      </c>
      <c r="J863" t="inlineStr"/>
      <c r="K863" t="inlineStr">
        <is>
          <t>20230501</t>
        </is>
      </c>
      <c r="L863" t="inlineStr">
        <is>
          <t>20250131</t>
        </is>
      </c>
    </row>
    <row r="864">
      <c r="A864" t="inlineStr">
        <is>
          <t>900004465</t>
        </is>
      </c>
      <c r="B864" t="inlineStr">
        <is>
          <t>DW70</t>
        </is>
      </c>
      <c r="C864" t="inlineStr">
        <is>
          <t>D079</t>
        </is>
      </c>
      <c r="D864" t="inlineStr">
        <is>
          <t>10053281</t>
        </is>
      </c>
      <c r="E864" t="inlineStr"/>
      <c r="F864" s="11" t="n">
        <v>79.84999999999999</v>
      </c>
      <c r="G864" t="inlineStr"/>
      <c r="I864" t="inlineStr">
        <is>
          <t>TN</t>
        </is>
      </c>
      <c r="J864" t="inlineStr"/>
      <c r="K864" t="inlineStr">
        <is>
          <t>20230501</t>
        </is>
      </c>
      <c r="L864" t="inlineStr">
        <is>
          <t>20250131</t>
        </is>
      </c>
    </row>
    <row r="865">
      <c r="A865" t="inlineStr">
        <is>
          <t>900004465</t>
        </is>
      </c>
      <c r="B865" t="inlineStr">
        <is>
          <t>DW70</t>
        </is>
      </c>
      <c r="C865" t="inlineStr">
        <is>
          <t>D080</t>
        </is>
      </c>
      <c r="D865" t="inlineStr">
        <is>
          <t>10053281</t>
        </is>
      </c>
      <c r="E865" t="inlineStr"/>
      <c r="F865" s="11" t="n">
        <v>79.84999999999999</v>
      </c>
      <c r="G865" t="inlineStr"/>
      <c r="I865" t="inlineStr">
        <is>
          <t>TN</t>
        </is>
      </c>
      <c r="J865" t="inlineStr"/>
      <c r="K865" t="inlineStr">
        <is>
          <t>20230501</t>
        </is>
      </c>
      <c r="L865" t="inlineStr">
        <is>
          <t>20250131</t>
        </is>
      </c>
    </row>
    <row r="866">
      <c r="A866" t="inlineStr">
        <is>
          <t>900004465</t>
        </is>
      </c>
      <c r="B866" t="inlineStr">
        <is>
          <t>DW70</t>
        </is>
      </c>
      <c r="C866" t="inlineStr">
        <is>
          <t>D081</t>
        </is>
      </c>
      <c r="D866" t="inlineStr">
        <is>
          <t>10053281</t>
        </is>
      </c>
      <c r="E866" t="inlineStr"/>
      <c r="F866" s="11" t="n">
        <v>79.84999999999999</v>
      </c>
      <c r="G866" t="inlineStr"/>
      <c r="I866" t="inlineStr">
        <is>
          <t>TN</t>
        </is>
      </c>
      <c r="J866" t="inlineStr"/>
      <c r="K866" t="inlineStr">
        <is>
          <t>20230501</t>
        </is>
      </c>
      <c r="L866" t="inlineStr">
        <is>
          <t>20250131</t>
        </is>
      </c>
    </row>
    <row r="867">
      <c r="A867" t="inlineStr">
        <is>
          <t>900004465</t>
        </is>
      </c>
      <c r="B867" t="inlineStr">
        <is>
          <t>DW70</t>
        </is>
      </c>
      <c r="C867" t="inlineStr">
        <is>
          <t>D083</t>
        </is>
      </c>
      <c r="D867" t="inlineStr">
        <is>
          <t>10053281</t>
        </is>
      </c>
      <c r="E867" t="inlineStr"/>
      <c r="F867" s="11" t="n">
        <v>79.84999999999999</v>
      </c>
      <c r="G867" t="inlineStr"/>
      <c r="I867" t="inlineStr">
        <is>
          <t>TN</t>
        </is>
      </c>
      <c r="J867" t="inlineStr"/>
      <c r="K867" t="inlineStr">
        <is>
          <t>20230501</t>
        </is>
      </c>
      <c r="L867" t="inlineStr">
        <is>
          <t>20250131</t>
        </is>
      </c>
    </row>
    <row r="868">
      <c r="A868" t="inlineStr">
        <is>
          <t>900004465</t>
        </is>
      </c>
      <c r="B868" t="inlineStr">
        <is>
          <t>DW70</t>
        </is>
      </c>
      <c r="C868" t="inlineStr">
        <is>
          <t>D084</t>
        </is>
      </c>
      <c r="D868" t="inlineStr">
        <is>
          <t>10053281</t>
        </is>
      </c>
      <c r="E868" t="inlineStr"/>
      <c r="F868" s="11" t="n">
        <v>79.84999999999999</v>
      </c>
      <c r="G868" t="inlineStr"/>
      <c r="I868" t="inlineStr">
        <is>
          <t>TN</t>
        </is>
      </c>
      <c r="J868" t="inlineStr"/>
      <c r="K868" t="inlineStr">
        <is>
          <t>20230501</t>
        </is>
      </c>
      <c r="L868" t="inlineStr">
        <is>
          <t>20250131</t>
        </is>
      </c>
    </row>
    <row r="869">
      <c r="A869" t="inlineStr">
        <is>
          <t>900004465</t>
        </is>
      </c>
      <c r="B869" t="inlineStr">
        <is>
          <t>DW70</t>
        </is>
      </c>
      <c r="C869" t="inlineStr">
        <is>
          <t>D085</t>
        </is>
      </c>
      <c r="D869" t="inlineStr">
        <is>
          <t>10053281</t>
        </is>
      </c>
      <c r="E869" t="inlineStr"/>
      <c r="F869" s="11" t="n">
        <v>79.84999999999999</v>
      </c>
      <c r="G869" t="inlineStr"/>
      <c r="I869" t="inlineStr">
        <is>
          <t>TN</t>
        </is>
      </c>
      <c r="J869" t="inlineStr"/>
      <c r="K869" t="inlineStr">
        <is>
          <t>20230501</t>
        </is>
      </c>
      <c r="L869" t="inlineStr">
        <is>
          <t>20250131</t>
        </is>
      </c>
    </row>
    <row r="870">
      <c r="A870" t="inlineStr">
        <is>
          <t>900004465</t>
        </is>
      </c>
      <c r="B870" t="inlineStr">
        <is>
          <t>DW70</t>
        </is>
      </c>
      <c r="C870" t="inlineStr">
        <is>
          <t>D086</t>
        </is>
      </c>
      <c r="D870" t="inlineStr">
        <is>
          <t>10053281</t>
        </is>
      </c>
      <c r="E870" t="inlineStr"/>
      <c r="F870" s="11" t="n">
        <v>79.84999999999999</v>
      </c>
      <c r="G870" t="inlineStr"/>
      <c r="I870" t="inlineStr">
        <is>
          <t>TN</t>
        </is>
      </c>
      <c r="J870" t="inlineStr"/>
      <c r="K870" t="inlineStr">
        <is>
          <t>20230501</t>
        </is>
      </c>
      <c r="L870" t="inlineStr">
        <is>
          <t>20250131</t>
        </is>
      </c>
    </row>
    <row r="871">
      <c r="A871" t="inlineStr">
        <is>
          <t>900004465</t>
        </is>
      </c>
      <c r="B871" t="inlineStr">
        <is>
          <t>DW70</t>
        </is>
      </c>
      <c r="C871" t="inlineStr">
        <is>
          <t>D088</t>
        </is>
      </c>
      <c r="D871" t="inlineStr">
        <is>
          <t>10053281</t>
        </is>
      </c>
      <c r="E871" t="inlineStr"/>
      <c r="F871" s="11" t="n">
        <v>79.84999999999999</v>
      </c>
      <c r="G871" t="inlineStr"/>
      <c r="I871" t="inlineStr">
        <is>
          <t>TN</t>
        </is>
      </c>
      <c r="J871" t="inlineStr"/>
      <c r="K871" t="inlineStr">
        <is>
          <t>20230501</t>
        </is>
      </c>
      <c r="L871" t="inlineStr">
        <is>
          <t>20250131</t>
        </is>
      </c>
    </row>
    <row r="872">
      <c r="A872" t="inlineStr">
        <is>
          <t>900004465</t>
        </is>
      </c>
      <c r="B872" t="inlineStr">
        <is>
          <t>DW70</t>
        </is>
      </c>
      <c r="C872" t="inlineStr">
        <is>
          <t>D089</t>
        </is>
      </c>
      <c r="D872" t="inlineStr">
        <is>
          <t>10053281</t>
        </is>
      </c>
      <c r="E872" t="inlineStr"/>
      <c r="F872" s="11" t="n">
        <v>79.84999999999999</v>
      </c>
      <c r="G872" t="inlineStr"/>
      <c r="I872" t="inlineStr">
        <is>
          <t>TN</t>
        </is>
      </c>
      <c r="J872" t="inlineStr"/>
      <c r="K872" t="inlineStr">
        <is>
          <t>20230501</t>
        </is>
      </c>
      <c r="L872" t="inlineStr">
        <is>
          <t>20250131</t>
        </is>
      </c>
    </row>
    <row r="873">
      <c r="A873" t="inlineStr">
        <is>
          <t>900004465</t>
        </is>
      </c>
      <c r="B873" t="inlineStr">
        <is>
          <t>DW70</t>
        </is>
      </c>
      <c r="C873" t="inlineStr">
        <is>
          <t>D093</t>
        </is>
      </c>
      <c r="D873" t="inlineStr">
        <is>
          <t>10053281</t>
        </is>
      </c>
      <c r="E873" t="inlineStr"/>
      <c r="F873" s="11" t="n">
        <v>79.84999999999999</v>
      </c>
      <c r="G873" t="inlineStr"/>
      <c r="I873" t="inlineStr">
        <is>
          <t>TN</t>
        </is>
      </c>
      <c r="J873" t="inlineStr"/>
      <c r="K873" t="inlineStr">
        <is>
          <t>20230501</t>
        </is>
      </c>
      <c r="L873" t="inlineStr">
        <is>
          <t>20250131</t>
        </is>
      </c>
    </row>
    <row r="874">
      <c r="A874" t="inlineStr">
        <is>
          <t>900004465</t>
        </is>
      </c>
      <c r="B874" t="inlineStr">
        <is>
          <t>DW70</t>
        </is>
      </c>
      <c r="C874" t="inlineStr">
        <is>
          <t>D098</t>
        </is>
      </c>
      <c r="D874" t="inlineStr">
        <is>
          <t>10053281</t>
        </is>
      </c>
      <c r="E874" t="inlineStr"/>
      <c r="F874" s="11" t="n">
        <v>79.84999999999999</v>
      </c>
      <c r="G874" t="inlineStr"/>
      <c r="I874" t="inlineStr">
        <is>
          <t>TN</t>
        </is>
      </c>
      <c r="J874" t="inlineStr"/>
      <c r="K874" t="inlineStr">
        <is>
          <t>20230501</t>
        </is>
      </c>
      <c r="L874" t="inlineStr">
        <is>
          <t>20250131</t>
        </is>
      </c>
    </row>
    <row r="875">
      <c r="A875" t="inlineStr">
        <is>
          <t>900004465</t>
        </is>
      </c>
      <c r="B875" t="inlineStr">
        <is>
          <t>DW70</t>
        </is>
      </c>
      <c r="C875" t="inlineStr">
        <is>
          <t>D105</t>
        </is>
      </c>
      <c r="D875" t="inlineStr">
        <is>
          <t>10053281</t>
        </is>
      </c>
      <c r="E875" t="inlineStr"/>
      <c r="F875" s="11" t="n">
        <v>79.84999999999999</v>
      </c>
      <c r="G875" t="inlineStr"/>
      <c r="I875" t="inlineStr">
        <is>
          <t>TN</t>
        </is>
      </c>
      <c r="J875" t="inlineStr"/>
      <c r="K875" t="inlineStr">
        <is>
          <t>20230501</t>
        </is>
      </c>
      <c r="L875" t="inlineStr">
        <is>
          <t>20250131</t>
        </is>
      </c>
    </row>
    <row r="876">
      <c r="A876" t="inlineStr">
        <is>
          <t>900004465</t>
        </is>
      </c>
      <c r="B876" t="inlineStr">
        <is>
          <t>DW70</t>
        </is>
      </c>
      <c r="C876" t="inlineStr">
        <is>
          <t>D111</t>
        </is>
      </c>
      <c r="D876" t="inlineStr">
        <is>
          <t>10053281</t>
        </is>
      </c>
      <c r="E876" t="inlineStr"/>
      <c r="F876" s="11" t="n">
        <v>79.84999999999999</v>
      </c>
      <c r="G876" t="inlineStr"/>
      <c r="I876" t="inlineStr">
        <is>
          <t>TN</t>
        </is>
      </c>
      <c r="J876" t="inlineStr"/>
      <c r="K876" t="inlineStr">
        <is>
          <t>20230501</t>
        </is>
      </c>
      <c r="L876" t="inlineStr">
        <is>
          <t>20250131</t>
        </is>
      </c>
    </row>
    <row r="877">
      <c r="A877" t="inlineStr">
        <is>
          <t>900004465</t>
        </is>
      </c>
      <c r="B877" t="inlineStr">
        <is>
          <t>DW70</t>
        </is>
      </c>
      <c r="C877" t="inlineStr">
        <is>
          <t>D136</t>
        </is>
      </c>
      <c r="D877" t="inlineStr">
        <is>
          <t>10053281</t>
        </is>
      </c>
      <c r="E877" t="inlineStr"/>
      <c r="F877" s="11" t="n">
        <v>79.84999999999999</v>
      </c>
      <c r="G877" t="inlineStr"/>
      <c r="I877" t="inlineStr">
        <is>
          <t>TN</t>
        </is>
      </c>
      <c r="J877" t="inlineStr"/>
      <c r="K877" t="inlineStr">
        <is>
          <t>20230501</t>
        </is>
      </c>
      <c r="L877" t="inlineStr">
        <is>
          <t>20250131</t>
        </is>
      </c>
    </row>
    <row r="878">
      <c r="A878" t="inlineStr">
        <is>
          <t>900004465</t>
        </is>
      </c>
      <c r="B878" t="inlineStr">
        <is>
          <t>DW70</t>
        </is>
      </c>
      <c r="C878" t="inlineStr">
        <is>
          <t>D145</t>
        </is>
      </c>
      <c r="D878" t="inlineStr">
        <is>
          <t>10053281</t>
        </is>
      </c>
      <c r="E878" t="inlineStr"/>
      <c r="F878" s="11" t="n">
        <v>79.84999999999999</v>
      </c>
      <c r="G878" t="inlineStr"/>
      <c r="I878" t="inlineStr">
        <is>
          <t>TN</t>
        </is>
      </c>
      <c r="J878" t="inlineStr"/>
      <c r="K878" t="inlineStr">
        <is>
          <t>20230501</t>
        </is>
      </c>
      <c r="L878" t="inlineStr">
        <is>
          <t>20250131</t>
        </is>
      </c>
    </row>
    <row r="879">
      <c r="A879" t="inlineStr">
        <is>
          <t>900004541</t>
        </is>
      </c>
      <c r="B879" t="inlineStr">
        <is>
          <t>DW70</t>
        </is>
      </c>
      <c r="C879" t="inlineStr">
        <is>
          <t>D081</t>
        </is>
      </c>
      <c r="D879" t="inlineStr">
        <is>
          <t>10000829</t>
        </is>
      </c>
      <c r="E879" t="inlineStr"/>
      <c r="F879" s="11" t="n">
        <v>49.93</v>
      </c>
      <c r="G879" t="inlineStr"/>
      <c r="I879" t="inlineStr">
        <is>
          <t>TN</t>
        </is>
      </c>
      <c r="J879" t="inlineStr"/>
      <c r="K879" t="inlineStr">
        <is>
          <t>20230501</t>
        </is>
      </c>
      <c r="L879" t="inlineStr">
        <is>
          <t>20250131</t>
        </is>
      </c>
    </row>
    <row r="880">
      <c r="A880" t="inlineStr">
        <is>
          <t>900004541</t>
        </is>
      </c>
      <c r="B880" t="inlineStr">
        <is>
          <t>DW70</t>
        </is>
      </c>
      <c r="C880" t="inlineStr">
        <is>
          <t>D083</t>
        </is>
      </c>
      <c r="D880" t="inlineStr">
        <is>
          <t>10000829</t>
        </is>
      </c>
      <c r="E880" t="inlineStr"/>
      <c r="F880" s="11" t="n">
        <v>49.93</v>
      </c>
      <c r="G880" t="inlineStr"/>
      <c r="I880" t="inlineStr">
        <is>
          <t>TN</t>
        </is>
      </c>
      <c r="J880" t="inlineStr"/>
      <c r="K880" t="inlineStr">
        <is>
          <t>20230501</t>
        </is>
      </c>
      <c r="L880" t="inlineStr">
        <is>
          <t>20250131</t>
        </is>
      </c>
    </row>
    <row r="881">
      <c r="A881" t="inlineStr">
        <is>
          <t>900004541</t>
        </is>
      </c>
      <c r="B881" t="inlineStr">
        <is>
          <t>DW70</t>
        </is>
      </c>
      <c r="C881" t="inlineStr">
        <is>
          <t>D084</t>
        </is>
      </c>
      <c r="D881" t="inlineStr">
        <is>
          <t>10000829</t>
        </is>
      </c>
      <c r="E881" t="inlineStr"/>
      <c r="F881" s="11" t="n">
        <v>49.93</v>
      </c>
      <c r="G881" t="inlineStr"/>
      <c r="I881" t="inlineStr">
        <is>
          <t>TN</t>
        </is>
      </c>
      <c r="J881" t="inlineStr"/>
      <c r="K881" t="inlineStr">
        <is>
          <t>20230501</t>
        </is>
      </c>
      <c r="L881" t="inlineStr">
        <is>
          <t>20250131</t>
        </is>
      </c>
    </row>
    <row r="882">
      <c r="A882" t="inlineStr">
        <is>
          <t>900004541</t>
        </is>
      </c>
      <c r="B882" t="inlineStr">
        <is>
          <t>DW70</t>
        </is>
      </c>
      <c r="C882" t="inlineStr">
        <is>
          <t>D086</t>
        </is>
      </c>
      <c r="D882" t="inlineStr">
        <is>
          <t>10000829</t>
        </is>
      </c>
      <c r="E882" t="inlineStr"/>
      <c r="F882" s="11" t="n">
        <v>49.93</v>
      </c>
      <c r="G882" t="inlineStr"/>
      <c r="I882" t="inlineStr">
        <is>
          <t>TN</t>
        </is>
      </c>
      <c r="J882" t="inlineStr"/>
      <c r="K882" t="inlineStr">
        <is>
          <t>20230501</t>
        </is>
      </c>
      <c r="L882" t="inlineStr">
        <is>
          <t>20250131</t>
        </is>
      </c>
    </row>
    <row r="883">
      <c r="A883" t="inlineStr">
        <is>
          <t>900004725</t>
        </is>
      </c>
      <c r="B883" t="inlineStr">
        <is>
          <t>DW70</t>
        </is>
      </c>
      <c r="C883" t="inlineStr">
        <is>
          <t>D074</t>
        </is>
      </c>
      <c r="D883" t="inlineStr">
        <is>
          <t>10001073</t>
        </is>
      </c>
      <c r="E883" t="inlineStr"/>
      <c r="F883" s="11" t="n">
        <v>95</v>
      </c>
      <c r="G883" t="inlineStr"/>
      <c r="I883" t="inlineStr">
        <is>
          <t>TN</t>
        </is>
      </c>
      <c r="J883" t="inlineStr"/>
      <c r="K883" t="inlineStr">
        <is>
          <t>20250701</t>
        </is>
      </c>
      <c r="L883" t="inlineStr">
        <is>
          <t>20251031</t>
        </is>
      </c>
    </row>
    <row r="884">
      <c r="A884" t="inlineStr">
        <is>
          <t>900004725</t>
        </is>
      </c>
      <c r="B884" t="inlineStr">
        <is>
          <t>DW70</t>
        </is>
      </c>
      <c r="C884" t="inlineStr">
        <is>
          <t>D075</t>
        </is>
      </c>
      <c r="D884" t="inlineStr">
        <is>
          <t>10001073</t>
        </is>
      </c>
      <c r="E884" t="inlineStr"/>
      <c r="F884" s="11" t="n">
        <v>95</v>
      </c>
      <c r="G884" t="inlineStr"/>
      <c r="I884" t="inlineStr">
        <is>
          <t>TN</t>
        </is>
      </c>
      <c r="J884" t="inlineStr"/>
      <c r="K884" t="inlineStr">
        <is>
          <t>20250701</t>
        </is>
      </c>
      <c r="L884" t="inlineStr">
        <is>
          <t>20251031</t>
        </is>
      </c>
    </row>
    <row r="885">
      <c r="A885" t="inlineStr">
        <is>
          <t>900004725</t>
        </is>
      </c>
      <c r="B885" t="inlineStr">
        <is>
          <t>DW70</t>
        </is>
      </c>
      <c r="C885" t="inlineStr">
        <is>
          <t>D077</t>
        </is>
      </c>
      <c r="D885" t="inlineStr">
        <is>
          <t>10001073</t>
        </is>
      </c>
      <c r="E885" t="inlineStr"/>
      <c r="F885" s="11" t="n">
        <v>95</v>
      </c>
      <c r="G885" t="inlineStr"/>
      <c r="I885" t="inlineStr">
        <is>
          <t>TN</t>
        </is>
      </c>
      <c r="J885" t="inlineStr"/>
      <c r="K885" t="inlineStr">
        <is>
          <t>20250701</t>
        </is>
      </c>
      <c r="L885" t="inlineStr">
        <is>
          <t>20251031</t>
        </is>
      </c>
    </row>
    <row r="886">
      <c r="A886" t="inlineStr">
        <is>
          <t>900004725</t>
        </is>
      </c>
      <c r="B886" t="inlineStr">
        <is>
          <t>DW70</t>
        </is>
      </c>
      <c r="C886" t="inlineStr">
        <is>
          <t>D079</t>
        </is>
      </c>
      <c r="D886" t="inlineStr">
        <is>
          <t>10001073</t>
        </is>
      </c>
      <c r="E886" t="inlineStr"/>
      <c r="F886" s="11" t="n">
        <v>95</v>
      </c>
      <c r="G886" t="inlineStr"/>
      <c r="I886" t="inlineStr">
        <is>
          <t>TN</t>
        </is>
      </c>
      <c r="J886" t="inlineStr"/>
      <c r="K886" t="inlineStr">
        <is>
          <t>20250701</t>
        </is>
      </c>
      <c r="L886" t="inlineStr">
        <is>
          <t>20251031</t>
        </is>
      </c>
    </row>
    <row r="887">
      <c r="A887" t="inlineStr">
        <is>
          <t>900004725</t>
        </is>
      </c>
      <c r="B887" t="inlineStr">
        <is>
          <t>DW70</t>
        </is>
      </c>
      <c r="C887" t="inlineStr">
        <is>
          <t>D080</t>
        </is>
      </c>
      <c r="D887" t="inlineStr">
        <is>
          <t>10001073</t>
        </is>
      </c>
      <c r="E887" t="inlineStr"/>
      <c r="F887" s="11" t="n">
        <v>95</v>
      </c>
      <c r="G887" t="inlineStr"/>
      <c r="I887" t="inlineStr">
        <is>
          <t>TN</t>
        </is>
      </c>
      <c r="J887" t="inlineStr"/>
      <c r="K887" t="inlineStr">
        <is>
          <t>20250701</t>
        </is>
      </c>
      <c r="L887" t="inlineStr">
        <is>
          <t>20251031</t>
        </is>
      </c>
    </row>
    <row r="888">
      <c r="A888" t="inlineStr">
        <is>
          <t>900004725</t>
        </is>
      </c>
      <c r="B888" t="inlineStr">
        <is>
          <t>DW70</t>
        </is>
      </c>
      <c r="C888" t="inlineStr">
        <is>
          <t>D081</t>
        </is>
      </c>
      <c r="D888" t="inlineStr">
        <is>
          <t>10001073</t>
        </is>
      </c>
      <c r="E888" t="inlineStr"/>
      <c r="F888" s="11" t="n">
        <v>95</v>
      </c>
      <c r="G888" t="inlineStr"/>
      <c r="I888" t="inlineStr">
        <is>
          <t>TN</t>
        </is>
      </c>
      <c r="J888" t="inlineStr"/>
      <c r="K888" t="inlineStr">
        <is>
          <t>20250701</t>
        </is>
      </c>
      <c r="L888" t="inlineStr">
        <is>
          <t>20251031</t>
        </is>
      </c>
    </row>
    <row r="889">
      <c r="A889" t="inlineStr">
        <is>
          <t>900004725</t>
        </is>
      </c>
      <c r="B889" t="inlineStr">
        <is>
          <t>DW70</t>
        </is>
      </c>
      <c r="C889" t="inlineStr">
        <is>
          <t>D083</t>
        </is>
      </c>
      <c r="D889" t="inlineStr">
        <is>
          <t>10001073</t>
        </is>
      </c>
      <c r="E889" t="inlineStr"/>
      <c r="F889" s="11" t="n">
        <v>95</v>
      </c>
      <c r="G889" t="inlineStr"/>
      <c r="I889" t="inlineStr">
        <is>
          <t>TN</t>
        </is>
      </c>
      <c r="J889" t="inlineStr"/>
      <c r="K889" t="inlineStr">
        <is>
          <t>20250701</t>
        </is>
      </c>
      <c r="L889" t="inlineStr">
        <is>
          <t>20251031</t>
        </is>
      </c>
    </row>
    <row r="890">
      <c r="A890" t="inlineStr">
        <is>
          <t>900004725</t>
        </is>
      </c>
      <c r="B890" t="inlineStr">
        <is>
          <t>DW70</t>
        </is>
      </c>
      <c r="C890" t="inlineStr">
        <is>
          <t>D084</t>
        </is>
      </c>
      <c r="D890" t="inlineStr">
        <is>
          <t>10001073</t>
        </is>
      </c>
      <c r="E890" t="inlineStr"/>
      <c r="F890" s="11" t="n">
        <v>95</v>
      </c>
      <c r="G890" t="inlineStr"/>
      <c r="I890" t="inlineStr">
        <is>
          <t>TN</t>
        </is>
      </c>
      <c r="J890" t="inlineStr"/>
      <c r="K890" t="inlineStr">
        <is>
          <t>20250701</t>
        </is>
      </c>
      <c r="L890" t="inlineStr">
        <is>
          <t>20251031</t>
        </is>
      </c>
    </row>
    <row r="891">
      <c r="A891" t="inlineStr">
        <is>
          <t>900004725</t>
        </is>
      </c>
      <c r="B891" t="inlineStr">
        <is>
          <t>DW70</t>
        </is>
      </c>
      <c r="C891" t="inlineStr">
        <is>
          <t>D085</t>
        </is>
      </c>
      <c r="D891" t="inlineStr">
        <is>
          <t>10001073</t>
        </is>
      </c>
      <c r="E891" t="inlineStr"/>
      <c r="F891" s="11" t="n">
        <v>95</v>
      </c>
      <c r="G891" t="inlineStr"/>
      <c r="I891" t="inlineStr">
        <is>
          <t>TN</t>
        </is>
      </c>
      <c r="J891" t="inlineStr"/>
      <c r="K891" t="inlineStr">
        <is>
          <t>20250701</t>
        </is>
      </c>
      <c r="L891" t="inlineStr">
        <is>
          <t>20251031</t>
        </is>
      </c>
    </row>
    <row r="892">
      <c r="A892" t="inlineStr">
        <is>
          <t>900004725</t>
        </is>
      </c>
      <c r="B892" t="inlineStr">
        <is>
          <t>DW70</t>
        </is>
      </c>
      <c r="C892" t="inlineStr">
        <is>
          <t>D086</t>
        </is>
      </c>
      <c r="D892" t="inlineStr">
        <is>
          <t>10001073</t>
        </is>
      </c>
      <c r="E892" t="inlineStr"/>
      <c r="F892" s="11" t="n">
        <v>95</v>
      </c>
      <c r="G892" t="inlineStr"/>
      <c r="I892" t="inlineStr">
        <is>
          <t>TN</t>
        </is>
      </c>
      <c r="J892" t="inlineStr"/>
      <c r="K892" t="inlineStr">
        <is>
          <t>20250701</t>
        </is>
      </c>
      <c r="L892" t="inlineStr">
        <is>
          <t>20251031</t>
        </is>
      </c>
    </row>
    <row r="893">
      <c r="A893" t="inlineStr">
        <is>
          <t>900004725</t>
        </is>
      </c>
      <c r="B893" t="inlineStr">
        <is>
          <t>DW70</t>
        </is>
      </c>
      <c r="C893" t="inlineStr">
        <is>
          <t>D093</t>
        </is>
      </c>
      <c r="D893" t="inlineStr">
        <is>
          <t>10001073</t>
        </is>
      </c>
      <c r="E893" t="inlineStr"/>
      <c r="F893" s="11" t="n">
        <v>95</v>
      </c>
      <c r="G893" t="inlineStr"/>
      <c r="I893" t="inlineStr">
        <is>
          <t>TN</t>
        </is>
      </c>
      <c r="J893" t="inlineStr"/>
      <c r="K893" t="inlineStr">
        <is>
          <t>20250701</t>
        </is>
      </c>
      <c r="L893" t="inlineStr">
        <is>
          <t>20251031</t>
        </is>
      </c>
    </row>
    <row r="894">
      <c r="A894" t="inlineStr">
        <is>
          <t>900004725</t>
        </is>
      </c>
      <c r="B894" t="inlineStr">
        <is>
          <t>DW70</t>
        </is>
      </c>
      <c r="C894" t="inlineStr">
        <is>
          <t>D098</t>
        </is>
      </c>
      <c r="D894" t="inlineStr">
        <is>
          <t>10001073</t>
        </is>
      </c>
      <c r="E894" t="inlineStr"/>
      <c r="F894" s="11" t="n">
        <v>95</v>
      </c>
      <c r="G894" t="inlineStr"/>
      <c r="I894" t="inlineStr">
        <is>
          <t>TN</t>
        </is>
      </c>
      <c r="J894" t="inlineStr"/>
      <c r="K894" t="inlineStr">
        <is>
          <t>20250701</t>
        </is>
      </c>
      <c r="L894" t="inlineStr">
        <is>
          <t>20251031</t>
        </is>
      </c>
    </row>
    <row r="895">
      <c r="A895" t="inlineStr">
        <is>
          <t>900004725</t>
        </is>
      </c>
      <c r="B895" t="inlineStr">
        <is>
          <t>DW70</t>
        </is>
      </c>
      <c r="C895" t="inlineStr">
        <is>
          <t>D105</t>
        </is>
      </c>
      <c r="D895" t="inlineStr">
        <is>
          <t>10001073</t>
        </is>
      </c>
      <c r="E895" t="inlineStr"/>
      <c r="F895" s="11" t="n">
        <v>95</v>
      </c>
      <c r="G895" t="inlineStr"/>
      <c r="I895" t="inlineStr">
        <is>
          <t>TN</t>
        </is>
      </c>
      <c r="J895" t="inlineStr"/>
      <c r="K895" t="inlineStr">
        <is>
          <t>20250701</t>
        </is>
      </c>
      <c r="L895" t="inlineStr">
        <is>
          <t>20251031</t>
        </is>
      </c>
    </row>
    <row r="896">
      <c r="A896" t="inlineStr">
        <is>
          <t>900004725</t>
        </is>
      </c>
      <c r="B896" t="inlineStr">
        <is>
          <t>DW70</t>
        </is>
      </c>
      <c r="C896" t="inlineStr">
        <is>
          <t>D136</t>
        </is>
      </c>
      <c r="D896" t="inlineStr">
        <is>
          <t>10001073</t>
        </is>
      </c>
      <c r="E896" t="inlineStr"/>
      <c r="F896" s="11" t="n">
        <v>95</v>
      </c>
      <c r="G896" t="inlineStr"/>
      <c r="I896" t="inlineStr">
        <is>
          <t>TN</t>
        </is>
      </c>
      <c r="J896" t="inlineStr"/>
      <c r="K896" t="inlineStr">
        <is>
          <t>20250701</t>
        </is>
      </c>
      <c r="L896" t="inlineStr">
        <is>
          <t>20251031</t>
        </is>
      </c>
    </row>
    <row r="897">
      <c r="A897" t="inlineStr">
        <is>
          <t>900004725</t>
        </is>
      </c>
      <c r="B897" t="inlineStr">
        <is>
          <t>DW70</t>
        </is>
      </c>
      <c r="C897" t="inlineStr">
        <is>
          <t>D145</t>
        </is>
      </c>
      <c r="D897" t="inlineStr">
        <is>
          <t>10001073</t>
        </is>
      </c>
      <c r="E897" t="inlineStr"/>
      <c r="F897" s="11" t="n">
        <v>95</v>
      </c>
      <c r="G897" t="inlineStr"/>
      <c r="I897" t="inlineStr">
        <is>
          <t>TN</t>
        </is>
      </c>
      <c r="J897" t="inlineStr"/>
      <c r="K897" t="inlineStr">
        <is>
          <t>20250701</t>
        </is>
      </c>
      <c r="L897" t="inlineStr">
        <is>
          <t>20251031</t>
        </is>
      </c>
    </row>
    <row r="898">
      <c r="A898" t="inlineStr">
        <is>
          <t>900004725</t>
        </is>
      </c>
      <c r="B898" t="inlineStr">
        <is>
          <t>DW70</t>
        </is>
      </c>
      <c r="C898" t="inlineStr">
        <is>
          <t>D681</t>
        </is>
      </c>
      <c r="D898" t="inlineStr">
        <is>
          <t>10001073</t>
        </is>
      </c>
      <c r="E898" t="inlineStr"/>
      <c r="F898" s="11" t="n">
        <v>95</v>
      </c>
      <c r="G898" t="inlineStr"/>
      <c r="I898" t="inlineStr">
        <is>
          <t>TN</t>
        </is>
      </c>
      <c r="J898" t="inlineStr"/>
      <c r="K898" t="inlineStr">
        <is>
          <t>20250701</t>
        </is>
      </c>
      <c r="L898" t="inlineStr">
        <is>
          <t>20251031</t>
        </is>
      </c>
    </row>
    <row r="899">
      <c r="A899" t="inlineStr">
        <is>
          <t>900004901</t>
        </is>
      </c>
      <c r="B899" t="inlineStr">
        <is>
          <t>DW70</t>
        </is>
      </c>
      <c r="C899" t="inlineStr">
        <is>
          <t>D086</t>
        </is>
      </c>
      <c r="D899" t="inlineStr">
        <is>
          <t>10002802</t>
        </is>
      </c>
      <c r="E899" t="inlineStr"/>
      <c r="F899" s="11" t="n">
        <v>86.47</v>
      </c>
      <c r="G899" t="inlineStr"/>
      <c r="I899" t="inlineStr">
        <is>
          <t>TN</t>
        </is>
      </c>
      <c r="J899" t="inlineStr"/>
      <c r="K899" t="inlineStr">
        <is>
          <t>20230501</t>
        </is>
      </c>
      <c r="L899" t="inlineStr">
        <is>
          <t>20250131</t>
        </is>
      </c>
    </row>
    <row r="900">
      <c r="A900" t="inlineStr">
        <is>
          <t>900004901</t>
        </is>
      </c>
      <c r="B900" t="inlineStr">
        <is>
          <t>DW70</t>
        </is>
      </c>
      <c r="C900" t="inlineStr">
        <is>
          <t>D098</t>
        </is>
      </c>
      <c r="D900" t="inlineStr">
        <is>
          <t>10002802</t>
        </is>
      </c>
      <c r="E900" t="inlineStr"/>
      <c r="F900" s="11" t="n">
        <v>95.12</v>
      </c>
      <c r="G900" t="inlineStr"/>
      <c r="I900" t="inlineStr">
        <is>
          <t>TN</t>
        </is>
      </c>
      <c r="J900" t="inlineStr"/>
      <c r="K900" t="inlineStr">
        <is>
          <t>20230501</t>
        </is>
      </c>
      <c r="L900" t="inlineStr">
        <is>
          <t>20250131</t>
        </is>
      </c>
    </row>
    <row r="901">
      <c r="A901" t="inlineStr">
        <is>
          <t>900004901</t>
        </is>
      </c>
      <c r="B901" t="inlineStr">
        <is>
          <t>DW70</t>
        </is>
      </c>
      <c r="C901" t="inlineStr">
        <is>
          <t>D105</t>
        </is>
      </c>
      <c r="D901" t="inlineStr">
        <is>
          <t>10002802</t>
        </is>
      </c>
      <c r="E901" t="inlineStr"/>
      <c r="F901" s="11" t="n">
        <v>95.12</v>
      </c>
      <c r="G901" t="inlineStr"/>
      <c r="I901" t="inlineStr">
        <is>
          <t>TN</t>
        </is>
      </c>
      <c r="J901" t="inlineStr"/>
      <c r="K901" t="inlineStr">
        <is>
          <t>20230501</t>
        </is>
      </c>
      <c r="L901" t="inlineStr">
        <is>
          <t>20250131</t>
        </is>
      </c>
    </row>
    <row r="902">
      <c r="A902" t="inlineStr">
        <is>
          <t>900005270</t>
        </is>
      </c>
      <c r="B902" t="inlineStr">
        <is>
          <t>DW70</t>
        </is>
      </c>
      <c r="C902" t="inlineStr">
        <is>
          <t>D074</t>
        </is>
      </c>
      <c r="D902" t="inlineStr">
        <is>
          <t>10000623</t>
        </is>
      </c>
      <c r="E902" t="inlineStr"/>
      <c r="F902" s="11" t="n">
        <v>97.05</v>
      </c>
      <c r="G902" t="inlineStr"/>
      <c r="I902" t="inlineStr">
        <is>
          <t>TN</t>
        </is>
      </c>
      <c r="J902" t="inlineStr"/>
      <c r="K902" t="inlineStr">
        <is>
          <t>20230501</t>
        </is>
      </c>
      <c r="L902" t="inlineStr">
        <is>
          <t>20250131</t>
        </is>
      </c>
    </row>
    <row r="903">
      <c r="A903" t="inlineStr">
        <is>
          <t>900005270</t>
        </is>
      </c>
      <c r="B903" t="inlineStr">
        <is>
          <t>DW70</t>
        </is>
      </c>
      <c r="C903" t="inlineStr">
        <is>
          <t>D075</t>
        </is>
      </c>
      <c r="D903" t="inlineStr">
        <is>
          <t>10000623</t>
        </is>
      </c>
      <c r="E903" t="inlineStr"/>
      <c r="F903" s="11" t="n">
        <v>97.05</v>
      </c>
      <c r="G903" t="inlineStr"/>
      <c r="I903" t="inlineStr">
        <is>
          <t>TN</t>
        </is>
      </c>
      <c r="J903" t="inlineStr"/>
      <c r="K903" t="inlineStr">
        <is>
          <t>20230501</t>
        </is>
      </c>
      <c r="L903" t="inlineStr">
        <is>
          <t>20250131</t>
        </is>
      </c>
    </row>
    <row r="904">
      <c r="A904" t="inlineStr">
        <is>
          <t>900005270</t>
        </is>
      </c>
      <c r="B904" t="inlineStr">
        <is>
          <t>DW70</t>
        </is>
      </c>
      <c r="C904" t="inlineStr">
        <is>
          <t>D077</t>
        </is>
      </c>
      <c r="D904" t="inlineStr">
        <is>
          <t>10000623</t>
        </is>
      </c>
      <c r="E904" t="inlineStr"/>
      <c r="F904" s="11" t="n">
        <v>97.05</v>
      </c>
      <c r="G904" t="inlineStr"/>
      <c r="I904" t="inlineStr">
        <is>
          <t>TN</t>
        </is>
      </c>
      <c r="J904" t="inlineStr"/>
      <c r="K904" t="inlineStr">
        <is>
          <t>20230501</t>
        </is>
      </c>
      <c r="L904" t="inlineStr">
        <is>
          <t>20250131</t>
        </is>
      </c>
    </row>
    <row r="905">
      <c r="A905" t="inlineStr">
        <is>
          <t>900005270</t>
        </is>
      </c>
      <c r="B905" t="inlineStr">
        <is>
          <t>DW70</t>
        </is>
      </c>
      <c r="C905" t="inlineStr">
        <is>
          <t>D079</t>
        </is>
      </c>
      <c r="D905" t="inlineStr">
        <is>
          <t>10000623</t>
        </is>
      </c>
      <c r="E905" t="inlineStr"/>
      <c r="F905" s="11" t="n">
        <v>97.05</v>
      </c>
      <c r="G905" t="inlineStr"/>
      <c r="I905" t="inlineStr">
        <is>
          <t>TN</t>
        </is>
      </c>
      <c r="J905" t="inlineStr"/>
      <c r="K905" t="inlineStr">
        <is>
          <t>20230501</t>
        </is>
      </c>
      <c r="L905" t="inlineStr">
        <is>
          <t>20250131</t>
        </is>
      </c>
    </row>
    <row r="906">
      <c r="A906" t="inlineStr">
        <is>
          <t>900005270</t>
        </is>
      </c>
      <c r="B906" t="inlineStr">
        <is>
          <t>DW70</t>
        </is>
      </c>
      <c r="C906" t="inlineStr">
        <is>
          <t>D080</t>
        </is>
      </c>
      <c r="D906" t="inlineStr">
        <is>
          <t>10000623</t>
        </is>
      </c>
      <c r="E906" t="inlineStr"/>
      <c r="F906" s="11" t="n">
        <v>97.05</v>
      </c>
      <c r="G906" t="inlineStr"/>
      <c r="I906" t="inlineStr">
        <is>
          <t>TN</t>
        </is>
      </c>
      <c r="J906" t="inlineStr"/>
      <c r="K906" t="inlineStr">
        <is>
          <t>20230501</t>
        </is>
      </c>
      <c r="L906" t="inlineStr">
        <is>
          <t>20250131</t>
        </is>
      </c>
    </row>
    <row r="907">
      <c r="A907" t="inlineStr">
        <is>
          <t>900005270</t>
        </is>
      </c>
      <c r="B907" t="inlineStr">
        <is>
          <t>DW70</t>
        </is>
      </c>
      <c r="C907" t="inlineStr">
        <is>
          <t>D081</t>
        </is>
      </c>
      <c r="D907" t="inlineStr">
        <is>
          <t>10000623</t>
        </is>
      </c>
      <c r="E907" t="inlineStr"/>
      <c r="F907" s="11" t="n">
        <v>97.05</v>
      </c>
      <c r="G907" t="inlineStr"/>
      <c r="I907" t="inlineStr">
        <is>
          <t>TN</t>
        </is>
      </c>
      <c r="J907" t="inlineStr"/>
      <c r="K907" t="inlineStr">
        <is>
          <t>20230501</t>
        </is>
      </c>
      <c r="L907" t="inlineStr">
        <is>
          <t>20250131</t>
        </is>
      </c>
    </row>
    <row r="908">
      <c r="A908" t="inlineStr">
        <is>
          <t>900005270</t>
        </is>
      </c>
      <c r="B908" t="inlineStr">
        <is>
          <t>DW70</t>
        </is>
      </c>
      <c r="C908" t="inlineStr">
        <is>
          <t>D083</t>
        </is>
      </c>
      <c r="D908" t="inlineStr">
        <is>
          <t>10000623</t>
        </is>
      </c>
      <c r="E908" t="inlineStr"/>
      <c r="F908" s="11" t="n">
        <v>97.05</v>
      </c>
      <c r="G908" t="inlineStr"/>
      <c r="I908" t="inlineStr">
        <is>
          <t>TN</t>
        </is>
      </c>
      <c r="J908" t="inlineStr"/>
      <c r="K908" t="inlineStr">
        <is>
          <t>20230501</t>
        </is>
      </c>
      <c r="L908" t="inlineStr">
        <is>
          <t>20250131</t>
        </is>
      </c>
    </row>
    <row r="909">
      <c r="A909" t="inlineStr">
        <is>
          <t>900005270</t>
        </is>
      </c>
      <c r="B909" t="inlineStr">
        <is>
          <t>DW70</t>
        </is>
      </c>
      <c r="C909" t="inlineStr">
        <is>
          <t>D084</t>
        </is>
      </c>
      <c r="D909" t="inlineStr">
        <is>
          <t>10000623</t>
        </is>
      </c>
      <c r="E909" t="inlineStr"/>
      <c r="F909" s="11" t="n">
        <v>97.05</v>
      </c>
      <c r="G909" t="inlineStr"/>
      <c r="I909" t="inlineStr">
        <is>
          <t>TN</t>
        </is>
      </c>
      <c r="J909" t="inlineStr"/>
      <c r="K909" t="inlineStr">
        <is>
          <t>20230501</t>
        </is>
      </c>
      <c r="L909" t="inlineStr">
        <is>
          <t>20250131</t>
        </is>
      </c>
    </row>
    <row r="910">
      <c r="A910" t="inlineStr">
        <is>
          <t>900005270</t>
        </is>
      </c>
      <c r="B910" t="inlineStr">
        <is>
          <t>DW70</t>
        </is>
      </c>
      <c r="C910" t="inlineStr">
        <is>
          <t>D085</t>
        </is>
      </c>
      <c r="D910" t="inlineStr">
        <is>
          <t>10000623</t>
        </is>
      </c>
      <c r="E910" t="inlineStr"/>
      <c r="F910" s="11" t="n">
        <v>97.05</v>
      </c>
      <c r="G910" t="inlineStr"/>
      <c r="I910" t="inlineStr">
        <is>
          <t>TN</t>
        </is>
      </c>
      <c r="J910" t="inlineStr"/>
      <c r="K910" t="inlineStr">
        <is>
          <t>20230501</t>
        </is>
      </c>
      <c r="L910" t="inlineStr">
        <is>
          <t>20250131</t>
        </is>
      </c>
    </row>
    <row r="911">
      <c r="A911" t="inlineStr">
        <is>
          <t>900005270</t>
        </is>
      </c>
      <c r="B911" t="inlineStr">
        <is>
          <t>DW70</t>
        </is>
      </c>
      <c r="C911" t="inlineStr">
        <is>
          <t>D086</t>
        </is>
      </c>
      <c r="D911" t="inlineStr">
        <is>
          <t>10000623</t>
        </is>
      </c>
      <c r="E911" t="inlineStr"/>
      <c r="F911" s="11" t="n">
        <v>97.05</v>
      </c>
      <c r="G911" t="inlineStr"/>
      <c r="I911" t="inlineStr">
        <is>
          <t>TN</t>
        </is>
      </c>
      <c r="J911" t="inlineStr"/>
      <c r="K911" t="inlineStr">
        <is>
          <t>20230501</t>
        </is>
      </c>
      <c r="L911" t="inlineStr">
        <is>
          <t>20250131</t>
        </is>
      </c>
    </row>
    <row r="912">
      <c r="A912" t="inlineStr">
        <is>
          <t>900005270</t>
        </is>
      </c>
      <c r="B912" t="inlineStr">
        <is>
          <t>DW70</t>
        </is>
      </c>
      <c r="C912" t="inlineStr">
        <is>
          <t>D088</t>
        </is>
      </c>
      <c r="D912" t="inlineStr">
        <is>
          <t>10000623</t>
        </is>
      </c>
      <c r="E912" t="inlineStr"/>
      <c r="F912" s="11" t="n">
        <v>97.05</v>
      </c>
      <c r="G912" t="inlineStr"/>
      <c r="I912" t="inlineStr">
        <is>
          <t>TN</t>
        </is>
      </c>
      <c r="J912" t="inlineStr"/>
      <c r="K912" t="inlineStr">
        <is>
          <t>20230501</t>
        </is>
      </c>
      <c r="L912" t="inlineStr">
        <is>
          <t>20250131</t>
        </is>
      </c>
    </row>
    <row r="913">
      <c r="A913" t="inlineStr">
        <is>
          <t>900005270</t>
        </is>
      </c>
      <c r="B913" t="inlineStr">
        <is>
          <t>DW70</t>
        </is>
      </c>
      <c r="C913" t="inlineStr">
        <is>
          <t>D089</t>
        </is>
      </c>
      <c r="D913" t="inlineStr">
        <is>
          <t>10000623</t>
        </is>
      </c>
      <c r="E913" t="inlineStr"/>
      <c r="F913" s="11" t="n">
        <v>97.05</v>
      </c>
      <c r="G913" t="inlineStr"/>
      <c r="I913" t="inlineStr">
        <is>
          <t>TN</t>
        </is>
      </c>
      <c r="J913" t="inlineStr"/>
      <c r="K913" t="inlineStr">
        <is>
          <t>20230501</t>
        </is>
      </c>
      <c r="L913" t="inlineStr">
        <is>
          <t>20250131</t>
        </is>
      </c>
    </row>
    <row r="914">
      <c r="A914" t="inlineStr">
        <is>
          <t>900005270</t>
        </is>
      </c>
      <c r="B914" t="inlineStr">
        <is>
          <t>DW70</t>
        </is>
      </c>
      <c r="C914" t="inlineStr">
        <is>
          <t>D093</t>
        </is>
      </c>
      <c r="D914" t="inlineStr">
        <is>
          <t>10000623</t>
        </is>
      </c>
      <c r="E914" t="inlineStr"/>
      <c r="F914" s="11" t="n">
        <v>97.05</v>
      </c>
      <c r="G914" t="inlineStr"/>
      <c r="I914" t="inlineStr">
        <is>
          <t>TN</t>
        </is>
      </c>
      <c r="J914" t="inlineStr"/>
      <c r="K914" t="inlineStr">
        <is>
          <t>20230501</t>
        </is>
      </c>
      <c r="L914" t="inlineStr">
        <is>
          <t>20250131</t>
        </is>
      </c>
    </row>
    <row r="915">
      <c r="A915" t="inlineStr">
        <is>
          <t>900005270</t>
        </is>
      </c>
      <c r="B915" t="inlineStr">
        <is>
          <t>DW70</t>
        </is>
      </c>
      <c r="C915" t="inlineStr">
        <is>
          <t>D098</t>
        </is>
      </c>
      <c r="D915" t="inlineStr">
        <is>
          <t>10000623</t>
        </is>
      </c>
      <c r="E915" t="inlineStr"/>
      <c r="F915" s="11" t="n">
        <v>97.05</v>
      </c>
      <c r="G915" t="inlineStr"/>
      <c r="I915" t="inlineStr">
        <is>
          <t>TN</t>
        </is>
      </c>
      <c r="J915" t="inlineStr"/>
      <c r="K915" t="inlineStr">
        <is>
          <t>20230501</t>
        </is>
      </c>
      <c r="L915" t="inlineStr">
        <is>
          <t>20250131</t>
        </is>
      </c>
    </row>
    <row r="916">
      <c r="A916" t="inlineStr">
        <is>
          <t>900005270</t>
        </is>
      </c>
      <c r="B916" t="inlineStr">
        <is>
          <t>DW70</t>
        </is>
      </c>
      <c r="C916" t="inlineStr">
        <is>
          <t>D105</t>
        </is>
      </c>
      <c r="D916" t="inlineStr">
        <is>
          <t>10000623</t>
        </is>
      </c>
      <c r="E916" t="inlineStr"/>
      <c r="F916" s="11" t="n">
        <v>97.05</v>
      </c>
      <c r="G916" t="inlineStr"/>
      <c r="I916" t="inlineStr">
        <is>
          <t>TN</t>
        </is>
      </c>
      <c r="J916" t="inlineStr"/>
      <c r="K916" t="inlineStr">
        <is>
          <t>20230501</t>
        </is>
      </c>
      <c r="L916" t="inlineStr">
        <is>
          <t>20250131</t>
        </is>
      </c>
    </row>
    <row r="917">
      <c r="A917" t="inlineStr">
        <is>
          <t>900005270</t>
        </is>
      </c>
      <c r="B917" t="inlineStr">
        <is>
          <t>DW70</t>
        </is>
      </c>
      <c r="C917" t="inlineStr">
        <is>
          <t>D110</t>
        </is>
      </c>
      <c r="D917" t="inlineStr">
        <is>
          <t>10000623</t>
        </is>
      </c>
      <c r="E917" t="inlineStr"/>
      <c r="F917" s="11" t="n">
        <v>97.05</v>
      </c>
      <c r="G917" t="inlineStr"/>
      <c r="I917" t="inlineStr">
        <is>
          <t>TN</t>
        </is>
      </c>
      <c r="J917" t="inlineStr"/>
      <c r="K917" t="inlineStr">
        <is>
          <t>20230501</t>
        </is>
      </c>
      <c r="L917" t="inlineStr">
        <is>
          <t>20250131</t>
        </is>
      </c>
    </row>
    <row r="918">
      <c r="A918" t="inlineStr">
        <is>
          <t>900005270</t>
        </is>
      </c>
      <c r="B918" t="inlineStr">
        <is>
          <t>DW70</t>
        </is>
      </c>
      <c r="C918" t="inlineStr">
        <is>
          <t>D136</t>
        </is>
      </c>
      <c r="D918" t="inlineStr">
        <is>
          <t>10000623</t>
        </is>
      </c>
      <c r="E918" t="inlineStr"/>
      <c r="F918" s="11" t="n">
        <v>97.05</v>
      </c>
      <c r="G918" t="inlineStr"/>
      <c r="I918" t="inlineStr">
        <is>
          <t>TN</t>
        </is>
      </c>
      <c r="J918" t="inlineStr"/>
      <c r="K918" t="inlineStr">
        <is>
          <t>20230501</t>
        </is>
      </c>
      <c r="L918" t="inlineStr">
        <is>
          <t>20250131</t>
        </is>
      </c>
    </row>
    <row r="919">
      <c r="A919" t="inlineStr">
        <is>
          <t>900005270</t>
        </is>
      </c>
      <c r="B919" t="inlineStr">
        <is>
          <t>DW70</t>
        </is>
      </c>
      <c r="C919" t="inlineStr">
        <is>
          <t>D145</t>
        </is>
      </c>
      <c r="D919" t="inlineStr">
        <is>
          <t>10000623</t>
        </is>
      </c>
      <c r="E919" t="inlineStr"/>
      <c r="F919" s="11" t="n">
        <v>97.05</v>
      </c>
      <c r="G919" t="inlineStr"/>
      <c r="I919" t="inlineStr">
        <is>
          <t>TN</t>
        </is>
      </c>
      <c r="J919" t="inlineStr"/>
      <c r="K919" t="inlineStr">
        <is>
          <t>20230501</t>
        </is>
      </c>
      <c r="L919" t="inlineStr">
        <is>
          <t>20250131</t>
        </is>
      </c>
    </row>
    <row r="920">
      <c r="A920" t="inlineStr">
        <is>
          <t>900005400</t>
        </is>
      </c>
      <c r="B920" t="inlineStr">
        <is>
          <t>DW70</t>
        </is>
      </c>
      <c r="C920" t="inlineStr">
        <is>
          <t>D081</t>
        </is>
      </c>
      <c r="D920" t="inlineStr">
        <is>
          <t>10059181</t>
        </is>
      </c>
      <c r="E920" t="inlineStr"/>
      <c r="F920" s="11" t="n">
        <v>67.89</v>
      </c>
      <c r="G920" t="inlineStr"/>
      <c r="I920" t="inlineStr">
        <is>
          <t>TN</t>
        </is>
      </c>
      <c r="J920" t="inlineStr"/>
      <c r="K920" t="inlineStr">
        <is>
          <t>20230501</t>
        </is>
      </c>
      <c r="L920" t="inlineStr">
        <is>
          <t>20250131</t>
        </is>
      </c>
    </row>
    <row r="921">
      <c r="A921" t="inlineStr">
        <is>
          <t>900005400</t>
        </is>
      </c>
      <c r="B921" t="inlineStr">
        <is>
          <t>DW70</t>
        </is>
      </c>
      <c r="C921" t="inlineStr">
        <is>
          <t>D088</t>
        </is>
      </c>
      <c r="D921" t="inlineStr">
        <is>
          <t>10000651</t>
        </is>
      </c>
      <c r="E921" t="inlineStr"/>
      <c r="F921" s="11" t="n">
        <v>73.68000000000001</v>
      </c>
      <c r="G921" t="inlineStr"/>
      <c r="I921" t="inlineStr">
        <is>
          <t>TN</t>
        </is>
      </c>
      <c r="J921" t="inlineStr"/>
      <c r="K921" t="inlineStr">
        <is>
          <t>20230501</t>
        </is>
      </c>
      <c r="L921" t="inlineStr">
        <is>
          <t>20250131</t>
        </is>
      </c>
    </row>
    <row r="922">
      <c r="A922" t="inlineStr">
        <is>
          <t>900005400</t>
        </is>
      </c>
      <c r="B922" t="inlineStr">
        <is>
          <t>DW70</t>
        </is>
      </c>
      <c r="C922" t="inlineStr">
        <is>
          <t>D093</t>
        </is>
      </c>
      <c r="D922" t="inlineStr">
        <is>
          <t>10000651</t>
        </is>
      </c>
      <c r="E922" t="inlineStr"/>
      <c r="F922" s="11" t="n">
        <v>73.68000000000001</v>
      </c>
      <c r="G922" t="inlineStr"/>
      <c r="I922" t="inlineStr">
        <is>
          <t>TN</t>
        </is>
      </c>
      <c r="J922" t="inlineStr"/>
      <c r="K922" t="inlineStr">
        <is>
          <t>20230501</t>
        </is>
      </c>
      <c r="L922" t="inlineStr">
        <is>
          <t>20250131</t>
        </is>
      </c>
    </row>
    <row r="923">
      <c r="A923" t="inlineStr">
        <is>
          <t>900005554</t>
        </is>
      </c>
      <c r="B923" t="inlineStr">
        <is>
          <t>DW70</t>
        </is>
      </c>
      <c r="C923" t="inlineStr">
        <is>
          <t>D074</t>
        </is>
      </c>
      <c r="D923" t="inlineStr">
        <is>
          <t>10152583</t>
        </is>
      </c>
      <c r="E923" t="inlineStr"/>
      <c r="F923" s="11" t="n">
        <v>105.71</v>
      </c>
      <c r="G923" t="inlineStr"/>
      <c r="I923" t="inlineStr">
        <is>
          <t>TN</t>
        </is>
      </c>
      <c r="J923" t="inlineStr"/>
      <c r="K923" t="inlineStr">
        <is>
          <t>20260413</t>
        </is>
      </c>
      <c r="L923" t="inlineStr">
        <is>
          <t>99991231</t>
        </is>
      </c>
    </row>
    <row r="924">
      <c r="A924" t="inlineStr">
        <is>
          <t>900005554</t>
        </is>
      </c>
      <c r="B924" t="inlineStr">
        <is>
          <t>DW70</t>
        </is>
      </c>
      <c r="C924" t="inlineStr">
        <is>
          <t>D075</t>
        </is>
      </c>
      <c r="D924" t="inlineStr">
        <is>
          <t>10152583</t>
        </is>
      </c>
      <c r="E924" t="inlineStr"/>
      <c r="F924" s="11" t="n">
        <v>105.71</v>
      </c>
      <c r="G924" t="inlineStr"/>
      <c r="I924" t="inlineStr">
        <is>
          <t>TN</t>
        </is>
      </c>
      <c r="J924" t="inlineStr"/>
      <c r="K924" t="inlineStr">
        <is>
          <t>20260413</t>
        </is>
      </c>
      <c r="L924" t="inlineStr">
        <is>
          <t>99991231</t>
        </is>
      </c>
    </row>
    <row r="925">
      <c r="A925" t="inlineStr">
        <is>
          <t>900005554</t>
        </is>
      </c>
      <c r="B925" t="inlineStr">
        <is>
          <t>DW70</t>
        </is>
      </c>
      <c r="C925" t="inlineStr">
        <is>
          <t>D077</t>
        </is>
      </c>
      <c r="D925" t="inlineStr">
        <is>
          <t>10152583</t>
        </is>
      </c>
      <c r="E925" t="inlineStr"/>
      <c r="F925" s="11" t="n">
        <v>105.71</v>
      </c>
      <c r="G925" t="inlineStr"/>
      <c r="I925" t="inlineStr">
        <is>
          <t>TN</t>
        </is>
      </c>
      <c r="J925" t="inlineStr"/>
      <c r="K925" t="inlineStr">
        <is>
          <t>20260413</t>
        </is>
      </c>
      <c r="L925" t="inlineStr">
        <is>
          <t>99991231</t>
        </is>
      </c>
    </row>
    <row r="926">
      <c r="A926" t="inlineStr">
        <is>
          <t>900005554</t>
        </is>
      </c>
      <c r="B926" t="inlineStr">
        <is>
          <t>DW70</t>
        </is>
      </c>
      <c r="C926" t="inlineStr">
        <is>
          <t>D079</t>
        </is>
      </c>
      <c r="D926" t="inlineStr">
        <is>
          <t>10152583</t>
        </is>
      </c>
      <c r="E926" t="inlineStr"/>
      <c r="F926" s="11" t="n">
        <v>105.71</v>
      </c>
      <c r="G926" t="inlineStr"/>
      <c r="I926" t="inlineStr">
        <is>
          <t>TN</t>
        </is>
      </c>
      <c r="J926" t="inlineStr"/>
      <c r="K926" t="inlineStr">
        <is>
          <t>20260413</t>
        </is>
      </c>
      <c r="L926" t="inlineStr">
        <is>
          <t>99991231</t>
        </is>
      </c>
    </row>
    <row r="927">
      <c r="A927" t="inlineStr">
        <is>
          <t>900005554</t>
        </is>
      </c>
      <c r="B927" t="inlineStr">
        <is>
          <t>DW70</t>
        </is>
      </c>
      <c r="C927" t="inlineStr">
        <is>
          <t>D080</t>
        </is>
      </c>
      <c r="D927" t="inlineStr">
        <is>
          <t>10152583</t>
        </is>
      </c>
      <c r="E927" t="inlineStr"/>
      <c r="F927" s="11" t="n">
        <v>105.71</v>
      </c>
      <c r="G927" t="inlineStr"/>
      <c r="I927" t="inlineStr">
        <is>
          <t>TN</t>
        </is>
      </c>
      <c r="J927" t="inlineStr"/>
      <c r="K927" t="inlineStr">
        <is>
          <t>20260413</t>
        </is>
      </c>
      <c r="L927" t="inlineStr">
        <is>
          <t>99991231</t>
        </is>
      </c>
    </row>
    <row r="928">
      <c r="A928" t="inlineStr">
        <is>
          <t>900005554</t>
        </is>
      </c>
      <c r="B928" t="inlineStr">
        <is>
          <t>DW70</t>
        </is>
      </c>
      <c r="C928" t="inlineStr">
        <is>
          <t>D081</t>
        </is>
      </c>
      <c r="D928" t="inlineStr">
        <is>
          <t>10152583</t>
        </is>
      </c>
      <c r="E928" t="inlineStr"/>
      <c r="F928" s="11" t="n">
        <v>105.71</v>
      </c>
      <c r="G928" t="inlineStr"/>
      <c r="I928" t="inlineStr">
        <is>
          <t>TN</t>
        </is>
      </c>
      <c r="J928" t="inlineStr"/>
      <c r="K928" t="inlineStr">
        <is>
          <t>20260413</t>
        </is>
      </c>
      <c r="L928" t="inlineStr">
        <is>
          <t>99991231</t>
        </is>
      </c>
    </row>
    <row r="929">
      <c r="A929" t="inlineStr">
        <is>
          <t>900005554</t>
        </is>
      </c>
      <c r="B929" t="inlineStr">
        <is>
          <t>DW70</t>
        </is>
      </c>
      <c r="C929" t="inlineStr">
        <is>
          <t>D083</t>
        </is>
      </c>
      <c r="D929" t="inlineStr">
        <is>
          <t>10152583</t>
        </is>
      </c>
      <c r="E929" t="inlineStr"/>
      <c r="F929" s="11" t="n">
        <v>105.71</v>
      </c>
      <c r="G929" t="inlineStr"/>
      <c r="I929" t="inlineStr">
        <is>
          <t>TN</t>
        </is>
      </c>
      <c r="J929" t="inlineStr"/>
      <c r="K929" t="inlineStr">
        <is>
          <t>20260413</t>
        </is>
      </c>
      <c r="L929" t="inlineStr">
        <is>
          <t>99991231</t>
        </is>
      </c>
    </row>
    <row r="930">
      <c r="A930" t="inlineStr">
        <is>
          <t>900005554</t>
        </is>
      </c>
      <c r="B930" t="inlineStr">
        <is>
          <t>DW70</t>
        </is>
      </c>
      <c r="C930" t="inlineStr">
        <is>
          <t>D084</t>
        </is>
      </c>
      <c r="D930" t="inlineStr">
        <is>
          <t>10152583</t>
        </is>
      </c>
      <c r="E930" t="inlineStr"/>
      <c r="F930" s="11" t="n">
        <v>105.71</v>
      </c>
      <c r="G930" t="inlineStr"/>
      <c r="I930" t="inlineStr">
        <is>
          <t>TN</t>
        </is>
      </c>
      <c r="J930" t="inlineStr"/>
      <c r="K930" t="inlineStr">
        <is>
          <t>20260413</t>
        </is>
      </c>
      <c r="L930" t="inlineStr">
        <is>
          <t>99991231</t>
        </is>
      </c>
    </row>
    <row r="931">
      <c r="A931" t="inlineStr">
        <is>
          <t>900005554</t>
        </is>
      </c>
      <c r="B931" t="inlineStr">
        <is>
          <t>DW70</t>
        </is>
      </c>
      <c r="C931" t="inlineStr">
        <is>
          <t>D085</t>
        </is>
      </c>
      <c r="D931" t="inlineStr">
        <is>
          <t>10152583</t>
        </is>
      </c>
      <c r="E931" t="inlineStr"/>
      <c r="F931" s="11" t="n">
        <v>105.71</v>
      </c>
      <c r="G931" t="inlineStr"/>
      <c r="I931" t="inlineStr">
        <is>
          <t>TN</t>
        </is>
      </c>
      <c r="J931" t="inlineStr"/>
      <c r="K931" t="inlineStr">
        <is>
          <t>20260413</t>
        </is>
      </c>
      <c r="L931" t="inlineStr">
        <is>
          <t>99991231</t>
        </is>
      </c>
    </row>
    <row r="932">
      <c r="A932" t="inlineStr">
        <is>
          <t>900005554</t>
        </is>
      </c>
      <c r="B932" t="inlineStr">
        <is>
          <t>DW70</t>
        </is>
      </c>
      <c r="C932" t="inlineStr">
        <is>
          <t>D086</t>
        </is>
      </c>
      <c r="D932" t="inlineStr">
        <is>
          <t>10152583</t>
        </is>
      </c>
      <c r="E932" t="inlineStr"/>
      <c r="F932" s="11" t="n">
        <v>105.71</v>
      </c>
      <c r="G932" t="inlineStr"/>
      <c r="I932" t="inlineStr">
        <is>
          <t>TN</t>
        </is>
      </c>
      <c r="J932" t="inlineStr"/>
      <c r="K932" t="inlineStr">
        <is>
          <t>20260413</t>
        </is>
      </c>
      <c r="L932" t="inlineStr">
        <is>
          <t>99991231</t>
        </is>
      </c>
    </row>
    <row r="933">
      <c r="A933" t="inlineStr">
        <is>
          <t>900005554</t>
        </is>
      </c>
      <c r="B933" t="inlineStr">
        <is>
          <t>DW70</t>
        </is>
      </c>
      <c r="C933" t="inlineStr">
        <is>
          <t>D093</t>
        </is>
      </c>
      <c r="D933" t="inlineStr">
        <is>
          <t>10152583</t>
        </is>
      </c>
      <c r="E933" t="inlineStr"/>
      <c r="F933" s="11" t="n">
        <v>105.71</v>
      </c>
      <c r="G933" t="inlineStr"/>
      <c r="I933" t="inlineStr">
        <is>
          <t>TN</t>
        </is>
      </c>
      <c r="J933" t="inlineStr"/>
      <c r="K933" t="inlineStr">
        <is>
          <t>20260413</t>
        </is>
      </c>
      <c r="L933" t="inlineStr">
        <is>
          <t>99991231</t>
        </is>
      </c>
    </row>
    <row r="934">
      <c r="A934" t="inlineStr">
        <is>
          <t>900005554</t>
        </is>
      </c>
      <c r="B934" t="inlineStr">
        <is>
          <t>DW70</t>
        </is>
      </c>
      <c r="C934" t="inlineStr">
        <is>
          <t>D098</t>
        </is>
      </c>
      <c r="D934" t="inlineStr">
        <is>
          <t>10152583</t>
        </is>
      </c>
      <c r="E934" t="inlineStr"/>
      <c r="F934" s="11" t="n">
        <v>105.71</v>
      </c>
      <c r="G934" t="inlineStr"/>
      <c r="I934" t="inlineStr">
        <is>
          <t>TN</t>
        </is>
      </c>
      <c r="J934" t="inlineStr"/>
      <c r="K934" t="inlineStr">
        <is>
          <t>20260413</t>
        </is>
      </c>
      <c r="L934" t="inlineStr">
        <is>
          <t>99991231</t>
        </is>
      </c>
    </row>
    <row r="935">
      <c r="A935" t="inlineStr">
        <is>
          <t>900005554</t>
        </is>
      </c>
      <c r="B935" t="inlineStr">
        <is>
          <t>DW70</t>
        </is>
      </c>
      <c r="C935" t="inlineStr">
        <is>
          <t>D105</t>
        </is>
      </c>
      <c r="D935" t="inlineStr">
        <is>
          <t>10152583</t>
        </is>
      </c>
      <c r="E935" t="inlineStr"/>
      <c r="F935" s="11" t="n">
        <v>105.71</v>
      </c>
      <c r="G935" t="inlineStr"/>
      <c r="I935" t="inlineStr">
        <is>
          <t>TN</t>
        </is>
      </c>
      <c r="J935" t="inlineStr"/>
      <c r="K935" t="inlineStr">
        <is>
          <t>20260413</t>
        </is>
      </c>
      <c r="L935" t="inlineStr">
        <is>
          <t>99991231</t>
        </is>
      </c>
    </row>
    <row r="936">
      <c r="A936" t="inlineStr">
        <is>
          <t>900005554</t>
        </is>
      </c>
      <c r="B936" t="inlineStr">
        <is>
          <t>DW70</t>
        </is>
      </c>
      <c r="C936" t="inlineStr">
        <is>
          <t>D111</t>
        </is>
      </c>
      <c r="D936" t="inlineStr">
        <is>
          <t>10152583</t>
        </is>
      </c>
      <c r="E936" t="inlineStr"/>
      <c r="F936" s="11" t="n">
        <v>80.38</v>
      </c>
      <c r="G936" t="inlineStr"/>
      <c r="I936" t="inlineStr">
        <is>
          <t>TN</t>
        </is>
      </c>
      <c r="J936" t="inlineStr"/>
      <c r="K936" t="inlineStr">
        <is>
          <t>20230501</t>
        </is>
      </c>
      <c r="L936" t="inlineStr">
        <is>
          <t>20250131</t>
        </is>
      </c>
    </row>
    <row r="937">
      <c r="A937" t="inlineStr">
        <is>
          <t>900005554</t>
        </is>
      </c>
      <c r="B937" t="inlineStr">
        <is>
          <t>DW70</t>
        </is>
      </c>
      <c r="C937" t="inlineStr">
        <is>
          <t>D136</t>
        </is>
      </c>
      <c r="D937" t="inlineStr">
        <is>
          <t>10152583</t>
        </is>
      </c>
      <c r="E937" t="inlineStr"/>
      <c r="F937" s="11" t="n">
        <v>105.71</v>
      </c>
      <c r="G937" t="inlineStr"/>
      <c r="I937" t="inlineStr">
        <is>
          <t>TN</t>
        </is>
      </c>
      <c r="J937" t="inlineStr"/>
      <c r="K937" t="inlineStr">
        <is>
          <t>20260413</t>
        </is>
      </c>
      <c r="L937" t="inlineStr">
        <is>
          <t>99991231</t>
        </is>
      </c>
    </row>
    <row r="938">
      <c r="A938" t="inlineStr">
        <is>
          <t>900005554</t>
        </is>
      </c>
      <c r="B938" t="inlineStr">
        <is>
          <t>DW70</t>
        </is>
      </c>
      <c r="C938" t="inlineStr">
        <is>
          <t>D145</t>
        </is>
      </c>
      <c r="D938" t="inlineStr">
        <is>
          <t>10152583</t>
        </is>
      </c>
      <c r="E938" t="inlineStr"/>
      <c r="F938" s="11" t="n">
        <v>105.71</v>
      </c>
      <c r="G938" t="inlineStr"/>
      <c r="I938" t="inlineStr">
        <is>
          <t>TN</t>
        </is>
      </c>
      <c r="J938" t="inlineStr"/>
      <c r="K938" t="inlineStr">
        <is>
          <t>20260413</t>
        </is>
      </c>
      <c r="L938" t="inlineStr">
        <is>
          <t>99991231</t>
        </is>
      </c>
    </row>
    <row r="939">
      <c r="A939" t="inlineStr">
        <is>
          <t>900005554</t>
        </is>
      </c>
      <c r="B939" t="inlineStr">
        <is>
          <t>DW70</t>
        </is>
      </c>
      <c r="C939" t="inlineStr">
        <is>
          <t>D681</t>
        </is>
      </c>
      <c r="D939" t="inlineStr">
        <is>
          <t>10152583</t>
        </is>
      </c>
      <c r="E939" t="inlineStr"/>
      <c r="F939" s="11" t="n">
        <v>105.71</v>
      </c>
      <c r="G939" t="inlineStr"/>
      <c r="I939" t="inlineStr">
        <is>
          <t>TN</t>
        </is>
      </c>
      <c r="J939" t="inlineStr"/>
      <c r="K939" t="inlineStr">
        <is>
          <t>20260413</t>
        </is>
      </c>
      <c r="L939" t="inlineStr">
        <is>
          <t>99991231</t>
        </is>
      </c>
    </row>
    <row r="940">
      <c r="A940" t="inlineStr">
        <is>
          <t>900005705</t>
        </is>
      </c>
      <c r="B940" t="inlineStr">
        <is>
          <t>DW70</t>
        </is>
      </c>
      <c r="C940" t="inlineStr">
        <is>
          <t>D074</t>
        </is>
      </c>
      <c r="D940" t="inlineStr">
        <is>
          <t>10000811</t>
        </is>
      </c>
      <c r="E940" t="inlineStr"/>
      <c r="F940" s="11" t="n">
        <v>252.37</v>
      </c>
      <c r="G940" t="inlineStr"/>
      <c r="I940" t="inlineStr">
        <is>
          <t>TN</t>
        </is>
      </c>
      <c r="J940" t="inlineStr"/>
      <c r="K940" t="inlineStr">
        <is>
          <t>20230501</t>
        </is>
      </c>
      <c r="L940" t="inlineStr">
        <is>
          <t>20250131</t>
        </is>
      </c>
    </row>
    <row r="941">
      <c r="A941" t="inlineStr">
        <is>
          <t>900005705</t>
        </is>
      </c>
      <c r="B941" t="inlineStr">
        <is>
          <t>DW70</t>
        </is>
      </c>
      <c r="C941" t="inlineStr">
        <is>
          <t>D074</t>
        </is>
      </c>
      <c r="D941" t="inlineStr">
        <is>
          <t>10161192</t>
        </is>
      </c>
      <c r="E941" t="inlineStr"/>
      <c r="F941" s="11" t="n">
        <v>295.64</v>
      </c>
      <c r="G941" t="inlineStr"/>
      <c r="I941" t="inlineStr">
        <is>
          <t>TN</t>
        </is>
      </c>
      <c r="J941" t="inlineStr"/>
      <c r="K941" t="inlineStr">
        <is>
          <t>20230501</t>
        </is>
      </c>
      <c r="L941" t="inlineStr">
        <is>
          <t>20250131</t>
        </is>
      </c>
    </row>
    <row r="942">
      <c r="A942" t="inlineStr">
        <is>
          <t>900005705</t>
        </is>
      </c>
      <c r="B942" t="inlineStr">
        <is>
          <t>DW70</t>
        </is>
      </c>
      <c r="C942" t="inlineStr">
        <is>
          <t>D075</t>
        </is>
      </c>
      <c r="D942" t="inlineStr">
        <is>
          <t>10000811</t>
        </is>
      </c>
      <c r="E942" t="inlineStr"/>
      <c r="F942" s="11" t="n">
        <v>252.37</v>
      </c>
      <c r="G942" t="inlineStr"/>
      <c r="I942" t="inlineStr">
        <is>
          <t>TN</t>
        </is>
      </c>
      <c r="J942" t="inlineStr"/>
      <c r="K942" t="inlineStr">
        <is>
          <t>20230501</t>
        </is>
      </c>
      <c r="L942" t="inlineStr">
        <is>
          <t>20250131</t>
        </is>
      </c>
    </row>
    <row r="943">
      <c r="A943" t="inlineStr">
        <is>
          <t>900005705</t>
        </is>
      </c>
      <c r="B943" t="inlineStr">
        <is>
          <t>DW70</t>
        </is>
      </c>
      <c r="C943" t="inlineStr">
        <is>
          <t>D075</t>
        </is>
      </c>
      <c r="D943" t="inlineStr">
        <is>
          <t>10161192</t>
        </is>
      </c>
      <c r="E943" t="inlineStr"/>
      <c r="F943" s="11" t="n">
        <v>295.64</v>
      </c>
      <c r="G943" t="inlineStr"/>
      <c r="I943" t="inlineStr">
        <is>
          <t>TN</t>
        </is>
      </c>
      <c r="J943" t="inlineStr"/>
      <c r="K943" t="inlineStr">
        <is>
          <t>20230501</t>
        </is>
      </c>
      <c r="L943" t="inlineStr">
        <is>
          <t>20250131</t>
        </is>
      </c>
    </row>
    <row r="944">
      <c r="A944" t="inlineStr">
        <is>
          <t>900005705</t>
        </is>
      </c>
      <c r="B944" t="inlineStr">
        <is>
          <t>DW70</t>
        </is>
      </c>
      <c r="C944" t="inlineStr">
        <is>
          <t>D077</t>
        </is>
      </c>
      <c r="D944" t="inlineStr">
        <is>
          <t>10000811</t>
        </is>
      </c>
      <c r="E944" t="inlineStr"/>
      <c r="F944" s="11" t="n">
        <v>252.37</v>
      </c>
      <c r="G944" t="inlineStr"/>
      <c r="I944" t="inlineStr">
        <is>
          <t>TN</t>
        </is>
      </c>
      <c r="J944" t="inlineStr"/>
      <c r="K944" t="inlineStr">
        <is>
          <t>20230501</t>
        </is>
      </c>
      <c r="L944" t="inlineStr">
        <is>
          <t>20250131</t>
        </is>
      </c>
    </row>
    <row r="945">
      <c r="A945" t="inlineStr">
        <is>
          <t>900005705</t>
        </is>
      </c>
      <c r="B945" t="inlineStr">
        <is>
          <t>DW70</t>
        </is>
      </c>
      <c r="C945" t="inlineStr">
        <is>
          <t>D077</t>
        </is>
      </c>
      <c r="D945" t="inlineStr">
        <is>
          <t>10161192</t>
        </is>
      </c>
      <c r="E945" t="inlineStr"/>
      <c r="F945" s="11" t="n">
        <v>295.64</v>
      </c>
      <c r="G945" t="inlineStr"/>
      <c r="I945" t="inlineStr">
        <is>
          <t>TN</t>
        </is>
      </c>
      <c r="J945" t="inlineStr"/>
      <c r="K945" t="inlineStr">
        <is>
          <t>20230501</t>
        </is>
      </c>
      <c r="L945" t="inlineStr">
        <is>
          <t>20250131</t>
        </is>
      </c>
    </row>
    <row r="946">
      <c r="A946" t="inlineStr">
        <is>
          <t>900005705</t>
        </is>
      </c>
      <c r="B946" t="inlineStr">
        <is>
          <t>DW70</t>
        </is>
      </c>
      <c r="C946" t="inlineStr">
        <is>
          <t>D079</t>
        </is>
      </c>
      <c r="D946" t="inlineStr">
        <is>
          <t>10000811</t>
        </is>
      </c>
      <c r="E946" t="inlineStr"/>
      <c r="F946" s="11" t="n">
        <v>252.37</v>
      </c>
      <c r="G946" t="inlineStr"/>
      <c r="I946" t="inlineStr">
        <is>
          <t>TN</t>
        </is>
      </c>
      <c r="J946" t="inlineStr"/>
      <c r="K946" t="inlineStr">
        <is>
          <t>20230501</t>
        </is>
      </c>
      <c r="L946" t="inlineStr">
        <is>
          <t>20250131</t>
        </is>
      </c>
    </row>
    <row r="947">
      <c r="A947" t="inlineStr">
        <is>
          <t>900005705</t>
        </is>
      </c>
      <c r="B947" t="inlineStr">
        <is>
          <t>DW70</t>
        </is>
      </c>
      <c r="C947" t="inlineStr">
        <is>
          <t>D079</t>
        </is>
      </c>
      <c r="D947" t="inlineStr">
        <is>
          <t>10161192</t>
        </is>
      </c>
      <c r="E947" t="inlineStr"/>
      <c r="F947" s="11" t="n">
        <v>295.64</v>
      </c>
      <c r="G947" t="inlineStr"/>
      <c r="I947" t="inlineStr">
        <is>
          <t>TN</t>
        </is>
      </c>
      <c r="J947" t="inlineStr"/>
      <c r="K947" t="inlineStr">
        <is>
          <t>20230501</t>
        </is>
      </c>
      <c r="L947" t="inlineStr">
        <is>
          <t>20250131</t>
        </is>
      </c>
    </row>
    <row r="948">
      <c r="A948" t="inlineStr">
        <is>
          <t>900005705</t>
        </is>
      </c>
      <c r="B948" t="inlineStr">
        <is>
          <t>DW70</t>
        </is>
      </c>
      <c r="C948" t="inlineStr">
        <is>
          <t>D080</t>
        </is>
      </c>
      <c r="D948" t="inlineStr">
        <is>
          <t>10000811</t>
        </is>
      </c>
      <c r="E948" t="inlineStr"/>
      <c r="F948" s="11" t="n">
        <v>252.37</v>
      </c>
      <c r="G948" t="inlineStr"/>
      <c r="I948" t="inlineStr">
        <is>
          <t>TN</t>
        </is>
      </c>
      <c r="J948" t="inlineStr"/>
      <c r="K948" t="inlineStr">
        <is>
          <t>20230501</t>
        </is>
      </c>
      <c r="L948" t="inlineStr">
        <is>
          <t>20250131</t>
        </is>
      </c>
    </row>
    <row r="949">
      <c r="A949" t="inlineStr">
        <is>
          <t>900005705</t>
        </is>
      </c>
      <c r="B949" t="inlineStr">
        <is>
          <t>DW70</t>
        </is>
      </c>
      <c r="C949" t="inlineStr">
        <is>
          <t>D080</t>
        </is>
      </c>
      <c r="D949" t="inlineStr">
        <is>
          <t>10161192</t>
        </is>
      </c>
      <c r="E949" t="inlineStr"/>
      <c r="F949" s="11" t="n">
        <v>295.64</v>
      </c>
      <c r="G949" t="inlineStr"/>
      <c r="I949" t="inlineStr">
        <is>
          <t>TN</t>
        </is>
      </c>
      <c r="J949" t="inlineStr"/>
      <c r="K949" t="inlineStr">
        <is>
          <t>20230501</t>
        </is>
      </c>
      <c r="L949" t="inlineStr">
        <is>
          <t>20250131</t>
        </is>
      </c>
    </row>
    <row r="950">
      <c r="A950" t="inlineStr">
        <is>
          <t>900005705</t>
        </is>
      </c>
      <c r="B950" t="inlineStr">
        <is>
          <t>DW70</t>
        </is>
      </c>
      <c r="C950" t="inlineStr">
        <is>
          <t>D081</t>
        </is>
      </c>
      <c r="D950" t="inlineStr">
        <is>
          <t>10000811</t>
        </is>
      </c>
      <c r="E950" t="inlineStr"/>
      <c r="F950" s="11" t="n">
        <v>252.37</v>
      </c>
      <c r="G950" t="inlineStr"/>
      <c r="I950" t="inlineStr">
        <is>
          <t>TN</t>
        </is>
      </c>
      <c r="J950" t="inlineStr"/>
      <c r="K950" t="inlineStr">
        <is>
          <t>20230501</t>
        </is>
      </c>
      <c r="L950" t="inlineStr">
        <is>
          <t>20250131</t>
        </is>
      </c>
    </row>
    <row r="951">
      <c r="A951" t="inlineStr">
        <is>
          <t>900005705</t>
        </is>
      </c>
      <c r="B951" t="inlineStr">
        <is>
          <t>DW70</t>
        </is>
      </c>
      <c r="C951" t="inlineStr">
        <is>
          <t>D081</t>
        </is>
      </c>
      <c r="D951" t="inlineStr">
        <is>
          <t>10161192</t>
        </is>
      </c>
      <c r="E951" t="inlineStr"/>
      <c r="F951" s="11" t="n">
        <v>295.64</v>
      </c>
      <c r="G951" t="inlineStr"/>
      <c r="I951" t="inlineStr">
        <is>
          <t>TN</t>
        </is>
      </c>
      <c r="J951" t="inlineStr"/>
      <c r="K951" t="inlineStr">
        <is>
          <t>20230501</t>
        </is>
      </c>
      <c r="L951" t="inlineStr">
        <is>
          <t>20250131</t>
        </is>
      </c>
    </row>
    <row r="952">
      <c r="A952" t="inlineStr">
        <is>
          <t>900005705</t>
        </is>
      </c>
      <c r="B952" t="inlineStr">
        <is>
          <t>DW70</t>
        </is>
      </c>
      <c r="C952" t="inlineStr">
        <is>
          <t>D083</t>
        </is>
      </c>
      <c r="D952" t="inlineStr">
        <is>
          <t>10000811</t>
        </is>
      </c>
      <c r="E952" t="inlineStr"/>
      <c r="F952" s="11" t="n">
        <v>252.37</v>
      </c>
      <c r="G952" t="inlineStr"/>
      <c r="I952" t="inlineStr">
        <is>
          <t>TN</t>
        </is>
      </c>
      <c r="J952" t="inlineStr"/>
      <c r="K952" t="inlineStr">
        <is>
          <t>20230501</t>
        </is>
      </c>
      <c r="L952" t="inlineStr">
        <is>
          <t>20250131</t>
        </is>
      </c>
    </row>
    <row r="953">
      <c r="A953" t="inlineStr">
        <is>
          <t>900005705</t>
        </is>
      </c>
      <c r="B953" t="inlineStr">
        <is>
          <t>DW70</t>
        </is>
      </c>
      <c r="C953" t="inlineStr">
        <is>
          <t>D083</t>
        </is>
      </c>
      <c r="D953" t="inlineStr">
        <is>
          <t>10161192</t>
        </is>
      </c>
      <c r="E953" t="inlineStr"/>
      <c r="F953" s="11" t="n">
        <v>295.64</v>
      </c>
      <c r="G953" t="inlineStr"/>
      <c r="I953" t="inlineStr">
        <is>
          <t>TN</t>
        </is>
      </c>
      <c r="J953" t="inlineStr"/>
      <c r="K953" t="inlineStr">
        <is>
          <t>20230501</t>
        </is>
      </c>
      <c r="L953" t="inlineStr">
        <is>
          <t>20250131</t>
        </is>
      </c>
    </row>
    <row r="954">
      <c r="A954" t="inlineStr">
        <is>
          <t>900005705</t>
        </is>
      </c>
      <c r="B954" t="inlineStr">
        <is>
          <t>DW70</t>
        </is>
      </c>
      <c r="C954" t="inlineStr">
        <is>
          <t>D084</t>
        </is>
      </c>
      <c r="D954" t="inlineStr">
        <is>
          <t>10000811</t>
        </is>
      </c>
      <c r="E954" t="inlineStr"/>
      <c r="F954" s="11" t="n">
        <v>252.37</v>
      </c>
      <c r="G954" t="inlineStr"/>
      <c r="I954" t="inlineStr">
        <is>
          <t>TN</t>
        </is>
      </c>
      <c r="J954" t="inlineStr"/>
      <c r="K954" t="inlineStr">
        <is>
          <t>20230501</t>
        </is>
      </c>
      <c r="L954" t="inlineStr">
        <is>
          <t>20250131</t>
        </is>
      </c>
    </row>
    <row r="955">
      <c r="A955" t="inlineStr">
        <is>
          <t>900005705</t>
        </is>
      </c>
      <c r="B955" t="inlineStr">
        <is>
          <t>DW70</t>
        </is>
      </c>
      <c r="C955" t="inlineStr">
        <is>
          <t>D084</t>
        </is>
      </c>
      <c r="D955" t="inlineStr">
        <is>
          <t>10161192</t>
        </is>
      </c>
      <c r="E955" t="inlineStr"/>
      <c r="F955" s="11" t="n">
        <v>295.64</v>
      </c>
      <c r="G955" t="inlineStr"/>
      <c r="I955" t="inlineStr">
        <is>
          <t>TN</t>
        </is>
      </c>
      <c r="J955" t="inlineStr"/>
      <c r="K955" t="inlineStr">
        <is>
          <t>20230501</t>
        </is>
      </c>
      <c r="L955" t="inlineStr">
        <is>
          <t>20250131</t>
        </is>
      </c>
    </row>
    <row r="956">
      <c r="A956" t="inlineStr">
        <is>
          <t>900005705</t>
        </is>
      </c>
      <c r="B956" t="inlineStr">
        <is>
          <t>DW70</t>
        </is>
      </c>
      <c r="C956" t="inlineStr">
        <is>
          <t>D085</t>
        </is>
      </c>
      <c r="D956" t="inlineStr">
        <is>
          <t>10000811</t>
        </is>
      </c>
      <c r="E956" t="inlineStr"/>
      <c r="F956" s="11" t="n">
        <v>252.37</v>
      </c>
      <c r="G956" t="inlineStr"/>
      <c r="I956" t="inlineStr">
        <is>
          <t>TN</t>
        </is>
      </c>
      <c r="J956" t="inlineStr"/>
      <c r="K956" t="inlineStr">
        <is>
          <t>20230501</t>
        </is>
      </c>
      <c r="L956" t="inlineStr">
        <is>
          <t>20250131</t>
        </is>
      </c>
    </row>
    <row r="957">
      <c r="A957" t="inlineStr">
        <is>
          <t>900005705</t>
        </is>
      </c>
      <c r="B957" t="inlineStr">
        <is>
          <t>DW70</t>
        </is>
      </c>
      <c r="C957" t="inlineStr">
        <is>
          <t>D085</t>
        </is>
      </c>
      <c r="D957" t="inlineStr">
        <is>
          <t>10161192</t>
        </is>
      </c>
      <c r="E957" t="inlineStr"/>
      <c r="F957" s="11" t="n">
        <v>295.64</v>
      </c>
      <c r="G957" t="inlineStr"/>
      <c r="I957" t="inlineStr">
        <is>
          <t>TN</t>
        </is>
      </c>
      <c r="J957" t="inlineStr"/>
      <c r="K957" t="inlineStr">
        <is>
          <t>20230501</t>
        </is>
      </c>
      <c r="L957" t="inlineStr">
        <is>
          <t>20250131</t>
        </is>
      </c>
    </row>
    <row r="958">
      <c r="A958" t="inlineStr">
        <is>
          <t>900005705</t>
        </is>
      </c>
      <c r="B958" t="inlineStr">
        <is>
          <t>DW70</t>
        </is>
      </c>
      <c r="C958" t="inlineStr">
        <is>
          <t>D086</t>
        </is>
      </c>
      <c r="D958" t="inlineStr">
        <is>
          <t>10000811</t>
        </is>
      </c>
      <c r="E958" t="inlineStr"/>
      <c r="F958" s="11" t="n">
        <v>252.37</v>
      </c>
      <c r="G958" t="inlineStr"/>
      <c r="I958" t="inlineStr">
        <is>
          <t>TN</t>
        </is>
      </c>
      <c r="J958" t="inlineStr"/>
      <c r="K958" t="inlineStr">
        <is>
          <t>20230501</t>
        </is>
      </c>
      <c r="L958" t="inlineStr">
        <is>
          <t>20250131</t>
        </is>
      </c>
    </row>
    <row r="959">
      <c r="A959" t="inlineStr">
        <is>
          <t>900005705</t>
        </is>
      </c>
      <c r="B959" t="inlineStr">
        <is>
          <t>DW70</t>
        </is>
      </c>
      <c r="C959" t="inlineStr">
        <is>
          <t>D086</t>
        </is>
      </c>
      <c r="D959" t="inlineStr">
        <is>
          <t>10161192</t>
        </is>
      </c>
      <c r="E959" t="inlineStr"/>
      <c r="F959" s="11" t="n">
        <v>295.64</v>
      </c>
      <c r="G959" t="inlineStr"/>
      <c r="I959" t="inlineStr">
        <is>
          <t>TN</t>
        </is>
      </c>
      <c r="J959" t="inlineStr"/>
      <c r="K959" t="inlineStr">
        <is>
          <t>20230501</t>
        </is>
      </c>
      <c r="L959" t="inlineStr">
        <is>
          <t>20250131</t>
        </is>
      </c>
    </row>
    <row r="960">
      <c r="A960" t="inlineStr">
        <is>
          <t>900005705</t>
        </is>
      </c>
      <c r="B960" t="inlineStr">
        <is>
          <t>DW70</t>
        </is>
      </c>
      <c r="C960" t="inlineStr">
        <is>
          <t>D088</t>
        </is>
      </c>
      <c r="D960" t="inlineStr">
        <is>
          <t>10000811</t>
        </is>
      </c>
      <c r="E960" t="inlineStr"/>
      <c r="F960" s="11" t="n">
        <v>252.37</v>
      </c>
      <c r="G960" t="inlineStr"/>
      <c r="I960" t="inlineStr">
        <is>
          <t>TN</t>
        </is>
      </c>
      <c r="J960" t="inlineStr"/>
      <c r="K960" t="inlineStr">
        <is>
          <t>20230501</t>
        </is>
      </c>
      <c r="L960" t="inlineStr">
        <is>
          <t>20250131</t>
        </is>
      </c>
    </row>
    <row r="961">
      <c r="A961" t="inlineStr">
        <is>
          <t>900005705</t>
        </is>
      </c>
      <c r="B961" t="inlineStr">
        <is>
          <t>DW70</t>
        </is>
      </c>
      <c r="C961" t="inlineStr">
        <is>
          <t>D088</t>
        </is>
      </c>
      <c r="D961" t="inlineStr">
        <is>
          <t>10161192</t>
        </is>
      </c>
      <c r="E961" t="inlineStr"/>
      <c r="F961" s="11" t="n">
        <v>295.64</v>
      </c>
      <c r="G961" t="inlineStr"/>
      <c r="I961" t="inlineStr">
        <is>
          <t>TN</t>
        </is>
      </c>
      <c r="J961" t="inlineStr"/>
      <c r="K961" t="inlineStr">
        <is>
          <t>20230501</t>
        </is>
      </c>
      <c r="L961" t="inlineStr">
        <is>
          <t>20250131</t>
        </is>
      </c>
    </row>
    <row r="962">
      <c r="A962" t="inlineStr">
        <is>
          <t>900005705</t>
        </is>
      </c>
      <c r="B962" t="inlineStr">
        <is>
          <t>DW70</t>
        </is>
      </c>
      <c r="C962" t="inlineStr">
        <is>
          <t>D089</t>
        </is>
      </c>
      <c r="D962" t="inlineStr">
        <is>
          <t>10000811</t>
        </is>
      </c>
      <c r="E962" t="inlineStr"/>
      <c r="F962" s="11" t="n">
        <v>252.37</v>
      </c>
      <c r="G962" t="inlineStr"/>
      <c r="I962" t="inlineStr">
        <is>
          <t>TN</t>
        </is>
      </c>
      <c r="J962" t="inlineStr"/>
      <c r="K962" t="inlineStr">
        <is>
          <t>20230501</t>
        </is>
      </c>
      <c r="L962" t="inlineStr">
        <is>
          <t>20250131</t>
        </is>
      </c>
    </row>
    <row r="963">
      <c r="A963" t="inlineStr">
        <is>
          <t>900005705</t>
        </is>
      </c>
      <c r="B963" t="inlineStr">
        <is>
          <t>DW70</t>
        </is>
      </c>
      <c r="C963" t="inlineStr">
        <is>
          <t>D089</t>
        </is>
      </c>
      <c r="D963" t="inlineStr">
        <is>
          <t>10161192</t>
        </is>
      </c>
      <c r="E963" t="inlineStr"/>
      <c r="F963" s="11" t="n">
        <v>295.64</v>
      </c>
      <c r="G963" t="inlineStr"/>
      <c r="I963" t="inlineStr">
        <is>
          <t>TN</t>
        </is>
      </c>
      <c r="J963" t="inlineStr"/>
      <c r="K963" t="inlineStr">
        <is>
          <t>20230501</t>
        </is>
      </c>
      <c r="L963" t="inlineStr">
        <is>
          <t>20250131</t>
        </is>
      </c>
    </row>
    <row r="964">
      <c r="A964" t="inlineStr">
        <is>
          <t>900005705</t>
        </is>
      </c>
      <c r="B964" t="inlineStr">
        <is>
          <t>DW70</t>
        </is>
      </c>
      <c r="C964" t="inlineStr">
        <is>
          <t>D093</t>
        </is>
      </c>
      <c r="D964" t="inlineStr">
        <is>
          <t>10000811</t>
        </is>
      </c>
      <c r="E964" t="inlineStr"/>
      <c r="F964" s="11" t="n">
        <v>252.37</v>
      </c>
      <c r="G964" t="inlineStr"/>
      <c r="I964" t="inlineStr">
        <is>
          <t>TN</t>
        </is>
      </c>
      <c r="J964" t="inlineStr"/>
      <c r="K964" t="inlineStr">
        <is>
          <t>20230501</t>
        </is>
      </c>
      <c r="L964" t="inlineStr">
        <is>
          <t>20250131</t>
        </is>
      </c>
    </row>
    <row r="965">
      <c r="A965" t="inlineStr">
        <is>
          <t>900005705</t>
        </is>
      </c>
      <c r="B965" t="inlineStr">
        <is>
          <t>DW70</t>
        </is>
      </c>
      <c r="C965" t="inlineStr">
        <is>
          <t>D093</t>
        </is>
      </c>
      <c r="D965" t="inlineStr">
        <is>
          <t>10161192</t>
        </is>
      </c>
      <c r="E965" t="inlineStr"/>
      <c r="F965" s="11" t="n">
        <v>295.64</v>
      </c>
      <c r="G965" t="inlineStr"/>
      <c r="I965" t="inlineStr">
        <is>
          <t>TN</t>
        </is>
      </c>
      <c r="J965" t="inlineStr"/>
      <c r="K965" t="inlineStr">
        <is>
          <t>20230501</t>
        </is>
      </c>
      <c r="L965" t="inlineStr">
        <is>
          <t>20250131</t>
        </is>
      </c>
    </row>
    <row r="966">
      <c r="A966" t="inlineStr">
        <is>
          <t>900005705</t>
        </is>
      </c>
      <c r="B966" t="inlineStr">
        <is>
          <t>DW70</t>
        </is>
      </c>
      <c r="C966" t="inlineStr">
        <is>
          <t>D098</t>
        </is>
      </c>
      <c r="D966" t="inlineStr">
        <is>
          <t>10000811</t>
        </is>
      </c>
      <c r="E966" t="inlineStr"/>
      <c r="F966" s="11" t="n">
        <v>252.37</v>
      </c>
      <c r="G966" t="inlineStr"/>
      <c r="I966" t="inlineStr">
        <is>
          <t>TN</t>
        </is>
      </c>
      <c r="J966" t="inlineStr"/>
      <c r="K966" t="inlineStr">
        <is>
          <t>20230501</t>
        </is>
      </c>
      <c r="L966" t="inlineStr">
        <is>
          <t>20250131</t>
        </is>
      </c>
    </row>
    <row r="967">
      <c r="A967" t="inlineStr">
        <is>
          <t>900005705</t>
        </is>
      </c>
      <c r="B967" t="inlineStr">
        <is>
          <t>DW70</t>
        </is>
      </c>
      <c r="C967" t="inlineStr">
        <is>
          <t>D098</t>
        </is>
      </c>
      <c r="D967" t="inlineStr">
        <is>
          <t>10161192</t>
        </is>
      </c>
      <c r="E967" t="inlineStr"/>
      <c r="F967" s="11" t="n">
        <v>295.64</v>
      </c>
      <c r="G967" t="inlineStr"/>
      <c r="I967" t="inlineStr">
        <is>
          <t>TN</t>
        </is>
      </c>
      <c r="J967" t="inlineStr"/>
      <c r="K967" t="inlineStr">
        <is>
          <t>20230501</t>
        </is>
      </c>
      <c r="L967" t="inlineStr">
        <is>
          <t>20250131</t>
        </is>
      </c>
    </row>
    <row r="968">
      <c r="A968" t="inlineStr">
        <is>
          <t>900005705</t>
        </is>
      </c>
      <c r="B968" t="inlineStr">
        <is>
          <t>DW70</t>
        </is>
      </c>
      <c r="C968" t="inlineStr">
        <is>
          <t>D105</t>
        </is>
      </c>
      <c r="D968" t="inlineStr">
        <is>
          <t>10000811</t>
        </is>
      </c>
      <c r="E968" t="inlineStr"/>
      <c r="F968" s="11" t="n">
        <v>252.37</v>
      </c>
      <c r="G968" t="inlineStr"/>
      <c r="I968" t="inlineStr">
        <is>
          <t>TN</t>
        </is>
      </c>
      <c r="J968" t="inlineStr"/>
      <c r="K968" t="inlineStr">
        <is>
          <t>20230501</t>
        </is>
      </c>
      <c r="L968" t="inlineStr">
        <is>
          <t>20250131</t>
        </is>
      </c>
    </row>
    <row r="969">
      <c r="A969" t="inlineStr">
        <is>
          <t>900005705</t>
        </is>
      </c>
      <c r="B969" t="inlineStr">
        <is>
          <t>DW70</t>
        </is>
      </c>
      <c r="C969" t="inlineStr">
        <is>
          <t>D105</t>
        </is>
      </c>
      <c r="D969" t="inlineStr">
        <is>
          <t>10161192</t>
        </is>
      </c>
      <c r="E969" t="inlineStr"/>
      <c r="F969" s="11" t="n">
        <v>295.64</v>
      </c>
      <c r="G969" t="inlineStr"/>
      <c r="I969" t="inlineStr">
        <is>
          <t>TN</t>
        </is>
      </c>
      <c r="J969" t="inlineStr"/>
      <c r="K969" t="inlineStr">
        <is>
          <t>20230501</t>
        </is>
      </c>
      <c r="L969" t="inlineStr">
        <is>
          <t>20250131</t>
        </is>
      </c>
    </row>
    <row r="970">
      <c r="A970" t="inlineStr">
        <is>
          <t>900005705</t>
        </is>
      </c>
      <c r="B970" t="inlineStr">
        <is>
          <t>DW70</t>
        </is>
      </c>
      <c r="C970" t="inlineStr">
        <is>
          <t>D111</t>
        </is>
      </c>
      <c r="D970" t="inlineStr">
        <is>
          <t>10000811</t>
        </is>
      </c>
      <c r="E970" t="inlineStr"/>
      <c r="F970" s="11" t="n">
        <v>252.37</v>
      </c>
      <c r="G970" t="inlineStr"/>
      <c r="I970" t="inlineStr">
        <is>
          <t>TN</t>
        </is>
      </c>
      <c r="J970" t="inlineStr"/>
      <c r="K970" t="inlineStr">
        <is>
          <t>20230501</t>
        </is>
      </c>
      <c r="L970" t="inlineStr">
        <is>
          <t>20250131</t>
        </is>
      </c>
    </row>
    <row r="971">
      <c r="A971" t="inlineStr">
        <is>
          <t>900005705</t>
        </is>
      </c>
      <c r="B971" t="inlineStr">
        <is>
          <t>DW70</t>
        </is>
      </c>
      <c r="C971" t="inlineStr">
        <is>
          <t>D111</t>
        </is>
      </c>
      <c r="D971" t="inlineStr">
        <is>
          <t>10161192</t>
        </is>
      </c>
      <c r="E971" t="inlineStr"/>
      <c r="F971" s="11" t="n">
        <v>295.64</v>
      </c>
      <c r="G971" t="inlineStr"/>
      <c r="I971" t="inlineStr">
        <is>
          <t>TN</t>
        </is>
      </c>
      <c r="J971" t="inlineStr"/>
      <c r="K971" t="inlineStr">
        <is>
          <t>20230501</t>
        </is>
      </c>
      <c r="L971" t="inlineStr">
        <is>
          <t>20250131</t>
        </is>
      </c>
    </row>
    <row r="972">
      <c r="A972" t="inlineStr">
        <is>
          <t>900005705</t>
        </is>
      </c>
      <c r="B972" t="inlineStr">
        <is>
          <t>DW70</t>
        </is>
      </c>
      <c r="C972" t="inlineStr">
        <is>
          <t>D136</t>
        </is>
      </c>
      <c r="D972" t="inlineStr">
        <is>
          <t>10000811</t>
        </is>
      </c>
      <c r="E972" t="inlineStr"/>
      <c r="F972" s="11" t="n">
        <v>252.37</v>
      </c>
      <c r="G972" t="inlineStr"/>
      <c r="I972" t="inlineStr">
        <is>
          <t>TN</t>
        </is>
      </c>
      <c r="J972" t="inlineStr"/>
      <c r="K972" t="inlineStr">
        <is>
          <t>20230501</t>
        </is>
      </c>
      <c r="L972" t="inlineStr">
        <is>
          <t>20250131</t>
        </is>
      </c>
    </row>
    <row r="973">
      <c r="A973" t="inlineStr">
        <is>
          <t>900005705</t>
        </is>
      </c>
      <c r="B973" t="inlineStr">
        <is>
          <t>DW70</t>
        </is>
      </c>
      <c r="C973" t="inlineStr">
        <is>
          <t>D136</t>
        </is>
      </c>
      <c r="D973" t="inlineStr">
        <is>
          <t>10161192</t>
        </is>
      </c>
      <c r="E973" t="inlineStr"/>
      <c r="F973" s="11" t="n">
        <v>295.64</v>
      </c>
      <c r="G973" t="inlineStr"/>
      <c r="I973" t="inlineStr">
        <is>
          <t>TN</t>
        </is>
      </c>
      <c r="J973" t="inlineStr"/>
      <c r="K973" t="inlineStr">
        <is>
          <t>20230501</t>
        </is>
      </c>
      <c r="L973" t="inlineStr">
        <is>
          <t>20250131</t>
        </is>
      </c>
    </row>
    <row r="974">
      <c r="A974" t="inlineStr">
        <is>
          <t>900005705</t>
        </is>
      </c>
      <c r="B974" t="inlineStr">
        <is>
          <t>DW70</t>
        </is>
      </c>
      <c r="C974" t="inlineStr">
        <is>
          <t>D136</t>
        </is>
      </c>
      <c r="D974" t="inlineStr">
        <is>
          <t>10161492</t>
        </is>
      </c>
      <c r="E974" t="inlineStr"/>
      <c r="F974" s="11" t="n">
        <v>184.72</v>
      </c>
      <c r="G974" t="inlineStr"/>
      <c r="I974" t="inlineStr">
        <is>
          <t>TN</t>
        </is>
      </c>
      <c r="J974" t="inlineStr"/>
      <c r="K974" t="inlineStr">
        <is>
          <t>20230501</t>
        </is>
      </c>
      <c r="L974" t="inlineStr">
        <is>
          <t>20250131</t>
        </is>
      </c>
    </row>
    <row r="975">
      <c r="A975" t="inlineStr">
        <is>
          <t>900005705</t>
        </is>
      </c>
      <c r="B975" t="inlineStr">
        <is>
          <t>DW70</t>
        </is>
      </c>
      <c r="C975" t="inlineStr">
        <is>
          <t>D145</t>
        </is>
      </c>
      <c r="D975" t="inlineStr">
        <is>
          <t>10000811</t>
        </is>
      </c>
      <c r="E975" t="inlineStr"/>
      <c r="F975" s="11" t="n">
        <v>252.37</v>
      </c>
      <c r="G975" t="inlineStr"/>
      <c r="I975" t="inlineStr">
        <is>
          <t>TN</t>
        </is>
      </c>
      <c r="J975" t="inlineStr"/>
      <c r="K975" t="inlineStr">
        <is>
          <t>20230501</t>
        </is>
      </c>
      <c r="L975" t="inlineStr">
        <is>
          <t>20250131</t>
        </is>
      </c>
    </row>
    <row r="976">
      <c r="A976" t="inlineStr">
        <is>
          <t>900005705</t>
        </is>
      </c>
      <c r="B976" t="inlineStr">
        <is>
          <t>DW70</t>
        </is>
      </c>
      <c r="C976" t="inlineStr">
        <is>
          <t>D145</t>
        </is>
      </c>
      <c r="D976" t="inlineStr">
        <is>
          <t>10161192</t>
        </is>
      </c>
      <c r="E976" t="inlineStr"/>
      <c r="F976" s="11" t="n">
        <v>295.64</v>
      </c>
      <c r="G976" t="inlineStr"/>
      <c r="I976" t="inlineStr">
        <is>
          <t>TN</t>
        </is>
      </c>
      <c r="J976" t="inlineStr"/>
      <c r="K976" t="inlineStr">
        <is>
          <t>20230501</t>
        </is>
      </c>
      <c r="L976" t="inlineStr">
        <is>
          <t>20250131</t>
        </is>
      </c>
    </row>
    <row r="977">
      <c r="A977" t="inlineStr">
        <is>
          <t>900005713</t>
        </is>
      </c>
      <c r="B977" t="inlineStr">
        <is>
          <t>DW70</t>
        </is>
      </c>
      <c r="C977" t="inlineStr">
        <is>
          <t>D084</t>
        </is>
      </c>
      <c r="D977" t="inlineStr">
        <is>
          <t>10000722</t>
        </is>
      </c>
      <c r="E977" t="inlineStr"/>
      <c r="F977" s="11" t="n">
        <v>93.56999999999999</v>
      </c>
      <c r="G977" t="inlineStr"/>
      <c r="I977" t="inlineStr">
        <is>
          <t>TN</t>
        </is>
      </c>
      <c r="J977" t="inlineStr"/>
      <c r="K977" t="inlineStr">
        <is>
          <t>20230501</t>
        </is>
      </c>
      <c r="L977" t="inlineStr">
        <is>
          <t>20250131</t>
        </is>
      </c>
    </row>
    <row r="978">
      <c r="A978" t="inlineStr">
        <is>
          <t>900005713</t>
        </is>
      </c>
      <c r="B978" t="inlineStr">
        <is>
          <t>DW70</t>
        </is>
      </c>
      <c r="C978" t="inlineStr">
        <is>
          <t>D084</t>
        </is>
      </c>
      <c r="D978" t="inlineStr">
        <is>
          <t>10156061</t>
        </is>
      </c>
      <c r="E978" t="inlineStr"/>
      <c r="F978" s="11" t="n">
        <v>104.03</v>
      </c>
      <c r="G978" t="inlineStr"/>
      <c r="I978" t="inlineStr">
        <is>
          <t>TN</t>
        </is>
      </c>
      <c r="J978" t="inlineStr"/>
      <c r="K978" t="inlineStr">
        <is>
          <t>20230501</t>
        </is>
      </c>
      <c r="L978" t="inlineStr">
        <is>
          <t>20250131</t>
        </is>
      </c>
    </row>
    <row r="979">
      <c r="A979" t="inlineStr">
        <is>
          <t>900005713</t>
        </is>
      </c>
      <c r="B979" t="inlineStr">
        <is>
          <t>DW70</t>
        </is>
      </c>
      <c r="C979" t="inlineStr">
        <is>
          <t>D086</t>
        </is>
      </c>
      <c r="D979" t="inlineStr">
        <is>
          <t>10000722</t>
        </is>
      </c>
      <c r="E979" t="inlineStr"/>
      <c r="F979" s="11" t="n">
        <v>93.56999999999999</v>
      </c>
      <c r="G979" t="inlineStr"/>
      <c r="I979" t="inlineStr">
        <is>
          <t>TN</t>
        </is>
      </c>
      <c r="J979" t="inlineStr"/>
      <c r="K979" t="inlineStr">
        <is>
          <t>20230501</t>
        </is>
      </c>
      <c r="L979" t="inlineStr">
        <is>
          <t>20250131</t>
        </is>
      </c>
    </row>
    <row r="980">
      <c r="A980" t="inlineStr">
        <is>
          <t>900005713</t>
        </is>
      </c>
      <c r="B980" t="inlineStr">
        <is>
          <t>DW70</t>
        </is>
      </c>
      <c r="C980" t="inlineStr">
        <is>
          <t>D086</t>
        </is>
      </c>
      <c r="D980" t="inlineStr">
        <is>
          <t>10156061</t>
        </is>
      </c>
      <c r="E980" t="inlineStr"/>
      <c r="F980" s="11" t="n">
        <v>104.03</v>
      </c>
      <c r="G980" t="inlineStr"/>
      <c r="I980" t="inlineStr">
        <is>
          <t>TN</t>
        </is>
      </c>
      <c r="J980" t="inlineStr"/>
      <c r="K980" t="inlineStr">
        <is>
          <t>20230501</t>
        </is>
      </c>
      <c r="L980" t="inlineStr">
        <is>
          <t>20250131</t>
        </is>
      </c>
    </row>
    <row r="981">
      <c r="A981" t="inlineStr">
        <is>
          <t>900005713</t>
        </is>
      </c>
      <c r="B981" t="inlineStr">
        <is>
          <t>DW70</t>
        </is>
      </c>
      <c r="C981" t="inlineStr">
        <is>
          <t>D145</t>
        </is>
      </c>
      <c r="D981" t="inlineStr">
        <is>
          <t>10000722</t>
        </is>
      </c>
      <c r="E981" t="inlineStr"/>
      <c r="F981" s="11" t="n">
        <v>93.56999999999999</v>
      </c>
      <c r="G981" t="inlineStr"/>
      <c r="I981" t="inlineStr">
        <is>
          <t>TN</t>
        </is>
      </c>
      <c r="J981" t="inlineStr"/>
      <c r="K981" t="inlineStr">
        <is>
          <t>20230501</t>
        </is>
      </c>
      <c r="L981" t="inlineStr">
        <is>
          <t>20250131</t>
        </is>
      </c>
    </row>
    <row r="982">
      <c r="A982" t="inlineStr">
        <is>
          <t>900005713</t>
        </is>
      </c>
      <c r="B982" t="inlineStr">
        <is>
          <t>DW70</t>
        </is>
      </c>
      <c r="C982" t="inlineStr">
        <is>
          <t>D145</t>
        </is>
      </c>
      <c r="D982" t="inlineStr">
        <is>
          <t>10156061</t>
        </is>
      </c>
      <c r="E982" t="inlineStr"/>
      <c r="F982" s="11" t="n">
        <v>104.03</v>
      </c>
      <c r="G982" t="inlineStr"/>
      <c r="I982" t="inlineStr">
        <is>
          <t>TN</t>
        </is>
      </c>
      <c r="J982" t="inlineStr"/>
      <c r="K982" t="inlineStr">
        <is>
          <t>20230501</t>
        </is>
      </c>
      <c r="L982" t="inlineStr">
        <is>
          <t>20250131</t>
        </is>
      </c>
    </row>
    <row r="983">
      <c r="A983" t="inlineStr">
        <is>
          <t>900005730</t>
        </is>
      </c>
      <c r="B983" t="inlineStr">
        <is>
          <t>DW70</t>
        </is>
      </c>
      <c r="C983" t="inlineStr">
        <is>
          <t>ENAS</t>
        </is>
      </c>
      <c r="D983" t="inlineStr">
        <is>
          <t>10000649</t>
        </is>
      </c>
      <c r="E983" t="inlineStr"/>
      <c r="F983" s="11" t="n">
        <v>93.37</v>
      </c>
      <c r="G983" t="inlineStr"/>
      <c r="I983" t="inlineStr">
        <is>
          <t>TN</t>
        </is>
      </c>
      <c r="J983" t="inlineStr"/>
      <c r="K983" t="inlineStr">
        <is>
          <t>20260507</t>
        </is>
      </c>
      <c r="L983" t="inlineStr">
        <is>
          <t>99991231</t>
        </is>
      </c>
    </row>
    <row r="984">
      <c r="A984" t="inlineStr">
        <is>
          <t>900005730</t>
        </is>
      </c>
      <c r="B984" t="inlineStr">
        <is>
          <t>DW70</t>
        </is>
      </c>
      <c r="C984" t="inlineStr">
        <is>
          <t>ENAS</t>
        </is>
      </c>
      <c r="D984" t="inlineStr">
        <is>
          <t>10185476</t>
        </is>
      </c>
      <c r="E984" t="inlineStr"/>
      <c r="F984" s="11" t="n">
        <v>78.25</v>
      </c>
      <c r="G984" t="inlineStr"/>
      <c r="I984" t="inlineStr">
        <is>
          <t>TN</t>
        </is>
      </c>
      <c r="J984" t="inlineStr"/>
      <c r="K984" t="inlineStr">
        <is>
          <t>20250701</t>
        </is>
      </c>
      <c r="L984" t="inlineStr">
        <is>
          <t>99991231</t>
        </is>
      </c>
    </row>
    <row r="985">
      <c r="A985" t="inlineStr">
        <is>
          <t>900005730</t>
        </is>
      </c>
      <c r="B985" t="inlineStr">
        <is>
          <t>DW70</t>
        </is>
      </c>
      <c r="C985" t="inlineStr">
        <is>
          <t>ENAS</t>
        </is>
      </c>
      <c r="D985" t="inlineStr">
        <is>
          <t>10216851</t>
        </is>
      </c>
      <c r="E985" t="inlineStr"/>
      <c r="F985" s="11" t="n">
        <v>44.04</v>
      </c>
      <c r="G985" t="inlineStr"/>
      <c r="I985" t="inlineStr">
        <is>
          <t>TN</t>
        </is>
      </c>
      <c r="J985" t="inlineStr"/>
      <c r="K985" t="inlineStr">
        <is>
          <t>20250701</t>
        </is>
      </c>
      <c r="L985" t="inlineStr">
        <is>
          <t>99991231</t>
        </is>
      </c>
    </row>
    <row r="986">
      <c r="A986" t="inlineStr">
        <is>
          <t>900005730</t>
        </is>
      </c>
      <c r="B986" t="inlineStr">
        <is>
          <t>DW70</t>
        </is>
      </c>
      <c r="C986" t="inlineStr">
        <is>
          <t>ENAW</t>
        </is>
      </c>
      <c r="D986" t="inlineStr">
        <is>
          <t>10000357</t>
        </is>
      </c>
      <c r="E986" t="inlineStr"/>
      <c r="F986" s="11" t="n">
        <v>206.64</v>
      </c>
      <c r="G986" t="inlineStr"/>
      <c r="I986" t="inlineStr">
        <is>
          <t>TN</t>
        </is>
      </c>
      <c r="J986" t="inlineStr"/>
      <c r="K986" t="inlineStr">
        <is>
          <t>20250701</t>
        </is>
      </c>
      <c r="L986" t="inlineStr">
        <is>
          <t>99991231</t>
        </is>
      </c>
    </row>
    <row r="987">
      <c r="A987" t="inlineStr">
        <is>
          <t>900005730</t>
        </is>
      </c>
      <c r="B987" t="inlineStr">
        <is>
          <t>DW70</t>
        </is>
      </c>
      <c r="C987" t="inlineStr">
        <is>
          <t>ENAW</t>
        </is>
      </c>
      <c r="D987" t="inlineStr">
        <is>
          <t>10185476</t>
        </is>
      </c>
      <c r="E987" t="inlineStr"/>
      <c r="F987" s="11" t="n">
        <v>143.2</v>
      </c>
      <c r="G987" t="inlineStr"/>
      <c r="I987" t="inlineStr">
        <is>
          <t>TN</t>
        </is>
      </c>
      <c r="J987" t="inlineStr"/>
      <c r="K987" t="inlineStr">
        <is>
          <t>20250701</t>
        </is>
      </c>
      <c r="L987" t="inlineStr">
        <is>
          <t>99991231</t>
        </is>
      </c>
    </row>
    <row r="988">
      <c r="A988" t="inlineStr">
        <is>
          <t>900005730</t>
        </is>
      </c>
      <c r="B988" t="inlineStr">
        <is>
          <t>DW70</t>
        </is>
      </c>
      <c r="C988" t="inlineStr">
        <is>
          <t>ENDB</t>
        </is>
      </c>
      <c r="D988" t="inlineStr">
        <is>
          <t>10000160</t>
        </is>
      </c>
      <c r="E988" t="inlineStr"/>
      <c r="F988" s="11" t="n">
        <v>355.57</v>
      </c>
      <c r="G988" t="inlineStr"/>
      <c r="I988" t="inlineStr">
        <is>
          <t>TN</t>
        </is>
      </c>
      <c r="J988" t="inlineStr"/>
      <c r="K988" t="inlineStr">
        <is>
          <t>20250701</t>
        </is>
      </c>
      <c r="L988" t="inlineStr">
        <is>
          <t>99991231</t>
        </is>
      </c>
    </row>
    <row r="989">
      <c r="A989" t="inlineStr">
        <is>
          <t>900005730</t>
        </is>
      </c>
      <c r="B989" t="inlineStr">
        <is>
          <t>DW70</t>
        </is>
      </c>
      <c r="C989" t="inlineStr">
        <is>
          <t>ENDB</t>
        </is>
      </c>
      <c r="D989" t="inlineStr">
        <is>
          <t>10000357</t>
        </is>
      </c>
      <c r="E989" t="inlineStr"/>
      <c r="F989" s="11" t="n">
        <v>398.19</v>
      </c>
      <c r="G989" t="inlineStr"/>
      <c r="I989" t="inlineStr">
        <is>
          <t>TN</t>
        </is>
      </c>
      <c r="J989" t="inlineStr"/>
      <c r="K989" t="inlineStr">
        <is>
          <t>20250701</t>
        </is>
      </c>
      <c r="L989" t="inlineStr">
        <is>
          <t>99991231</t>
        </is>
      </c>
    </row>
    <row r="990">
      <c r="A990" t="inlineStr">
        <is>
          <t>900005730</t>
        </is>
      </c>
      <c r="B990" t="inlineStr">
        <is>
          <t>DW70</t>
        </is>
      </c>
      <c r="C990" t="inlineStr">
        <is>
          <t>ENDC</t>
        </is>
      </c>
      <c r="D990" t="inlineStr">
        <is>
          <t>10000357</t>
        </is>
      </c>
      <c r="E990" t="inlineStr"/>
      <c r="F990" s="11" t="n">
        <v>186.61</v>
      </c>
      <c r="G990" t="inlineStr"/>
      <c r="I990" t="inlineStr">
        <is>
          <t>TN</t>
        </is>
      </c>
      <c r="J990" t="inlineStr"/>
      <c r="K990" t="inlineStr">
        <is>
          <t>20260507</t>
        </is>
      </c>
      <c r="L990" t="inlineStr">
        <is>
          <t>99991231</t>
        </is>
      </c>
    </row>
    <row r="991">
      <c r="A991" t="inlineStr">
        <is>
          <t>900005730</t>
        </is>
      </c>
      <c r="B991" t="inlineStr">
        <is>
          <t>DW70</t>
        </is>
      </c>
      <c r="C991" t="inlineStr">
        <is>
          <t>ENDC</t>
        </is>
      </c>
      <c r="D991" t="inlineStr">
        <is>
          <t>10185476</t>
        </is>
      </c>
      <c r="E991" t="inlineStr"/>
      <c r="F991" s="11" t="n">
        <v>143.2</v>
      </c>
      <c r="G991" t="inlineStr"/>
      <c r="I991" t="inlineStr">
        <is>
          <t>TN</t>
        </is>
      </c>
      <c r="J991" t="inlineStr"/>
      <c r="K991" t="inlineStr">
        <is>
          <t>20250701</t>
        </is>
      </c>
      <c r="L991" t="inlineStr">
        <is>
          <t>99991231</t>
        </is>
      </c>
    </row>
    <row r="992">
      <c r="A992" t="inlineStr">
        <is>
          <t>900005730</t>
        </is>
      </c>
      <c r="B992" t="inlineStr">
        <is>
          <t>DW70</t>
        </is>
      </c>
      <c r="C992" t="inlineStr">
        <is>
          <t>ENDC</t>
        </is>
      </c>
      <c r="D992" t="inlineStr">
        <is>
          <t>10191177</t>
        </is>
      </c>
      <c r="E992" t="inlineStr"/>
      <c r="F992" s="11" t="n">
        <v>353.85</v>
      </c>
      <c r="G992" t="inlineStr"/>
      <c r="I992" t="inlineStr">
        <is>
          <t>TN</t>
        </is>
      </c>
      <c r="J992" t="inlineStr"/>
      <c r="K992" t="inlineStr">
        <is>
          <t>20260623</t>
        </is>
      </c>
      <c r="L992" t="inlineStr">
        <is>
          <t>99991231</t>
        </is>
      </c>
    </row>
    <row r="993">
      <c r="A993" t="inlineStr">
        <is>
          <t>900005730</t>
        </is>
      </c>
      <c r="B993" t="inlineStr">
        <is>
          <t>DW70</t>
        </is>
      </c>
      <c r="C993" t="inlineStr">
        <is>
          <t>ENDC</t>
        </is>
      </c>
      <c r="D993" t="inlineStr">
        <is>
          <t>10217649</t>
        </is>
      </c>
      <c r="E993" t="inlineStr"/>
      <c r="F993" s="11" t="n">
        <v>411.54</v>
      </c>
      <c r="G993" t="inlineStr"/>
      <c r="I993" t="inlineStr">
        <is>
          <t>TN</t>
        </is>
      </c>
      <c r="J993" t="inlineStr"/>
      <c r="K993" t="inlineStr">
        <is>
          <t>20260623</t>
        </is>
      </c>
      <c r="L993" t="inlineStr">
        <is>
          <t>99991231</t>
        </is>
      </c>
    </row>
    <row r="994">
      <c r="A994" t="inlineStr">
        <is>
          <t>900005730</t>
        </is>
      </c>
      <c r="B994" t="inlineStr">
        <is>
          <t>DW70</t>
        </is>
      </c>
      <c r="C994" t="inlineStr">
        <is>
          <t>ENXF</t>
        </is>
      </c>
      <c r="D994" t="inlineStr">
        <is>
          <t>10000133</t>
        </is>
      </c>
      <c r="E994" t="inlineStr"/>
      <c r="F994" s="11" t="n">
        <v>187.67</v>
      </c>
      <c r="G994" t="inlineStr"/>
      <c r="I994" t="inlineStr">
        <is>
          <t>TN</t>
        </is>
      </c>
      <c r="J994" t="inlineStr"/>
      <c r="K994" t="inlineStr">
        <is>
          <t>20260305</t>
        </is>
      </c>
      <c r="L994" t="inlineStr">
        <is>
          <t>20260319</t>
        </is>
      </c>
    </row>
    <row r="995">
      <c r="A995" t="inlineStr">
        <is>
          <t>900005730</t>
        </is>
      </c>
      <c r="B995" t="inlineStr">
        <is>
          <t>DW70</t>
        </is>
      </c>
      <c r="C995" t="inlineStr">
        <is>
          <t>ENXF</t>
        </is>
      </c>
      <c r="D995" t="inlineStr">
        <is>
          <t>10000160</t>
        </is>
      </c>
      <c r="E995" t="inlineStr"/>
      <c r="F995" s="11" t="n">
        <v>170.33</v>
      </c>
      <c r="G995" t="inlineStr"/>
      <c r="I995" t="inlineStr">
        <is>
          <t>TN</t>
        </is>
      </c>
      <c r="J995" t="inlineStr"/>
      <c r="K995" t="inlineStr">
        <is>
          <t>20260305</t>
        </is>
      </c>
      <c r="L995" t="inlineStr">
        <is>
          <t>99991231</t>
        </is>
      </c>
    </row>
    <row r="996">
      <c r="A996" t="inlineStr">
        <is>
          <t>900005730</t>
        </is>
      </c>
      <c r="B996" t="inlineStr">
        <is>
          <t>DW70</t>
        </is>
      </c>
      <c r="C996" t="inlineStr">
        <is>
          <t>ENXF</t>
        </is>
      </c>
      <c r="D996" t="inlineStr">
        <is>
          <t>10000357</t>
        </is>
      </c>
      <c r="E996" t="inlineStr"/>
      <c r="F996" s="11" t="n">
        <v>206.64</v>
      </c>
      <c r="G996" t="inlineStr"/>
      <c r="I996" t="inlineStr">
        <is>
          <t>TN</t>
        </is>
      </c>
      <c r="J996" t="inlineStr"/>
      <c r="K996" t="inlineStr">
        <is>
          <t>20260319</t>
        </is>
      </c>
      <c r="L996" t="inlineStr">
        <is>
          <t>99991231</t>
        </is>
      </c>
    </row>
    <row r="997">
      <c r="A997" t="inlineStr">
        <is>
          <t>900005730</t>
        </is>
      </c>
      <c r="B997" t="inlineStr">
        <is>
          <t>DW70</t>
        </is>
      </c>
      <c r="C997" t="inlineStr">
        <is>
          <t>ENXF</t>
        </is>
      </c>
      <c r="D997" t="inlineStr">
        <is>
          <t>10000593</t>
        </is>
      </c>
      <c r="E997" t="inlineStr"/>
      <c r="F997" s="11" t="n">
        <v>171.43</v>
      </c>
      <c r="G997" t="inlineStr"/>
      <c r="I997" t="inlineStr">
        <is>
          <t>TN</t>
        </is>
      </c>
      <c r="J997" t="inlineStr"/>
      <c r="K997" t="inlineStr">
        <is>
          <t>20260305</t>
        </is>
      </c>
      <c r="L997" t="inlineStr">
        <is>
          <t>99991231</t>
        </is>
      </c>
    </row>
    <row r="998">
      <c r="A998" t="inlineStr">
        <is>
          <t>900005730</t>
        </is>
      </c>
      <c r="B998" t="inlineStr">
        <is>
          <t>DW70</t>
        </is>
      </c>
      <c r="C998" t="inlineStr">
        <is>
          <t>ENXF</t>
        </is>
      </c>
      <c r="D998" t="inlineStr">
        <is>
          <t>10146801</t>
        </is>
      </c>
      <c r="E998" t="inlineStr"/>
      <c r="F998" s="11" t="n">
        <v>204.17</v>
      </c>
      <c r="G998" t="inlineStr"/>
      <c r="I998" t="inlineStr">
        <is>
          <t>TN</t>
        </is>
      </c>
      <c r="J998" t="inlineStr"/>
      <c r="K998" t="inlineStr">
        <is>
          <t>20260319</t>
        </is>
      </c>
      <c r="L998" t="inlineStr">
        <is>
          <t>99991231</t>
        </is>
      </c>
    </row>
    <row r="999">
      <c r="A999" t="inlineStr">
        <is>
          <t>900005730</t>
        </is>
      </c>
      <c r="B999" t="inlineStr">
        <is>
          <t>DW70</t>
        </is>
      </c>
      <c r="C999" t="inlineStr">
        <is>
          <t>ENXF</t>
        </is>
      </c>
      <c r="D999" t="inlineStr">
        <is>
          <t>10268435</t>
        </is>
      </c>
      <c r="E999" t="inlineStr"/>
      <c r="F999" s="11" t="n">
        <v>195.71</v>
      </c>
      <c r="G999" t="inlineStr"/>
      <c r="I999" t="inlineStr">
        <is>
          <t>TN</t>
        </is>
      </c>
      <c r="J999" t="inlineStr"/>
      <c r="K999" t="inlineStr">
        <is>
          <t>20260305</t>
        </is>
      </c>
      <c r="L999" t="inlineStr">
        <is>
          <t>20260319</t>
        </is>
      </c>
    </row>
    <row r="1000">
      <c r="A1000" t="inlineStr">
        <is>
          <t>900005784</t>
        </is>
      </c>
      <c r="B1000" t="inlineStr">
        <is>
          <t>DW70</t>
        </is>
      </c>
      <c r="C1000" t="inlineStr">
        <is>
          <t>D077</t>
        </is>
      </c>
      <c r="D1000" t="inlineStr">
        <is>
          <t>10159431</t>
        </is>
      </c>
      <c r="E1000" t="inlineStr"/>
      <c r="F1000" s="11" t="n">
        <v>141.94</v>
      </c>
      <c r="G1000" t="inlineStr"/>
      <c r="I1000" t="inlineStr">
        <is>
          <t>TN</t>
        </is>
      </c>
      <c r="J1000" t="inlineStr"/>
      <c r="K1000" t="inlineStr">
        <is>
          <t>20230501</t>
        </is>
      </c>
      <c r="L1000" t="inlineStr">
        <is>
          <t>20250131</t>
        </is>
      </c>
    </row>
    <row r="1001">
      <c r="A1001" t="inlineStr">
        <is>
          <t>900005784</t>
        </is>
      </c>
      <c r="B1001" t="inlineStr">
        <is>
          <t>DW70</t>
        </is>
      </c>
      <c r="C1001" t="inlineStr">
        <is>
          <t>D077</t>
        </is>
      </c>
      <c r="D1001" t="inlineStr">
        <is>
          <t>10159500</t>
        </is>
      </c>
      <c r="E1001" t="inlineStr"/>
      <c r="F1001" s="11" t="n">
        <v>149.45</v>
      </c>
      <c r="G1001" t="inlineStr"/>
      <c r="I1001" t="inlineStr">
        <is>
          <t>TN</t>
        </is>
      </c>
      <c r="J1001" t="inlineStr"/>
      <c r="K1001" t="inlineStr">
        <is>
          <t>20230501</t>
        </is>
      </c>
      <c r="L1001" t="inlineStr">
        <is>
          <t>20250131</t>
        </is>
      </c>
    </row>
    <row r="1002">
      <c r="A1002" t="inlineStr">
        <is>
          <t>900005784</t>
        </is>
      </c>
      <c r="B1002" t="inlineStr">
        <is>
          <t>DW70</t>
        </is>
      </c>
      <c r="C1002" t="inlineStr">
        <is>
          <t>D085</t>
        </is>
      </c>
      <c r="D1002" t="inlineStr">
        <is>
          <t>10159431</t>
        </is>
      </c>
      <c r="E1002" t="inlineStr"/>
      <c r="F1002" s="11" t="n">
        <v>141.94</v>
      </c>
      <c r="G1002" t="inlineStr"/>
      <c r="I1002" t="inlineStr">
        <is>
          <t>TN</t>
        </is>
      </c>
      <c r="J1002" t="inlineStr"/>
      <c r="K1002" t="inlineStr">
        <is>
          <t>20230501</t>
        </is>
      </c>
      <c r="L1002" t="inlineStr">
        <is>
          <t>20250131</t>
        </is>
      </c>
    </row>
    <row r="1003">
      <c r="A1003" t="inlineStr">
        <is>
          <t>900005784</t>
        </is>
      </c>
      <c r="B1003" t="inlineStr">
        <is>
          <t>DW70</t>
        </is>
      </c>
      <c r="C1003" t="inlineStr">
        <is>
          <t>D085</t>
        </is>
      </c>
      <c r="D1003" t="inlineStr">
        <is>
          <t>10159500</t>
        </is>
      </c>
      <c r="E1003" t="inlineStr"/>
      <c r="F1003" s="11" t="n">
        <v>149.45</v>
      </c>
      <c r="G1003" t="inlineStr"/>
      <c r="I1003" t="inlineStr">
        <is>
          <t>TN</t>
        </is>
      </c>
      <c r="J1003" t="inlineStr"/>
      <c r="K1003" t="inlineStr">
        <is>
          <t>20230501</t>
        </is>
      </c>
      <c r="L1003" t="inlineStr">
        <is>
          <t>20250131</t>
        </is>
      </c>
    </row>
    <row r="1004">
      <c r="A1004" t="inlineStr">
        <is>
          <t>900005974</t>
        </is>
      </c>
      <c r="B1004" t="inlineStr">
        <is>
          <t>DW70</t>
        </is>
      </c>
      <c r="C1004" t="inlineStr">
        <is>
          <t>D074</t>
        </is>
      </c>
      <c r="D1004" t="inlineStr">
        <is>
          <t>10000160</t>
        </is>
      </c>
      <c r="E1004" t="inlineStr"/>
      <c r="F1004" s="11" t="n">
        <v>106.46</v>
      </c>
      <c r="G1004" t="inlineStr"/>
      <c r="I1004" t="inlineStr">
        <is>
          <t>TN</t>
        </is>
      </c>
      <c r="J1004" t="inlineStr"/>
      <c r="K1004" t="inlineStr">
        <is>
          <t>20260413</t>
        </is>
      </c>
      <c r="L1004" t="inlineStr">
        <is>
          <t>99991231</t>
        </is>
      </c>
    </row>
    <row r="1005">
      <c r="A1005" t="inlineStr">
        <is>
          <t>900005974</t>
        </is>
      </c>
      <c r="B1005" t="inlineStr">
        <is>
          <t>DW70</t>
        </is>
      </c>
      <c r="C1005" t="inlineStr">
        <is>
          <t>D074</t>
        </is>
      </c>
      <c r="D1005" t="inlineStr">
        <is>
          <t>10000357</t>
        </is>
      </c>
      <c r="E1005" t="inlineStr"/>
      <c r="F1005" s="11" t="n">
        <v>109.35</v>
      </c>
      <c r="G1005" t="inlineStr"/>
      <c r="I1005" t="inlineStr">
        <is>
          <t>TN</t>
        </is>
      </c>
      <c r="J1005" t="inlineStr"/>
      <c r="K1005" t="inlineStr">
        <is>
          <t>20260413</t>
        </is>
      </c>
      <c r="L1005" t="inlineStr">
        <is>
          <t>99991231</t>
        </is>
      </c>
    </row>
    <row r="1006">
      <c r="A1006" t="inlineStr">
        <is>
          <t>900005974</t>
        </is>
      </c>
      <c r="B1006" t="inlineStr">
        <is>
          <t>DW70</t>
        </is>
      </c>
      <c r="C1006" t="inlineStr">
        <is>
          <t>D075</t>
        </is>
      </c>
      <c r="D1006" t="inlineStr">
        <is>
          <t>10000160</t>
        </is>
      </c>
      <c r="E1006" t="inlineStr"/>
      <c r="F1006" s="11" t="n">
        <v>106.46</v>
      </c>
      <c r="G1006" t="inlineStr"/>
      <c r="I1006" t="inlineStr">
        <is>
          <t>TN</t>
        </is>
      </c>
      <c r="J1006" t="inlineStr"/>
      <c r="K1006" t="inlineStr">
        <is>
          <t>20260413</t>
        </is>
      </c>
      <c r="L1006" t="inlineStr">
        <is>
          <t>99991231</t>
        </is>
      </c>
    </row>
    <row r="1007">
      <c r="A1007" t="inlineStr">
        <is>
          <t>900005974</t>
        </is>
      </c>
      <c r="B1007" t="inlineStr">
        <is>
          <t>DW70</t>
        </is>
      </c>
      <c r="C1007" t="inlineStr">
        <is>
          <t>D075</t>
        </is>
      </c>
      <c r="D1007" t="inlineStr">
        <is>
          <t>10000357</t>
        </is>
      </c>
      <c r="E1007" t="inlineStr"/>
      <c r="F1007" s="11" t="n">
        <v>109.35</v>
      </c>
      <c r="G1007" t="inlineStr"/>
      <c r="I1007" t="inlineStr">
        <is>
          <t>TN</t>
        </is>
      </c>
      <c r="J1007" t="inlineStr"/>
      <c r="K1007" t="inlineStr">
        <is>
          <t>20260413</t>
        </is>
      </c>
      <c r="L1007" t="inlineStr">
        <is>
          <t>99991231</t>
        </is>
      </c>
    </row>
    <row r="1008">
      <c r="A1008" t="inlineStr">
        <is>
          <t>900005974</t>
        </is>
      </c>
      <c r="B1008" t="inlineStr">
        <is>
          <t>DW70</t>
        </is>
      </c>
      <c r="C1008" t="inlineStr">
        <is>
          <t>D077</t>
        </is>
      </c>
      <c r="D1008" t="inlineStr">
        <is>
          <t>10000160</t>
        </is>
      </c>
      <c r="E1008" t="inlineStr"/>
      <c r="F1008" s="11" t="n">
        <v>106.46</v>
      </c>
      <c r="G1008" t="inlineStr"/>
      <c r="I1008" t="inlineStr">
        <is>
          <t>TN</t>
        </is>
      </c>
      <c r="J1008" t="inlineStr"/>
      <c r="K1008" t="inlineStr">
        <is>
          <t>20260413</t>
        </is>
      </c>
      <c r="L1008" t="inlineStr">
        <is>
          <t>99991231</t>
        </is>
      </c>
    </row>
    <row r="1009">
      <c r="A1009" t="inlineStr">
        <is>
          <t>900005974</t>
        </is>
      </c>
      <c r="B1009" t="inlineStr">
        <is>
          <t>DW70</t>
        </is>
      </c>
      <c r="C1009" t="inlineStr">
        <is>
          <t>D077</t>
        </is>
      </c>
      <c r="D1009" t="inlineStr">
        <is>
          <t>10000357</t>
        </is>
      </c>
      <c r="E1009" t="inlineStr"/>
      <c r="F1009" s="11" t="n">
        <v>109.35</v>
      </c>
      <c r="G1009" t="inlineStr"/>
      <c r="I1009" t="inlineStr">
        <is>
          <t>TN</t>
        </is>
      </c>
      <c r="J1009" t="inlineStr"/>
      <c r="K1009" t="inlineStr">
        <is>
          <t>20260413</t>
        </is>
      </c>
      <c r="L1009" t="inlineStr">
        <is>
          <t>99991231</t>
        </is>
      </c>
    </row>
    <row r="1010">
      <c r="A1010" t="inlineStr">
        <is>
          <t>900005974</t>
        </is>
      </c>
      <c r="B1010" t="inlineStr">
        <is>
          <t>DW70</t>
        </is>
      </c>
      <c r="C1010" t="inlineStr">
        <is>
          <t>D079</t>
        </is>
      </c>
      <c r="D1010" t="inlineStr">
        <is>
          <t>10000160</t>
        </is>
      </c>
      <c r="E1010" t="inlineStr"/>
      <c r="F1010" s="11" t="n">
        <v>106.46</v>
      </c>
      <c r="G1010" t="inlineStr"/>
      <c r="I1010" t="inlineStr">
        <is>
          <t>TN</t>
        </is>
      </c>
      <c r="J1010" t="inlineStr"/>
      <c r="K1010" t="inlineStr">
        <is>
          <t>20260413</t>
        </is>
      </c>
      <c r="L1010" t="inlineStr">
        <is>
          <t>99991231</t>
        </is>
      </c>
    </row>
    <row r="1011">
      <c r="A1011" t="inlineStr">
        <is>
          <t>900005974</t>
        </is>
      </c>
      <c r="B1011" t="inlineStr">
        <is>
          <t>DW70</t>
        </is>
      </c>
      <c r="C1011" t="inlineStr">
        <is>
          <t>D079</t>
        </is>
      </c>
      <c r="D1011" t="inlineStr">
        <is>
          <t>10000357</t>
        </is>
      </c>
      <c r="E1011" t="inlineStr"/>
      <c r="F1011" s="11" t="n">
        <v>109.35</v>
      </c>
      <c r="G1011" t="inlineStr"/>
      <c r="I1011" t="inlineStr">
        <is>
          <t>TN</t>
        </is>
      </c>
      <c r="J1011" t="inlineStr"/>
      <c r="K1011" t="inlineStr">
        <is>
          <t>20260413</t>
        </is>
      </c>
      <c r="L1011" t="inlineStr">
        <is>
          <t>99991231</t>
        </is>
      </c>
    </row>
    <row r="1012">
      <c r="A1012" t="inlineStr">
        <is>
          <t>900005974</t>
        </is>
      </c>
      <c r="B1012" t="inlineStr">
        <is>
          <t>DW70</t>
        </is>
      </c>
      <c r="C1012" t="inlineStr">
        <is>
          <t>D080</t>
        </is>
      </c>
      <c r="D1012" t="inlineStr">
        <is>
          <t>10000160</t>
        </is>
      </c>
      <c r="E1012" t="inlineStr"/>
      <c r="F1012" s="11" t="n">
        <v>106.46</v>
      </c>
      <c r="G1012" t="inlineStr"/>
      <c r="I1012" t="inlineStr">
        <is>
          <t>TN</t>
        </is>
      </c>
      <c r="J1012" t="inlineStr"/>
      <c r="K1012" t="inlineStr">
        <is>
          <t>20260413</t>
        </is>
      </c>
      <c r="L1012" t="inlineStr">
        <is>
          <t>99991231</t>
        </is>
      </c>
    </row>
    <row r="1013">
      <c r="A1013" t="inlineStr">
        <is>
          <t>900005974</t>
        </is>
      </c>
      <c r="B1013" t="inlineStr">
        <is>
          <t>DW70</t>
        </is>
      </c>
      <c r="C1013" t="inlineStr">
        <is>
          <t>D080</t>
        </is>
      </c>
      <c r="D1013" t="inlineStr">
        <is>
          <t>10000357</t>
        </is>
      </c>
      <c r="E1013" t="inlineStr"/>
      <c r="F1013" s="11" t="n">
        <v>109.35</v>
      </c>
      <c r="G1013" t="inlineStr"/>
      <c r="I1013" t="inlineStr">
        <is>
          <t>TN</t>
        </is>
      </c>
      <c r="J1013" t="inlineStr"/>
      <c r="K1013" t="inlineStr">
        <is>
          <t>20260413</t>
        </is>
      </c>
      <c r="L1013" t="inlineStr">
        <is>
          <t>99991231</t>
        </is>
      </c>
    </row>
    <row r="1014">
      <c r="A1014" t="inlineStr">
        <is>
          <t>900005974</t>
        </is>
      </c>
      <c r="B1014" t="inlineStr">
        <is>
          <t>DW70</t>
        </is>
      </c>
      <c r="C1014" t="inlineStr">
        <is>
          <t>D081</t>
        </is>
      </c>
      <c r="D1014" t="inlineStr">
        <is>
          <t>10000160</t>
        </is>
      </c>
      <c r="E1014" t="inlineStr"/>
      <c r="F1014" s="11" t="n">
        <v>106.46</v>
      </c>
      <c r="G1014" t="inlineStr"/>
      <c r="I1014" t="inlineStr">
        <is>
          <t>TN</t>
        </is>
      </c>
      <c r="J1014" t="inlineStr"/>
      <c r="K1014" t="inlineStr">
        <is>
          <t>20260413</t>
        </is>
      </c>
      <c r="L1014" t="inlineStr">
        <is>
          <t>99991231</t>
        </is>
      </c>
    </row>
    <row r="1015">
      <c r="A1015" t="inlineStr">
        <is>
          <t>900005974</t>
        </is>
      </c>
      <c r="B1015" t="inlineStr">
        <is>
          <t>DW70</t>
        </is>
      </c>
      <c r="C1015" t="inlineStr">
        <is>
          <t>D081</t>
        </is>
      </c>
      <c r="D1015" t="inlineStr">
        <is>
          <t>10000357</t>
        </is>
      </c>
      <c r="E1015" t="inlineStr"/>
      <c r="F1015" s="11" t="n">
        <v>109.35</v>
      </c>
      <c r="G1015" t="inlineStr"/>
      <c r="I1015" t="inlineStr">
        <is>
          <t>TN</t>
        </is>
      </c>
      <c r="J1015" t="inlineStr"/>
      <c r="K1015" t="inlineStr">
        <is>
          <t>20260413</t>
        </is>
      </c>
      <c r="L1015" t="inlineStr">
        <is>
          <t>99991231</t>
        </is>
      </c>
    </row>
    <row r="1016">
      <c r="A1016" t="inlineStr">
        <is>
          <t>900005974</t>
        </is>
      </c>
      <c r="B1016" t="inlineStr">
        <is>
          <t>DW70</t>
        </is>
      </c>
      <c r="C1016" t="inlineStr">
        <is>
          <t>D083</t>
        </is>
      </c>
      <c r="D1016" t="inlineStr">
        <is>
          <t>10000160</t>
        </is>
      </c>
      <c r="E1016" t="inlineStr"/>
      <c r="F1016" s="11" t="n">
        <v>106.46</v>
      </c>
      <c r="G1016" t="inlineStr"/>
      <c r="I1016" t="inlineStr">
        <is>
          <t>TN</t>
        </is>
      </c>
      <c r="J1016" t="inlineStr"/>
      <c r="K1016" t="inlineStr">
        <is>
          <t>20260413</t>
        </is>
      </c>
      <c r="L1016" t="inlineStr">
        <is>
          <t>99991231</t>
        </is>
      </c>
    </row>
    <row r="1017">
      <c r="A1017" t="inlineStr">
        <is>
          <t>900005974</t>
        </is>
      </c>
      <c r="B1017" t="inlineStr">
        <is>
          <t>DW70</t>
        </is>
      </c>
      <c r="C1017" t="inlineStr">
        <is>
          <t>D083</t>
        </is>
      </c>
      <c r="D1017" t="inlineStr">
        <is>
          <t>10000357</t>
        </is>
      </c>
      <c r="E1017" t="inlineStr"/>
      <c r="F1017" s="11" t="n">
        <v>109.35</v>
      </c>
      <c r="G1017" t="inlineStr"/>
      <c r="I1017" t="inlineStr">
        <is>
          <t>TN</t>
        </is>
      </c>
      <c r="J1017" t="inlineStr"/>
      <c r="K1017" t="inlineStr">
        <is>
          <t>20260413</t>
        </is>
      </c>
      <c r="L1017" t="inlineStr">
        <is>
          <t>99991231</t>
        </is>
      </c>
    </row>
    <row r="1018">
      <c r="A1018" t="inlineStr">
        <is>
          <t>900005974</t>
        </is>
      </c>
      <c r="B1018" t="inlineStr">
        <is>
          <t>DW70</t>
        </is>
      </c>
      <c r="C1018" t="inlineStr">
        <is>
          <t>D084</t>
        </is>
      </c>
      <c r="D1018" t="inlineStr">
        <is>
          <t>10000160</t>
        </is>
      </c>
      <c r="E1018" t="inlineStr"/>
      <c r="F1018" s="11" t="n">
        <v>106.46</v>
      </c>
      <c r="G1018" t="inlineStr"/>
      <c r="I1018" t="inlineStr">
        <is>
          <t>TN</t>
        </is>
      </c>
      <c r="J1018" t="inlineStr"/>
      <c r="K1018" t="inlineStr">
        <is>
          <t>20260413</t>
        </is>
      </c>
      <c r="L1018" t="inlineStr">
        <is>
          <t>99991231</t>
        </is>
      </c>
    </row>
    <row r="1019">
      <c r="A1019" t="inlineStr">
        <is>
          <t>900005974</t>
        </is>
      </c>
      <c r="B1019" t="inlineStr">
        <is>
          <t>DW70</t>
        </is>
      </c>
      <c r="C1019" t="inlineStr">
        <is>
          <t>D084</t>
        </is>
      </c>
      <c r="D1019" t="inlineStr">
        <is>
          <t>10000357</t>
        </is>
      </c>
      <c r="E1019" t="inlineStr"/>
      <c r="F1019" s="11" t="n">
        <v>109.35</v>
      </c>
      <c r="G1019" t="inlineStr"/>
      <c r="I1019" t="inlineStr">
        <is>
          <t>TN</t>
        </is>
      </c>
      <c r="J1019" t="inlineStr"/>
      <c r="K1019" t="inlineStr">
        <is>
          <t>20260413</t>
        </is>
      </c>
      <c r="L1019" t="inlineStr">
        <is>
          <t>99991231</t>
        </is>
      </c>
    </row>
    <row r="1020">
      <c r="A1020" t="inlineStr">
        <is>
          <t>900005974</t>
        </is>
      </c>
      <c r="B1020" t="inlineStr">
        <is>
          <t>DW70</t>
        </is>
      </c>
      <c r="C1020" t="inlineStr">
        <is>
          <t>D085</t>
        </is>
      </c>
      <c r="D1020" t="inlineStr">
        <is>
          <t>10000160</t>
        </is>
      </c>
      <c r="E1020" t="inlineStr"/>
      <c r="F1020" s="11" t="n">
        <v>106.46</v>
      </c>
      <c r="G1020" t="inlineStr"/>
      <c r="I1020" t="inlineStr">
        <is>
          <t>TN</t>
        </is>
      </c>
      <c r="J1020" t="inlineStr"/>
      <c r="K1020" t="inlineStr">
        <is>
          <t>20260413</t>
        </is>
      </c>
      <c r="L1020" t="inlineStr">
        <is>
          <t>99991231</t>
        </is>
      </c>
    </row>
    <row r="1021">
      <c r="A1021" t="inlineStr">
        <is>
          <t>900005974</t>
        </is>
      </c>
      <c r="B1021" t="inlineStr">
        <is>
          <t>DW70</t>
        </is>
      </c>
      <c r="C1021" t="inlineStr">
        <is>
          <t>D085</t>
        </is>
      </c>
      <c r="D1021" t="inlineStr">
        <is>
          <t>10000357</t>
        </is>
      </c>
      <c r="E1021" t="inlineStr"/>
      <c r="F1021" s="11" t="n">
        <v>109.35</v>
      </c>
      <c r="G1021" t="inlineStr"/>
      <c r="I1021" t="inlineStr">
        <is>
          <t>TN</t>
        </is>
      </c>
      <c r="J1021" t="inlineStr"/>
      <c r="K1021" t="inlineStr">
        <is>
          <t>20260413</t>
        </is>
      </c>
      <c r="L1021" t="inlineStr">
        <is>
          <t>99991231</t>
        </is>
      </c>
    </row>
    <row r="1022">
      <c r="A1022" t="inlineStr">
        <is>
          <t>900005974</t>
        </is>
      </c>
      <c r="B1022" t="inlineStr">
        <is>
          <t>DW70</t>
        </is>
      </c>
      <c r="C1022" t="inlineStr">
        <is>
          <t>D086</t>
        </is>
      </c>
      <c r="D1022" t="inlineStr">
        <is>
          <t>10000160</t>
        </is>
      </c>
      <c r="E1022" t="inlineStr"/>
      <c r="F1022" s="11" t="n">
        <v>106.46</v>
      </c>
      <c r="G1022" t="inlineStr"/>
      <c r="I1022" t="inlineStr">
        <is>
          <t>TN</t>
        </is>
      </c>
      <c r="J1022" t="inlineStr"/>
      <c r="K1022" t="inlineStr">
        <is>
          <t>20260413</t>
        </is>
      </c>
      <c r="L1022" t="inlineStr">
        <is>
          <t>99991231</t>
        </is>
      </c>
    </row>
    <row r="1023">
      <c r="A1023" t="inlineStr">
        <is>
          <t>900005974</t>
        </is>
      </c>
      <c r="B1023" t="inlineStr">
        <is>
          <t>DW70</t>
        </is>
      </c>
      <c r="C1023" t="inlineStr">
        <is>
          <t>D086</t>
        </is>
      </c>
      <c r="D1023" t="inlineStr">
        <is>
          <t>10000357</t>
        </is>
      </c>
      <c r="E1023" t="inlineStr"/>
      <c r="F1023" s="11" t="n">
        <v>109.35</v>
      </c>
      <c r="G1023" t="inlineStr"/>
      <c r="I1023" t="inlineStr">
        <is>
          <t>TN</t>
        </is>
      </c>
      <c r="J1023" t="inlineStr"/>
      <c r="K1023" t="inlineStr">
        <is>
          <t>20260413</t>
        </is>
      </c>
      <c r="L1023" t="inlineStr">
        <is>
          <t>99991231</t>
        </is>
      </c>
    </row>
    <row r="1024">
      <c r="A1024" t="inlineStr">
        <is>
          <t>900005974</t>
        </is>
      </c>
      <c r="B1024" t="inlineStr">
        <is>
          <t>DW70</t>
        </is>
      </c>
      <c r="C1024" t="inlineStr">
        <is>
          <t>D093</t>
        </is>
      </c>
      <c r="D1024" t="inlineStr">
        <is>
          <t>10000160</t>
        </is>
      </c>
      <c r="E1024" t="inlineStr"/>
      <c r="F1024" s="11" t="n">
        <v>106.46</v>
      </c>
      <c r="G1024" t="inlineStr"/>
      <c r="I1024" t="inlineStr">
        <is>
          <t>TN</t>
        </is>
      </c>
      <c r="J1024" t="inlineStr"/>
      <c r="K1024" t="inlineStr">
        <is>
          <t>20260413</t>
        </is>
      </c>
      <c r="L1024" t="inlineStr">
        <is>
          <t>99991231</t>
        </is>
      </c>
    </row>
    <row r="1025">
      <c r="A1025" t="inlineStr">
        <is>
          <t>900005974</t>
        </is>
      </c>
      <c r="B1025" t="inlineStr">
        <is>
          <t>DW70</t>
        </is>
      </c>
      <c r="C1025" t="inlineStr">
        <is>
          <t>D093</t>
        </is>
      </c>
      <c r="D1025" t="inlineStr">
        <is>
          <t>10000357</t>
        </is>
      </c>
      <c r="E1025" t="inlineStr"/>
      <c r="F1025" s="11" t="n">
        <v>109.35</v>
      </c>
      <c r="G1025" t="inlineStr"/>
      <c r="I1025" t="inlineStr">
        <is>
          <t>TN</t>
        </is>
      </c>
      <c r="J1025" t="inlineStr"/>
      <c r="K1025" t="inlineStr">
        <is>
          <t>20260413</t>
        </is>
      </c>
      <c r="L1025" t="inlineStr">
        <is>
          <t>99991231</t>
        </is>
      </c>
    </row>
    <row r="1026">
      <c r="A1026" t="inlineStr">
        <is>
          <t>900005974</t>
        </is>
      </c>
      <c r="B1026" t="inlineStr">
        <is>
          <t>DW70</t>
        </is>
      </c>
      <c r="C1026" t="inlineStr">
        <is>
          <t>D098</t>
        </is>
      </c>
      <c r="D1026" t="inlineStr">
        <is>
          <t>10000160</t>
        </is>
      </c>
      <c r="E1026" t="inlineStr"/>
      <c r="F1026" s="11" t="n">
        <v>106.46</v>
      </c>
      <c r="G1026" t="inlineStr"/>
      <c r="I1026" t="inlineStr">
        <is>
          <t>TN</t>
        </is>
      </c>
      <c r="J1026" t="inlineStr"/>
      <c r="K1026" t="inlineStr">
        <is>
          <t>20260413</t>
        </is>
      </c>
      <c r="L1026" t="inlineStr">
        <is>
          <t>99991231</t>
        </is>
      </c>
    </row>
    <row r="1027">
      <c r="A1027" t="inlineStr">
        <is>
          <t>900005974</t>
        </is>
      </c>
      <c r="B1027" t="inlineStr">
        <is>
          <t>DW70</t>
        </is>
      </c>
      <c r="C1027" t="inlineStr">
        <is>
          <t>D098</t>
        </is>
      </c>
      <c r="D1027" t="inlineStr">
        <is>
          <t>10000357</t>
        </is>
      </c>
      <c r="E1027" t="inlineStr"/>
      <c r="F1027" s="11" t="n">
        <v>109.35</v>
      </c>
      <c r="G1027" t="inlineStr"/>
      <c r="I1027" t="inlineStr">
        <is>
          <t>TN</t>
        </is>
      </c>
      <c r="J1027" t="inlineStr"/>
      <c r="K1027" t="inlineStr">
        <is>
          <t>20260413</t>
        </is>
      </c>
      <c r="L1027" t="inlineStr">
        <is>
          <t>99991231</t>
        </is>
      </c>
    </row>
    <row r="1028">
      <c r="A1028" t="inlineStr">
        <is>
          <t>900005974</t>
        </is>
      </c>
      <c r="B1028" t="inlineStr">
        <is>
          <t>DW70</t>
        </is>
      </c>
      <c r="C1028" t="inlineStr">
        <is>
          <t>D105</t>
        </is>
      </c>
      <c r="D1028" t="inlineStr">
        <is>
          <t>10000160</t>
        </is>
      </c>
      <c r="E1028" t="inlineStr"/>
      <c r="F1028" s="11" t="n">
        <v>106.46</v>
      </c>
      <c r="G1028" t="inlineStr"/>
      <c r="I1028" t="inlineStr">
        <is>
          <t>TN</t>
        </is>
      </c>
      <c r="J1028" t="inlineStr"/>
      <c r="K1028" t="inlineStr">
        <is>
          <t>20260413</t>
        </is>
      </c>
      <c r="L1028" t="inlineStr">
        <is>
          <t>99991231</t>
        </is>
      </c>
    </row>
    <row r="1029">
      <c r="A1029" t="inlineStr">
        <is>
          <t>900005974</t>
        </is>
      </c>
      <c r="B1029" t="inlineStr">
        <is>
          <t>DW70</t>
        </is>
      </c>
      <c r="C1029" t="inlineStr">
        <is>
          <t>D105</t>
        </is>
      </c>
      <c r="D1029" t="inlineStr">
        <is>
          <t>10000357</t>
        </is>
      </c>
      <c r="E1029" t="inlineStr"/>
      <c r="F1029" s="11" t="n">
        <v>109.35</v>
      </c>
      <c r="G1029" t="inlineStr"/>
      <c r="I1029" t="inlineStr">
        <is>
          <t>TN</t>
        </is>
      </c>
      <c r="J1029" t="inlineStr"/>
      <c r="K1029" t="inlineStr">
        <is>
          <t>20260413</t>
        </is>
      </c>
      <c r="L1029" t="inlineStr">
        <is>
          <t>99991231</t>
        </is>
      </c>
    </row>
    <row r="1030">
      <c r="A1030" t="inlineStr">
        <is>
          <t>900005974</t>
        </is>
      </c>
      <c r="B1030" t="inlineStr">
        <is>
          <t>DW70</t>
        </is>
      </c>
      <c r="C1030" t="inlineStr">
        <is>
          <t>D136</t>
        </is>
      </c>
      <c r="D1030" t="inlineStr">
        <is>
          <t>10000160</t>
        </is>
      </c>
      <c r="E1030" t="inlineStr"/>
      <c r="F1030" s="11" t="n">
        <v>106.46</v>
      </c>
      <c r="G1030" t="inlineStr"/>
      <c r="I1030" t="inlineStr">
        <is>
          <t>TN</t>
        </is>
      </c>
      <c r="J1030" t="inlineStr"/>
      <c r="K1030" t="inlineStr">
        <is>
          <t>20260413</t>
        </is>
      </c>
      <c r="L1030" t="inlineStr">
        <is>
          <t>99991231</t>
        </is>
      </c>
    </row>
    <row r="1031">
      <c r="A1031" t="inlineStr">
        <is>
          <t>900005974</t>
        </is>
      </c>
      <c r="B1031" t="inlineStr">
        <is>
          <t>DW70</t>
        </is>
      </c>
      <c r="C1031" t="inlineStr">
        <is>
          <t>D136</t>
        </is>
      </c>
      <c r="D1031" t="inlineStr">
        <is>
          <t>10000357</t>
        </is>
      </c>
      <c r="E1031" t="inlineStr"/>
      <c r="F1031" s="11" t="n">
        <v>109.35</v>
      </c>
      <c r="G1031" t="inlineStr"/>
      <c r="I1031" t="inlineStr">
        <is>
          <t>TN</t>
        </is>
      </c>
      <c r="J1031" t="inlineStr"/>
      <c r="K1031" t="inlineStr">
        <is>
          <t>20260413</t>
        </is>
      </c>
      <c r="L1031" t="inlineStr">
        <is>
          <t>99991231</t>
        </is>
      </c>
    </row>
    <row r="1032">
      <c r="A1032" t="inlineStr">
        <is>
          <t>900005974</t>
        </is>
      </c>
      <c r="B1032" t="inlineStr">
        <is>
          <t>DW70</t>
        </is>
      </c>
      <c r="C1032" t="inlineStr">
        <is>
          <t>D145</t>
        </is>
      </c>
      <c r="D1032" t="inlineStr">
        <is>
          <t>10000160</t>
        </is>
      </c>
      <c r="E1032" t="inlineStr"/>
      <c r="F1032" s="11" t="n">
        <v>106.46</v>
      </c>
      <c r="G1032" t="inlineStr"/>
      <c r="I1032" t="inlineStr">
        <is>
          <t>TN</t>
        </is>
      </c>
      <c r="J1032" t="inlineStr"/>
      <c r="K1032" t="inlineStr">
        <is>
          <t>20260413</t>
        </is>
      </c>
      <c r="L1032" t="inlineStr">
        <is>
          <t>99991231</t>
        </is>
      </c>
    </row>
    <row r="1033">
      <c r="A1033" t="inlineStr">
        <is>
          <t>900005974</t>
        </is>
      </c>
      <c r="B1033" t="inlineStr">
        <is>
          <t>DW70</t>
        </is>
      </c>
      <c r="C1033" t="inlineStr">
        <is>
          <t>D145</t>
        </is>
      </c>
      <c r="D1033" t="inlineStr">
        <is>
          <t>10000357</t>
        </is>
      </c>
      <c r="E1033" t="inlineStr"/>
      <c r="F1033" s="11" t="n">
        <v>109.35</v>
      </c>
      <c r="G1033" t="inlineStr"/>
      <c r="I1033" t="inlineStr">
        <is>
          <t>TN</t>
        </is>
      </c>
      <c r="J1033" t="inlineStr"/>
      <c r="K1033" t="inlineStr">
        <is>
          <t>20260413</t>
        </is>
      </c>
      <c r="L1033" t="inlineStr">
        <is>
          <t>99991231</t>
        </is>
      </c>
    </row>
    <row r="1034">
      <c r="A1034" t="inlineStr">
        <is>
          <t>900005974</t>
        </is>
      </c>
      <c r="B1034" t="inlineStr">
        <is>
          <t>DW70</t>
        </is>
      </c>
      <c r="C1034" t="inlineStr">
        <is>
          <t>D681</t>
        </is>
      </c>
      <c r="D1034" t="inlineStr">
        <is>
          <t>10000160</t>
        </is>
      </c>
      <c r="E1034" t="inlineStr"/>
      <c r="F1034" s="11" t="n">
        <v>106.46</v>
      </c>
      <c r="G1034" t="inlineStr"/>
      <c r="I1034" t="inlineStr">
        <is>
          <t>TN</t>
        </is>
      </c>
      <c r="J1034" t="inlineStr"/>
      <c r="K1034" t="inlineStr">
        <is>
          <t>20260413</t>
        </is>
      </c>
      <c r="L1034" t="inlineStr">
        <is>
          <t>99991231</t>
        </is>
      </c>
    </row>
    <row r="1035">
      <c r="A1035" t="inlineStr">
        <is>
          <t>900005974</t>
        </is>
      </c>
      <c r="B1035" t="inlineStr">
        <is>
          <t>DW70</t>
        </is>
      </c>
      <c r="C1035" t="inlineStr">
        <is>
          <t>D681</t>
        </is>
      </c>
      <c r="D1035" t="inlineStr">
        <is>
          <t>10000357</t>
        </is>
      </c>
      <c r="E1035" t="inlineStr"/>
      <c r="F1035" s="11" t="n">
        <v>109.35</v>
      </c>
      <c r="G1035" t="inlineStr"/>
      <c r="I1035" t="inlineStr">
        <is>
          <t>TN</t>
        </is>
      </c>
      <c r="J1035" t="inlineStr"/>
      <c r="K1035" t="inlineStr">
        <is>
          <t>20260413</t>
        </is>
      </c>
      <c r="L1035" t="inlineStr">
        <is>
          <t>99991231</t>
        </is>
      </c>
    </row>
    <row r="1036">
      <c r="A1036" t="inlineStr">
        <is>
          <t>900006140</t>
        </is>
      </c>
      <c r="B1036" t="inlineStr">
        <is>
          <t>DW70</t>
        </is>
      </c>
      <c r="C1036" t="inlineStr">
        <is>
          <t>D111</t>
        </is>
      </c>
      <c r="D1036" t="inlineStr">
        <is>
          <t>10000811</t>
        </is>
      </c>
      <c r="E1036" t="inlineStr"/>
      <c r="F1036" s="11" t="n">
        <v>252.37</v>
      </c>
      <c r="G1036" t="inlineStr"/>
      <c r="I1036" t="inlineStr">
        <is>
          <t>TN</t>
        </is>
      </c>
      <c r="J1036" t="inlineStr"/>
      <c r="K1036" t="inlineStr">
        <is>
          <t>20230501</t>
        </is>
      </c>
      <c r="L1036" t="inlineStr">
        <is>
          <t>20250131</t>
        </is>
      </c>
    </row>
    <row r="1037">
      <c r="A1037" t="inlineStr">
        <is>
          <t>900006140</t>
        </is>
      </c>
      <c r="B1037" t="inlineStr">
        <is>
          <t>DW70</t>
        </is>
      </c>
      <c r="C1037" t="inlineStr">
        <is>
          <t>D111</t>
        </is>
      </c>
      <c r="D1037" t="inlineStr">
        <is>
          <t>10161192</t>
        </is>
      </c>
      <c r="E1037" t="inlineStr"/>
      <c r="F1037" s="11" t="n">
        <v>295.64</v>
      </c>
      <c r="G1037" t="inlineStr"/>
      <c r="I1037" t="inlineStr">
        <is>
          <t>TN</t>
        </is>
      </c>
      <c r="J1037" t="inlineStr"/>
      <c r="K1037" t="inlineStr">
        <is>
          <t>20230501</t>
        </is>
      </c>
      <c r="L1037" t="inlineStr">
        <is>
          <t>20250131</t>
        </is>
      </c>
    </row>
    <row r="1038">
      <c r="A1038" t="inlineStr">
        <is>
          <t>900006140</t>
        </is>
      </c>
      <c r="B1038" t="inlineStr">
        <is>
          <t>DW70</t>
        </is>
      </c>
      <c r="C1038" t="inlineStr">
        <is>
          <t>D111</t>
        </is>
      </c>
      <c r="D1038" t="inlineStr">
        <is>
          <t>10161492</t>
        </is>
      </c>
      <c r="E1038" t="inlineStr"/>
      <c r="F1038" s="11" t="n">
        <v>184.72</v>
      </c>
      <c r="G1038" t="inlineStr"/>
      <c r="I1038" t="inlineStr">
        <is>
          <t>TN</t>
        </is>
      </c>
      <c r="J1038" t="inlineStr"/>
      <c r="K1038" t="inlineStr">
        <is>
          <t>20230501</t>
        </is>
      </c>
      <c r="L1038" t="inlineStr">
        <is>
          <t>20250131</t>
        </is>
      </c>
    </row>
    <row r="1039">
      <c r="A1039" t="inlineStr">
        <is>
          <t>900006140</t>
        </is>
      </c>
      <c r="B1039" t="inlineStr">
        <is>
          <t>DW70</t>
        </is>
      </c>
      <c r="C1039" t="inlineStr">
        <is>
          <t>D111</t>
        </is>
      </c>
      <c r="D1039" t="inlineStr">
        <is>
          <t>10165760</t>
        </is>
      </c>
      <c r="E1039" t="inlineStr"/>
      <c r="F1039" s="11" t="n">
        <v>151.52</v>
      </c>
      <c r="G1039" t="inlineStr"/>
      <c r="I1039" t="inlineStr">
        <is>
          <t>TN</t>
        </is>
      </c>
      <c r="J1039" t="inlineStr"/>
      <c r="K1039" t="inlineStr">
        <is>
          <t>20230501</t>
        </is>
      </c>
      <c r="L1039" t="inlineStr">
        <is>
          <t>20250131</t>
        </is>
      </c>
    </row>
    <row r="1040">
      <c r="A1040" t="inlineStr">
        <is>
          <t>900006140</t>
        </is>
      </c>
      <c r="B1040" t="inlineStr">
        <is>
          <t>DW70</t>
        </is>
      </c>
      <c r="C1040" t="inlineStr">
        <is>
          <t>D111</t>
        </is>
      </c>
      <c r="D1040" t="inlineStr">
        <is>
          <t>10165990</t>
        </is>
      </c>
      <c r="E1040" t="inlineStr"/>
      <c r="F1040" s="11" t="n">
        <v>227.27</v>
      </c>
      <c r="G1040" t="inlineStr"/>
      <c r="I1040" t="inlineStr">
        <is>
          <t>TN</t>
        </is>
      </c>
      <c r="J1040" t="inlineStr"/>
      <c r="K1040" t="inlineStr">
        <is>
          <t>20230501</t>
        </is>
      </c>
      <c r="L1040" t="inlineStr">
        <is>
          <t>20250131</t>
        </is>
      </c>
    </row>
    <row r="1041">
      <c r="A1041" t="inlineStr">
        <is>
          <t>900006140</t>
        </is>
      </c>
      <c r="B1041" t="inlineStr">
        <is>
          <t>DW70</t>
        </is>
      </c>
      <c r="C1041" t="inlineStr">
        <is>
          <t>D111</t>
        </is>
      </c>
      <c r="D1041" t="inlineStr">
        <is>
          <t>10169677</t>
        </is>
      </c>
      <c r="E1041" t="inlineStr"/>
      <c r="F1041" s="11" t="n">
        <v>156.25</v>
      </c>
      <c r="G1041" t="inlineStr"/>
      <c r="I1041" t="inlineStr">
        <is>
          <t>TN</t>
        </is>
      </c>
      <c r="J1041" t="inlineStr"/>
      <c r="K1041" t="inlineStr">
        <is>
          <t>20230501</t>
        </is>
      </c>
      <c r="L1041" t="inlineStr">
        <is>
          <t>20250131</t>
        </is>
      </c>
    </row>
    <row r="1042">
      <c r="A1042" t="inlineStr">
        <is>
          <t>900006172</t>
        </is>
      </c>
      <c r="B1042" t="inlineStr">
        <is>
          <t>DW70</t>
        </is>
      </c>
      <c r="C1042" t="inlineStr">
        <is>
          <t>D074</t>
        </is>
      </c>
      <c r="D1042" t="inlineStr">
        <is>
          <t>10000811</t>
        </is>
      </c>
      <c r="E1042" t="inlineStr"/>
      <c r="F1042" s="11" t="n">
        <v>107.81</v>
      </c>
      <c r="G1042" t="inlineStr"/>
      <c r="I1042" t="inlineStr">
        <is>
          <t>TN</t>
        </is>
      </c>
      <c r="J1042" t="inlineStr"/>
      <c r="K1042" t="inlineStr">
        <is>
          <t>20260805</t>
        </is>
      </c>
      <c r="L1042" t="inlineStr">
        <is>
          <t>99991231</t>
        </is>
      </c>
    </row>
    <row r="1043">
      <c r="A1043" t="inlineStr">
        <is>
          <t>900006172</t>
        </is>
      </c>
      <c r="B1043" t="inlineStr">
        <is>
          <t>DW70</t>
        </is>
      </c>
      <c r="C1043" t="inlineStr">
        <is>
          <t>D074</t>
        </is>
      </c>
      <c r="D1043" t="inlineStr">
        <is>
          <t>10233033</t>
        </is>
      </c>
      <c r="E1043" t="inlineStr"/>
      <c r="F1043" s="11" t="n">
        <v>111.43</v>
      </c>
      <c r="G1043" t="inlineStr"/>
      <c r="I1043" t="inlineStr">
        <is>
          <t>TN</t>
        </is>
      </c>
      <c r="J1043" t="inlineStr"/>
      <c r="K1043" t="inlineStr">
        <is>
          <t>20260616</t>
        </is>
      </c>
      <c r="L1043" t="inlineStr">
        <is>
          <t>99991231</t>
        </is>
      </c>
    </row>
    <row r="1044">
      <c r="A1044" t="inlineStr">
        <is>
          <t>900006172</t>
        </is>
      </c>
      <c r="B1044" t="inlineStr">
        <is>
          <t>DW70</t>
        </is>
      </c>
      <c r="C1044" t="inlineStr">
        <is>
          <t>D075</t>
        </is>
      </c>
      <c r="D1044" t="inlineStr">
        <is>
          <t>10000811</t>
        </is>
      </c>
      <c r="E1044" t="inlineStr"/>
      <c r="F1044" s="11" t="n">
        <v>107.81</v>
      </c>
      <c r="G1044" t="inlineStr"/>
      <c r="I1044" t="inlineStr">
        <is>
          <t>TN</t>
        </is>
      </c>
      <c r="J1044" t="inlineStr"/>
      <c r="K1044" t="inlineStr">
        <is>
          <t>20260805</t>
        </is>
      </c>
      <c r="L1044" t="inlineStr">
        <is>
          <t>99991231</t>
        </is>
      </c>
    </row>
    <row r="1045">
      <c r="A1045" t="inlineStr">
        <is>
          <t>900006172</t>
        </is>
      </c>
      <c r="B1045" t="inlineStr">
        <is>
          <t>DW70</t>
        </is>
      </c>
      <c r="C1045" t="inlineStr">
        <is>
          <t>D075</t>
        </is>
      </c>
      <c r="D1045" t="inlineStr">
        <is>
          <t>10233033</t>
        </is>
      </c>
      <c r="E1045" t="inlineStr"/>
      <c r="F1045" s="11" t="n">
        <v>111.43</v>
      </c>
      <c r="G1045" t="inlineStr"/>
      <c r="I1045" t="inlineStr">
        <is>
          <t>TN</t>
        </is>
      </c>
      <c r="J1045" t="inlineStr"/>
      <c r="K1045" t="inlineStr">
        <is>
          <t>20260616</t>
        </is>
      </c>
      <c r="L1045" t="inlineStr">
        <is>
          <t>99991231</t>
        </is>
      </c>
    </row>
    <row r="1046">
      <c r="A1046" t="inlineStr">
        <is>
          <t>900006172</t>
        </is>
      </c>
      <c r="B1046" t="inlineStr">
        <is>
          <t>DW70</t>
        </is>
      </c>
      <c r="C1046" t="inlineStr">
        <is>
          <t>D077</t>
        </is>
      </c>
      <c r="D1046" t="inlineStr">
        <is>
          <t>10000811</t>
        </is>
      </c>
      <c r="E1046" t="inlineStr"/>
      <c r="F1046" s="11" t="n">
        <v>107.81</v>
      </c>
      <c r="G1046" t="inlineStr"/>
      <c r="I1046" t="inlineStr">
        <is>
          <t>TN</t>
        </is>
      </c>
      <c r="J1046" t="inlineStr"/>
      <c r="K1046" t="inlineStr">
        <is>
          <t>20260805</t>
        </is>
      </c>
      <c r="L1046" t="inlineStr">
        <is>
          <t>99991231</t>
        </is>
      </c>
    </row>
    <row r="1047">
      <c r="A1047" t="inlineStr">
        <is>
          <t>900006172</t>
        </is>
      </c>
      <c r="B1047" t="inlineStr">
        <is>
          <t>DW70</t>
        </is>
      </c>
      <c r="C1047" t="inlineStr">
        <is>
          <t>D077</t>
        </is>
      </c>
      <c r="D1047" t="inlineStr">
        <is>
          <t>10233033</t>
        </is>
      </c>
      <c r="E1047" t="inlineStr"/>
      <c r="F1047" s="11" t="n">
        <v>111.43</v>
      </c>
      <c r="G1047" t="inlineStr"/>
      <c r="I1047" t="inlineStr">
        <is>
          <t>TN</t>
        </is>
      </c>
      <c r="J1047" t="inlineStr"/>
      <c r="K1047" t="inlineStr">
        <is>
          <t>20260616</t>
        </is>
      </c>
      <c r="L1047" t="inlineStr">
        <is>
          <t>99991231</t>
        </is>
      </c>
    </row>
    <row r="1048">
      <c r="A1048" t="inlineStr">
        <is>
          <t>900006172</t>
        </is>
      </c>
      <c r="B1048" t="inlineStr">
        <is>
          <t>DW70</t>
        </is>
      </c>
      <c r="C1048" t="inlineStr">
        <is>
          <t>D079</t>
        </is>
      </c>
      <c r="D1048" t="inlineStr">
        <is>
          <t>10000811</t>
        </is>
      </c>
      <c r="E1048" t="inlineStr"/>
      <c r="F1048" s="11" t="n">
        <v>107.81</v>
      </c>
      <c r="G1048" t="inlineStr"/>
      <c r="I1048" t="inlineStr">
        <is>
          <t>TN</t>
        </is>
      </c>
      <c r="J1048" t="inlineStr"/>
      <c r="K1048" t="inlineStr">
        <is>
          <t>20260805</t>
        </is>
      </c>
      <c r="L1048" t="inlineStr">
        <is>
          <t>99991231</t>
        </is>
      </c>
    </row>
    <row r="1049">
      <c r="A1049" t="inlineStr">
        <is>
          <t>900006172</t>
        </is>
      </c>
      <c r="B1049" t="inlineStr">
        <is>
          <t>DW70</t>
        </is>
      </c>
      <c r="C1049" t="inlineStr">
        <is>
          <t>D079</t>
        </is>
      </c>
      <c r="D1049" t="inlineStr">
        <is>
          <t>10233033</t>
        </is>
      </c>
      <c r="E1049" t="inlineStr"/>
      <c r="F1049" s="11" t="n">
        <v>111.43</v>
      </c>
      <c r="G1049" t="inlineStr"/>
      <c r="I1049" t="inlineStr">
        <is>
          <t>TN</t>
        </is>
      </c>
      <c r="J1049" t="inlineStr"/>
      <c r="K1049" t="inlineStr">
        <is>
          <t>20260616</t>
        </is>
      </c>
      <c r="L1049" t="inlineStr">
        <is>
          <t>99991231</t>
        </is>
      </c>
    </row>
    <row r="1050">
      <c r="A1050" t="inlineStr">
        <is>
          <t>900006172</t>
        </is>
      </c>
      <c r="B1050" t="inlineStr">
        <is>
          <t>DW70</t>
        </is>
      </c>
      <c r="C1050" t="inlineStr">
        <is>
          <t>D080</t>
        </is>
      </c>
      <c r="D1050" t="inlineStr">
        <is>
          <t>10233033</t>
        </is>
      </c>
      <c r="E1050" t="inlineStr"/>
      <c r="F1050" s="11" t="n">
        <v>111.43</v>
      </c>
      <c r="G1050" t="inlineStr"/>
      <c r="I1050" t="inlineStr">
        <is>
          <t>TN</t>
        </is>
      </c>
      <c r="J1050" t="inlineStr"/>
      <c r="K1050" t="inlineStr">
        <is>
          <t>20260616</t>
        </is>
      </c>
      <c r="L1050" t="inlineStr">
        <is>
          <t>99991231</t>
        </is>
      </c>
    </row>
    <row r="1051">
      <c r="A1051" t="inlineStr">
        <is>
          <t>900006172</t>
        </is>
      </c>
      <c r="B1051" t="inlineStr">
        <is>
          <t>DW70</t>
        </is>
      </c>
      <c r="C1051" t="inlineStr">
        <is>
          <t>D081</t>
        </is>
      </c>
      <c r="D1051" t="inlineStr">
        <is>
          <t>10000811</t>
        </is>
      </c>
      <c r="E1051" t="inlineStr"/>
      <c r="F1051" s="11" t="n">
        <v>107.81</v>
      </c>
      <c r="G1051" t="inlineStr"/>
      <c r="I1051" t="inlineStr">
        <is>
          <t>TN</t>
        </is>
      </c>
      <c r="J1051" t="inlineStr"/>
      <c r="K1051" t="inlineStr">
        <is>
          <t>20260805</t>
        </is>
      </c>
      <c r="L1051" t="inlineStr">
        <is>
          <t>99991231</t>
        </is>
      </c>
    </row>
    <row r="1052">
      <c r="A1052" t="inlineStr">
        <is>
          <t>900006172</t>
        </is>
      </c>
      <c r="B1052" t="inlineStr">
        <is>
          <t>DW70</t>
        </is>
      </c>
      <c r="C1052" t="inlineStr">
        <is>
          <t>D081</t>
        </is>
      </c>
      <c r="D1052" t="inlineStr">
        <is>
          <t>10233033</t>
        </is>
      </c>
      <c r="E1052" t="inlineStr"/>
      <c r="F1052" s="11" t="n">
        <v>111.43</v>
      </c>
      <c r="G1052" t="inlineStr"/>
      <c r="I1052" t="inlineStr">
        <is>
          <t>TN</t>
        </is>
      </c>
      <c r="J1052" t="inlineStr"/>
      <c r="K1052" t="inlineStr">
        <is>
          <t>20260616</t>
        </is>
      </c>
      <c r="L1052" t="inlineStr">
        <is>
          <t>99991231</t>
        </is>
      </c>
    </row>
    <row r="1053">
      <c r="A1053" t="inlineStr">
        <is>
          <t>900006172</t>
        </is>
      </c>
      <c r="B1053" t="inlineStr">
        <is>
          <t>DW70</t>
        </is>
      </c>
      <c r="C1053" t="inlineStr">
        <is>
          <t>D083</t>
        </is>
      </c>
      <c r="D1053" t="inlineStr">
        <is>
          <t>10000811</t>
        </is>
      </c>
      <c r="E1053" t="inlineStr"/>
      <c r="F1053" s="11" t="n">
        <v>107.81</v>
      </c>
      <c r="G1053" t="inlineStr"/>
      <c r="I1053" t="inlineStr">
        <is>
          <t>TN</t>
        </is>
      </c>
      <c r="J1053" t="inlineStr"/>
      <c r="K1053" t="inlineStr">
        <is>
          <t>20260805</t>
        </is>
      </c>
      <c r="L1053" t="inlineStr">
        <is>
          <t>99991231</t>
        </is>
      </c>
    </row>
    <row r="1054">
      <c r="A1054" t="inlineStr">
        <is>
          <t>900006172</t>
        </is>
      </c>
      <c r="B1054" t="inlineStr">
        <is>
          <t>DW70</t>
        </is>
      </c>
      <c r="C1054" t="inlineStr">
        <is>
          <t>D083</t>
        </is>
      </c>
      <c r="D1054" t="inlineStr">
        <is>
          <t>10233033</t>
        </is>
      </c>
      <c r="E1054" t="inlineStr"/>
      <c r="F1054" s="11" t="n">
        <v>111.43</v>
      </c>
      <c r="G1054" t="inlineStr"/>
      <c r="I1054" t="inlineStr">
        <is>
          <t>TN</t>
        </is>
      </c>
      <c r="J1054" t="inlineStr"/>
      <c r="K1054" t="inlineStr">
        <is>
          <t>20260616</t>
        </is>
      </c>
      <c r="L1054" t="inlineStr">
        <is>
          <t>99991231</t>
        </is>
      </c>
    </row>
    <row r="1055">
      <c r="A1055" t="inlineStr">
        <is>
          <t>900006172</t>
        </is>
      </c>
      <c r="B1055" t="inlineStr">
        <is>
          <t>DW70</t>
        </is>
      </c>
      <c r="C1055" t="inlineStr">
        <is>
          <t>D084</t>
        </is>
      </c>
      <c r="D1055" t="inlineStr">
        <is>
          <t>10000811</t>
        </is>
      </c>
      <c r="E1055" t="inlineStr"/>
      <c r="F1055" s="11" t="n">
        <v>107.81</v>
      </c>
      <c r="G1055" t="inlineStr"/>
      <c r="I1055" t="inlineStr">
        <is>
          <t>TN</t>
        </is>
      </c>
      <c r="J1055" t="inlineStr"/>
      <c r="K1055" t="inlineStr">
        <is>
          <t>20260805</t>
        </is>
      </c>
      <c r="L1055" t="inlineStr">
        <is>
          <t>99991231</t>
        </is>
      </c>
    </row>
    <row r="1056">
      <c r="A1056" t="inlineStr">
        <is>
          <t>900006172</t>
        </is>
      </c>
      <c r="B1056" t="inlineStr">
        <is>
          <t>DW70</t>
        </is>
      </c>
      <c r="C1056" t="inlineStr">
        <is>
          <t>D084</t>
        </is>
      </c>
      <c r="D1056" t="inlineStr">
        <is>
          <t>10233033</t>
        </is>
      </c>
      <c r="E1056" t="inlineStr"/>
      <c r="F1056" s="11" t="n">
        <v>111.43</v>
      </c>
      <c r="G1056" t="inlineStr"/>
      <c r="I1056" t="inlineStr">
        <is>
          <t>TN</t>
        </is>
      </c>
      <c r="J1056" t="inlineStr"/>
      <c r="K1056" t="inlineStr">
        <is>
          <t>20260616</t>
        </is>
      </c>
      <c r="L1056" t="inlineStr">
        <is>
          <t>99991231</t>
        </is>
      </c>
    </row>
    <row r="1057">
      <c r="A1057" t="inlineStr">
        <is>
          <t>900006172</t>
        </is>
      </c>
      <c r="B1057" t="inlineStr">
        <is>
          <t>DW70</t>
        </is>
      </c>
      <c r="C1057" t="inlineStr">
        <is>
          <t>D085</t>
        </is>
      </c>
      <c r="D1057" t="inlineStr">
        <is>
          <t>10000811</t>
        </is>
      </c>
      <c r="E1057" t="inlineStr"/>
      <c r="F1057" s="11" t="n">
        <v>107.81</v>
      </c>
      <c r="G1057" t="inlineStr"/>
      <c r="I1057" t="inlineStr">
        <is>
          <t>TN</t>
        </is>
      </c>
      <c r="J1057" t="inlineStr"/>
      <c r="K1057" t="inlineStr">
        <is>
          <t>20260805</t>
        </is>
      </c>
      <c r="L1057" t="inlineStr">
        <is>
          <t>99991231</t>
        </is>
      </c>
    </row>
    <row r="1058">
      <c r="A1058" t="inlineStr">
        <is>
          <t>900006172</t>
        </is>
      </c>
      <c r="B1058" t="inlineStr">
        <is>
          <t>DW70</t>
        </is>
      </c>
      <c r="C1058" t="inlineStr">
        <is>
          <t>D085</t>
        </is>
      </c>
      <c r="D1058" t="inlineStr">
        <is>
          <t>10233033</t>
        </is>
      </c>
      <c r="E1058" t="inlineStr"/>
      <c r="F1058" s="11" t="n">
        <v>111.43</v>
      </c>
      <c r="G1058" t="inlineStr"/>
      <c r="I1058" t="inlineStr">
        <is>
          <t>TN</t>
        </is>
      </c>
      <c r="J1058" t="inlineStr"/>
      <c r="K1058" t="inlineStr">
        <is>
          <t>20260616</t>
        </is>
      </c>
      <c r="L1058" t="inlineStr">
        <is>
          <t>99991231</t>
        </is>
      </c>
    </row>
    <row r="1059">
      <c r="A1059" t="inlineStr">
        <is>
          <t>900006172</t>
        </is>
      </c>
      <c r="B1059" t="inlineStr">
        <is>
          <t>DW70</t>
        </is>
      </c>
      <c r="C1059" t="inlineStr">
        <is>
          <t>D093</t>
        </is>
      </c>
      <c r="D1059" t="inlineStr">
        <is>
          <t>10000811</t>
        </is>
      </c>
      <c r="E1059" t="inlineStr"/>
      <c r="F1059" s="11" t="n">
        <v>107.81</v>
      </c>
      <c r="G1059" t="inlineStr"/>
      <c r="I1059" t="inlineStr">
        <is>
          <t>TN</t>
        </is>
      </c>
      <c r="J1059" t="inlineStr"/>
      <c r="K1059" t="inlineStr">
        <is>
          <t>20260805</t>
        </is>
      </c>
      <c r="L1059" t="inlineStr">
        <is>
          <t>99991231</t>
        </is>
      </c>
    </row>
    <row r="1060">
      <c r="A1060" t="inlineStr">
        <is>
          <t>900006172</t>
        </is>
      </c>
      <c r="B1060" t="inlineStr">
        <is>
          <t>DW70</t>
        </is>
      </c>
      <c r="C1060" t="inlineStr">
        <is>
          <t>D093</t>
        </is>
      </c>
      <c r="D1060" t="inlineStr">
        <is>
          <t>10233033</t>
        </is>
      </c>
      <c r="E1060" t="inlineStr"/>
      <c r="F1060" s="11" t="n">
        <v>111.43</v>
      </c>
      <c r="G1060" t="inlineStr"/>
      <c r="I1060" t="inlineStr">
        <is>
          <t>TN</t>
        </is>
      </c>
      <c r="J1060" t="inlineStr"/>
      <c r="K1060" t="inlineStr">
        <is>
          <t>20260616</t>
        </is>
      </c>
      <c r="L1060" t="inlineStr">
        <is>
          <t>99991231</t>
        </is>
      </c>
    </row>
    <row r="1061">
      <c r="A1061" t="inlineStr">
        <is>
          <t>900006172</t>
        </is>
      </c>
      <c r="B1061" t="inlineStr">
        <is>
          <t>DW70</t>
        </is>
      </c>
      <c r="C1061" t="inlineStr">
        <is>
          <t>D098</t>
        </is>
      </c>
      <c r="D1061" t="inlineStr">
        <is>
          <t>10000811</t>
        </is>
      </c>
      <c r="E1061" t="inlineStr"/>
      <c r="F1061" s="11" t="n">
        <v>107.81</v>
      </c>
      <c r="G1061" t="inlineStr"/>
      <c r="I1061" t="inlineStr">
        <is>
          <t>TN</t>
        </is>
      </c>
      <c r="J1061" t="inlineStr"/>
      <c r="K1061" t="inlineStr">
        <is>
          <t>20260805</t>
        </is>
      </c>
      <c r="L1061" t="inlineStr">
        <is>
          <t>99991231</t>
        </is>
      </c>
    </row>
    <row r="1062">
      <c r="A1062" t="inlineStr">
        <is>
          <t>900006172</t>
        </is>
      </c>
      <c r="B1062" t="inlineStr">
        <is>
          <t>DW70</t>
        </is>
      </c>
      <c r="C1062" t="inlineStr">
        <is>
          <t>D098</t>
        </is>
      </c>
      <c r="D1062" t="inlineStr">
        <is>
          <t>10233033</t>
        </is>
      </c>
      <c r="E1062" t="inlineStr"/>
      <c r="F1062" s="11" t="n">
        <v>111.43</v>
      </c>
      <c r="G1062" t="inlineStr"/>
      <c r="I1062" t="inlineStr">
        <is>
          <t>TN</t>
        </is>
      </c>
      <c r="J1062" t="inlineStr"/>
      <c r="K1062" t="inlineStr">
        <is>
          <t>20260616</t>
        </is>
      </c>
      <c r="L1062" t="inlineStr">
        <is>
          <t>99991231</t>
        </is>
      </c>
    </row>
    <row r="1063">
      <c r="A1063" t="inlineStr">
        <is>
          <t>900006172</t>
        </is>
      </c>
      <c r="B1063" t="inlineStr">
        <is>
          <t>DW70</t>
        </is>
      </c>
      <c r="C1063" t="inlineStr">
        <is>
          <t>D105</t>
        </is>
      </c>
      <c r="D1063" t="inlineStr">
        <is>
          <t>10000811</t>
        </is>
      </c>
      <c r="E1063" t="inlineStr"/>
      <c r="F1063" s="11" t="n">
        <v>107.81</v>
      </c>
      <c r="G1063" t="inlineStr"/>
      <c r="I1063" t="inlineStr">
        <is>
          <t>TN</t>
        </is>
      </c>
      <c r="J1063" t="inlineStr"/>
      <c r="K1063" t="inlineStr">
        <is>
          <t>20260805</t>
        </is>
      </c>
      <c r="L1063" t="inlineStr">
        <is>
          <t>99991231</t>
        </is>
      </c>
    </row>
    <row r="1064">
      <c r="A1064" t="inlineStr">
        <is>
          <t>900006172</t>
        </is>
      </c>
      <c r="B1064" t="inlineStr">
        <is>
          <t>DW70</t>
        </is>
      </c>
      <c r="C1064" t="inlineStr">
        <is>
          <t>D105</t>
        </is>
      </c>
      <c r="D1064" t="inlineStr">
        <is>
          <t>10233033</t>
        </is>
      </c>
      <c r="E1064" t="inlineStr"/>
      <c r="F1064" s="11" t="n">
        <v>111.43</v>
      </c>
      <c r="G1064" t="inlineStr"/>
      <c r="I1064" t="inlineStr">
        <is>
          <t>TN</t>
        </is>
      </c>
      <c r="J1064" t="inlineStr"/>
      <c r="K1064" t="inlineStr">
        <is>
          <t>20260616</t>
        </is>
      </c>
      <c r="L1064" t="inlineStr">
        <is>
          <t>99991231</t>
        </is>
      </c>
    </row>
    <row r="1065">
      <c r="A1065" t="inlineStr">
        <is>
          <t>900006172</t>
        </is>
      </c>
      <c r="B1065" t="inlineStr">
        <is>
          <t>DW70</t>
        </is>
      </c>
      <c r="C1065" t="inlineStr">
        <is>
          <t>D136</t>
        </is>
      </c>
      <c r="D1065" t="inlineStr">
        <is>
          <t>10000811</t>
        </is>
      </c>
      <c r="E1065" t="inlineStr"/>
      <c r="F1065" s="11" t="n">
        <v>107.81</v>
      </c>
      <c r="G1065" t="inlineStr"/>
      <c r="I1065" t="inlineStr">
        <is>
          <t>TN</t>
        </is>
      </c>
      <c r="J1065" t="inlineStr"/>
      <c r="K1065" t="inlineStr">
        <is>
          <t>20260805</t>
        </is>
      </c>
      <c r="L1065" t="inlineStr">
        <is>
          <t>99991231</t>
        </is>
      </c>
    </row>
    <row r="1066">
      <c r="A1066" t="inlineStr">
        <is>
          <t>900006172</t>
        </is>
      </c>
      <c r="B1066" t="inlineStr">
        <is>
          <t>DW70</t>
        </is>
      </c>
      <c r="C1066" t="inlineStr">
        <is>
          <t>D136</t>
        </is>
      </c>
      <c r="D1066" t="inlineStr">
        <is>
          <t>10233033</t>
        </is>
      </c>
      <c r="E1066" t="inlineStr"/>
      <c r="F1066" s="11" t="n">
        <v>111.43</v>
      </c>
      <c r="G1066" t="inlineStr"/>
      <c r="I1066" t="inlineStr">
        <is>
          <t>TN</t>
        </is>
      </c>
      <c r="J1066" t="inlineStr"/>
      <c r="K1066" t="inlineStr">
        <is>
          <t>20260616</t>
        </is>
      </c>
      <c r="L1066" t="inlineStr">
        <is>
          <t>99991231</t>
        </is>
      </c>
    </row>
    <row r="1067">
      <c r="A1067" t="inlineStr">
        <is>
          <t>900006172</t>
        </is>
      </c>
      <c r="B1067" t="inlineStr">
        <is>
          <t>DW70</t>
        </is>
      </c>
      <c r="C1067" t="inlineStr">
        <is>
          <t>D145</t>
        </is>
      </c>
      <c r="D1067" t="inlineStr">
        <is>
          <t>10000811</t>
        </is>
      </c>
      <c r="E1067" t="inlineStr"/>
      <c r="F1067" s="11" t="n">
        <v>107.81</v>
      </c>
      <c r="G1067" t="inlineStr"/>
      <c r="I1067" t="inlineStr">
        <is>
          <t>TN</t>
        </is>
      </c>
      <c r="J1067" t="inlineStr"/>
      <c r="K1067" t="inlineStr">
        <is>
          <t>20260805</t>
        </is>
      </c>
      <c r="L1067" t="inlineStr">
        <is>
          <t>99991231</t>
        </is>
      </c>
    </row>
    <row r="1068">
      <c r="A1068" t="inlineStr">
        <is>
          <t>900006172</t>
        </is>
      </c>
      <c r="B1068" t="inlineStr">
        <is>
          <t>DW70</t>
        </is>
      </c>
      <c r="C1068" t="inlineStr">
        <is>
          <t>D145</t>
        </is>
      </c>
      <c r="D1068" t="inlineStr">
        <is>
          <t>10233033</t>
        </is>
      </c>
      <c r="E1068" t="inlineStr"/>
      <c r="F1068" s="11" t="n">
        <v>111.43</v>
      </c>
      <c r="G1068" t="inlineStr"/>
      <c r="I1068" t="inlineStr">
        <is>
          <t>TN</t>
        </is>
      </c>
      <c r="J1068" t="inlineStr"/>
      <c r="K1068" t="inlineStr">
        <is>
          <t>20260616</t>
        </is>
      </c>
      <c r="L1068" t="inlineStr">
        <is>
          <t>99991231</t>
        </is>
      </c>
    </row>
    <row r="1069">
      <c r="A1069" t="inlineStr">
        <is>
          <t>900006172</t>
        </is>
      </c>
      <c r="B1069" t="inlineStr">
        <is>
          <t>DW70</t>
        </is>
      </c>
      <c r="C1069" t="inlineStr">
        <is>
          <t>D681</t>
        </is>
      </c>
      <c r="D1069" t="inlineStr">
        <is>
          <t>10000811</t>
        </is>
      </c>
      <c r="E1069" t="inlineStr"/>
      <c r="F1069" s="11" t="n">
        <v>107.81</v>
      </c>
      <c r="G1069" t="inlineStr"/>
      <c r="I1069" t="inlineStr">
        <is>
          <t>TN</t>
        </is>
      </c>
      <c r="J1069" t="inlineStr"/>
      <c r="K1069" t="inlineStr">
        <is>
          <t>20260805</t>
        </is>
      </c>
      <c r="L1069" t="inlineStr">
        <is>
          <t>99991231</t>
        </is>
      </c>
    </row>
    <row r="1070">
      <c r="A1070" t="inlineStr">
        <is>
          <t>900006172</t>
        </is>
      </c>
      <c r="B1070" t="inlineStr">
        <is>
          <t>DW70</t>
        </is>
      </c>
      <c r="C1070" t="inlineStr">
        <is>
          <t>D681</t>
        </is>
      </c>
      <c r="D1070" t="inlineStr">
        <is>
          <t>10233033</t>
        </is>
      </c>
      <c r="E1070" t="inlineStr"/>
      <c r="F1070" s="11" t="n">
        <v>111.43</v>
      </c>
      <c r="G1070" t="inlineStr"/>
      <c r="I1070" t="inlineStr">
        <is>
          <t>TN</t>
        </is>
      </c>
      <c r="J1070" t="inlineStr"/>
      <c r="K1070" t="inlineStr">
        <is>
          <t>20260616</t>
        </is>
      </c>
      <c r="L1070" t="inlineStr">
        <is>
          <t>99991231</t>
        </is>
      </c>
    </row>
    <row r="1071">
      <c r="A1071" t="inlineStr">
        <is>
          <t>900006227</t>
        </is>
      </c>
      <c r="B1071" t="inlineStr">
        <is>
          <t>DW70</t>
        </is>
      </c>
      <c r="C1071" t="inlineStr">
        <is>
          <t>D088</t>
        </is>
      </c>
      <c r="D1071" t="inlineStr">
        <is>
          <t>10000624</t>
        </is>
      </c>
      <c r="E1071" t="inlineStr"/>
      <c r="F1071" s="11" t="n">
        <v>93.09999999999999</v>
      </c>
      <c r="G1071" t="inlineStr"/>
      <c r="I1071" t="inlineStr">
        <is>
          <t>TN</t>
        </is>
      </c>
      <c r="J1071" t="inlineStr"/>
      <c r="K1071" t="inlineStr">
        <is>
          <t>20230501</t>
        </is>
      </c>
      <c r="L1071" t="inlineStr">
        <is>
          <t>20250131</t>
        </is>
      </c>
    </row>
    <row r="1072">
      <c r="A1072" t="inlineStr">
        <is>
          <t>900006227</t>
        </is>
      </c>
      <c r="B1072" t="inlineStr">
        <is>
          <t>DW70</t>
        </is>
      </c>
      <c r="C1072" t="inlineStr">
        <is>
          <t>D088</t>
        </is>
      </c>
      <c r="D1072" t="inlineStr">
        <is>
          <t>10170112</t>
        </is>
      </c>
      <c r="E1072" t="inlineStr"/>
      <c r="F1072" s="11" t="n">
        <v>94.87</v>
      </c>
      <c r="G1072" t="inlineStr"/>
      <c r="I1072" t="inlineStr">
        <is>
          <t>TN</t>
        </is>
      </c>
      <c r="J1072" t="inlineStr"/>
      <c r="K1072" t="inlineStr">
        <is>
          <t>20230501</t>
        </is>
      </c>
      <c r="L1072" t="inlineStr">
        <is>
          <t>20250131</t>
        </is>
      </c>
    </row>
    <row r="1073">
      <c r="A1073" t="inlineStr">
        <is>
          <t>900006227</t>
        </is>
      </c>
      <c r="B1073" t="inlineStr">
        <is>
          <t>DW70</t>
        </is>
      </c>
      <c r="C1073" t="inlineStr">
        <is>
          <t>D093</t>
        </is>
      </c>
      <c r="D1073" t="inlineStr">
        <is>
          <t>10000624</t>
        </is>
      </c>
      <c r="E1073" t="inlineStr"/>
      <c r="F1073" s="11" t="n">
        <v>93.09999999999999</v>
      </c>
      <c r="G1073" t="inlineStr"/>
      <c r="I1073" t="inlineStr">
        <is>
          <t>TN</t>
        </is>
      </c>
      <c r="J1073" t="inlineStr"/>
      <c r="K1073" t="inlineStr">
        <is>
          <t>20230501</t>
        </is>
      </c>
      <c r="L1073" t="inlineStr">
        <is>
          <t>20250131</t>
        </is>
      </c>
    </row>
    <row r="1074">
      <c r="A1074" t="inlineStr">
        <is>
          <t>900006227</t>
        </is>
      </c>
      <c r="B1074" t="inlineStr">
        <is>
          <t>DW70</t>
        </is>
      </c>
      <c r="C1074" t="inlineStr">
        <is>
          <t>D093</t>
        </is>
      </c>
      <c r="D1074" t="inlineStr">
        <is>
          <t>10170112</t>
        </is>
      </c>
      <c r="E1074" t="inlineStr"/>
      <c r="F1074" s="11" t="n">
        <v>94.87</v>
      </c>
      <c r="G1074" t="inlineStr"/>
      <c r="I1074" t="inlineStr">
        <is>
          <t>TN</t>
        </is>
      </c>
      <c r="J1074" t="inlineStr"/>
      <c r="K1074" t="inlineStr">
        <is>
          <t>20230501</t>
        </is>
      </c>
      <c r="L1074" t="inlineStr">
        <is>
          <t>20250131</t>
        </is>
      </c>
    </row>
    <row r="1075">
      <c r="A1075" t="inlineStr">
        <is>
          <t>900006227</t>
        </is>
      </c>
      <c r="B1075" t="inlineStr">
        <is>
          <t>DW70</t>
        </is>
      </c>
      <c r="C1075" t="inlineStr">
        <is>
          <t>D098</t>
        </is>
      </c>
      <c r="D1075" t="inlineStr">
        <is>
          <t>10000624</t>
        </is>
      </c>
      <c r="E1075" t="inlineStr"/>
      <c r="F1075" s="11" t="n">
        <v>93.09999999999999</v>
      </c>
      <c r="G1075" t="inlineStr"/>
      <c r="I1075" t="inlineStr">
        <is>
          <t>TN</t>
        </is>
      </c>
      <c r="J1075" t="inlineStr"/>
      <c r="K1075" t="inlineStr">
        <is>
          <t>20230501</t>
        </is>
      </c>
      <c r="L1075" t="inlineStr">
        <is>
          <t>20250131</t>
        </is>
      </c>
    </row>
    <row r="1076">
      <c r="A1076" t="inlineStr">
        <is>
          <t>900006227</t>
        </is>
      </c>
      <c r="B1076" t="inlineStr">
        <is>
          <t>DW70</t>
        </is>
      </c>
      <c r="C1076" t="inlineStr">
        <is>
          <t>D098</t>
        </is>
      </c>
      <c r="D1076" t="inlineStr">
        <is>
          <t>10170112</t>
        </is>
      </c>
      <c r="E1076" t="inlineStr"/>
      <c r="F1076" s="11" t="n">
        <v>94.87</v>
      </c>
      <c r="G1076" t="inlineStr"/>
      <c r="I1076" t="inlineStr">
        <is>
          <t>TN</t>
        </is>
      </c>
      <c r="J1076" t="inlineStr"/>
      <c r="K1076" t="inlineStr">
        <is>
          <t>20230501</t>
        </is>
      </c>
      <c r="L1076" t="inlineStr">
        <is>
          <t>20250131</t>
        </is>
      </c>
    </row>
    <row r="1077">
      <c r="A1077" t="inlineStr">
        <is>
          <t>900006227</t>
        </is>
      </c>
      <c r="B1077" t="inlineStr">
        <is>
          <t>DW70</t>
        </is>
      </c>
      <c r="C1077" t="inlineStr">
        <is>
          <t>D105</t>
        </is>
      </c>
      <c r="D1077" t="inlineStr">
        <is>
          <t>10000624</t>
        </is>
      </c>
      <c r="E1077" t="inlineStr"/>
      <c r="F1077" s="11" t="n">
        <v>93.09999999999999</v>
      </c>
      <c r="G1077" t="inlineStr"/>
      <c r="I1077" t="inlineStr">
        <is>
          <t>TN</t>
        </is>
      </c>
      <c r="J1077" t="inlineStr"/>
      <c r="K1077" t="inlineStr">
        <is>
          <t>20230501</t>
        </is>
      </c>
      <c r="L1077" t="inlineStr">
        <is>
          <t>20250131</t>
        </is>
      </c>
    </row>
    <row r="1078">
      <c r="A1078" t="inlineStr">
        <is>
          <t>900006227</t>
        </is>
      </c>
      <c r="B1078" t="inlineStr">
        <is>
          <t>DW70</t>
        </is>
      </c>
      <c r="C1078" t="inlineStr">
        <is>
          <t>D105</t>
        </is>
      </c>
      <c r="D1078" t="inlineStr">
        <is>
          <t>10170112</t>
        </is>
      </c>
      <c r="E1078" t="inlineStr"/>
      <c r="F1078" s="11" t="n">
        <v>94.87</v>
      </c>
      <c r="G1078" t="inlineStr"/>
      <c r="I1078" t="inlineStr">
        <is>
          <t>TN</t>
        </is>
      </c>
      <c r="J1078" t="inlineStr"/>
      <c r="K1078" t="inlineStr">
        <is>
          <t>20230501</t>
        </is>
      </c>
      <c r="L1078" t="inlineStr">
        <is>
          <t>20250131</t>
        </is>
      </c>
    </row>
    <row r="1079">
      <c r="A1079" t="inlineStr">
        <is>
          <t>900006227</t>
        </is>
      </c>
      <c r="B1079" t="inlineStr">
        <is>
          <t>DW70</t>
        </is>
      </c>
      <c r="C1079" t="inlineStr">
        <is>
          <t>D145</t>
        </is>
      </c>
      <c r="D1079" t="inlineStr">
        <is>
          <t>10000624</t>
        </is>
      </c>
      <c r="E1079" t="inlineStr"/>
      <c r="F1079" s="11" t="n">
        <v>93.09999999999999</v>
      </c>
      <c r="G1079" t="inlineStr"/>
      <c r="I1079" t="inlineStr">
        <is>
          <t>TN</t>
        </is>
      </c>
      <c r="J1079" t="inlineStr"/>
      <c r="K1079" t="inlineStr">
        <is>
          <t>20230501</t>
        </is>
      </c>
      <c r="L1079" t="inlineStr">
        <is>
          <t>20250131</t>
        </is>
      </c>
    </row>
    <row r="1080">
      <c r="A1080" t="inlineStr">
        <is>
          <t>900006227</t>
        </is>
      </c>
      <c r="B1080" t="inlineStr">
        <is>
          <t>DW70</t>
        </is>
      </c>
      <c r="C1080" t="inlineStr">
        <is>
          <t>D145</t>
        </is>
      </c>
      <c r="D1080" t="inlineStr">
        <is>
          <t>10170112</t>
        </is>
      </c>
      <c r="E1080" t="inlineStr"/>
      <c r="F1080" s="11" t="n">
        <v>94.87</v>
      </c>
      <c r="G1080" t="inlineStr"/>
      <c r="I1080" t="inlineStr">
        <is>
          <t>TN</t>
        </is>
      </c>
      <c r="J1080" t="inlineStr"/>
      <c r="K1080" t="inlineStr">
        <is>
          <t>20230501</t>
        </is>
      </c>
      <c r="L1080" t="inlineStr">
        <is>
          <t>20250131</t>
        </is>
      </c>
    </row>
    <row r="1081">
      <c r="A1081" t="inlineStr">
        <is>
          <t>900006227</t>
        </is>
      </c>
      <c r="B1081" t="inlineStr">
        <is>
          <t>DW70</t>
        </is>
      </c>
      <c r="C1081" t="inlineStr">
        <is>
          <t>E673</t>
        </is>
      </c>
      <c r="D1081" t="inlineStr">
        <is>
          <t>10000624</t>
        </is>
      </c>
      <c r="E1081" t="inlineStr"/>
      <c r="F1081" s="11" t="n">
        <v>98</v>
      </c>
      <c r="G1081" t="inlineStr"/>
      <c r="I1081" t="inlineStr">
        <is>
          <t>TN</t>
        </is>
      </c>
      <c r="J1081" t="inlineStr"/>
      <c r="K1081" t="inlineStr">
        <is>
          <t>20230501</t>
        </is>
      </c>
      <c r="L1081" t="inlineStr">
        <is>
          <t>20250131</t>
        </is>
      </c>
    </row>
    <row r="1082">
      <c r="A1082" t="inlineStr">
        <is>
          <t>900006227</t>
        </is>
      </c>
      <c r="B1082" t="inlineStr">
        <is>
          <t>DW70</t>
        </is>
      </c>
      <c r="C1082" t="inlineStr">
        <is>
          <t>E673</t>
        </is>
      </c>
      <c r="D1082" t="inlineStr">
        <is>
          <t>10170112</t>
        </is>
      </c>
      <c r="E1082" t="inlineStr"/>
      <c r="F1082" s="11" t="n">
        <v>99.86</v>
      </c>
      <c r="G1082" t="inlineStr"/>
      <c r="I1082" t="inlineStr">
        <is>
          <t>TN</t>
        </is>
      </c>
      <c r="J1082" t="inlineStr"/>
      <c r="K1082" t="inlineStr">
        <is>
          <t>20230501</t>
        </is>
      </c>
      <c r="L1082" t="inlineStr">
        <is>
          <t>20250131</t>
        </is>
      </c>
    </row>
    <row r="1083">
      <c r="A1083" t="inlineStr">
        <is>
          <t>900006227</t>
        </is>
      </c>
      <c r="B1083" t="inlineStr">
        <is>
          <t>DW70</t>
        </is>
      </c>
      <c r="C1083" t="inlineStr">
        <is>
          <t>EQ75</t>
        </is>
      </c>
      <c r="D1083" t="inlineStr">
        <is>
          <t>10000624</t>
        </is>
      </c>
      <c r="E1083" t="inlineStr"/>
      <c r="F1083" s="11" t="n">
        <v>98</v>
      </c>
      <c r="G1083" t="inlineStr"/>
      <c r="I1083" t="inlineStr">
        <is>
          <t>TN</t>
        </is>
      </c>
      <c r="J1083" t="inlineStr"/>
      <c r="K1083" t="inlineStr">
        <is>
          <t>20230501</t>
        </is>
      </c>
      <c r="L1083" t="inlineStr">
        <is>
          <t>20250131</t>
        </is>
      </c>
    </row>
    <row r="1084">
      <c r="A1084" t="inlineStr">
        <is>
          <t>900006227</t>
        </is>
      </c>
      <c r="B1084" t="inlineStr">
        <is>
          <t>DW70</t>
        </is>
      </c>
      <c r="C1084" t="inlineStr">
        <is>
          <t>EQ75</t>
        </is>
      </c>
      <c r="D1084" t="inlineStr">
        <is>
          <t>10170112</t>
        </is>
      </c>
      <c r="E1084" t="inlineStr"/>
      <c r="F1084" s="11" t="n">
        <v>99.86</v>
      </c>
      <c r="G1084" t="inlineStr"/>
      <c r="I1084" t="inlineStr">
        <is>
          <t>TN</t>
        </is>
      </c>
      <c r="J1084" t="inlineStr"/>
      <c r="K1084" t="inlineStr">
        <is>
          <t>20230501</t>
        </is>
      </c>
      <c r="L1084" t="inlineStr">
        <is>
          <t>20250131</t>
        </is>
      </c>
    </row>
    <row r="1085">
      <c r="A1085" t="inlineStr">
        <is>
          <t>900006234</t>
        </is>
      </c>
      <c r="B1085" t="inlineStr">
        <is>
          <t>DW70</t>
        </is>
      </c>
      <c r="C1085" t="inlineStr">
        <is>
          <t>ENAW</t>
        </is>
      </c>
      <c r="D1085" t="inlineStr">
        <is>
          <t>10194058</t>
        </is>
      </c>
      <c r="E1085" t="inlineStr"/>
      <c r="F1085" s="11" t="n">
        <v>127.82</v>
      </c>
      <c r="G1085" t="inlineStr"/>
      <c r="I1085" t="inlineStr">
        <is>
          <t>TN</t>
        </is>
      </c>
      <c r="J1085" t="inlineStr"/>
      <c r="K1085" t="inlineStr">
        <is>
          <t>20241121</t>
        </is>
      </c>
      <c r="L1085" t="inlineStr">
        <is>
          <t>20260215</t>
        </is>
      </c>
    </row>
    <row r="1086">
      <c r="A1086" t="inlineStr">
        <is>
          <t>900006234</t>
        </is>
      </c>
      <c r="B1086" t="inlineStr">
        <is>
          <t>DW70</t>
        </is>
      </c>
      <c r="C1086" t="inlineStr">
        <is>
          <t>ENAW</t>
        </is>
      </c>
      <c r="D1086" t="inlineStr">
        <is>
          <t>10227694</t>
        </is>
      </c>
      <c r="E1086" t="inlineStr"/>
      <c r="F1086" s="11" t="n">
        <v>113.07</v>
      </c>
      <c r="G1086" t="inlineStr"/>
      <c r="I1086" t="inlineStr">
        <is>
          <t>TN</t>
        </is>
      </c>
      <c r="J1086" t="inlineStr"/>
      <c r="K1086" t="inlineStr">
        <is>
          <t>20250701</t>
        </is>
      </c>
      <c r="L1086" t="inlineStr">
        <is>
          <t>20251031</t>
        </is>
      </c>
    </row>
    <row r="1087">
      <c r="A1087" t="inlineStr">
        <is>
          <t>900006436</t>
        </is>
      </c>
      <c r="B1087" t="inlineStr">
        <is>
          <t>DW70</t>
        </is>
      </c>
      <c r="C1087" t="inlineStr">
        <is>
          <t>EQ75</t>
        </is>
      </c>
      <c r="D1087" t="inlineStr">
        <is>
          <t>10128743</t>
        </is>
      </c>
      <c r="E1087" t="inlineStr"/>
      <c r="F1087" s="11" t="n">
        <v>166.85</v>
      </c>
      <c r="G1087" t="inlineStr"/>
      <c r="I1087" t="inlineStr">
        <is>
          <t>TN</t>
        </is>
      </c>
      <c r="J1087" t="inlineStr"/>
      <c r="K1087" t="inlineStr">
        <is>
          <t>20230501</t>
        </is>
      </c>
      <c r="L1087" t="inlineStr">
        <is>
          <t>20250131</t>
        </is>
      </c>
    </row>
    <row r="1088">
      <c r="A1088" t="inlineStr">
        <is>
          <t>900006544</t>
        </is>
      </c>
      <c r="B1088" t="inlineStr">
        <is>
          <t>DW70</t>
        </is>
      </c>
      <c r="C1088" t="inlineStr">
        <is>
          <t>D074</t>
        </is>
      </c>
      <c r="D1088" t="inlineStr">
        <is>
          <t>10185476</t>
        </is>
      </c>
      <c r="E1088" t="inlineStr"/>
      <c r="F1088" s="11" t="n">
        <v>89.5</v>
      </c>
      <c r="G1088" t="inlineStr"/>
      <c r="I1088" t="inlineStr">
        <is>
          <t>TN</t>
        </is>
      </c>
      <c r="J1088" t="inlineStr"/>
      <c r="K1088" t="inlineStr">
        <is>
          <t>20260225</t>
        </is>
      </c>
      <c r="L1088" t="inlineStr">
        <is>
          <t>20260306</t>
        </is>
      </c>
    </row>
    <row r="1089">
      <c r="A1089" t="inlineStr">
        <is>
          <t>900006544</t>
        </is>
      </c>
      <c r="B1089" t="inlineStr">
        <is>
          <t>DW70</t>
        </is>
      </c>
      <c r="C1089" t="inlineStr">
        <is>
          <t>D074</t>
        </is>
      </c>
      <c r="D1089" t="inlineStr">
        <is>
          <t>10185477</t>
        </is>
      </c>
      <c r="E1089" t="inlineStr"/>
      <c r="F1089" s="11" t="n">
        <v>115.11</v>
      </c>
      <c r="G1089" t="inlineStr"/>
      <c r="I1089" t="inlineStr">
        <is>
          <t>TN</t>
        </is>
      </c>
      <c r="J1089" t="inlineStr"/>
      <c r="K1089" t="inlineStr">
        <is>
          <t>20260805</t>
        </is>
      </c>
      <c r="L1089" t="inlineStr">
        <is>
          <t>99991231</t>
        </is>
      </c>
    </row>
    <row r="1090">
      <c r="A1090" t="inlineStr">
        <is>
          <t>900006544</t>
        </is>
      </c>
      <c r="B1090" t="inlineStr">
        <is>
          <t>DW70</t>
        </is>
      </c>
      <c r="C1090" t="inlineStr">
        <is>
          <t>D074</t>
        </is>
      </c>
      <c r="D1090" t="inlineStr">
        <is>
          <t>10275113</t>
        </is>
      </c>
      <c r="E1090" t="inlineStr"/>
      <c r="F1090" s="11" t="n">
        <v>106.46</v>
      </c>
      <c r="G1090" t="inlineStr"/>
      <c r="I1090" t="inlineStr">
        <is>
          <t>TN</t>
        </is>
      </c>
      <c r="J1090" t="inlineStr"/>
      <c r="K1090" t="inlineStr">
        <is>
          <t>20260306</t>
        </is>
      </c>
      <c r="L1090" t="inlineStr">
        <is>
          <t>99991231</t>
        </is>
      </c>
    </row>
    <row r="1091">
      <c r="A1091" t="inlineStr">
        <is>
          <t>900006544</t>
        </is>
      </c>
      <c r="B1091" t="inlineStr">
        <is>
          <t>DW70</t>
        </is>
      </c>
      <c r="C1091" t="inlineStr">
        <is>
          <t>D075</t>
        </is>
      </c>
      <c r="D1091" t="inlineStr">
        <is>
          <t>10185476</t>
        </is>
      </c>
      <c r="E1091" t="inlineStr"/>
      <c r="F1091" s="11" t="n">
        <v>89.5</v>
      </c>
      <c r="G1091" t="inlineStr"/>
      <c r="I1091" t="inlineStr">
        <is>
          <t>TN</t>
        </is>
      </c>
      <c r="J1091" t="inlineStr"/>
      <c r="K1091" t="inlineStr">
        <is>
          <t>20260225</t>
        </is>
      </c>
      <c r="L1091" t="inlineStr">
        <is>
          <t>20260306</t>
        </is>
      </c>
    </row>
    <row r="1092">
      <c r="A1092" t="inlineStr">
        <is>
          <t>900006544</t>
        </is>
      </c>
      <c r="B1092" t="inlineStr">
        <is>
          <t>DW70</t>
        </is>
      </c>
      <c r="C1092" t="inlineStr">
        <is>
          <t>D075</t>
        </is>
      </c>
      <c r="D1092" t="inlineStr">
        <is>
          <t>10185477</t>
        </is>
      </c>
      <c r="E1092" t="inlineStr"/>
      <c r="F1092" s="11" t="n">
        <v>115.11</v>
      </c>
      <c r="G1092" t="inlineStr"/>
      <c r="I1092" t="inlineStr">
        <is>
          <t>TN</t>
        </is>
      </c>
      <c r="J1092" t="inlineStr"/>
      <c r="K1092" t="inlineStr">
        <is>
          <t>20260805</t>
        </is>
      </c>
      <c r="L1092" t="inlineStr">
        <is>
          <t>99991231</t>
        </is>
      </c>
    </row>
    <row r="1093">
      <c r="A1093" t="inlineStr">
        <is>
          <t>900006544</t>
        </is>
      </c>
      <c r="B1093" t="inlineStr">
        <is>
          <t>DW70</t>
        </is>
      </c>
      <c r="C1093" t="inlineStr">
        <is>
          <t>D075</t>
        </is>
      </c>
      <c r="D1093" t="inlineStr">
        <is>
          <t>10275113</t>
        </is>
      </c>
      <c r="E1093" t="inlineStr"/>
      <c r="F1093" s="11" t="n">
        <v>106.46</v>
      </c>
      <c r="G1093" t="inlineStr"/>
      <c r="I1093" t="inlineStr">
        <is>
          <t>TN</t>
        </is>
      </c>
      <c r="J1093" t="inlineStr"/>
      <c r="K1093" t="inlineStr">
        <is>
          <t>20260306</t>
        </is>
      </c>
      <c r="L1093" t="inlineStr">
        <is>
          <t>99991231</t>
        </is>
      </c>
    </row>
    <row r="1094">
      <c r="A1094" t="inlineStr">
        <is>
          <t>900006544</t>
        </is>
      </c>
      <c r="B1094" t="inlineStr">
        <is>
          <t>DW70</t>
        </is>
      </c>
      <c r="C1094" t="inlineStr">
        <is>
          <t>D077</t>
        </is>
      </c>
      <c r="D1094" t="inlineStr">
        <is>
          <t>10185476</t>
        </is>
      </c>
      <c r="E1094" t="inlineStr"/>
      <c r="F1094" s="11" t="n">
        <v>89.5</v>
      </c>
      <c r="G1094" t="inlineStr"/>
      <c r="I1094" t="inlineStr">
        <is>
          <t>TN</t>
        </is>
      </c>
      <c r="J1094" t="inlineStr"/>
      <c r="K1094" t="inlineStr">
        <is>
          <t>20260225</t>
        </is>
      </c>
      <c r="L1094" t="inlineStr">
        <is>
          <t>20260306</t>
        </is>
      </c>
    </row>
    <row r="1095">
      <c r="A1095" t="inlineStr">
        <is>
          <t>900006544</t>
        </is>
      </c>
      <c r="B1095" t="inlineStr">
        <is>
          <t>DW70</t>
        </is>
      </c>
      <c r="C1095" t="inlineStr">
        <is>
          <t>D077</t>
        </is>
      </c>
      <c r="D1095" t="inlineStr">
        <is>
          <t>10185477</t>
        </is>
      </c>
      <c r="E1095" t="inlineStr"/>
      <c r="F1095" s="11" t="n">
        <v>115.11</v>
      </c>
      <c r="G1095" t="inlineStr"/>
      <c r="I1095" t="inlineStr">
        <is>
          <t>TN</t>
        </is>
      </c>
      <c r="J1095" t="inlineStr"/>
      <c r="K1095" t="inlineStr">
        <is>
          <t>20260805</t>
        </is>
      </c>
      <c r="L1095" t="inlineStr">
        <is>
          <t>99991231</t>
        </is>
      </c>
    </row>
    <row r="1096">
      <c r="A1096" t="inlineStr">
        <is>
          <t>900006544</t>
        </is>
      </c>
      <c r="B1096" t="inlineStr">
        <is>
          <t>DW70</t>
        </is>
      </c>
      <c r="C1096" t="inlineStr">
        <is>
          <t>D077</t>
        </is>
      </c>
      <c r="D1096" t="inlineStr">
        <is>
          <t>10275113</t>
        </is>
      </c>
      <c r="E1096" t="inlineStr"/>
      <c r="F1096" s="11" t="n">
        <v>106.46</v>
      </c>
      <c r="G1096" t="inlineStr"/>
      <c r="I1096" t="inlineStr">
        <is>
          <t>TN</t>
        </is>
      </c>
      <c r="J1096" t="inlineStr"/>
      <c r="K1096" t="inlineStr">
        <is>
          <t>20260306</t>
        </is>
      </c>
      <c r="L1096" t="inlineStr">
        <is>
          <t>99991231</t>
        </is>
      </c>
    </row>
    <row r="1097">
      <c r="A1097" t="inlineStr">
        <is>
          <t>900006544</t>
        </is>
      </c>
      <c r="B1097" t="inlineStr">
        <is>
          <t>DW70</t>
        </is>
      </c>
      <c r="C1097" t="inlineStr">
        <is>
          <t>D079</t>
        </is>
      </c>
      <c r="D1097" t="inlineStr">
        <is>
          <t>10185476</t>
        </is>
      </c>
      <c r="E1097" t="inlineStr"/>
      <c r="F1097" s="11" t="n">
        <v>89.5</v>
      </c>
      <c r="G1097" t="inlineStr"/>
      <c r="I1097" t="inlineStr">
        <is>
          <t>TN</t>
        </is>
      </c>
      <c r="J1097" t="inlineStr"/>
      <c r="K1097" t="inlineStr">
        <is>
          <t>20260225</t>
        </is>
      </c>
      <c r="L1097" t="inlineStr">
        <is>
          <t>20260306</t>
        </is>
      </c>
    </row>
    <row r="1098">
      <c r="A1098" t="inlineStr">
        <is>
          <t>900006544</t>
        </is>
      </c>
      <c r="B1098" t="inlineStr">
        <is>
          <t>DW70</t>
        </is>
      </c>
      <c r="C1098" t="inlineStr">
        <is>
          <t>D079</t>
        </is>
      </c>
      <c r="D1098" t="inlineStr">
        <is>
          <t>10185477</t>
        </is>
      </c>
      <c r="E1098" t="inlineStr"/>
      <c r="F1098" s="11" t="n">
        <v>115.11</v>
      </c>
      <c r="G1098" t="inlineStr"/>
      <c r="I1098" t="inlineStr">
        <is>
          <t>TN</t>
        </is>
      </c>
      <c r="J1098" t="inlineStr"/>
      <c r="K1098" t="inlineStr">
        <is>
          <t>20260805</t>
        </is>
      </c>
      <c r="L1098" t="inlineStr">
        <is>
          <t>99991231</t>
        </is>
      </c>
    </row>
    <row r="1099">
      <c r="A1099" t="inlineStr">
        <is>
          <t>900006544</t>
        </is>
      </c>
      <c r="B1099" t="inlineStr">
        <is>
          <t>DW70</t>
        </is>
      </c>
      <c r="C1099" t="inlineStr">
        <is>
          <t>D079</t>
        </is>
      </c>
      <c r="D1099" t="inlineStr">
        <is>
          <t>10275113</t>
        </is>
      </c>
      <c r="E1099" t="inlineStr"/>
      <c r="F1099" s="11" t="n">
        <v>106.46</v>
      </c>
      <c r="G1099" t="inlineStr"/>
      <c r="I1099" t="inlineStr">
        <is>
          <t>TN</t>
        </is>
      </c>
      <c r="J1099" t="inlineStr"/>
      <c r="K1099" t="inlineStr">
        <is>
          <t>20260306</t>
        </is>
      </c>
      <c r="L1099" t="inlineStr">
        <is>
          <t>99991231</t>
        </is>
      </c>
    </row>
    <row r="1100">
      <c r="A1100" t="inlineStr">
        <is>
          <t>900006544</t>
        </is>
      </c>
      <c r="B1100" t="inlineStr">
        <is>
          <t>DW70</t>
        </is>
      </c>
      <c r="C1100" t="inlineStr">
        <is>
          <t>D080</t>
        </is>
      </c>
      <c r="D1100" t="inlineStr">
        <is>
          <t>10185476</t>
        </is>
      </c>
      <c r="E1100" t="inlineStr"/>
      <c r="F1100" s="11" t="n">
        <v>89.5</v>
      </c>
      <c r="G1100" t="inlineStr"/>
      <c r="I1100" t="inlineStr">
        <is>
          <t>TN</t>
        </is>
      </c>
      <c r="J1100" t="inlineStr"/>
      <c r="K1100" t="inlineStr">
        <is>
          <t>20260225</t>
        </is>
      </c>
      <c r="L1100" t="inlineStr">
        <is>
          <t>20260306</t>
        </is>
      </c>
    </row>
    <row r="1101">
      <c r="A1101" t="inlineStr">
        <is>
          <t>900006544</t>
        </is>
      </c>
      <c r="B1101" t="inlineStr">
        <is>
          <t>DW70</t>
        </is>
      </c>
      <c r="C1101" t="inlineStr">
        <is>
          <t>D080</t>
        </is>
      </c>
      <c r="D1101" t="inlineStr">
        <is>
          <t>10185477</t>
        </is>
      </c>
      <c r="E1101" t="inlineStr"/>
      <c r="F1101" s="11" t="n">
        <v>115.11</v>
      </c>
      <c r="G1101" t="inlineStr"/>
      <c r="I1101" t="inlineStr">
        <is>
          <t>TN</t>
        </is>
      </c>
      <c r="J1101" t="inlineStr"/>
      <c r="K1101" t="inlineStr">
        <is>
          <t>20260805</t>
        </is>
      </c>
      <c r="L1101" t="inlineStr">
        <is>
          <t>99991231</t>
        </is>
      </c>
    </row>
    <row r="1102">
      <c r="A1102" t="inlineStr">
        <is>
          <t>900006544</t>
        </is>
      </c>
      <c r="B1102" t="inlineStr">
        <is>
          <t>DW70</t>
        </is>
      </c>
      <c r="C1102" t="inlineStr">
        <is>
          <t>D080</t>
        </is>
      </c>
      <c r="D1102" t="inlineStr">
        <is>
          <t>10275113</t>
        </is>
      </c>
      <c r="E1102" t="inlineStr"/>
      <c r="F1102" s="11" t="n">
        <v>106.46</v>
      </c>
      <c r="G1102" t="inlineStr"/>
      <c r="I1102" t="inlineStr">
        <is>
          <t>TN</t>
        </is>
      </c>
      <c r="J1102" t="inlineStr"/>
      <c r="K1102" t="inlineStr">
        <is>
          <t>20260306</t>
        </is>
      </c>
      <c r="L1102" t="inlineStr">
        <is>
          <t>99991231</t>
        </is>
      </c>
    </row>
    <row r="1103">
      <c r="A1103" t="inlineStr">
        <is>
          <t>900006544</t>
        </is>
      </c>
      <c r="B1103" t="inlineStr">
        <is>
          <t>DW70</t>
        </is>
      </c>
      <c r="C1103" t="inlineStr">
        <is>
          <t>D081</t>
        </is>
      </c>
      <c r="D1103" t="inlineStr">
        <is>
          <t>10185476</t>
        </is>
      </c>
      <c r="E1103" t="inlineStr"/>
      <c r="F1103" s="11" t="n">
        <v>89.5</v>
      </c>
      <c r="G1103" t="inlineStr"/>
      <c r="I1103" t="inlineStr">
        <is>
          <t>TN</t>
        </is>
      </c>
      <c r="J1103" t="inlineStr"/>
      <c r="K1103" t="inlineStr">
        <is>
          <t>20260225</t>
        </is>
      </c>
      <c r="L1103" t="inlineStr">
        <is>
          <t>20260306</t>
        </is>
      </c>
    </row>
    <row r="1104">
      <c r="A1104" t="inlineStr">
        <is>
          <t>900006544</t>
        </is>
      </c>
      <c r="B1104" t="inlineStr">
        <is>
          <t>DW70</t>
        </is>
      </c>
      <c r="C1104" t="inlineStr">
        <is>
          <t>D081</t>
        </is>
      </c>
      <c r="D1104" t="inlineStr">
        <is>
          <t>10185477</t>
        </is>
      </c>
      <c r="E1104" t="inlineStr"/>
      <c r="F1104" s="11" t="n">
        <v>115.11</v>
      </c>
      <c r="G1104" t="inlineStr"/>
      <c r="I1104" t="inlineStr">
        <is>
          <t>TN</t>
        </is>
      </c>
      <c r="J1104" t="inlineStr"/>
      <c r="K1104" t="inlineStr">
        <is>
          <t>20260805</t>
        </is>
      </c>
      <c r="L1104" t="inlineStr">
        <is>
          <t>99991231</t>
        </is>
      </c>
    </row>
    <row r="1105">
      <c r="A1105" t="inlineStr">
        <is>
          <t>900006544</t>
        </is>
      </c>
      <c r="B1105" t="inlineStr">
        <is>
          <t>DW70</t>
        </is>
      </c>
      <c r="C1105" t="inlineStr">
        <is>
          <t>D081</t>
        </is>
      </c>
      <c r="D1105" t="inlineStr">
        <is>
          <t>10275113</t>
        </is>
      </c>
      <c r="E1105" t="inlineStr"/>
      <c r="F1105" s="11" t="n">
        <v>106.46</v>
      </c>
      <c r="G1105" t="inlineStr"/>
      <c r="I1105" t="inlineStr">
        <is>
          <t>TN</t>
        </is>
      </c>
      <c r="J1105" t="inlineStr"/>
      <c r="K1105" t="inlineStr">
        <is>
          <t>20260306</t>
        </is>
      </c>
      <c r="L1105" t="inlineStr">
        <is>
          <t>99991231</t>
        </is>
      </c>
    </row>
    <row r="1106">
      <c r="A1106" t="inlineStr">
        <is>
          <t>900006544</t>
        </is>
      </c>
      <c r="B1106" t="inlineStr">
        <is>
          <t>DW70</t>
        </is>
      </c>
      <c r="C1106" t="inlineStr">
        <is>
          <t>D083</t>
        </is>
      </c>
      <c r="D1106" t="inlineStr">
        <is>
          <t>10185476</t>
        </is>
      </c>
      <c r="E1106" t="inlineStr"/>
      <c r="F1106" s="11" t="n">
        <v>89.5</v>
      </c>
      <c r="G1106" t="inlineStr"/>
      <c r="I1106" t="inlineStr">
        <is>
          <t>TN</t>
        </is>
      </c>
      <c r="J1106" t="inlineStr"/>
      <c r="K1106" t="inlineStr">
        <is>
          <t>20260225</t>
        </is>
      </c>
      <c r="L1106" t="inlineStr">
        <is>
          <t>20260306</t>
        </is>
      </c>
    </row>
    <row r="1107">
      <c r="A1107" t="inlineStr">
        <is>
          <t>900006544</t>
        </is>
      </c>
      <c r="B1107" t="inlineStr">
        <is>
          <t>DW70</t>
        </is>
      </c>
      <c r="C1107" t="inlineStr">
        <is>
          <t>D083</t>
        </is>
      </c>
      <c r="D1107" t="inlineStr">
        <is>
          <t>10185477</t>
        </is>
      </c>
      <c r="E1107" t="inlineStr"/>
      <c r="F1107" s="11" t="n">
        <v>115.11</v>
      </c>
      <c r="G1107" t="inlineStr"/>
      <c r="I1107" t="inlineStr">
        <is>
          <t>TN</t>
        </is>
      </c>
      <c r="J1107" t="inlineStr"/>
      <c r="K1107" t="inlineStr">
        <is>
          <t>20260805</t>
        </is>
      </c>
      <c r="L1107" t="inlineStr">
        <is>
          <t>99991231</t>
        </is>
      </c>
    </row>
    <row r="1108">
      <c r="A1108" t="inlineStr">
        <is>
          <t>900006544</t>
        </is>
      </c>
      <c r="B1108" t="inlineStr">
        <is>
          <t>DW70</t>
        </is>
      </c>
      <c r="C1108" t="inlineStr">
        <is>
          <t>D083</t>
        </is>
      </c>
      <c r="D1108" t="inlineStr">
        <is>
          <t>10275113</t>
        </is>
      </c>
      <c r="E1108" t="inlineStr"/>
      <c r="F1108" s="11" t="n">
        <v>106.46</v>
      </c>
      <c r="G1108" t="inlineStr"/>
      <c r="I1108" t="inlineStr">
        <is>
          <t>TN</t>
        </is>
      </c>
      <c r="J1108" t="inlineStr"/>
      <c r="K1108" t="inlineStr">
        <is>
          <t>20260306</t>
        </is>
      </c>
      <c r="L1108" t="inlineStr">
        <is>
          <t>99991231</t>
        </is>
      </c>
    </row>
    <row r="1109">
      <c r="A1109" t="inlineStr">
        <is>
          <t>900006544</t>
        </is>
      </c>
      <c r="B1109" t="inlineStr">
        <is>
          <t>DW70</t>
        </is>
      </c>
      <c r="C1109" t="inlineStr">
        <is>
          <t>D084</t>
        </is>
      </c>
      <c r="D1109" t="inlineStr">
        <is>
          <t>10185476</t>
        </is>
      </c>
      <c r="E1109" t="inlineStr"/>
      <c r="F1109" s="11" t="n">
        <v>89.5</v>
      </c>
      <c r="G1109" t="inlineStr"/>
      <c r="I1109" t="inlineStr">
        <is>
          <t>TN</t>
        </is>
      </c>
      <c r="J1109" t="inlineStr"/>
      <c r="K1109" t="inlineStr">
        <is>
          <t>20260225</t>
        </is>
      </c>
      <c r="L1109" t="inlineStr">
        <is>
          <t>20260306</t>
        </is>
      </c>
    </row>
    <row r="1110">
      <c r="A1110" t="inlineStr">
        <is>
          <t>900006544</t>
        </is>
      </c>
      <c r="B1110" t="inlineStr">
        <is>
          <t>DW70</t>
        </is>
      </c>
      <c r="C1110" t="inlineStr">
        <is>
          <t>D084</t>
        </is>
      </c>
      <c r="D1110" t="inlineStr">
        <is>
          <t>10185477</t>
        </is>
      </c>
      <c r="E1110" t="inlineStr"/>
      <c r="F1110" s="11" t="n">
        <v>79.14</v>
      </c>
      <c r="G1110" t="inlineStr"/>
      <c r="I1110" t="inlineStr">
        <is>
          <t>TN</t>
        </is>
      </c>
      <c r="J1110" t="inlineStr"/>
      <c r="K1110" t="inlineStr">
        <is>
          <t>20230501</t>
        </is>
      </c>
      <c r="L1110" t="inlineStr">
        <is>
          <t>20250131</t>
        </is>
      </c>
    </row>
    <row r="1111">
      <c r="A1111" t="inlineStr">
        <is>
          <t>900006544</t>
        </is>
      </c>
      <c r="B1111" t="inlineStr">
        <is>
          <t>DW70</t>
        </is>
      </c>
      <c r="C1111" t="inlineStr">
        <is>
          <t>D084</t>
        </is>
      </c>
      <c r="D1111" t="inlineStr">
        <is>
          <t>10275113</t>
        </is>
      </c>
      <c r="E1111" t="inlineStr"/>
      <c r="F1111" s="11" t="n">
        <v>106.46</v>
      </c>
      <c r="G1111" t="inlineStr"/>
      <c r="I1111" t="inlineStr">
        <is>
          <t>TN</t>
        </is>
      </c>
      <c r="J1111" t="inlineStr"/>
      <c r="K1111" t="inlineStr">
        <is>
          <t>20260306</t>
        </is>
      </c>
      <c r="L1111" t="inlineStr">
        <is>
          <t>99991231</t>
        </is>
      </c>
    </row>
    <row r="1112">
      <c r="A1112" t="inlineStr">
        <is>
          <t>900006544</t>
        </is>
      </c>
      <c r="B1112" t="inlineStr">
        <is>
          <t>DW70</t>
        </is>
      </c>
      <c r="C1112" t="inlineStr">
        <is>
          <t>D085</t>
        </is>
      </c>
      <c r="D1112" t="inlineStr">
        <is>
          <t>10185476</t>
        </is>
      </c>
      <c r="E1112" t="inlineStr"/>
      <c r="F1112" s="11" t="n">
        <v>89.5</v>
      </c>
      <c r="G1112" t="inlineStr"/>
      <c r="I1112" t="inlineStr">
        <is>
          <t>TN</t>
        </is>
      </c>
      <c r="J1112" t="inlineStr"/>
      <c r="K1112" t="inlineStr">
        <is>
          <t>20260225</t>
        </is>
      </c>
      <c r="L1112" t="inlineStr">
        <is>
          <t>20260306</t>
        </is>
      </c>
    </row>
    <row r="1113">
      <c r="A1113" t="inlineStr">
        <is>
          <t>900006544</t>
        </is>
      </c>
      <c r="B1113" t="inlineStr">
        <is>
          <t>DW70</t>
        </is>
      </c>
      <c r="C1113" t="inlineStr">
        <is>
          <t>D085</t>
        </is>
      </c>
      <c r="D1113" t="inlineStr">
        <is>
          <t>10185477</t>
        </is>
      </c>
      <c r="E1113" t="inlineStr"/>
      <c r="F1113" s="11" t="n">
        <v>115.11</v>
      </c>
      <c r="G1113" t="inlineStr"/>
      <c r="I1113" t="inlineStr">
        <is>
          <t>TN</t>
        </is>
      </c>
      <c r="J1113" t="inlineStr"/>
      <c r="K1113" t="inlineStr">
        <is>
          <t>20260805</t>
        </is>
      </c>
      <c r="L1113" t="inlineStr">
        <is>
          <t>99991231</t>
        </is>
      </c>
    </row>
    <row r="1114">
      <c r="A1114" t="inlineStr">
        <is>
          <t>900006544</t>
        </is>
      </c>
      <c r="B1114" t="inlineStr">
        <is>
          <t>DW70</t>
        </is>
      </c>
      <c r="C1114" t="inlineStr">
        <is>
          <t>D085</t>
        </is>
      </c>
      <c r="D1114" t="inlineStr">
        <is>
          <t>10275113</t>
        </is>
      </c>
      <c r="E1114" t="inlineStr"/>
      <c r="F1114" s="11" t="n">
        <v>106.46</v>
      </c>
      <c r="G1114" t="inlineStr"/>
      <c r="I1114" t="inlineStr">
        <is>
          <t>TN</t>
        </is>
      </c>
      <c r="J1114" t="inlineStr"/>
      <c r="K1114" t="inlineStr">
        <is>
          <t>20260306</t>
        </is>
      </c>
      <c r="L1114" t="inlineStr">
        <is>
          <t>99991231</t>
        </is>
      </c>
    </row>
    <row r="1115">
      <c r="A1115" t="inlineStr">
        <is>
          <t>900006544</t>
        </is>
      </c>
      <c r="B1115" t="inlineStr">
        <is>
          <t>DW70</t>
        </is>
      </c>
      <c r="C1115" t="inlineStr">
        <is>
          <t>D086</t>
        </is>
      </c>
      <c r="D1115" t="inlineStr">
        <is>
          <t>10185476</t>
        </is>
      </c>
      <c r="E1115" t="inlineStr"/>
      <c r="F1115" s="11" t="n">
        <v>89.5</v>
      </c>
      <c r="G1115" t="inlineStr"/>
      <c r="I1115" t="inlineStr">
        <is>
          <t>TN</t>
        </is>
      </c>
      <c r="J1115" t="inlineStr"/>
      <c r="K1115" t="inlineStr">
        <is>
          <t>20260225</t>
        </is>
      </c>
      <c r="L1115" t="inlineStr">
        <is>
          <t>20260306</t>
        </is>
      </c>
    </row>
    <row r="1116">
      <c r="A1116" t="inlineStr">
        <is>
          <t>900006544</t>
        </is>
      </c>
      <c r="B1116" t="inlineStr">
        <is>
          <t>DW70</t>
        </is>
      </c>
      <c r="C1116" t="inlineStr">
        <is>
          <t>D086</t>
        </is>
      </c>
      <c r="D1116" t="inlineStr">
        <is>
          <t>10185477</t>
        </is>
      </c>
      <c r="E1116" t="inlineStr"/>
      <c r="F1116" s="11" t="n">
        <v>115.11</v>
      </c>
      <c r="G1116" t="inlineStr"/>
      <c r="I1116" t="inlineStr">
        <is>
          <t>TN</t>
        </is>
      </c>
      <c r="J1116" t="inlineStr"/>
      <c r="K1116" t="inlineStr">
        <is>
          <t>20260805</t>
        </is>
      </c>
      <c r="L1116" t="inlineStr">
        <is>
          <t>99991231</t>
        </is>
      </c>
    </row>
    <row r="1117">
      <c r="A1117" t="inlineStr">
        <is>
          <t>900006544</t>
        </is>
      </c>
      <c r="B1117" t="inlineStr">
        <is>
          <t>DW70</t>
        </is>
      </c>
      <c r="C1117" t="inlineStr">
        <is>
          <t>D086</t>
        </is>
      </c>
      <c r="D1117" t="inlineStr">
        <is>
          <t>10275113</t>
        </is>
      </c>
      <c r="E1117" t="inlineStr"/>
      <c r="F1117" s="11" t="n">
        <v>106.46</v>
      </c>
      <c r="G1117" t="inlineStr"/>
      <c r="I1117" t="inlineStr">
        <is>
          <t>TN</t>
        </is>
      </c>
      <c r="J1117" t="inlineStr"/>
      <c r="K1117" t="inlineStr">
        <is>
          <t>20260306</t>
        </is>
      </c>
      <c r="L1117" t="inlineStr">
        <is>
          <t>99991231</t>
        </is>
      </c>
    </row>
    <row r="1118">
      <c r="A1118" t="inlineStr">
        <is>
          <t>900006544</t>
        </is>
      </c>
      <c r="B1118" t="inlineStr">
        <is>
          <t>DW70</t>
        </is>
      </c>
      <c r="C1118" t="inlineStr">
        <is>
          <t>D088</t>
        </is>
      </c>
      <c r="D1118" t="inlineStr">
        <is>
          <t>10000651</t>
        </is>
      </c>
      <c r="E1118" t="inlineStr"/>
      <c r="F1118" s="11" t="n">
        <v>88.89</v>
      </c>
      <c r="G1118" t="inlineStr"/>
      <c r="I1118" t="inlineStr">
        <is>
          <t>TN</t>
        </is>
      </c>
      <c r="J1118" t="inlineStr"/>
      <c r="K1118" t="inlineStr">
        <is>
          <t>20230501</t>
        </is>
      </c>
      <c r="L1118" t="inlineStr">
        <is>
          <t>20250131</t>
        </is>
      </c>
    </row>
    <row r="1119">
      <c r="A1119" t="inlineStr">
        <is>
          <t>900006544</t>
        </is>
      </c>
      <c r="B1119" t="inlineStr">
        <is>
          <t>DW70</t>
        </is>
      </c>
      <c r="C1119" t="inlineStr">
        <is>
          <t>D088</t>
        </is>
      </c>
      <c r="D1119" t="inlineStr">
        <is>
          <t>10185476</t>
        </is>
      </c>
      <c r="E1119" t="inlineStr"/>
      <c r="F1119" s="11" t="n">
        <v>59.67</v>
      </c>
      <c r="G1119" t="inlineStr"/>
      <c r="I1119" t="inlineStr">
        <is>
          <t>TN</t>
        </is>
      </c>
      <c r="J1119" t="inlineStr"/>
      <c r="K1119" t="inlineStr">
        <is>
          <t>20250701</t>
        </is>
      </c>
      <c r="L1119" t="inlineStr">
        <is>
          <t>20251031</t>
        </is>
      </c>
    </row>
    <row r="1120">
      <c r="A1120" t="inlineStr">
        <is>
          <t>900006544</t>
        </is>
      </c>
      <c r="B1120" t="inlineStr">
        <is>
          <t>DW70</t>
        </is>
      </c>
      <c r="C1120" t="inlineStr">
        <is>
          <t>D088</t>
        </is>
      </c>
      <c r="D1120" t="inlineStr">
        <is>
          <t>10185477</t>
        </is>
      </c>
      <c r="E1120" t="inlineStr"/>
      <c r="F1120" s="11" t="n">
        <v>79.14</v>
      </c>
      <c r="G1120" t="inlineStr"/>
      <c r="I1120" t="inlineStr">
        <is>
          <t>TN</t>
        </is>
      </c>
      <c r="J1120" t="inlineStr"/>
      <c r="K1120" t="inlineStr">
        <is>
          <t>20230501</t>
        </is>
      </c>
      <c r="L1120" t="inlineStr">
        <is>
          <t>20250131</t>
        </is>
      </c>
    </row>
    <row r="1121">
      <c r="A1121" t="inlineStr">
        <is>
          <t>900006544</t>
        </is>
      </c>
      <c r="B1121" t="inlineStr">
        <is>
          <t>DW70</t>
        </is>
      </c>
      <c r="C1121" t="inlineStr">
        <is>
          <t>D093</t>
        </is>
      </c>
      <c r="D1121" t="inlineStr">
        <is>
          <t>10000651</t>
        </is>
      </c>
      <c r="E1121" t="inlineStr"/>
      <c r="F1121" s="11" t="n">
        <v>88.89</v>
      </c>
      <c r="G1121" t="inlineStr"/>
      <c r="I1121" t="inlineStr">
        <is>
          <t>TN</t>
        </is>
      </c>
      <c r="J1121" t="inlineStr"/>
      <c r="K1121" t="inlineStr">
        <is>
          <t>20230501</t>
        </is>
      </c>
      <c r="L1121" t="inlineStr">
        <is>
          <t>20250131</t>
        </is>
      </c>
    </row>
    <row r="1122">
      <c r="A1122" t="inlineStr">
        <is>
          <t>900006544</t>
        </is>
      </c>
      <c r="B1122" t="inlineStr">
        <is>
          <t>DW70</t>
        </is>
      </c>
      <c r="C1122" t="inlineStr">
        <is>
          <t>D093</t>
        </is>
      </c>
      <c r="D1122" t="inlineStr">
        <is>
          <t>10185476</t>
        </is>
      </c>
      <c r="E1122" t="inlineStr"/>
      <c r="F1122" s="11" t="n">
        <v>89.5</v>
      </c>
      <c r="G1122" t="inlineStr"/>
      <c r="I1122" t="inlineStr">
        <is>
          <t>TN</t>
        </is>
      </c>
      <c r="J1122" t="inlineStr"/>
      <c r="K1122" t="inlineStr">
        <is>
          <t>20260225</t>
        </is>
      </c>
      <c r="L1122" t="inlineStr">
        <is>
          <t>20260306</t>
        </is>
      </c>
    </row>
    <row r="1123">
      <c r="A1123" t="inlineStr">
        <is>
          <t>900006544</t>
        </is>
      </c>
      <c r="B1123" t="inlineStr">
        <is>
          <t>DW70</t>
        </is>
      </c>
      <c r="C1123" t="inlineStr">
        <is>
          <t>D093</t>
        </is>
      </c>
      <c r="D1123" t="inlineStr">
        <is>
          <t>10185477</t>
        </is>
      </c>
      <c r="E1123" t="inlineStr"/>
      <c r="F1123" s="11" t="n">
        <v>115.11</v>
      </c>
      <c r="G1123" t="inlineStr"/>
      <c r="I1123" t="inlineStr">
        <is>
          <t>TN</t>
        </is>
      </c>
      <c r="J1123" t="inlineStr"/>
      <c r="K1123" t="inlineStr">
        <is>
          <t>20260805</t>
        </is>
      </c>
      <c r="L1123" t="inlineStr">
        <is>
          <t>99991231</t>
        </is>
      </c>
    </row>
    <row r="1124">
      <c r="A1124" t="inlineStr">
        <is>
          <t>900006544</t>
        </is>
      </c>
      <c r="B1124" t="inlineStr">
        <is>
          <t>DW70</t>
        </is>
      </c>
      <c r="C1124" t="inlineStr">
        <is>
          <t>D093</t>
        </is>
      </c>
      <c r="D1124" t="inlineStr">
        <is>
          <t>10275113</t>
        </is>
      </c>
      <c r="E1124" t="inlineStr"/>
      <c r="F1124" s="11" t="n">
        <v>106.46</v>
      </c>
      <c r="G1124" t="inlineStr"/>
      <c r="I1124" t="inlineStr">
        <is>
          <t>TN</t>
        </is>
      </c>
      <c r="J1124" t="inlineStr"/>
      <c r="K1124" t="inlineStr">
        <is>
          <t>20260306</t>
        </is>
      </c>
      <c r="L1124" t="inlineStr">
        <is>
          <t>99991231</t>
        </is>
      </c>
    </row>
    <row r="1125">
      <c r="A1125" t="inlineStr">
        <is>
          <t>900006544</t>
        </is>
      </c>
      <c r="B1125" t="inlineStr">
        <is>
          <t>DW70</t>
        </is>
      </c>
      <c r="C1125" t="inlineStr">
        <is>
          <t>D098</t>
        </is>
      </c>
      <c r="D1125" t="inlineStr">
        <is>
          <t>10185476</t>
        </is>
      </c>
      <c r="E1125" t="inlineStr"/>
      <c r="F1125" s="11" t="n">
        <v>89.5</v>
      </c>
      <c r="G1125" t="inlineStr"/>
      <c r="I1125" t="inlineStr">
        <is>
          <t>TN</t>
        </is>
      </c>
      <c r="J1125" t="inlineStr"/>
      <c r="K1125" t="inlineStr">
        <is>
          <t>20260225</t>
        </is>
      </c>
      <c r="L1125" t="inlineStr">
        <is>
          <t>20260306</t>
        </is>
      </c>
    </row>
    <row r="1126">
      <c r="A1126" t="inlineStr">
        <is>
          <t>900006544</t>
        </is>
      </c>
      <c r="B1126" t="inlineStr">
        <is>
          <t>DW70</t>
        </is>
      </c>
      <c r="C1126" t="inlineStr">
        <is>
          <t>D098</t>
        </is>
      </c>
      <c r="D1126" t="inlineStr">
        <is>
          <t>10185477</t>
        </is>
      </c>
      <c r="E1126" t="inlineStr"/>
      <c r="F1126" s="11" t="n">
        <v>115.11</v>
      </c>
      <c r="G1126" t="inlineStr"/>
      <c r="I1126" t="inlineStr">
        <is>
          <t>TN</t>
        </is>
      </c>
      <c r="J1126" t="inlineStr"/>
      <c r="K1126" t="inlineStr">
        <is>
          <t>20260805</t>
        </is>
      </c>
      <c r="L1126" t="inlineStr">
        <is>
          <t>99991231</t>
        </is>
      </c>
    </row>
    <row r="1127">
      <c r="A1127" t="inlineStr">
        <is>
          <t>900006544</t>
        </is>
      </c>
      <c r="B1127" t="inlineStr">
        <is>
          <t>DW70</t>
        </is>
      </c>
      <c r="C1127" t="inlineStr">
        <is>
          <t>D098</t>
        </is>
      </c>
      <c r="D1127" t="inlineStr">
        <is>
          <t>10275113</t>
        </is>
      </c>
      <c r="E1127" t="inlineStr"/>
      <c r="F1127" s="11" t="n">
        <v>106.46</v>
      </c>
      <c r="G1127" t="inlineStr"/>
      <c r="I1127" t="inlineStr">
        <is>
          <t>TN</t>
        </is>
      </c>
      <c r="J1127" t="inlineStr"/>
      <c r="K1127" t="inlineStr">
        <is>
          <t>20260306</t>
        </is>
      </c>
      <c r="L1127" t="inlineStr">
        <is>
          <t>99991231</t>
        </is>
      </c>
    </row>
    <row r="1128">
      <c r="A1128" t="inlineStr">
        <is>
          <t>900006544</t>
        </is>
      </c>
      <c r="B1128" t="inlineStr">
        <is>
          <t>DW70</t>
        </is>
      </c>
      <c r="C1128" t="inlineStr">
        <is>
          <t>D105</t>
        </is>
      </c>
      <c r="D1128" t="inlineStr">
        <is>
          <t>10185476</t>
        </is>
      </c>
      <c r="E1128" t="inlineStr"/>
      <c r="F1128" s="11" t="n">
        <v>89.5</v>
      </c>
      <c r="G1128" t="inlineStr"/>
      <c r="I1128" t="inlineStr">
        <is>
          <t>TN</t>
        </is>
      </c>
      <c r="J1128" t="inlineStr"/>
      <c r="K1128" t="inlineStr">
        <is>
          <t>20260225</t>
        </is>
      </c>
      <c r="L1128" t="inlineStr">
        <is>
          <t>20260306</t>
        </is>
      </c>
    </row>
    <row r="1129">
      <c r="A1129" t="inlineStr">
        <is>
          <t>900006544</t>
        </is>
      </c>
      <c r="B1129" t="inlineStr">
        <is>
          <t>DW70</t>
        </is>
      </c>
      <c r="C1129" t="inlineStr">
        <is>
          <t>D105</t>
        </is>
      </c>
      <c r="D1129" t="inlineStr">
        <is>
          <t>10185477</t>
        </is>
      </c>
      <c r="E1129" t="inlineStr"/>
      <c r="F1129" s="11" t="n">
        <v>115.11</v>
      </c>
      <c r="G1129" t="inlineStr"/>
      <c r="I1129" t="inlineStr">
        <is>
          <t>TN</t>
        </is>
      </c>
      <c r="J1129" t="inlineStr"/>
      <c r="K1129" t="inlineStr">
        <is>
          <t>20260805</t>
        </is>
      </c>
      <c r="L1129" t="inlineStr">
        <is>
          <t>99991231</t>
        </is>
      </c>
    </row>
    <row r="1130">
      <c r="A1130" t="inlineStr">
        <is>
          <t>900006544</t>
        </is>
      </c>
      <c r="B1130" t="inlineStr">
        <is>
          <t>DW70</t>
        </is>
      </c>
      <c r="C1130" t="inlineStr">
        <is>
          <t>D105</t>
        </is>
      </c>
      <c r="D1130" t="inlineStr">
        <is>
          <t>10275113</t>
        </is>
      </c>
      <c r="E1130" t="inlineStr"/>
      <c r="F1130" s="11" t="n">
        <v>106.46</v>
      </c>
      <c r="G1130" t="inlineStr"/>
      <c r="I1130" t="inlineStr">
        <is>
          <t>TN</t>
        </is>
      </c>
      <c r="J1130" t="inlineStr"/>
      <c r="K1130" t="inlineStr">
        <is>
          <t>20260306</t>
        </is>
      </c>
      <c r="L1130" t="inlineStr">
        <is>
          <t>99991231</t>
        </is>
      </c>
    </row>
    <row r="1131">
      <c r="A1131" t="inlineStr">
        <is>
          <t>900006544</t>
        </is>
      </c>
      <c r="B1131" t="inlineStr">
        <is>
          <t>DW70</t>
        </is>
      </c>
      <c r="C1131" t="inlineStr">
        <is>
          <t>D111</t>
        </is>
      </c>
      <c r="D1131" t="inlineStr">
        <is>
          <t>10185476</t>
        </is>
      </c>
      <c r="E1131" t="inlineStr"/>
      <c r="F1131" s="11" t="n">
        <v>89.5</v>
      </c>
      <c r="G1131" t="inlineStr"/>
      <c r="I1131" t="inlineStr">
        <is>
          <t>TN</t>
        </is>
      </c>
      <c r="J1131" t="inlineStr"/>
      <c r="K1131" t="inlineStr">
        <is>
          <t>20260225</t>
        </is>
      </c>
      <c r="L1131" t="inlineStr">
        <is>
          <t>20260306</t>
        </is>
      </c>
    </row>
    <row r="1132">
      <c r="A1132" t="inlineStr">
        <is>
          <t>900006544</t>
        </is>
      </c>
      <c r="B1132" t="inlineStr">
        <is>
          <t>DW70</t>
        </is>
      </c>
      <c r="C1132" t="inlineStr">
        <is>
          <t>D111</t>
        </is>
      </c>
      <c r="D1132" t="inlineStr">
        <is>
          <t>10185477</t>
        </is>
      </c>
      <c r="E1132" t="inlineStr"/>
      <c r="F1132" s="11" t="n">
        <v>79.14</v>
      </c>
      <c r="G1132" t="inlineStr"/>
      <c r="I1132" t="inlineStr">
        <is>
          <t>TN</t>
        </is>
      </c>
      <c r="J1132" t="inlineStr"/>
      <c r="K1132" t="inlineStr">
        <is>
          <t>20230501</t>
        </is>
      </c>
      <c r="L1132" t="inlineStr">
        <is>
          <t>20250131</t>
        </is>
      </c>
    </row>
    <row r="1133">
      <c r="A1133" t="inlineStr">
        <is>
          <t>900006544</t>
        </is>
      </c>
      <c r="B1133" t="inlineStr">
        <is>
          <t>DW70</t>
        </is>
      </c>
      <c r="C1133" t="inlineStr">
        <is>
          <t>D111</t>
        </is>
      </c>
      <c r="D1133" t="inlineStr">
        <is>
          <t>10275113</t>
        </is>
      </c>
      <c r="E1133" t="inlineStr"/>
      <c r="F1133" s="11" t="n">
        <v>106.46</v>
      </c>
      <c r="G1133" t="inlineStr"/>
      <c r="I1133" t="inlineStr">
        <is>
          <t>TN</t>
        </is>
      </c>
      <c r="J1133" t="inlineStr"/>
      <c r="K1133" t="inlineStr">
        <is>
          <t>20260306</t>
        </is>
      </c>
      <c r="L1133" t="inlineStr">
        <is>
          <t>99991231</t>
        </is>
      </c>
    </row>
    <row r="1134">
      <c r="A1134" t="inlineStr">
        <is>
          <t>900006544</t>
        </is>
      </c>
      <c r="B1134" t="inlineStr">
        <is>
          <t>DW70</t>
        </is>
      </c>
      <c r="C1134" t="inlineStr">
        <is>
          <t>D136</t>
        </is>
      </c>
      <c r="D1134" t="inlineStr">
        <is>
          <t>10185476</t>
        </is>
      </c>
      <c r="E1134" t="inlineStr"/>
      <c r="F1134" s="11" t="n">
        <v>89.5</v>
      </c>
      <c r="G1134" t="inlineStr"/>
      <c r="I1134" t="inlineStr">
        <is>
          <t>TN</t>
        </is>
      </c>
      <c r="J1134" t="inlineStr"/>
      <c r="K1134" t="inlineStr">
        <is>
          <t>20260225</t>
        </is>
      </c>
      <c r="L1134" t="inlineStr">
        <is>
          <t>20260306</t>
        </is>
      </c>
    </row>
    <row r="1135">
      <c r="A1135" t="inlineStr">
        <is>
          <t>900006544</t>
        </is>
      </c>
      <c r="B1135" t="inlineStr">
        <is>
          <t>DW70</t>
        </is>
      </c>
      <c r="C1135" t="inlineStr">
        <is>
          <t>D136</t>
        </is>
      </c>
      <c r="D1135" t="inlineStr">
        <is>
          <t>10185477</t>
        </is>
      </c>
      <c r="E1135" t="inlineStr"/>
      <c r="F1135" s="11" t="n">
        <v>115.11</v>
      </c>
      <c r="G1135" t="inlineStr"/>
      <c r="I1135" t="inlineStr">
        <is>
          <t>TN</t>
        </is>
      </c>
      <c r="J1135" t="inlineStr"/>
      <c r="K1135" t="inlineStr">
        <is>
          <t>20260805</t>
        </is>
      </c>
      <c r="L1135" t="inlineStr">
        <is>
          <t>99991231</t>
        </is>
      </c>
    </row>
    <row r="1136">
      <c r="A1136" t="inlineStr">
        <is>
          <t>900006544</t>
        </is>
      </c>
      <c r="B1136" t="inlineStr">
        <is>
          <t>DW70</t>
        </is>
      </c>
      <c r="C1136" t="inlineStr">
        <is>
          <t>D136</t>
        </is>
      </c>
      <c r="D1136" t="inlineStr">
        <is>
          <t>10275113</t>
        </is>
      </c>
      <c r="E1136" t="inlineStr"/>
      <c r="F1136" s="11" t="n">
        <v>106.46</v>
      </c>
      <c r="G1136" t="inlineStr"/>
      <c r="I1136" t="inlineStr">
        <is>
          <t>TN</t>
        </is>
      </c>
      <c r="J1136" t="inlineStr"/>
      <c r="K1136" t="inlineStr">
        <is>
          <t>20260306</t>
        </is>
      </c>
      <c r="L1136" t="inlineStr">
        <is>
          <t>99991231</t>
        </is>
      </c>
    </row>
    <row r="1137">
      <c r="A1137" t="inlineStr">
        <is>
          <t>900006544</t>
        </is>
      </c>
      <c r="B1137" t="inlineStr">
        <is>
          <t>DW70</t>
        </is>
      </c>
      <c r="C1137" t="inlineStr">
        <is>
          <t>D145</t>
        </is>
      </c>
      <c r="D1137" t="inlineStr">
        <is>
          <t>10000651</t>
        </is>
      </c>
      <c r="E1137" t="inlineStr"/>
      <c r="F1137" s="11" t="n">
        <v>88.89</v>
      </c>
      <c r="G1137" t="inlineStr"/>
      <c r="I1137" t="inlineStr">
        <is>
          <t>TN</t>
        </is>
      </c>
      <c r="J1137" t="inlineStr"/>
      <c r="K1137" t="inlineStr">
        <is>
          <t>20230501</t>
        </is>
      </c>
      <c r="L1137" t="inlineStr">
        <is>
          <t>20250131</t>
        </is>
      </c>
    </row>
    <row r="1138">
      <c r="A1138" t="inlineStr">
        <is>
          <t>900006544</t>
        </is>
      </c>
      <c r="B1138" t="inlineStr">
        <is>
          <t>DW70</t>
        </is>
      </c>
      <c r="C1138" t="inlineStr">
        <is>
          <t>D145</t>
        </is>
      </c>
      <c r="D1138" t="inlineStr">
        <is>
          <t>10185476</t>
        </is>
      </c>
      <c r="E1138" t="inlineStr"/>
      <c r="F1138" s="11" t="n">
        <v>89.5</v>
      </c>
      <c r="G1138" t="inlineStr"/>
      <c r="I1138" t="inlineStr">
        <is>
          <t>TN</t>
        </is>
      </c>
      <c r="J1138" t="inlineStr"/>
      <c r="K1138" t="inlineStr">
        <is>
          <t>20260225</t>
        </is>
      </c>
      <c r="L1138" t="inlineStr">
        <is>
          <t>20260306</t>
        </is>
      </c>
    </row>
    <row r="1139">
      <c r="A1139" t="inlineStr">
        <is>
          <t>900006544</t>
        </is>
      </c>
      <c r="B1139" t="inlineStr">
        <is>
          <t>DW70</t>
        </is>
      </c>
      <c r="C1139" t="inlineStr">
        <is>
          <t>D145</t>
        </is>
      </c>
      <c r="D1139" t="inlineStr">
        <is>
          <t>10185477</t>
        </is>
      </c>
      <c r="E1139" t="inlineStr"/>
      <c r="F1139" s="11" t="n">
        <v>115.11</v>
      </c>
      <c r="G1139" t="inlineStr"/>
      <c r="I1139" t="inlineStr">
        <is>
          <t>TN</t>
        </is>
      </c>
      <c r="J1139" t="inlineStr"/>
      <c r="K1139" t="inlineStr">
        <is>
          <t>20260805</t>
        </is>
      </c>
      <c r="L1139" t="inlineStr">
        <is>
          <t>99991231</t>
        </is>
      </c>
    </row>
    <row r="1140">
      <c r="A1140" t="inlineStr">
        <is>
          <t>900006544</t>
        </is>
      </c>
      <c r="B1140" t="inlineStr">
        <is>
          <t>DW70</t>
        </is>
      </c>
      <c r="C1140" t="inlineStr">
        <is>
          <t>D145</t>
        </is>
      </c>
      <c r="D1140" t="inlineStr">
        <is>
          <t>10275113</t>
        </is>
      </c>
      <c r="E1140" t="inlineStr"/>
      <c r="F1140" s="11" t="n">
        <v>106.46</v>
      </c>
      <c r="G1140" t="inlineStr"/>
      <c r="I1140" t="inlineStr">
        <is>
          <t>TN</t>
        </is>
      </c>
      <c r="J1140" t="inlineStr"/>
      <c r="K1140" t="inlineStr">
        <is>
          <t>20260306</t>
        </is>
      </c>
      <c r="L1140" t="inlineStr">
        <is>
          <t>99991231</t>
        </is>
      </c>
    </row>
    <row r="1141">
      <c r="A1141" t="inlineStr">
        <is>
          <t>900006544</t>
        </is>
      </c>
      <c r="B1141" t="inlineStr">
        <is>
          <t>DW70</t>
        </is>
      </c>
      <c r="C1141" t="inlineStr">
        <is>
          <t>D681</t>
        </is>
      </c>
      <c r="D1141" t="inlineStr">
        <is>
          <t>10185476</t>
        </is>
      </c>
      <c r="E1141" t="inlineStr"/>
      <c r="F1141" s="11" t="n">
        <v>89.5</v>
      </c>
      <c r="G1141" t="inlineStr"/>
      <c r="I1141" t="inlineStr">
        <is>
          <t>TN</t>
        </is>
      </c>
      <c r="J1141" t="inlineStr"/>
      <c r="K1141" t="inlineStr">
        <is>
          <t>20260225</t>
        </is>
      </c>
      <c r="L1141" t="inlineStr">
        <is>
          <t>20260306</t>
        </is>
      </c>
    </row>
    <row r="1142">
      <c r="A1142" t="inlineStr">
        <is>
          <t>900006544</t>
        </is>
      </c>
      <c r="B1142" t="inlineStr">
        <is>
          <t>DW70</t>
        </is>
      </c>
      <c r="C1142" t="inlineStr">
        <is>
          <t>D681</t>
        </is>
      </c>
      <c r="D1142" t="inlineStr">
        <is>
          <t>10185477</t>
        </is>
      </c>
      <c r="E1142" t="inlineStr"/>
      <c r="F1142" s="11" t="n">
        <v>115.11</v>
      </c>
      <c r="G1142" t="inlineStr"/>
      <c r="I1142" t="inlineStr">
        <is>
          <t>TN</t>
        </is>
      </c>
      <c r="J1142" t="inlineStr"/>
      <c r="K1142" t="inlineStr">
        <is>
          <t>20260805</t>
        </is>
      </c>
      <c r="L1142" t="inlineStr">
        <is>
          <t>99991231</t>
        </is>
      </c>
    </row>
    <row r="1143">
      <c r="A1143" t="inlineStr">
        <is>
          <t>900006544</t>
        </is>
      </c>
      <c r="B1143" t="inlineStr">
        <is>
          <t>DW70</t>
        </is>
      </c>
      <c r="C1143" t="inlineStr">
        <is>
          <t>D681</t>
        </is>
      </c>
      <c r="D1143" t="inlineStr">
        <is>
          <t>10275113</t>
        </is>
      </c>
      <c r="E1143" t="inlineStr"/>
      <c r="F1143" s="11" t="n">
        <v>106.46</v>
      </c>
      <c r="G1143" t="inlineStr"/>
      <c r="I1143" t="inlineStr">
        <is>
          <t>TN</t>
        </is>
      </c>
      <c r="J1143" t="inlineStr"/>
      <c r="K1143" t="inlineStr">
        <is>
          <t>20260306</t>
        </is>
      </c>
      <c r="L1143" t="inlineStr">
        <is>
          <t>99991231</t>
        </is>
      </c>
    </row>
    <row r="1144">
      <c r="A1144" t="inlineStr">
        <is>
          <t>900006544</t>
        </is>
      </c>
      <c r="B1144" t="inlineStr">
        <is>
          <t>DW70</t>
        </is>
      </c>
      <c r="C1144" t="inlineStr">
        <is>
          <t>EQ75</t>
        </is>
      </c>
      <c r="D1144" t="inlineStr">
        <is>
          <t>10000651</t>
        </is>
      </c>
      <c r="E1144" t="inlineStr"/>
      <c r="F1144" s="11" t="n">
        <v>93.56999999999999</v>
      </c>
      <c r="G1144" t="inlineStr"/>
      <c r="I1144" t="inlineStr">
        <is>
          <t>TN</t>
        </is>
      </c>
      <c r="J1144" t="inlineStr"/>
      <c r="K1144" t="inlineStr">
        <is>
          <t>20230501</t>
        </is>
      </c>
      <c r="L1144" t="inlineStr">
        <is>
          <t>20250131</t>
        </is>
      </c>
    </row>
    <row r="1145">
      <c r="A1145" t="inlineStr">
        <is>
          <t>900006550</t>
        </is>
      </c>
      <c r="B1145" t="inlineStr">
        <is>
          <t>DW70</t>
        </is>
      </c>
      <c r="C1145" t="inlineStr">
        <is>
          <t>D083</t>
        </is>
      </c>
      <c r="D1145" t="inlineStr">
        <is>
          <t>10198093</t>
        </is>
      </c>
      <c r="E1145" t="inlineStr"/>
      <c r="F1145" s="11" t="n">
        <v>191.39</v>
      </c>
      <c r="G1145" t="inlineStr"/>
      <c r="I1145" t="inlineStr">
        <is>
          <t>TN</t>
        </is>
      </c>
      <c r="J1145" t="inlineStr"/>
      <c r="K1145" t="inlineStr">
        <is>
          <t>20230501</t>
        </is>
      </c>
      <c r="L1145" t="inlineStr">
        <is>
          <t>20250131</t>
        </is>
      </c>
    </row>
    <row r="1146">
      <c r="A1146" t="inlineStr">
        <is>
          <t>900006715</t>
        </is>
      </c>
      <c r="B1146" t="inlineStr">
        <is>
          <t>DW70</t>
        </is>
      </c>
      <c r="C1146" t="inlineStr">
        <is>
          <t>D093</t>
        </is>
      </c>
      <c r="D1146" t="inlineStr">
        <is>
          <t>10186274</t>
        </is>
      </c>
      <c r="E1146" t="inlineStr"/>
      <c r="F1146" s="11" t="n">
        <v>180.05</v>
      </c>
      <c r="G1146" t="inlineStr"/>
      <c r="I1146" t="inlineStr">
        <is>
          <t>TN</t>
        </is>
      </c>
      <c r="J1146" t="inlineStr"/>
      <c r="K1146" t="inlineStr">
        <is>
          <t>20230501</t>
        </is>
      </c>
      <c r="L1146" t="inlineStr">
        <is>
          <t>20250131</t>
        </is>
      </c>
    </row>
    <row r="1147">
      <c r="A1147" t="inlineStr">
        <is>
          <t>900006715</t>
        </is>
      </c>
      <c r="B1147" t="inlineStr">
        <is>
          <t>DW70</t>
        </is>
      </c>
      <c r="C1147" t="inlineStr">
        <is>
          <t>D098</t>
        </is>
      </c>
      <c r="D1147" t="inlineStr">
        <is>
          <t>10186274</t>
        </is>
      </c>
      <c r="E1147" t="inlineStr"/>
      <c r="F1147" s="11" t="n">
        <v>180.05</v>
      </c>
      <c r="G1147" t="inlineStr"/>
      <c r="I1147" t="inlineStr">
        <is>
          <t>TN</t>
        </is>
      </c>
      <c r="J1147" t="inlineStr"/>
      <c r="K1147" t="inlineStr">
        <is>
          <t>20230501</t>
        </is>
      </c>
      <c r="L1147" t="inlineStr">
        <is>
          <t>20250131</t>
        </is>
      </c>
    </row>
    <row r="1148">
      <c r="A1148" t="inlineStr">
        <is>
          <t>900006715</t>
        </is>
      </c>
      <c r="B1148" t="inlineStr">
        <is>
          <t>DW70</t>
        </is>
      </c>
      <c r="C1148" t="inlineStr">
        <is>
          <t>D681</t>
        </is>
      </c>
      <c r="D1148" t="inlineStr">
        <is>
          <t>10186274</t>
        </is>
      </c>
      <c r="E1148" t="inlineStr"/>
      <c r="F1148" s="11" t="n">
        <v>180.05</v>
      </c>
      <c r="G1148" t="inlineStr"/>
      <c r="I1148" t="inlineStr">
        <is>
          <t>TN</t>
        </is>
      </c>
      <c r="J1148" t="inlineStr"/>
      <c r="K1148" t="inlineStr">
        <is>
          <t>20230501</t>
        </is>
      </c>
      <c r="L1148" t="inlineStr">
        <is>
          <t>20250131</t>
        </is>
      </c>
    </row>
    <row r="1149">
      <c r="A1149" t="inlineStr">
        <is>
          <t>900006765</t>
        </is>
      </c>
      <c r="B1149" t="inlineStr">
        <is>
          <t>DW70</t>
        </is>
      </c>
      <c r="C1149" t="inlineStr">
        <is>
          <t>D081</t>
        </is>
      </c>
      <c r="D1149" t="inlineStr">
        <is>
          <t>10000829</t>
        </is>
      </c>
      <c r="E1149" t="inlineStr"/>
      <c r="F1149" s="11" t="n">
        <v>45.46</v>
      </c>
      <c r="G1149" t="inlineStr"/>
      <c r="I1149" t="inlineStr">
        <is>
          <t>TN</t>
        </is>
      </c>
      <c r="J1149" t="inlineStr"/>
      <c r="K1149" t="inlineStr">
        <is>
          <t>20230501</t>
        </is>
      </c>
      <c r="L1149" t="inlineStr">
        <is>
          <t>20250131</t>
        </is>
      </c>
    </row>
    <row r="1150">
      <c r="A1150" t="inlineStr">
        <is>
          <t>900006765</t>
        </is>
      </c>
      <c r="B1150" t="inlineStr">
        <is>
          <t>DW70</t>
        </is>
      </c>
      <c r="C1150" t="inlineStr">
        <is>
          <t>D083</t>
        </is>
      </c>
      <c r="D1150" t="inlineStr">
        <is>
          <t>10000829</t>
        </is>
      </c>
      <c r="E1150" t="inlineStr"/>
      <c r="F1150" s="11" t="n">
        <v>45.46</v>
      </c>
      <c r="G1150" t="inlineStr"/>
      <c r="I1150" t="inlineStr">
        <is>
          <t>TN</t>
        </is>
      </c>
      <c r="J1150" t="inlineStr"/>
      <c r="K1150" t="inlineStr">
        <is>
          <t>20230501</t>
        </is>
      </c>
      <c r="L1150" t="inlineStr">
        <is>
          <t>20250131</t>
        </is>
      </c>
    </row>
    <row r="1151">
      <c r="A1151" t="inlineStr">
        <is>
          <t>900006783</t>
        </is>
      </c>
      <c r="B1151" t="inlineStr">
        <is>
          <t>DW70</t>
        </is>
      </c>
      <c r="C1151" t="inlineStr">
        <is>
          <t>D081</t>
        </is>
      </c>
      <c r="D1151" t="inlineStr">
        <is>
          <t>10186274</t>
        </is>
      </c>
      <c r="E1151" t="inlineStr"/>
      <c r="F1151" s="11" t="n">
        <v>180.06</v>
      </c>
      <c r="G1151" t="inlineStr"/>
      <c r="I1151" t="inlineStr">
        <is>
          <t>TN</t>
        </is>
      </c>
      <c r="J1151" t="inlineStr"/>
      <c r="K1151" t="inlineStr">
        <is>
          <t>20230501</t>
        </is>
      </c>
      <c r="L1151" t="inlineStr">
        <is>
          <t>20250131</t>
        </is>
      </c>
    </row>
    <row r="1152">
      <c r="A1152" t="inlineStr">
        <is>
          <t>900006783</t>
        </is>
      </c>
      <c r="B1152" t="inlineStr">
        <is>
          <t>DW70</t>
        </is>
      </c>
      <c r="C1152" t="inlineStr">
        <is>
          <t>D098</t>
        </is>
      </c>
      <c r="D1152" t="inlineStr">
        <is>
          <t>10186274</t>
        </is>
      </c>
      <c r="E1152" t="inlineStr"/>
      <c r="F1152" s="11" t="n">
        <v>180.06</v>
      </c>
      <c r="G1152" t="inlineStr"/>
      <c r="I1152" t="inlineStr">
        <is>
          <t>TN</t>
        </is>
      </c>
      <c r="J1152" t="inlineStr"/>
      <c r="K1152" t="inlineStr">
        <is>
          <t>20230501</t>
        </is>
      </c>
      <c r="L1152" t="inlineStr">
        <is>
          <t>20250131</t>
        </is>
      </c>
    </row>
    <row r="1153">
      <c r="A1153" t="inlineStr">
        <is>
          <t>900007079</t>
        </is>
      </c>
      <c r="B1153" t="inlineStr">
        <is>
          <t>DW70</t>
        </is>
      </c>
      <c r="C1153" t="inlineStr">
        <is>
          <t>ENDB</t>
        </is>
      </c>
      <c r="D1153" t="inlineStr">
        <is>
          <t>10000160</t>
        </is>
      </c>
      <c r="E1153" t="inlineStr"/>
      <c r="F1153" s="11" t="n">
        <v>117.1</v>
      </c>
      <c r="G1153" t="inlineStr"/>
      <c r="I1153" t="inlineStr">
        <is>
          <t>TN</t>
        </is>
      </c>
      <c r="J1153" t="inlineStr"/>
      <c r="K1153" t="inlineStr">
        <is>
          <t>20250701</t>
        </is>
      </c>
      <c r="L1153" t="inlineStr">
        <is>
          <t>20251031</t>
        </is>
      </c>
    </row>
    <row r="1154">
      <c r="A1154" t="inlineStr">
        <is>
          <t>900007079</t>
        </is>
      </c>
      <c r="B1154" t="inlineStr">
        <is>
          <t>DW70</t>
        </is>
      </c>
      <c r="C1154" t="inlineStr">
        <is>
          <t>ENDB</t>
        </is>
      </c>
      <c r="D1154" t="inlineStr">
        <is>
          <t>10000206</t>
        </is>
      </c>
      <c r="E1154" t="inlineStr"/>
      <c r="F1154" s="11" t="n">
        <v>48.04</v>
      </c>
      <c r="G1154" t="inlineStr"/>
      <c r="I1154" t="inlineStr">
        <is>
          <t>TN</t>
        </is>
      </c>
      <c r="J1154" t="inlineStr"/>
      <c r="K1154" t="inlineStr">
        <is>
          <t>20250701</t>
        </is>
      </c>
      <c r="L1154" t="inlineStr">
        <is>
          <t>99991231</t>
        </is>
      </c>
    </row>
    <row r="1155">
      <c r="A1155" t="inlineStr">
        <is>
          <t>900007079</t>
        </is>
      </c>
      <c r="B1155" t="inlineStr">
        <is>
          <t>DW70</t>
        </is>
      </c>
      <c r="C1155" t="inlineStr">
        <is>
          <t>ENDB</t>
        </is>
      </c>
      <c r="D1155" t="inlineStr">
        <is>
          <t>10175723</t>
        </is>
      </c>
      <c r="E1155" t="inlineStr"/>
      <c r="F1155" s="11" t="n">
        <v>130.3</v>
      </c>
      <c r="G1155" t="inlineStr"/>
      <c r="I1155" t="inlineStr">
        <is>
          <t>TN</t>
        </is>
      </c>
      <c r="J1155" t="inlineStr"/>
      <c r="K1155" t="inlineStr">
        <is>
          <t>20250701</t>
        </is>
      </c>
      <c r="L1155" t="inlineStr">
        <is>
          <t>99991231</t>
        </is>
      </c>
    </row>
    <row r="1156">
      <c r="A1156" t="inlineStr">
        <is>
          <t>900007079</t>
        </is>
      </c>
      <c r="B1156" t="inlineStr">
        <is>
          <t>DW70</t>
        </is>
      </c>
      <c r="C1156" t="inlineStr">
        <is>
          <t>ENDC</t>
        </is>
      </c>
      <c r="D1156" t="inlineStr">
        <is>
          <t>10000160</t>
        </is>
      </c>
      <c r="E1156" t="inlineStr"/>
      <c r="F1156" s="11" t="n">
        <v>117.1</v>
      </c>
      <c r="G1156" t="inlineStr"/>
      <c r="I1156" t="inlineStr">
        <is>
          <t>TN</t>
        </is>
      </c>
      <c r="J1156" t="inlineStr"/>
      <c r="K1156" t="inlineStr">
        <is>
          <t>20250701</t>
        </is>
      </c>
      <c r="L1156" t="inlineStr">
        <is>
          <t>20251031</t>
        </is>
      </c>
    </row>
    <row r="1157">
      <c r="A1157" t="inlineStr">
        <is>
          <t>900007079</t>
        </is>
      </c>
      <c r="B1157" t="inlineStr">
        <is>
          <t>DW70</t>
        </is>
      </c>
      <c r="C1157" t="inlineStr">
        <is>
          <t>ENDC</t>
        </is>
      </c>
      <c r="D1157" t="inlineStr">
        <is>
          <t>10000206</t>
        </is>
      </c>
      <c r="E1157" t="inlineStr"/>
      <c r="F1157" s="11" t="n">
        <v>48.04</v>
      </c>
      <c r="G1157" t="inlineStr"/>
      <c r="I1157" t="inlineStr">
        <is>
          <t>TN</t>
        </is>
      </c>
      <c r="J1157" t="inlineStr"/>
      <c r="K1157" t="inlineStr">
        <is>
          <t>20250701</t>
        </is>
      </c>
      <c r="L1157" t="inlineStr">
        <is>
          <t>20251031</t>
        </is>
      </c>
    </row>
    <row r="1158">
      <c r="A1158" t="inlineStr">
        <is>
          <t>900007079</t>
        </is>
      </c>
      <c r="B1158" t="inlineStr">
        <is>
          <t>DW70</t>
        </is>
      </c>
      <c r="C1158" t="inlineStr">
        <is>
          <t>ENDC</t>
        </is>
      </c>
      <c r="D1158" t="inlineStr">
        <is>
          <t>10175723</t>
        </is>
      </c>
      <c r="E1158" t="inlineStr"/>
      <c r="F1158" s="11" t="n">
        <v>130.3</v>
      </c>
      <c r="G1158" t="inlineStr"/>
      <c r="I1158" t="inlineStr">
        <is>
          <t>TN</t>
        </is>
      </c>
      <c r="J1158" t="inlineStr"/>
      <c r="K1158" t="inlineStr">
        <is>
          <t>20250701</t>
        </is>
      </c>
      <c r="L1158" t="inlineStr">
        <is>
          <t>99991231</t>
        </is>
      </c>
    </row>
    <row r="1159">
      <c r="A1159" t="inlineStr">
        <is>
          <t>900007079</t>
        </is>
      </c>
      <c r="B1159" t="inlineStr">
        <is>
          <t>DW70</t>
        </is>
      </c>
      <c r="C1159" t="inlineStr">
        <is>
          <t>ENXF</t>
        </is>
      </c>
      <c r="D1159" t="inlineStr">
        <is>
          <t>10175723</t>
        </is>
      </c>
      <c r="E1159" t="inlineStr"/>
      <c r="F1159" s="11" t="n">
        <v>120.61</v>
      </c>
      <c r="G1159" t="inlineStr"/>
      <c r="I1159" t="inlineStr">
        <is>
          <t>TN</t>
        </is>
      </c>
      <c r="J1159" t="inlineStr"/>
      <c r="K1159" t="inlineStr">
        <is>
          <t>20260401</t>
        </is>
      </c>
      <c r="L1159" t="inlineStr">
        <is>
          <t>99991231</t>
        </is>
      </c>
    </row>
    <row r="1160">
      <c r="A1160" t="inlineStr">
        <is>
          <t>900007197</t>
        </is>
      </c>
      <c r="B1160" t="inlineStr">
        <is>
          <t>DW70</t>
        </is>
      </c>
      <c r="C1160" t="inlineStr">
        <is>
          <t>D098</t>
        </is>
      </c>
      <c r="D1160" t="inlineStr">
        <is>
          <t>10000160</t>
        </is>
      </c>
      <c r="E1160" t="inlineStr"/>
      <c r="F1160" s="11" t="n">
        <v>88.72</v>
      </c>
      <c r="G1160" t="inlineStr"/>
      <c r="I1160" t="inlineStr">
        <is>
          <t>TN</t>
        </is>
      </c>
      <c r="J1160" t="inlineStr"/>
      <c r="K1160" t="inlineStr">
        <is>
          <t>20260210</t>
        </is>
      </c>
      <c r="L1160" t="inlineStr">
        <is>
          <t>20260310</t>
        </is>
      </c>
    </row>
    <row r="1161">
      <c r="A1161" t="inlineStr">
        <is>
          <t>900007197</t>
        </is>
      </c>
      <c r="B1161" t="inlineStr">
        <is>
          <t>DW70</t>
        </is>
      </c>
      <c r="C1161" t="inlineStr">
        <is>
          <t>D098</t>
        </is>
      </c>
      <c r="D1161" t="inlineStr">
        <is>
          <t>10275118</t>
        </is>
      </c>
      <c r="E1161" t="inlineStr"/>
      <c r="F1161" s="11" t="n">
        <v>89.22</v>
      </c>
      <c r="G1161" t="inlineStr"/>
      <c r="I1161" t="inlineStr">
        <is>
          <t>TN</t>
        </is>
      </c>
      <c r="J1161" t="inlineStr"/>
      <c r="K1161" t="inlineStr">
        <is>
          <t>20260310</t>
        </is>
      </c>
      <c r="L1161" t="inlineStr">
        <is>
          <t>99991231</t>
        </is>
      </c>
    </row>
    <row r="1162">
      <c r="A1162" t="inlineStr">
        <is>
          <t>900007197</t>
        </is>
      </c>
      <c r="B1162" t="inlineStr">
        <is>
          <t>DW70</t>
        </is>
      </c>
      <c r="C1162" t="inlineStr">
        <is>
          <t>D136</t>
        </is>
      </c>
      <c r="D1162" t="inlineStr">
        <is>
          <t>10000160</t>
        </is>
      </c>
      <c r="E1162" t="inlineStr"/>
      <c r="F1162" s="11" t="n">
        <v>88.72</v>
      </c>
      <c r="G1162" t="inlineStr"/>
      <c r="I1162" t="inlineStr">
        <is>
          <t>TN</t>
        </is>
      </c>
      <c r="J1162" t="inlineStr"/>
      <c r="K1162" t="inlineStr">
        <is>
          <t>20260210</t>
        </is>
      </c>
      <c r="L1162" t="inlineStr">
        <is>
          <t>20260310</t>
        </is>
      </c>
    </row>
    <row r="1163">
      <c r="A1163" t="inlineStr">
        <is>
          <t>900007197</t>
        </is>
      </c>
      <c r="B1163" t="inlineStr">
        <is>
          <t>DW70</t>
        </is>
      </c>
      <c r="C1163" t="inlineStr">
        <is>
          <t>D136</t>
        </is>
      </c>
      <c r="D1163" t="inlineStr">
        <is>
          <t>10275118</t>
        </is>
      </c>
      <c r="E1163" t="inlineStr"/>
      <c r="F1163" s="11" t="n">
        <v>89.22</v>
      </c>
      <c r="G1163" t="inlineStr"/>
      <c r="I1163" t="inlineStr">
        <is>
          <t>TN</t>
        </is>
      </c>
      <c r="J1163" t="inlineStr"/>
      <c r="K1163" t="inlineStr">
        <is>
          <t>20260310</t>
        </is>
      </c>
      <c r="L1163" t="inlineStr">
        <is>
          <t>99991231</t>
        </is>
      </c>
    </row>
    <row r="1164">
      <c r="A1164" t="inlineStr">
        <is>
          <t>900007310</t>
        </is>
      </c>
      <c r="B1164" t="inlineStr">
        <is>
          <t>DW70</t>
        </is>
      </c>
      <c r="C1164" t="inlineStr">
        <is>
          <t>D093</t>
        </is>
      </c>
      <c r="D1164" t="inlineStr">
        <is>
          <t>10186274</t>
        </is>
      </c>
      <c r="E1164" t="inlineStr"/>
      <c r="F1164" s="11" t="n">
        <v>180.05</v>
      </c>
      <c r="G1164" t="inlineStr"/>
      <c r="I1164" t="inlineStr">
        <is>
          <t>TN</t>
        </is>
      </c>
      <c r="J1164" t="inlineStr"/>
      <c r="K1164" t="inlineStr">
        <is>
          <t>20230501</t>
        </is>
      </c>
      <c r="L1164" t="inlineStr">
        <is>
          <t>20250131</t>
        </is>
      </c>
    </row>
    <row r="1165">
      <c r="A1165" t="inlineStr">
        <is>
          <t>900007310</t>
        </is>
      </c>
      <c r="B1165" t="inlineStr">
        <is>
          <t>DW70</t>
        </is>
      </c>
      <c r="C1165" t="inlineStr">
        <is>
          <t>D098</t>
        </is>
      </c>
      <c r="D1165" t="inlineStr">
        <is>
          <t>10186274</t>
        </is>
      </c>
      <c r="E1165" t="inlineStr"/>
      <c r="F1165" s="11" t="n">
        <v>180.05</v>
      </c>
      <c r="G1165" t="inlineStr"/>
      <c r="I1165" t="inlineStr">
        <is>
          <t>TN</t>
        </is>
      </c>
      <c r="J1165" t="inlineStr"/>
      <c r="K1165" t="inlineStr">
        <is>
          <t>20230501</t>
        </is>
      </c>
      <c r="L1165" t="inlineStr">
        <is>
          <t>20250131</t>
        </is>
      </c>
    </row>
    <row r="1166">
      <c r="A1166" t="inlineStr">
        <is>
          <t>900007310</t>
        </is>
      </c>
      <c r="B1166" t="inlineStr">
        <is>
          <t>DW70</t>
        </is>
      </c>
      <c r="C1166" t="inlineStr">
        <is>
          <t>D681</t>
        </is>
      </c>
      <c r="D1166" t="inlineStr">
        <is>
          <t>10186274</t>
        </is>
      </c>
      <c r="E1166" t="inlineStr"/>
      <c r="F1166" s="11" t="n">
        <v>180.05</v>
      </c>
      <c r="G1166" t="inlineStr"/>
      <c r="I1166" t="inlineStr">
        <is>
          <t>TN</t>
        </is>
      </c>
      <c r="J1166" t="inlineStr"/>
      <c r="K1166" t="inlineStr">
        <is>
          <t>20230501</t>
        </is>
      </c>
      <c r="L1166" t="inlineStr">
        <is>
          <t>20250131</t>
        </is>
      </c>
    </row>
    <row r="1167">
      <c r="A1167" t="inlineStr">
        <is>
          <t>900007455</t>
        </is>
      </c>
      <c r="B1167" t="inlineStr">
        <is>
          <t>DW70</t>
        </is>
      </c>
      <c r="C1167" t="inlineStr">
        <is>
          <t>E673</t>
        </is>
      </c>
      <c r="D1167" t="inlineStr">
        <is>
          <t>10000624</t>
        </is>
      </c>
      <c r="E1167" t="inlineStr"/>
      <c r="F1167" s="11" t="n">
        <v>98</v>
      </c>
      <c r="G1167" t="inlineStr"/>
      <c r="I1167" t="inlineStr">
        <is>
          <t>TN</t>
        </is>
      </c>
      <c r="J1167" t="inlineStr"/>
      <c r="K1167" t="inlineStr">
        <is>
          <t>20230501</t>
        </is>
      </c>
      <c r="L1167" t="inlineStr">
        <is>
          <t>20250131</t>
        </is>
      </c>
    </row>
    <row r="1168">
      <c r="A1168" t="inlineStr">
        <is>
          <t>900007455</t>
        </is>
      </c>
      <c r="B1168" t="inlineStr">
        <is>
          <t>DW70</t>
        </is>
      </c>
      <c r="C1168" t="inlineStr">
        <is>
          <t>E673</t>
        </is>
      </c>
      <c r="D1168" t="inlineStr">
        <is>
          <t>10170112</t>
        </is>
      </c>
      <c r="E1168" t="inlineStr"/>
      <c r="F1168" s="11" t="n">
        <v>94.88</v>
      </c>
      <c r="G1168" t="inlineStr"/>
      <c r="I1168" t="inlineStr">
        <is>
          <t>TN</t>
        </is>
      </c>
      <c r="J1168" t="inlineStr"/>
      <c r="K1168" t="inlineStr">
        <is>
          <t>20230501</t>
        </is>
      </c>
      <c r="L1168" t="inlineStr">
        <is>
          <t>20250131</t>
        </is>
      </c>
    </row>
    <row r="1169">
      <c r="A1169" t="inlineStr">
        <is>
          <t>900007455</t>
        </is>
      </c>
      <c r="B1169" t="inlineStr">
        <is>
          <t>DW70</t>
        </is>
      </c>
      <c r="C1169" t="inlineStr">
        <is>
          <t>EQ75</t>
        </is>
      </c>
      <c r="D1169" t="inlineStr">
        <is>
          <t>10000624</t>
        </is>
      </c>
      <c r="E1169" t="inlineStr"/>
      <c r="F1169" s="11" t="n">
        <v>98</v>
      </c>
      <c r="G1169" t="inlineStr"/>
      <c r="I1169" t="inlineStr">
        <is>
          <t>TN</t>
        </is>
      </c>
      <c r="J1169" t="inlineStr"/>
      <c r="K1169" t="inlineStr">
        <is>
          <t>20230501</t>
        </is>
      </c>
      <c r="L1169" t="inlineStr">
        <is>
          <t>20250131</t>
        </is>
      </c>
    </row>
    <row r="1170">
      <c r="A1170" t="inlineStr">
        <is>
          <t>900007455</t>
        </is>
      </c>
      <c r="B1170" t="inlineStr">
        <is>
          <t>DW70</t>
        </is>
      </c>
      <c r="C1170" t="inlineStr">
        <is>
          <t>EQ75</t>
        </is>
      </c>
      <c r="D1170" t="inlineStr">
        <is>
          <t>10170112</t>
        </is>
      </c>
      <c r="E1170" t="inlineStr"/>
      <c r="F1170" s="11" t="n">
        <v>94.88</v>
      </c>
      <c r="G1170" t="inlineStr"/>
      <c r="I1170" t="inlineStr">
        <is>
          <t>TN</t>
        </is>
      </c>
      <c r="J1170" t="inlineStr"/>
      <c r="K1170" t="inlineStr">
        <is>
          <t>20230501</t>
        </is>
      </c>
      <c r="L1170" t="inlineStr">
        <is>
          <t>20250131</t>
        </is>
      </c>
    </row>
    <row r="1171">
      <c r="A1171" t="inlineStr">
        <is>
          <t>900007504</t>
        </is>
      </c>
      <c r="B1171" t="inlineStr">
        <is>
          <t>DW70</t>
        </is>
      </c>
      <c r="C1171" t="inlineStr">
        <is>
          <t>D098</t>
        </is>
      </c>
      <c r="D1171" t="inlineStr">
        <is>
          <t>10214980</t>
        </is>
      </c>
      <c r="E1171" t="inlineStr"/>
      <c r="F1171" s="11" t="n">
        <v>214.04</v>
      </c>
      <c r="G1171" t="inlineStr"/>
      <c r="I1171" t="inlineStr">
        <is>
          <t>TN</t>
        </is>
      </c>
      <c r="J1171" t="inlineStr"/>
      <c r="K1171" t="inlineStr">
        <is>
          <t>20230501</t>
        </is>
      </c>
      <c r="L1171" t="inlineStr">
        <is>
          <t>20250131</t>
        </is>
      </c>
    </row>
    <row r="1172">
      <c r="A1172" t="inlineStr">
        <is>
          <t>900007504</t>
        </is>
      </c>
      <c r="B1172" t="inlineStr">
        <is>
          <t>DW70</t>
        </is>
      </c>
      <c r="C1172" t="inlineStr">
        <is>
          <t>D098</t>
        </is>
      </c>
      <c r="D1172" t="inlineStr">
        <is>
          <t>10214981</t>
        </is>
      </c>
      <c r="E1172" t="inlineStr"/>
      <c r="F1172" s="11" t="n">
        <v>198.05</v>
      </c>
      <c r="G1172" t="inlineStr"/>
      <c r="I1172" t="inlineStr">
        <is>
          <t>TN</t>
        </is>
      </c>
      <c r="J1172" t="inlineStr"/>
      <c r="K1172" t="inlineStr">
        <is>
          <t>20230501</t>
        </is>
      </c>
      <c r="L1172" t="inlineStr">
        <is>
          <t>20250131</t>
        </is>
      </c>
    </row>
    <row r="1173">
      <c r="A1173" t="inlineStr">
        <is>
          <t>900007504</t>
        </is>
      </c>
      <c r="B1173" t="inlineStr">
        <is>
          <t>DW70</t>
        </is>
      </c>
      <c r="C1173" t="inlineStr">
        <is>
          <t>D145</t>
        </is>
      </c>
      <c r="D1173" t="inlineStr">
        <is>
          <t>10214980</t>
        </is>
      </c>
      <c r="E1173" t="inlineStr"/>
      <c r="F1173" s="11" t="n">
        <v>214.04</v>
      </c>
      <c r="G1173" t="inlineStr"/>
      <c r="I1173" t="inlineStr">
        <is>
          <t>TN</t>
        </is>
      </c>
      <c r="J1173" t="inlineStr"/>
      <c r="K1173" t="inlineStr">
        <is>
          <t>20230501</t>
        </is>
      </c>
      <c r="L1173" t="inlineStr">
        <is>
          <t>20250131</t>
        </is>
      </c>
    </row>
    <row r="1174">
      <c r="A1174" t="inlineStr">
        <is>
          <t>900007504</t>
        </is>
      </c>
      <c r="B1174" t="inlineStr">
        <is>
          <t>DW70</t>
        </is>
      </c>
      <c r="C1174" t="inlineStr">
        <is>
          <t>D145</t>
        </is>
      </c>
      <c r="D1174" t="inlineStr">
        <is>
          <t>10214981</t>
        </is>
      </c>
      <c r="E1174" t="inlineStr"/>
      <c r="F1174" s="11" t="n">
        <v>198.05</v>
      </c>
      <c r="G1174" t="inlineStr"/>
      <c r="I1174" t="inlineStr">
        <is>
          <t>TN</t>
        </is>
      </c>
      <c r="J1174" t="inlineStr"/>
      <c r="K1174" t="inlineStr">
        <is>
          <t>20230501</t>
        </is>
      </c>
      <c r="L1174" t="inlineStr">
        <is>
          <t>20250131</t>
        </is>
      </c>
    </row>
    <row r="1175">
      <c r="A1175" t="inlineStr">
        <is>
          <t>900007605</t>
        </is>
      </c>
      <c r="B1175" t="inlineStr">
        <is>
          <t>DW70</t>
        </is>
      </c>
      <c r="C1175" t="inlineStr">
        <is>
          <t>D074</t>
        </is>
      </c>
      <c r="D1175" t="inlineStr">
        <is>
          <t>10002802</t>
        </is>
      </c>
      <c r="E1175" t="inlineStr"/>
      <c r="F1175" s="11" t="n">
        <v>97.73999999999999</v>
      </c>
      <c r="G1175" t="inlineStr"/>
      <c r="I1175" t="inlineStr">
        <is>
          <t>TN</t>
        </is>
      </c>
      <c r="J1175" t="inlineStr"/>
      <c r="K1175" t="inlineStr">
        <is>
          <t>20251111</t>
        </is>
      </c>
      <c r="L1175" t="inlineStr">
        <is>
          <t>20260310</t>
        </is>
      </c>
    </row>
    <row r="1176">
      <c r="A1176" t="inlineStr">
        <is>
          <t>900007605</t>
        </is>
      </c>
      <c r="B1176" t="inlineStr">
        <is>
          <t>DW70</t>
        </is>
      </c>
      <c r="C1176" t="inlineStr">
        <is>
          <t>D074</t>
        </is>
      </c>
      <c r="D1176" t="inlineStr">
        <is>
          <t>10227598</t>
        </is>
      </c>
      <c r="E1176" t="inlineStr"/>
      <c r="F1176" s="11" t="n">
        <v>97.05</v>
      </c>
      <c r="G1176" t="inlineStr"/>
      <c r="I1176" t="inlineStr">
        <is>
          <t>TN</t>
        </is>
      </c>
      <c r="J1176" t="inlineStr"/>
      <c r="K1176" t="inlineStr">
        <is>
          <t>20230501</t>
        </is>
      </c>
      <c r="L1176" t="inlineStr">
        <is>
          <t>20250131</t>
        </is>
      </c>
    </row>
    <row r="1177">
      <c r="A1177" t="inlineStr">
        <is>
          <t>900007605</t>
        </is>
      </c>
      <c r="B1177" t="inlineStr">
        <is>
          <t>DW70</t>
        </is>
      </c>
      <c r="C1177" t="inlineStr">
        <is>
          <t>D074</t>
        </is>
      </c>
      <c r="D1177" t="inlineStr">
        <is>
          <t>10274754</t>
        </is>
      </c>
      <c r="E1177" t="inlineStr"/>
      <c r="F1177" s="11" t="n">
        <v>113.82</v>
      </c>
      <c r="G1177" t="inlineStr"/>
      <c r="I1177" t="inlineStr">
        <is>
          <t>TN</t>
        </is>
      </c>
      <c r="J1177" t="inlineStr"/>
      <c r="K1177" t="inlineStr">
        <is>
          <t>20260507</t>
        </is>
      </c>
      <c r="L1177" t="inlineStr">
        <is>
          <t>99991231</t>
        </is>
      </c>
    </row>
    <row r="1178">
      <c r="A1178" t="inlineStr">
        <is>
          <t>900007605</t>
        </is>
      </c>
      <c r="B1178" t="inlineStr">
        <is>
          <t>DW70</t>
        </is>
      </c>
      <c r="C1178" t="inlineStr">
        <is>
          <t>D074</t>
        </is>
      </c>
      <c r="D1178" t="inlineStr">
        <is>
          <t>10275114</t>
        </is>
      </c>
      <c r="E1178" t="inlineStr"/>
      <c r="F1178" s="11" t="n">
        <v>112.95</v>
      </c>
      <c r="G1178" t="inlineStr"/>
      <c r="I1178" t="inlineStr">
        <is>
          <t>TN</t>
        </is>
      </c>
      <c r="J1178" t="inlineStr"/>
      <c r="K1178" t="inlineStr">
        <is>
          <t>20260507</t>
        </is>
      </c>
      <c r="L1178" t="inlineStr">
        <is>
          <t>99991231</t>
        </is>
      </c>
    </row>
    <row r="1179">
      <c r="A1179" t="inlineStr">
        <is>
          <t>900007605</t>
        </is>
      </c>
      <c r="B1179" t="inlineStr">
        <is>
          <t>DW70</t>
        </is>
      </c>
      <c r="C1179" t="inlineStr">
        <is>
          <t>D075</t>
        </is>
      </c>
      <c r="D1179" t="inlineStr">
        <is>
          <t>10002802</t>
        </is>
      </c>
      <c r="E1179" t="inlineStr"/>
      <c r="F1179" s="11" t="n">
        <v>97.73999999999999</v>
      </c>
      <c r="G1179" t="inlineStr"/>
      <c r="I1179" t="inlineStr">
        <is>
          <t>TN</t>
        </is>
      </c>
      <c r="J1179" t="inlineStr"/>
      <c r="K1179" t="inlineStr">
        <is>
          <t>20250701</t>
        </is>
      </c>
      <c r="L1179" t="inlineStr">
        <is>
          <t>20251031</t>
        </is>
      </c>
    </row>
    <row r="1180">
      <c r="A1180" t="inlineStr">
        <is>
          <t>900007605</t>
        </is>
      </c>
      <c r="B1180" t="inlineStr">
        <is>
          <t>DW70</t>
        </is>
      </c>
      <c r="C1180" t="inlineStr">
        <is>
          <t>D075</t>
        </is>
      </c>
      <c r="D1180" t="inlineStr">
        <is>
          <t>10274754</t>
        </is>
      </c>
      <c r="E1180" t="inlineStr"/>
      <c r="F1180" s="11" t="n">
        <v>113.82</v>
      </c>
      <c r="G1180" t="inlineStr"/>
      <c r="I1180" t="inlineStr">
        <is>
          <t>TN</t>
        </is>
      </c>
      <c r="J1180" t="inlineStr"/>
      <c r="K1180" t="inlineStr">
        <is>
          <t>20260507</t>
        </is>
      </c>
      <c r="L1180" t="inlineStr">
        <is>
          <t>99991231</t>
        </is>
      </c>
    </row>
    <row r="1181">
      <c r="A1181" t="inlineStr">
        <is>
          <t>900007605</t>
        </is>
      </c>
      <c r="B1181" t="inlineStr">
        <is>
          <t>DW70</t>
        </is>
      </c>
      <c r="C1181" t="inlineStr">
        <is>
          <t>D075</t>
        </is>
      </c>
      <c r="D1181" t="inlineStr">
        <is>
          <t>10275114</t>
        </is>
      </c>
      <c r="E1181" t="inlineStr"/>
      <c r="F1181" s="11" t="n">
        <v>112.95</v>
      </c>
      <c r="G1181" t="inlineStr"/>
      <c r="I1181" t="inlineStr">
        <is>
          <t>TN</t>
        </is>
      </c>
      <c r="J1181" t="inlineStr"/>
      <c r="K1181" t="inlineStr">
        <is>
          <t>20260507</t>
        </is>
      </c>
      <c r="L1181" t="inlineStr">
        <is>
          <t>99991231</t>
        </is>
      </c>
    </row>
    <row r="1182">
      <c r="A1182" t="inlineStr">
        <is>
          <t>900007605</t>
        </is>
      </c>
      <c r="B1182" t="inlineStr">
        <is>
          <t>DW70</t>
        </is>
      </c>
      <c r="C1182" t="inlineStr">
        <is>
          <t>D077</t>
        </is>
      </c>
      <c r="D1182" t="inlineStr">
        <is>
          <t>10002802</t>
        </is>
      </c>
      <c r="E1182" t="inlineStr"/>
      <c r="F1182" s="11" t="n">
        <v>97.73999999999999</v>
      </c>
      <c r="G1182" t="inlineStr"/>
      <c r="I1182" t="inlineStr">
        <is>
          <t>TN</t>
        </is>
      </c>
      <c r="J1182" t="inlineStr"/>
      <c r="K1182" t="inlineStr">
        <is>
          <t>20250701</t>
        </is>
      </c>
      <c r="L1182" t="inlineStr">
        <is>
          <t>20260310</t>
        </is>
      </c>
    </row>
    <row r="1183">
      <c r="A1183" t="inlineStr">
        <is>
          <t>900007605</t>
        </is>
      </c>
      <c r="B1183" t="inlineStr">
        <is>
          <t>DW70</t>
        </is>
      </c>
      <c r="C1183" t="inlineStr">
        <is>
          <t>D077</t>
        </is>
      </c>
      <c r="D1183" t="inlineStr">
        <is>
          <t>10274754</t>
        </is>
      </c>
      <c r="E1183" t="inlineStr"/>
      <c r="F1183" s="11" t="n">
        <v>113.82</v>
      </c>
      <c r="G1183" t="inlineStr"/>
      <c r="I1183" t="inlineStr">
        <is>
          <t>TN</t>
        </is>
      </c>
      <c r="J1183" t="inlineStr"/>
      <c r="K1183" t="inlineStr">
        <is>
          <t>20260507</t>
        </is>
      </c>
      <c r="L1183" t="inlineStr">
        <is>
          <t>99991231</t>
        </is>
      </c>
    </row>
    <row r="1184">
      <c r="A1184" t="inlineStr">
        <is>
          <t>900007605</t>
        </is>
      </c>
      <c r="B1184" t="inlineStr">
        <is>
          <t>DW70</t>
        </is>
      </c>
      <c r="C1184" t="inlineStr">
        <is>
          <t>D077</t>
        </is>
      </c>
      <c r="D1184" t="inlineStr">
        <is>
          <t>10275114</t>
        </is>
      </c>
      <c r="E1184" t="inlineStr"/>
      <c r="F1184" s="11" t="n">
        <v>112.95</v>
      </c>
      <c r="G1184" t="inlineStr"/>
      <c r="I1184" t="inlineStr">
        <is>
          <t>TN</t>
        </is>
      </c>
      <c r="J1184" t="inlineStr"/>
      <c r="K1184" t="inlineStr">
        <is>
          <t>20260507</t>
        </is>
      </c>
      <c r="L1184" t="inlineStr">
        <is>
          <t>99991231</t>
        </is>
      </c>
    </row>
    <row r="1185">
      <c r="A1185" t="inlineStr">
        <is>
          <t>900007605</t>
        </is>
      </c>
      <c r="B1185" t="inlineStr">
        <is>
          <t>DW70</t>
        </is>
      </c>
      <c r="C1185" t="inlineStr">
        <is>
          <t>D079</t>
        </is>
      </c>
      <c r="D1185" t="inlineStr">
        <is>
          <t>10002802</t>
        </is>
      </c>
      <c r="E1185" t="inlineStr"/>
      <c r="F1185" s="11" t="n">
        <v>97.73999999999999</v>
      </c>
      <c r="G1185" t="inlineStr"/>
      <c r="I1185" t="inlineStr">
        <is>
          <t>TN</t>
        </is>
      </c>
      <c r="J1185" t="inlineStr"/>
      <c r="K1185" t="inlineStr">
        <is>
          <t>20250701</t>
        </is>
      </c>
      <c r="L1185" t="inlineStr">
        <is>
          <t>20260310</t>
        </is>
      </c>
    </row>
    <row r="1186">
      <c r="A1186" t="inlineStr">
        <is>
          <t>900007605</t>
        </is>
      </c>
      <c r="B1186" t="inlineStr">
        <is>
          <t>DW70</t>
        </is>
      </c>
      <c r="C1186" t="inlineStr">
        <is>
          <t>D079</t>
        </is>
      </c>
      <c r="D1186" t="inlineStr">
        <is>
          <t>10274754</t>
        </is>
      </c>
      <c r="E1186" t="inlineStr"/>
      <c r="F1186" s="11" t="n">
        <v>113.82</v>
      </c>
      <c r="G1186" t="inlineStr"/>
      <c r="I1186" t="inlineStr">
        <is>
          <t>TN</t>
        </is>
      </c>
      <c r="J1186" t="inlineStr"/>
      <c r="K1186" t="inlineStr">
        <is>
          <t>20260507</t>
        </is>
      </c>
      <c r="L1186" t="inlineStr">
        <is>
          <t>99991231</t>
        </is>
      </c>
    </row>
    <row r="1187">
      <c r="A1187" t="inlineStr">
        <is>
          <t>900007605</t>
        </is>
      </c>
      <c r="B1187" t="inlineStr">
        <is>
          <t>DW70</t>
        </is>
      </c>
      <c r="C1187" t="inlineStr">
        <is>
          <t>D079</t>
        </is>
      </c>
      <c r="D1187" t="inlineStr">
        <is>
          <t>10275114</t>
        </is>
      </c>
      <c r="E1187" t="inlineStr"/>
      <c r="F1187" s="11" t="n">
        <v>112.95</v>
      </c>
      <c r="G1187" t="inlineStr"/>
      <c r="I1187" t="inlineStr">
        <is>
          <t>TN</t>
        </is>
      </c>
      <c r="J1187" t="inlineStr"/>
      <c r="K1187" t="inlineStr">
        <is>
          <t>20260507</t>
        </is>
      </c>
      <c r="L1187" t="inlineStr">
        <is>
          <t>99991231</t>
        </is>
      </c>
    </row>
    <row r="1188">
      <c r="A1188" t="inlineStr">
        <is>
          <t>900007605</t>
        </is>
      </c>
      <c r="B1188" t="inlineStr">
        <is>
          <t>DW70</t>
        </is>
      </c>
      <c r="C1188" t="inlineStr">
        <is>
          <t>D080</t>
        </is>
      </c>
      <c r="D1188" t="inlineStr">
        <is>
          <t>10002802</t>
        </is>
      </c>
      <c r="E1188" t="inlineStr"/>
      <c r="F1188" s="11" t="n">
        <v>97.73999999999999</v>
      </c>
      <c r="G1188" t="inlineStr"/>
      <c r="I1188" t="inlineStr">
        <is>
          <t>TN</t>
        </is>
      </c>
      <c r="J1188" t="inlineStr"/>
      <c r="K1188" t="inlineStr">
        <is>
          <t>20250701</t>
        </is>
      </c>
      <c r="L1188" t="inlineStr">
        <is>
          <t>20251031</t>
        </is>
      </c>
    </row>
    <row r="1189">
      <c r="A1189" t="inlineStr">
        <is>
          <t>900007605</t>
        </is>
      </c>
      <c r="B1189" t="inlineStr">
        <is>
          <t>DW70</t>
        </is>
      </c>
      <c r="C1189" t="inlineStr">
        <is>
          <t>D080</t>
        </is>
      </c>
      <c r="D1189" t="inlineStr">
        <is>
          <t>10227598</t>
        </is>
      </c>
      <c r="E1189" t="inlineStr"/>
      <c r="F1189" s="11" t="n">
        <v>97.05</v>
      </c>
      <c r="G1189" t="inlineStr"/>
      <c r="I1189" t="inlineStr">
        <is>
          <t>TN</t>
        </is>
      </c>
      <c r="J1189" t="inlineStr"/>
      <c r="K1189" t="inlineStr">
        <is>
          <t>20230501</t>
        </is>
      </c>
      <c r="L1189" t="inlineStr">
        <is>
          <t>20250131</t>
        </is>
      </c>
    </row>
    <row r="1190">
      <c r="A1190" t="inlineStr">
        <is>
          <t>900007605</t>
        </is>
      </c>
      <c r="B1190" t="inlineStr">
        <is>
          <t>DW70</t>
        </is>
      </c>
      <c r="C1190" t="inlineStr">
        <is>
          <t>D080</t>
        </is>
      </c>
      <c r="D1190" t="inlineStr">
        <is>
          <t>10274754</t>
        </is>
      </c>
      <c r="E1190" t="inlineStr"/>
      <c r="F1190" s="11" t="n">
        <v>113.82</v>
      </c>
      <c r="G1190" t="inlineStr"/>
      <c r="I1190" t="inlineStr">
        <is>
          <t>TN</t>
        </is>
      </c>
      <c r="J1190" t="inlineStr"/>
      <c r="K1190" t="inlineStr">
        <is>
          <t>20260507</t>
        </is>
      </c>
      <c r="L1190" t="inlineStr">
        <is>
          <t>99991231</t>
        </is>
      </c>
    </row>
    <row r="1191">
      <c r="A1191" t="inlineStr">
        <is>
          <t>900007605</t>
        </is>
      </c>
      <c r="B1191" t="inlineStr">
        <is>
          <t>DW70</t>
        </is>
      </c>
      <c r="C1191" t="inlineStr">
        <is>
          <t>D080</t>
        </is>
      </c>
      <c r="D1191" t="inlineStr">
        <is>
          <t>10275114</t>
        </is>
      </c>
      <c r="E1191" t="inlineStr"/>
      <c r="F1191" s="11" t="n">
        <v>112.95</v>
      </c>
      <c r="G1191" t="inlineStr"/>
      <c r="I1191" t="inlineStr">
        <is>
          <t>TN</t>
        </is>
      </c>
      <c r="J1191" t="inlineStr"/>
      <c r="K1191" t="inlineStr">
        <is>
          <t>20260507</t>
        </is>
      </c>
      <c r="L1191" t="inlineStr">
        <is>
          <t>99991231</t>
        </is>
      </c>
    </row>
    <row r="1192">
      <c r="A1192" t="inlineStr">
        <is>
          <t>900007605</t>
        </is>
      </c>
      <c r="B1192" t="inlineStr">
        <is>
          <t>DW70</t>
        </is>
      </c>
      <c r="C1192" t="inlineStr">
        <is>
          <t>D081</t>
        </is>
      </c>
      <c r="D1192" t="inlineStr">
        <is>
          <t>10002802</t>
        </is>
      </c>
      <c r="E1192" t="inlineStr"/>
      <c r="F1192" s="11" t="n">
        <v>97.73999999999999</v>
      </c>
      <c r="G1192" t="inlineStr"/>
      <c r="I1192" t="inlineStr">
        <is>
          <t>TN</t>
        </is>
      </c>
      <c r="J1192" t="inlineStr"/>
      <c r="K1192" t="inlineStr">
        <is>
          <t>20250701</t>
        </is>
      </c>
      <c r="L1192" t="inlineStr">
        <is>
          <t>20260310</t>
        </is>
      </c>
    </row>
    <row r="1193">
      <c r="A1193" t="inlineStr">
        <is>
          <t>900007605</t>
        </is>
      </c>
      <c r="B1193" t="inlineStr">
        <is>
          <t>DW70</t>
        </is>
      </c>
      <c r="C1193" t="inlineStr">
        <is>
          <t>D081</t>
        </is>
      </c>
      <c r="D1193" t="inlineStr">
        <is>
          <t>10227598</t>
        </is>
      </c>
      <c r="E1193" t="inlineStr"/>
      <c r="F1193" s="11" t="n">
        <v>97.05</v>
      </c>
      <c r="G1193" t="inlineStr"/>
      <c r="I1193" t="inlineStr">
        <is>
          <t>TN</t>
        </is>
      </c>
      <c r="J1193" t="inlineStr"/>
      <c r="K1193" t="inlineStr">
        <is>
          <t>20230501</t>
        </is>
      </c>
      <c r="L1193" t="inlineStr">
        <is>
          <t>20250131</t>
        </is>
      </c>
    </row>
    <row r="1194">
      <c r="A1194" t="inlineStr">
        <is>
          <t>900007605</t>
        </is>
      </c>
      <c r="B1194" t="inlineStr">
        <is>
          <t>DW70</t>
        </is>
      </c>
      <c r="C1194" t="inlineStr">
        <is>
          <t>D081</t>
        </is>
      </c>
      <c r="D1194" t="inlineStr">
        <is>
          <t>10274754</t>
        </is>
      </c>
      <c r="E1194" t="inlineStr"/>
      <c r="F1194" s="11" t="n">
        <v>113.82</v>
      </c>
      <c r="G1194" t="inlineStr"/>
      <c r="I1194" t="inlineStr">
        <is>
          <t>TN</t>
        </is>
      </c>
      <c r="J1194" t="inlineStr"/>
      <c r="K1194" t="inlineStr">
        <is>
          <t>20260507</t>
        </is>
      </c>
      <c r="L1194" t="inlineStr">
        <is>
          <t>99991231</t>
        </is>
      </c>
    </row>
    <row r="1195">
      <c r="A1195" t="inlineStr">
        <is>
          <t>900007605</t>
        </is>
      </c>
      <c r="B1195" t="inlineStr">
        <is>
          <t>DW70</t>
        </is>
      </c>
      <c r="C1195" t="inlineStr">
        <is>
          <t>D081</t>
        </is>
      </c>
      <c r="D1195" t="inlineStr">
        <is>
          <t>10275114</t>
        </is>
      </c>
      <c r="E1195" t="inlineStr"/>
      <c r="F1195" s="11" t="n">
        <v>112.95</v>
      </c>
      <c r="G1195" t="inlineStr"/>
      <c r="I1195" t="inlineStr">
        <is>
          <t>TN</t>
        </is>
      </c>
      <c r="J1195" t="inlineStr"/>
      <c r="K1195" t="inlineStr">
        <is>
          <t>20260507</t>
        </is>
      </c>
      <c r="L1195" t="inlineStr">
        <is>
          <t>99991231</t>
        </is>
      </c>
    </row>
    <row r="1196">
      <c r="A1196" t="inlineStr">
        <is>
          <t>900007605</t>
        </is>
      </c>
      <c r="B1196" t="inlineStr">
        <is>
          <t>DW70</t>
        </is>
      </c>
      <c r="C1196" t="inlineStr">
        <is>
          <t>D083</t>
        </is>
      </c>
      <c r="D1196" t="inlineStr">
        <is>
          <t>10002802</t>
        </is>
      </c>
      <c r="E1196" t="inlineStr"/>
      <c r="F1196" s="11" t="n">
        <v>97.73999999999999</v>
      </c>
      <c r="G1196" t="inlineStr"/>
      <c r="I1196" t="inlineStr">
        <is>
          <t>TN</t>
        </is>
      </c>
      <c r="J1196" t="inlineStr"/>
      <c r="K1196" t="inlineStr">
        <is>
          <t>20250701</t>
        </is>
      </c>
      <c r="L1196" t="inlineStr">
        <is>
          <t>20251031</t>
        </is>
      </c>
    </row>
    <row r="1197">
      <c r="A1197" t="inlineStr">
        <is>
          <t>900007605</t>
        </is>
      </c>
      <c r="B1197" t="inlineStr">
        <is>
          <t>DW70</t>
        </is>
      </c>
      <c r="C1197" t="inlineStr">
        <is>
          <t>D083</t>
        </is>
      </c>
      <c r="D1197" t="inlineStr">
        <is>
          <t>10274754</t>
        </is>
      </c>
      <c r="E1197" t="inlineStr"/>
      <c r="F1197" s="11" t="n">
        <v>113.82</v>
      </c>
      <c r="G1197" t="inlineStr"/>
      <c r="I1197" t="inlineStr">
        <is>
          <t>TN</t>
        </is>
      </c>
      <c r="J1197" t="inlineStr"/>
      <c r="K1197" t="inlineStr">
        <is>
          <t>20260507</t>
        </is>
      </c>
      <c r="L1197" t="inlineStr">
        <is>
          <t>99991231</t>
        </is>
      </c>
    </row>
    <row r="1198">
      <c r="A1198" t="inlineStr">
        <is>
          <t>900007605</t>
        </is>
      </c>
      <c r="B1198" t="inlineStr">
        <is>
          <t>DW70</t>
        </is>
      </c>
      <c r="C1198" t="inlineStr">
        <is>
          <t>D083</t>
        </is>
      </c>
      <c r="D1198" t="inlineStr">
        <is>
          <t>10275114</t>
        </is>
      </c>
      <c r="E1198" t="inlineStr"/>
      <c r="F1198" s="11" t="n">
        <v>112.95</v>
      </c>
      <c r="G1198" t="inlineStr"/>
      <c r="I1198" t="inlineStr">
        <is>
          <t>TN</t>
        </is>
      </c>
      <c r="J1198" t="inlineStr"/>
      <c r="K1198" t="inlineStr">
        <is>
          <t>20260507</t>
        </is>
      </c>
      <c r="L1198" t="inlineStr">
        <is>
          <t>99991231</t>
        </is>
      </c>
    </row>
    <row r="1199">
      <c r="A1199" t="inlineStr">
        <is>
          <t>900007605</t>
        </is>
      </c>
      <c r="B1199" t="inlineStr">
        <is>
          <t>DW70</t>
        </is>
      </c>
      <c r="C1199" t="inlineStr">
        <is>
          <t>D084</t>
        </is>
      </c>
      <c r="D1199" t="inlineStr">
        <is>
          <t>10227598</t>
        </is>
      </c>
      <c r="E1199" t="inlineStr"/>
      <c r="F1199" s="11" t="n">
        <v>97.05</v>
      </c>
      <c r="G1199" t="inlineStr"/>
      <c r="I1199" t="inlineStr">
        <is>
          <t>TN</t>
        </is>
      </c>
      <c r="J1199" t="inlineStr"/>
      <c r="K1199" t="inlineStr">
        <is>
          <t>20230501</t>
        </is>
      </c>
      <c r="L1199" t="inlineStr">
        <is>
          <t>20250131</t>
        </is>
      </c>
    </row>
    <row r="1200">
      <c r="A1200" t="inlineStr">
        <is>
          <t>900007605</t>
        </is>
      </c>
      <c r="B1200" t="inlineStr">
        <is>
          <t>DW70</t>
        </is>
      </c>
      <c r="C1200" t="inlineStr">
        <is>
          <t>D084</t>
        </is>
      </c>
      <c r="D1200" t="inlineStr">
        <is>
          <t>10274754</t>
        </is>
      </c>
      <c r="E1200" t="inlineStr"/>
      <c r="F1200" s="11" t="n">
        <v>113.82</v>
      </c>
      <c r="G1200" t="inlineStr"/>
      <c r="I1200" t="inlineStr">
        <is>
          <t>TN</t>
        </is>
      </c>
      <c r="J1200" t="inlineStr"/>
      <c r="K1200" t="inlineStr">
        <is>
          <t>20260507</t>
        </is>
      </c>
      <c r="L1200" t="inlineStr">
        <is>
          <t>99991231</t>
        </is>
      </c>
    </row>
    <row r="1201">
      <c r="A1201" t="inlineStr">
        <is>
          <t>900007605</t>
        </is>
      </c>
      <c r="B1201" t="inlineStr">
        <is>
          <t>DW70</t>
        </is>
      </c>
      <c r="C1201" t="inlineStr">
        <is>
          <t>D084</t>
        </is>
      </c>
      <c r="D1201" t="inlineStr">
        <is>
          <t>10275114</t>
        </is>
      </c>
      <c r="E1201" t="inlineStr"/>
      <c r="F1201" s="11" t="n">
        <v>112.95</v>
      </c>
      <c r="G1201" t="inlineStr"/>
      <c r="I1201" t="inlineStr">
        <is>
          <t>TN</t>
        </is>
      </c>
      <c r="J1201" t="inlineStr"/>
      <c r="K1201" t="inlineStr">
        <is>
          <t>20260507</t>
        </is>
      </c>
      <c r="L1201" t="inlineStr">
        <is>
          <t>99991231</t>
        </is>
      </c>
    </row>
    <row r="1202">
      <c r="A1202" t="inlineStr">
        <is>
          <t>900007605</t>
        </is>
      </c>
      <c r="B1202" t="inlineStr">
        <is>
          <t>DW70</t>
        </is>
      </c>
      <c r="C1202" t="inlineStr">
        <is>
          <t>D085</t>
        </is>
      </c>
      <c r="D1202" t="inlineStr">
        <is>
          <t>10002802</t>
        </is>
      </c>
      <c r="E1202" t="inlineStr"/>
      <c r="F1202" s="11" t="n">
        <v>97.73999999999999</v>
      </c>
      <c r="G1202" t="inlineStr"/>
      <c r="I1202" t="inlineStr">
        <is>
          <t>TN</t>
        </is>
      </c>
      <c r="J1202" t="inlineStr"/>
      <c r="K1202" t="inlineStr">
        <is>
          <t>20250701</t>
        </is>
      </c>
      <c r="L1202" t="inlineStr">
        <is>
          <t>20251031</t>
        </is>
      </c>
    </row>
    <row r="1203">
      <c r="A1203" t="inlineStr">
        <is>
          <t>900007605</t>
        </is>
      </c>
      <c r="B1203" t="inlineStr">
        <is>
          <t>DW70</t>
        </is>
      </c>
      <c r="C1203" t="inlineStr">
        <is>
          <t>D085</t>
        </is>
      </c>
      <c r="D1203" t="inlineStr">
        <is>
          <t>10227598</t>
        </is>
      </c>
      <c r="E1203" t="inlineStr"/>
      <c r="F1203" s="11" t="n">
        <v>97.05</v>
      </c>
      <c r="G1203" t="inlineStr"/>
      <c r="I1203" t="inlineStr">
        <is>
          <t>TN</t>
        </is>
      </c>
      <c r="J1203" t="inlineStr"/>
      <c r="K1203" t="inlineStr">
        <is>
          <t>20230501</t>
        </is>
      </c>
      <c r="L1203" t="inlineStr">
        <is>
          <t>20250131</t>
        </is>
      </c>
    </row>
    <row r="1204">
      <c r="A1204" t="inlineStr">
        <is>
          <t>900007605</t>
        </is>
      </c>
      <c r="B1204" t="inlineStr">
        <is>
          <t>DW70</t>
        </is>
      </c>
      <c r="C1204" t="inlineStr">
        <is>
          <t>D085</t>
        </is>
      </c>
      <c r="D1204" t="inlineStr">
        <is>
          <t>10274754</t>
        </is>
      </c>
      <c r="E1204" t="inlineStr"/>
      <c r="F1204" s="11" t="n">
        <v>113.82</v>
      </c>
      <c r="G1204" t="inlineStr"/>
      <c r="I1204" t="inlineStr">
        <is>
          <t>TN</t>
        </is>
      </c>
      <c r="J1204" t="inlineStr"/>
      <c r="K1204" t="inlineStr">
        <is>
          <t>20260507</t>
        </is>
      </c>
      <c r="L1204" t="inlineStr">
        <is>
          <t>99991231</t>
        </is>
      </c>
    </row>
    <row r="1205">
      <c r="A1205" t="inlineStr">
        <is>
          <t>900007605</t>
        </is>
      </c>
      <c r="B1205" t="inlineStr">
        <is>
          <t>DW70</t>
        </is>
      </c>
      <c r="C1205" t="inlineStr">
        <is>
          <t>D085</t>
        </is>
      </c>
      <c r="D1205" t="inlineStr">
        <is>
          <t>10275114</t>
        </is>
      </c>
      <c r="E1205" t="inlineStr"/>
      <c r="F1205" s="11" t="n">
        <v>112.95</v>
      </c>
      <c r="G1205" t="inlineStr"/>
      <c r="I1205" t="inlineStr">
        <is>
          <t>TN</t>
        </is>
      </c>
      <c r="J1205" t="inlineStr"/>
      <c r="K1205" t="inlineStr">
        <is>
          <t>20260507</t>
        </is>
      </c>
      <c r="L1205" t="inlineStr">
        <is>
          <t>99991231</t>
        </is>
      </c>
    </row>
    <row r="1206">
      <c r="A1206" t="inlineStr">
        <is>
          <t>900007605</t>
        </is>
      </c>
      <c r="B1206" t="inlineStr">
        <is>
          <t>DW70</t>
        </is>
      </c>
      <c r="C1206" t="inlineStr">
        <is>
          <t>D086</t>
        </is>
      </c>
      <c r="D1206" t="inlineStr">
        <is>
          <t>10002802</t>
        </is>
      </c>
      <c r="E1206" t="inlineStr"/>
      <c r="F1206" s="11" t="n">
        <v>97.73999999999999</v>
      </c>
      <c r="G1206" t="inlineStr"/>
      <c r="I1206" t="inlineStr">
        <is>
          <t>TN</t>
        </is>
      </c>
      <c r="J1206" t="inlineStr"/>
      <c r="K1206" t="inlineStr">
        <is>
          <t>20250701</t>
        </is>
      </c>
      <c r="L1206" t="inlineStr">
        <is>
          <t>20251031</t>
        </is>
      </c>
    </row>
    <row r="1207">
      <c r="A1207" t="inlineStr">
        <is>
          <t>900007605</t>
        </is>
      </c>
      <c r="B1207" t="inlineStr">
        <is>
          <t>DW70</t>
        </is>
      </c>
      <c r="C1207" t="inlineStr">
        <is>
          <t>D086</t>
        </is>
      </c>
      <c r="D1207" t="inlineStr">
        <is>
          <t>10227598</t>
        </is>
      </c>
      <c r="E1207" t="inlineStr"/>
      <c r="F1207" s="11" t="n">
        <v>97.05</v>
      </c>
      <c r="G1207" t="inlineStr"/>
      <c r="I1207" t="inlineStr">
        <is>
          <t>TN</t>
        </is>
      </c>
      <c r="J1207" t="inlineStr"/>
      <c r="K1207" t="inlineStr">
        <is>
          <t>20230501</t>
        </is>
      </c>
      <c r="L1207" t="inlineStr">
        <is>
          <t>20250131</t>
        </is>
      </c>
    </row>
    <row r="1208">
      <c r="A1208" t="inlineStr">
        <is>
          <t>900007605</t>
        </is>
      </c>
      <c r="B1208" t="inlineStr">
        <is>
          <t>DW70</t>
        </is>
      </c>
      <c r="C1208" t="inlineStr">
        <is>
          <t>D086</t>
        </is>
      </c>
      <c r="D1208" t="inlineStr">
        <is>
          <t>10274754</t>
        </is>
      </c>
      <c r="E1208" t="inlineStr"/>
      <c r="F1208" s="11" t="n">
        <v>113.82</v>
      </c>
      <c r="G1208" t="inlineStr"/>
      <c r="I1208" t="inlineStr">
        <is>
          <t>TN</t>
        </is>
      </c>
      <c r="J1208" t="inlineStr"/>
      <c r="K1208" t="inlineStr">
        <is>
          <t>20260507</t>
        </is>
      </c>
      <c r="L1208" t="inlineStr">
        <is>
          <t>99991231</t>
        </is>
      </c>
    </row>
    <row r="1209">
      <c r="A1209" t="inlineStr">
        <is>
          <t>900007605</t>
        </is>
      </c>
      <c r="B1209" t="inlineStr">
        <is>
          <t>DW70</t>
        </is>
      </c>
      <c r="C1209" t="inlineStr">
        <is>
          <t>D086</t>
        </is>
      </c>
      <c r="D1209" t="inlineStr">
        <is>
          <t>10275114</t>
        </is>
      </c>
      <c r="E1209" t="inlineStr"/>
      <c r="F1209" s="11" t="n">
        <v>112.95</v>
      </c>
      <c r="G1209" t="inlineStr"/>
      <c r="I1209" t="inlineStr">
        <is>
          <t>TN</t>
        </is>
      </c>
      <c r="J1209" t="inlineStr"/>
      <c r="K1209" t="inlineStr">
        <is>
          <t>20260507</t>
        </is>
      </c>
      <c r="L1209" t="inlineStr">
        <is>
          <t>99991231</t>
        </is>
      </c>
    </row>
    <row r="1210">
      <c r="A1210" t="inlineStr">
        <is>
          <t>900007605</t>
        </is>
      </c>
      <c r="B1210" t="inlineStr">
        <is>
          <t>DW70</t>
        </is>
      </c>
      <c r="C1210" t="inlineStr">
        <is>
          <t>D093</t>
        </is>
      </c>
      <c r="D1210" t="inlineStr">
        <is>
          <t>10002802</t>
        </is>
      </c>
      <c r="E1210" t="inlineStr"/>
      <c r="F1210" s="11" t="n">
        <v>97.73999999999999</v>
      </c>
      <c r="G1210" t="inlineStr"/>
      <c r="I1210" t="inlineStr">
        <is>
          <t>TN</t>
        </is>
      </c>
      <c r="J1210" t="inlineStr"/>
      <c r="K1210" t="inlineStr">
        <is>
          <t>20250701</t>
        </is>
      </c>
      <c r="L1210" t="inlineStr">
        <is>
          <t>20260310</t>
        </is>
      </c>
    </row>
    <row r="1211">
      <c r="A1211" t="inlineStr">
        <is>
          <t>900007605</t>
        </is>
      </c>
      <c r="B1211" t="inlineStr">
        <is>
          <t>DW70</t>
        </is>
      </c>
      <c r="C1211" t="inlineStr">
        <is>
          <t>D093</t>
        </is>
      </c>
      <c r="D1211" t="inlineStr">
        <is>
          <t>10274754</t>
        </is>
      </c>
      <c r="E1211" t="inlineStr"/>
      <c r="F1211" s="11" t="n">
        <v>113.82</v>
      </c>
      <c r="G1211" t="inlineStr"/>
      <c r="I1211" t="inlineStr">
        <is>
          <t>TN</t>
        </is>
      </c>
      <c r="J1211" t="inlineStr"/>
      <c r="K1211" t="inlineStr">
        <is>
          <t>20260507</t>
        </is>
      </c>
      <c r="L1211" t="inlineStr">
        <is>
          <t>99991231</t>
        </is>
      </c>
    </row>
    <row r="1212">
      <c r="A1212" t="inlineStr">
        <is>
          <t>900007605</t>
        </is>
      </c>
      <c r="B1212" t="inlineStr">
        <is>
          <t>DW70</t>
        </is>
      </c>
      <c r="C1212" t="inlineStr">
        <is>
          <t>D093</t>
        </is>
      </c>
      <c r="D1212" t="inlineStr">
        <is>
          <t>10275114</t>
        </is>
      </c>
      <c r="E1212" t="inlineStr"/>
      <c r="F1212" s="11" t="n">
        <v>112.95</v>
      </c>
      <c r="G1212" t="inlineStr"/>
      <c r="I1212" t="inlineStr">
        <is>
          <t>TN</t>
        </is>
      </c>
      <c r="J1212" t="inlineStr"/>
      <c r="K1212" t="inlineStr">
        <is>
          <t>20260507</t>
        </is>
      </c>
      <c r="L1212" t="inlineStr">
        <is>
          <t>99991231</t>
        </is>
      </c>
    </row>
    <row r="1213">
      <c r="A1213" t="inlineStr">
        <is>
          <t>900007605</t>
        </is>
      </c>
      <c r="B1213" t="inlineStr">
        <is>
          <t>DW70</t>
        </is>
      </c>
      <c r="C1213" t="inlineStr">
        <is>
          <t>D098</t>
        </is>
      </c>
      <c r="D1213" t="inlineStr">
        <is>
          <t>10002802</t>
        </is>
      </c>
      <c r="E1213" t="inlineStr"/>
      <c r="F1213" s="11" t="n">
        <v>97.73999999999999</v>
      </c>
      <c r="G1213" t="inlineStr"/>
      <c r="I1213" t="inlineStr">
        <is>
          <t>TN</t>
        </is>
      </c>
      <c r="J1213" t="inlineStr"/>
      <c r="K1213" t="inlineStr">
        <is>
          <t>20250701</t>
        </is>
      </c>
      <c r="L1213" t="inlineStr">
        <is>
          <t>20260310</t>
        </is>
      </c>
    </row>
    <row r="1214">
      <c r="A1214" t="inlineStr">
        <is>
          <t>900007605</t>
        </is>
      </c>
      <c r="B1214" t="inlineStr">
        <is>
          <t>DW70</t>
        </is>
      </c>
      <c r="C1214" t="inlineStr">
        <is>
          <t>D098</t>
        </is>
      </c>
      <c r="D1214" t="inlineStr">
        <is>
          <t>10274754</t>
        </is>
      </c>
      <c r="E1214" t="inlineStr"/>
      <c r="F1214" s="11" t="n">
        <v>113.82</v>
      </c>
      <c r="G1214" t="inlineStr"/>
      <c r="I1214" t="inlineStr">
        <is>
          <t>TN</t>
        </is>
      </c>
      <c r="J1214" t="inlineStr"/>
      <c r="K1214" t="inlineStr">
        <is>
          <t>20260507</t>
        </is>
      </c>
      <c r="L1214" t="inlineStr">
        <is>
          <t>99991231</t>
        </is>
      </c>
    </row>
    <row r="1215">
      <c r="A1215" t="inlineStr">
        <is>
          <t>900007605</t>
        </is>
      </c>
      <c r="B1215" t="inlineStr">
        <is>
          <t>DW70</t>
        </is>
      </c>
      <c r="C1215" t="inlineStr">
        <is>
          <t>D098</t>
        </is>
      </c>
      <c r="D1215" t="inlineStr">
        <is>
          <t>10275114</t>
        </is>
      </c>
      <c r="E1215" t="inlineStr"/>
      <c r="F1215" s="11" t="n">
        <v>112.95</v>
      </c>
      <c r="G1215" t="inlineStr"/>
      <c r="I1215" t="inlineStr">
        <is>
          <t>TN</t>
        </is>
      </c>
      <c r="J1215" t="inlineStr"/>
      <c r="K1215" t="inlineStr">
        <is>
          <t>20260507</t>
        </is>
      </c>
      <c r="L1215" t="inlineStr">
        <is>
          <t>99991231</t>
        </is>
      </c>
    </row>
    <row r="1216">
      <c r="A1216" t="inlineStr">
        <is>
          <t>900007605</t>
        </is>
      </c>
      <c r="B1216" t="inlineStr">
        <is>
          <t>DW70</t>
        </is>
      </c>
      <c r="C1216" t="inlineStr">
        <is>
          <t>D105</t>
        </is>
      </c>
      <c r="D1216" t="inlineStr">
        <is>
          <t>10002802</t>
        </is>
      </c>
      <c r="E1216" t="inlineStr"/>
      <c r="F1216" s="11" t="n">
        <v>97.73999999999999</v>
      </c>
      <c r="G1216" t="inlineStr"/>
      <c r="I1216" t="inlineStr">
        <is>
          <t>TN</t>
        </is>
      </c>
      <c r="J1216" t="inlineStr"/>
      <c r="K1216" t="inlineStr">
        <is>
          <t>20250701</t>
        </is>
      </c>
      <c r="L1216" t="inlineStr">
        <is>
          <t>20251031</t>
        </is>
      </c>
    </row>
    <row r="1217">
      <c r="A1217" t="inlineStr">
        <is>
          <t>900007605</t>
        </is>
      </c>
      <c r="B1217" t="inlineStr">
        <is>
          <t>DW70</t>
        </is>
      </c>
      <c r="C1217" t="inlineStr">
        <is>
          <t>D105</t>
        </is>
      </c>
      <c r="D1217" t="inlineStr">
        <is>
          <t>10227598</t>
        </is>
      </c>
      <c r="E1217" t="inlineStr"/>
      <c r="F1217" s="11" t="n">
        <v>97.05</v>
      </c>
      <c r="G1217" t="inlineStr"/>
      <c r="I1217" t="inlineStr">
        <is>
          <t>TN</t>
        </is>
      </c>
      <c r="J1217" t="inlineStr"/>
      <c r="K1217" t="inlineStr">
        <is>
          <t>20230501</t>
        </is>
      </c>
      <c r="L1217" t="inlineStr">
        <is>
          <t>20250131</t>
        </is>
      </c>
    </row>
    <row r="1218">
      <c r="A1218" t="inlineStr">
        <is>
          <t>900007605</t>
        </is>
      </c>
      <c r="B1218" t="inlineStr">
        <is>
          <t>DW70</t>
        </is>
      </c>
      <c r="C1218" t="inlineStr">
        <is>
          <t>D105</t>
        </is>
      </c>
      <c r="D1218" t="inlineStr">
        <is>
          <t>10274754</t>
        </is>
      </c>
      <c r="E1218" t="inlineStr"/>
      <c r="F1218" s="11" t="n">
        <v>113.82</v>
      </c>
      <c r="G1218" t="inlineStr"/>
      <c r="I1218" t="inlineStr">
        <is>
          <t>TN</t>
        </is>
      </c>
      <c r="J1218" t="inlineStr"/>
      <c r="K1218" t="inlineStr">
        <is>
          <t>20260507</t>
        </is>
      </c>
      <c r="L1218" t="inlineStr">
        <is>
          <t>99991231</t>
        </is>
      </c>
    </row>
    <row r="1219">
      <c r="A1219" t="inlineStr">
        <is>
          <t>900007605</t>
        </is>
      </c>
      <c r="B1219" t="inlineStr">
        <is>
          <t>DW70</t>
        </is>
      </c>
      <c r="C1219" t="inlineStr">
        <is>
          <t>D105</t>
        </is>
      </c>
      <c r="D1219" t="inlineStr">
        <is>
          <t>10275114</t>
        </is>
      </c>
      <c r="E1219" t="inlineStr"/>
      <c r="F1219" s="11" t="n">
        <v>112.95</v>
      </c>
      <c r="G1219" t="inlineStr"/>
      <c r="I1219" t="inlineStr">
        <is>
          <t>TN</t>
        </is>
      </c>
      <c r="J1219" t="inlineStr"/>
      <c r="K1219" t="inlineStr">
        <is>
          <t>20260507</t>
        </is>
      </c>
      <c r="L1219" t="inlineStr">
        <is>
          <t>99991231</t>
        </is>
      </c>
    </row>
    <row r="1220">
      <c r="A1220" t="inlineStr">
        <is>
          <t>900007605</t>
        </is>
      </c>
      <c r="B1220" t="inlineStr">
        <is>
          <t>DW70</t>
        </is>
      </c>
      <c r="C1220" t="inlineStr">
        <is>
          <t>D136</t>
        </is>
      </c>
      <c r="D1220" t="inlineStr">
        <is>
          <t>10002802</t>
        </is>
      </c>
      <c r="E1220" t="inlineStr"/>
      <c r="F1220" s="11" t="n">
        <v>97.73999999999999</v>
      </c>
      <c r="G1220" t="inlineStr"/>
      <c r="I1220" t="inlineStr">
        <is>
          <t>TN</t>
        </is>
      </c>
      <c r="J1220" t="inlineStr"/>
      <c r="K1220" t="inlineStr">
        <is>
          <t>20250701</t>
        </is>
      </c>
      <c r="L1220" t="inlineStr">
        <is>
          <t>20251031</t>
        </is>
      </c>
    </row>
    <row r="1221">
      <c r="A1221" t="inlineStr">
        <is>
          <t>900007605</t>
        </is>
      </c>
      <c r="B1221" t="inlineStr">
        <is>
          <t>DW70</t>
        </is>
      </c>
      <c r="C1221" t="inlineStr">
        <is>
          <t>D136</t>
        </is>
      </c>
      <c r="D1221" t="inlineStr">
        <is>
          <t>10274754</t>
        </is>
      </c>
      <c r="E1221" t="inlineStr"/>
      <c r="F1221" s="11" t="n">
        <v>113.82</v>
      </c>
      <c r="G1221" t="inlineStr"/>
      <c r="I1221" t="inlineStr">
        <is>
          <t>TN</t>
        </is>
      </c>
      <c r="J1221" t="inlineStr"/>
      <c r="K1221" t="inlineStr">
        <is>
          <t>20260507</t>
        </is>
      </c>
      <c r="L1221" t="inlineStr">
        <is>
          <t>99991231</t>
        </is>
      </c>
    </row>
    <row r="1222">
      <c r="A1222" t="inlineStr">
        <is>
          <t>900007605</t>
        </is>
      </c>
      <c r="B1222" t="inlineStr">
        <is>
          <t>DW70</t>
        </is>
      </c>
      <c r="C1222" t="inlineStr">
        <is>
          <t>D136</t>
        </is>
      </c>
      <c r="D1222" t="inlineStr">
        <is>
          <t>10275114</t>
        </is>
      </c>
      <c r="E1222" t="inlineStr"/>
      <c r="F1222" s="11" t="n">
        <v>112.95</v>
      </c>
      <c r="G1222" t="inlineStr"/>
      <c r="I1222" t="inlineStr">
        <is>
          <t>TN</t>
        </is>
      </c>
      <c r="J1222" t="inlineStr"/>
      <c r="K1222" t="inlineStr">
        <is>
          <t>20260507</t>
        </is>
      </c>
      <c r="L1222" t="inlineStr">
        <is>
          <t>99991231</t>
        </is>
      </c>
    </row>
    <row r="1223">
      <c r="A1223" t="inlineStr">
        <is>
          <t>900007605</t>
        </is>
      </c>
      <c r="B1223" t="inlineStr">
        <is>
          <t>DW70</t>
        </is>
      </c>
      <c r="C1223" t="inlineStr">
        <is>
          <t>D145</t>
        </is>
      </c>
      <c r="D1223" t="inlineStr">
        <is>
          <t>10002802</t>
        </is>
      </c>
      <c r="E1223" t="inlineStr"/>
      <c r="F1223" s="11" t="n">
        <v>97.73999999999999</v>
      </c>
      <c r="G1223" t="inlineStr"/>
      <c r="I1223" t="inlineStr">
        <is>
          <t>TN</t>
        </is>
      </c>
      <c r="J1223" t="inlineStr"/>
      <c r="K1223" t="inlineStr">
        <is>
          <t>20250701</t>
        </is>
      </c>
      <c r="L1223" t="inlineStr">
        <is>
          <t>20260310</t>
        </is>
      </c>
    </row>
    <row r="1224">
      <c r="A1224" t="inlineStr">
        <is>
          <t>900007605</t>
        </is>
      </c>
      <c r="B1224" t="inlineStr">
        <is>
          <t>DW70</t>
        </is>
      </c>
      <c r="C1224" t="inlineStr">
        <is>
          <t>D145</t>
        </is>
      </c>
      <c r="D1224" t="inlineStr">
        <is>
          <t>10227598</t>
        </is>
      </c>
      <c r="E1224" t="inlineStr"/>
      <c r="F1224" s="11" t="n">
        <v>97.05</v>
      </c>
      <c r="G1224" t="inlineStr"/>
      <c r="I1224" t="inlineStr">
        <is>
          <t>TN</t>
        </is>
      </c>
      <c r="J1224" t="inlineStr"/>
      <c r="K1224" t="inlineStr">
        <is>
          <t>20230501</t>
        </is>
      </c>
      <c r="L1224" t="inlineStr">
        <is>
          <t>20250131</t>
        </is>
      </c>
    </row>
    <row r="1225">
      <c r="A1225" t="inlineStr">
        <is>
          <t>900007605</t>
        </is>
      </c>
      <c r="B1225" t="inlineStr">
        <is>
          <t>DW70</t>
        </is>
      </c>
      <c r="C1225" t="inlineStr">
        <is>
          <t>D145</t>
        </is>
      </c>
      <c r="D1225" t="inlineStr">
        <is>
          <t>10274754</t>
        </is>
      </c>
      <c r="E1225" t="inlineStr"/>
      <c r="F1225" s="11" t="n">
        <v>113.82</v>
      </c>
      <c r="G1225" t="inlineStr"/>
      <c r="I1225" t="inlineStr">
        <is>
          <t>TN</t>
        </is>
      </c>
      <c r="J1225" t="inlineStr"/>
      <c r="K1225" t="inlineStr">
        <is>
          <t>20260507</t>
        </is>
      </c>
      <c r="L1225" t="inlineStr">
        <is>
          <t>99991231</t>
        </is>
      </c>
    </row>
    <row r="1226">
      <c r="A1226" t="inlineStr">
        <is>
          <t>900007605</t>
        </is>
      </c>
      <c r="B1226" t="inlineStr">
        <is>
          <t>DW70</t>
        </is>
      </c>
      <c r="C1226" t="inlineStr">
        <is>
          <t>D145</t>
        </is>
      </c>
      <c r="D1226" t="inlineStr">
        <is>
          <t>10275114</t>
        </is>
      </c>
      <c r="E1226" t="inlineStr"/>
      <c r="F1226" s="11" t="n">
        <v>112.95</v>
      </c>
      <c r="G1226" t="inlineStr"/>
      <c r="I1226" t="inlineStr">
        <is>
          <t>TN</t>
        </is>
      </c>
      <c r="J1226" t="inlineStr"/>
      <c r="K1226" t="inlineStr">
        <is>
          <t>20260507</t>
        </is>
      </c>
      <c r="L1226" t="inlineStr">
        <is>
          <t>99991231</t>
        </is>
      </c>
    </row>
    <row r="1227">
      <c r="A1227" t="inlineStr">
        <is>
          <t>900007605</t>
        </is>
      </c>
      <c r="B1227" t="inlineStr">
        <is>
          <t>DW70</t>
        </is>
      </c>
      <c r="C1227" t="inlineStr">
        <is>
          <t>D681</t>
        </is>
      </c>
      <c r="D1227" t="inlineStr">
        <is>
          <t>10002802</t>
        </is>
      </c>
      <c r="E1227" t="inlineStr"/>
      <c r="F1227" s="11" t="n">
        <v>97.73999999999999</v>
      </c>
      <c r="G1227" t="inlineStr"/>
      <c r="I1227" t="inlineStr">
        <is>
          <t>TN</t>
        </is>
      </c>
      <c r="J1227" t="inlineStr"/>
      <c r="K1227" t="inlineStr">
        <is>
          <t>20250701</t>
        </is>
      </c>
      <c r="L1227" t="inlineStr">
        <is>
          <t>20260310</t>
        </is>
      </c>
    </row>
    <row r="1228">
      <c r="A1228" t="inlineStr">
        <is>
          <t>900007605</t>
        </is>
      </c>
      <c r="B1228" t="inlineStr">
        <is>
          <t>DW70</t>
        </is>
      </c>
      <c r="C1228" t="inlineStr">
        <is>
          <t>D681</t>
        </is>
      </c>
      <c r="D1228" t="inlineStr">
        <is>
          <t>10227598</t>
        </is>
      </c>
      <c r="E1228" t="inlineStr"/>
      <c r="F1228" s="11" t="n">
        <v>97.05</v>
      </c>
      <c r="G1228" t="inlineStr"/>
      <c r="I1228" t="inlineStr">
        <is>
          <t>TN</t>
        </is>
      </c>
      <c r="J1228" t="inlineStr"/>
      <c r="K1228" t="inlineStr">
        <is>
          <t>20230501</t>
        </is>
      </c>
      <c r="L1228" t="inlineStr">
        <is>
          <t>20250131</t>
        </is>
      </c>
    </row>
    <row r="1229">
      <c r="A1229" t="inlineStr">
        <is>
          <t>900007605</t>
        </is>
      </c>
      <c r="B1229" t="inlineStr">
        <is>
          <t>DW70</t>
        </is>
      </c>
      <c r="C1229" t="inlineStr">
        <is>
          <t>D681</t>
        </is>
      </c>
      <c r="D1229" t="inlineStr">
        <is>
          <t>10274754</t>
        </is>
      </c>
      <c r="E1229" t="inlineStr"/>
      <c r="F1229" s="11" t="n">
        <v>113.82</v>
      </c>
      <c r="G1229" t="inlineStr"/>
      <c r="I1229" t="inlineStr">
        <is>
          <t>TN</t>
        </is>
      </c>
      <c r="J1229" t="inlineStr"/>
      <c r="K1229" t="inlineStr">
        <is>
          <t>20260507</t>
        </is>
      </c>
      <c r="L1229" t="inlineStr">
        <is>
          <t>99991231</t>
        </is>
      </c>
    </row>
    <row r="1230">
      <c r="A1230" t="inlineStr">
        <is>
          <t>900007605</t>
        </is>
      </c>
      <c r="B1230" t="inlineStr">
        <is>
          <t>DW70</t>
        </is>
      </c>
      <c r="C1230" t="inlineStr">
        <is>
          <t>D681</t>
        </is>
      </c>
      <c r="D1230" t="inlineStr">
        <is>
          <t>10275114</t>
        </is>
      </c>
      <c r="E1230" t="inlineStr"/>
      <c r="F1230" s="11" t="n">
        <v>112.95</v>
      </c>
      <c r="G1230" t="inlineStr"/>
      <c r="I1230" t="inlineStr">
        <is>
          <t>TN</t>
        </is>
      </c>
      <c r="J1230" t="inlineStr"/>
      <c r="K1230" t="inlineStr">
        <is>
          <t>20260507</t>
        </is>
      </c>
      <c r="L1230" t="inlineStr">
        <is>
          <t>99991231</t>
        </is>
      </c>
    </row>
    <row r="1231">
      <c r="A1231" t="inlineStr">
        <is>
          <t>900008234</t>
        </is>
      </c>
      <c r="B1231" t="inlineStr">
        <is>
          <t>DW70</t>
        </is>
      </c>
      <c r="C1231" t="inlineStr">
        <is>
          <t>D074</t>
        </is>
      </c>
      <c r="D1231" t="inlineStr">
        <is>
          <t>10227598</t>
        </is>
      </c>
      <c r="E1231" t="inlineStr"/>
      <c r="F1231" s="11" t="n">
        <v>92.83</v>
      </c>
      <c r="G1231" t="inlineStr"/>
      <c r="I1231" t="inlineStr">
        <is>
          <t>TN</t>
        </is>
      </c>
      <c r="J1231" t="inlineStr"/>
      <c r="K1231" t="inlineStr">
        <is>
          <t>20250701</t>
        </is>
      </c>
      <c r="L1231" t="inlineStr">
        <is>
          <t>20251031</t>
        </is>
      </c>
    </row>
    <row r="1232">
      <c r="A1232" t="inlineStr">
        <is>
          <t>900008234</t>
        </is>
      </c>
      <c r="B1232" t="inlineStr">
        <is>
          <t>DW70</t>
        </is>
      </c>
      <c r="C1232" t="inlineStr">
        <is>
          <t>D086</t>
        </is>
      </c>
      <c r="D1232" t="inlineStr">
        <is>
          <t>10227598</t>
        </is>
      </c>
      <c r="E1232" t="inlineStr"/>
      <c r="F1232" s="11" t="n">
        <v>92.83</v>
      </c>
      <c r="G1232" t="inlineStr"/>
      <c r="I1232" t="inlineStr">
        <is>
          <t>TN</t>
        </is>
      </c>
      <c r="J1232" t="inlineStr"/>
      <c r="K1232" t="inlineStr">
        <is>
          <t>20250701</t>
        </is>
      </c>
      <c r="L1232" t="inlineStr">
        <is>
          <t>20251031</t>
        </is>
      </c>
    </row>
    <row r="1233">
      <c r="A1233" t="inlineStr">
        <is>
          <t>900008234</t>
        </is>
      </c>
      <c r="B1233" t="inlineStr">
        <is>
          <t>DW70</t>
        </is>
      </c>
      <c r="C1233" t="inlineStr">
        <is>
          <t>D145</t>
        </is>
      </c>
      <c r="D1233" t="inlineStr">
        <is>
          <t>10227598</t>
        </is>
      </c>
      <c r="E1233" t="inlineStr"/>
      <c r="F1233" s="11" t="n">
        <v>92.83</v>
      </c>
      <c r="G1233" t="inlineStr"/>
      <c r="I1233" t="inlineStr">
        <is>
          <t>TN</t>
        </is>
      </c>
      <c r="J1233" t="inlineStr"/>
      <c r="K1233" t="inlineStr">
        <is>
          <t>20230501</t>
        </is>
      </c>
      <c r="L1233" t="inlineStr">
        <is>
          <t>20250131</t>
        </is>
      </c>
    </row>
    <row r="1234">
      <c r="A1234" t="inlineStr">
        <is>
          <t>900008265</t>
        </is>
      </c>
      <c r="B1234" t="inlineStr">
        <is>
          <t>DW70</t>
        </is>
      </c>
      <c r="C1234" t="inlineStr">
        <is>
          <t>ENXE</t>
        </is>
      </c>
      <c r="D1234" t="inlineStr">
        <is>
          <t>10000432</t>
        </is>
      </c>
      <c r="E1234" t="inlineStr"/>
      <c r="F1234" s="11" t="n">
        <v>268.75</v>
      </c>
      <c r="G1234" t="inlineStr"/>
      <c r="I1234" t="inlineStr">
        <is>
          <t>TN</t>
        </is>
      </c>
      <c r="J1234" t="inlineStr"/>
      <c r="K1234" t="inlineStr">
        <is>
          <t>20250701</t>
        </is>
      </c>
      <c r="L1234" t="inlineStr">
        <is>
          <t>20251031</t>
        </is>
      </c>
    </row>
    <row r="1235">
      <c r="A1235" t="inlineStr">
        <is>
          <t>900008265</t>
        </is>
      </c>
      <c r="B1235" t="inlineStr">
        <is>
          <t>DW70</t>
        </is>
      </c>
      <c r="C1235" t="inlineStr">
        <is>
          <t>ENXE</t>
        </is>
      </c>
      <c r="D1235" t="inlineStr">
        <is>
          <t>10215074</t>
        </is>
      </c>
      <c r="E1235" t="inlineStr"/>
      <c r="F1235" s="11" t="n">
        <v>142.31</v>
      </c>
      <c r="G1235" t="inlineStr"/>
      <c r="I1235" t="inlineStr">
        <is>
          <t>TN</t>
        </is>
      </c>
      <c r="J1235" t="inlineStr"/>
      <c r="K1235" t="inlineStr">
        <is>
          <t>20250807</t>
        </is>
      </c>
      <c r="L1235" t="inlineStr">
        <is>
          <t>99991231</t>
        </is>
      </c>
    </row>
    <row r="1236">
      <c r="A1236" t="inlineStr">
        <is>
          <t>900008265</t>
        </is>
      </c>
      <c r="B1236" t="inlineStr">
        <is>
          <t>DW70</t>
        </is>
      </c>
      <c r="C1236" t="inlineStr">
        <is>
          <t>ENXE</t>
        </is>
      </c>
      <c r="D1236" t="inlineStr">
        <is>
          <t>10216851</t>
        </is>
      </c>
      <c r="E1236" t="inlineStr"/>
      <c r="F1236" s="11" t="n">
        <v>74.45999999999999</v>
      </c>
      <c r="G1236" t="inlineStr"/>
      <c r="I1236" t="inlineStr">
        <is>
          <t>TN</t>
        </is>
      </c>
      <c r="J1236" t="inlineStr"/>
      <c r="K1236" t="inlineStr">
        <is>
          <t>20250701</t>
        </is>
      </c>
      <c r="L1236" t="inlineStr">
        <is>
          <t>20251031</t>
        </is>
      </c>
    </row>
    <row r="1237">
      <c r="A1237" t="inlineStr">
        <is>
          <t>900008265</t>
        </is>
      </c>
      <c r="B1237" t="inlineStr">
        <is>
          <t>DW70</t>
        </is>
      </c>
      <c r="C1237" t="inlineStr">
        <is>
          <t>ENXE</t>
        </is>
      </c>
      <c r="D1237" t="inlineStr">
        <is>
          <t>10260055</t>
        </is>
      </c>
      <c r="E1237" t="inlineStr"/>
      <c r="F1237" s="11" t="n">
        <v>66</v>
      </c>
      <c r="G1237" t="inlineStr"/>
      <c r="I1237" t="inlineStr">
        <is>
          <t>TN</t>
        </is>
      </c>
      <c r="J1237" t="inlineStr"/>
      <c r="K1237" t="inlineStr">
        <is>
          <t>20250821</t>
        </is>
      </c>
      <c r="L1237" t="inlineStr">
        <is>
          <t>99991231</t>
        </is>
      </c>
    </row>
    <row r="1238">
      <c r="A1238" t="inlineStr">
        <is>
          <t>900008265</t>
        </is>
      </c>
      <c r="B1238" t="inlineStr">
        <is>
          <t>DW70</t>
        </is>
      </c>
      <c r="C1238" t="inlineStr">
        <is>
          <t>ENXE</t>
        </is>
      </c>
      <c r="D1238" t="inlineStr">
        <is>
          <t>10271724</t>
        </is>
      </c>
      <c r="E1238" t="inlineStr"/>
      <c r="F1238" s="11" t="n">
        <v>22</v>
      </c>
      <c r="G1238" t="inlineStr"/>
      <c r="I1238" t="inlineStr">
        <is>
          <t>TN</t>
        </is>
      </c>
      <c r="J1238" t="inlineStr"/>
      <c r="K1238" t="inlineStr">
        <is>
          <t>20251218</t>
        </is>
      </c>
      <c r="L1238" t="inlineStr">
        <is>
          <t>99991231</t>
        </is>
      </c>
    </row>
    <row r="1239">
      <c r="A1239" t="inlineStr">
        <is>
          <t>900008570</t>
        </is>
      </c>
      <c r="B1239" t="inlineStr">
        <is>
          <t>DW70</t>
        </is>
      </c>
      <c r="C1239" t="inlineStr">
        <is>
          <t>D074</t>
        </is>
      </c>
      <c r="D1239" t="inlineStr">
        <is>
          <t>10248830</t>
        </is>
      </c>
      <c r="E1239" t="inlineStr"/>
      <c r="F1239" s="11" t="n">
        <v>91.20999999999999</v>
      </c>
      <c r="G1239" t="inlineStr"/>
      <c r="I1239" t="inlineStr">
        <is>
          <t>TN</t>
        </is>
      </c>
      <c r="J1239" t="inlineStr"/>
      <c r="K1239" t="inlineStr">
        <is>
          <t>20250701</t>
        </is>
      </c>
      <c r="L1239" t="inlineStr">
        <is>
          <t>20251031</t>
        </is>
      </c>
    </row>
    <row r="1240">
      <c r="A1240" t="inlineStr">
        <is>
          <t>900008570</t>
        </is>
      </c>
      <c r="B1240" t="inlineStr">
        <is>
          <t>DW70</t>
        </is>
      </c>
      <c r="C1240" t="inlineStr">
        <is>
          <t>D075</t>
        </is>
      </c>
      <c r="D1240" t="inlineStr">
        <is>
          <t>10248830</t>
        </is>
      </c>
      <c r="E1240" t="inlineStr"/>
      <c r="F1240" s="11" t="n">
        <v>91.20999999999999</v>
      </c>
      <c r="G1240" t="inlineStr"/>
      <c r="I1240" t="inlineStr">
        <is>
          <t>TN</t>
        </is>
      </c>
      <c r="J1240" t="inlineStr"/>
      <c r="K1240" t="inlineStr">
        <is>
          <t>20250701</t>
        </is>
      </c>
      <c r="L1240" t="inlineStr">
        <is>
          <t>20251031</t>
        </is>
      </c>
    </row>
    <row r="1241">
      <c r="A1241" t="inlineStr">
        <is>
          <t>900008570</t>
        </is>
      </c>
      <c r="B1241" t="inlineStr">
        <is>
          <t>DW70</t>
        </is>
      </c>
      <c r="C1241" t="inlineStr">
        <is>
          <t>D077</t>
        </is>
      </c>
      <c r="D1241" t="inlineStr">
        <is>
          <t>10248830</t>
        </is>
      </c>
      <c r="E1241" t="inlineStr"/>
      <c r="F1241" s="11" t="n">
        <v>105.56</v>
      </c>
      <c r="G1241" t="inlineStr"/>
      <c r="I1241" t="inlineStr">
        <is>
          <t>TN</t>
        </is>
      </c>
      <c r="J1241" t="inlineStr"/>
      <c r="K1241" t="inlineStr">
        <is>
          <t>20260601</t>
        </is>
      </c>
      <c r="L1241" t="inlineStr">
        <is>
          <t>99991231</t>
        </is>
      </c>
    </row>
    <row r="1242">
      <c r="A1242" t="inlineStr">
        <is>
          <t>900008570</t>
        </is>
      </c>
      <c r="B1242" t="inlineStr">
        <is>
          <t>DW70</t>
        </is>
      </c>
      <c r="C1242" t="inlineStr">
        <is>
          <t>D079</t>
        </is>
      </c>
      <c r="D1242" t="inlineStr">
        <is>
          <t>10248830</t>
        </is>
      </c>
      <c r="E1242" t="inlineStr"/>
      <c r="F1242" s="11" t="n">
        <v>105.56</v>
      </c>
      <c r="G1242" t="inlineStr"/>
      <c r="I1242" t="inlineStr">
        <is>
          <t>TN</t>
        </is>
      </c>
      <c r="J1242" t="inlineStr"/>
      <c r="K1242" t="inlineStr">
        <is>
          <t>20260601</t>
        </is>
      </c>
      <c r="L1242" t="inlineStr">
        <is>
          <t>99991231</t>
        </is>
      </c>
    </row>
    <row r="1243">
      <c r="A1243" t="inlineStr">
        <is>
          <t>900008570</t>
        </is>
      </c>
      <c r="B1243" t="inlineStr">
        <is>
          <t>DW70</t>
        </is>
      </c>
      <c r="C1243" t="inlineStr">
        <is>
          <t>D080</t>
        </is>
      </c>
      <c r="D1243" t="inlineStr">
        <is>
          <t>10248830</t>
        </is>
      </c>
      <c r="E1243" t="inlineStr"/>
      <c r="F1243" s="11" t="n">
        <v>91.20999999999999</v>
      </c>
      <c r="G1243" t="inlineStr"/>
      <c r="I1243" t="inlineStr">
        <is>
          <t>TN</t>
        </is>
      </c>
      <c r="J1243" t="inlineStr"/>
      <c r="K1243" t="inlineStr">
        <is>
          <t>20250701</t>
        </is>
      </c>
      <c r="L1243" t="inlineStr">
        <is>
          <t>20251031</t>
        </is>
      </c>
    </row>
    <row r="1244">
      <c r="A1244" t="inlineStr">
        <is>
          <t>900008570</t>
        </is>
      </c>
      <c r="B1244" t="inlineStr">
        <is>
          <t>DW70</t>
        </is>
      </c>
      <c r="C1244" t="inlineStr">
        <is>
          <t>D081</t>
        </is>
      </c>
      <c r="D1244" t="inlineStr">
        <is>
          <t>10248830</t>
        </is>
      </c>
      <c r="E1244" t="inlineStr"/>
      <c r="F1244" s="11" t="n">
        <v>105.56</v>
      </c>
      <c r="G1244" t="inlineStr"/>
      <c r="I1244" t="inlineStr">
        <is>
          <t>TN</t>
        </is>
      </c>
      <c r="J1244" t="inlineStr"/>
      <c r="K1244" t="inlineStr">
        <is>
          <t>20260601</t>
        </is>
      </c>
      <c r="L1244" t="inlineStr">
        <is>
          <t>99991231</t>
        </is>
      </c>
    </row>
    <row r="1245">
      <c r="A1245" t="inlineStr">
        <is>
          <t>900008570</t>
        </is>
      </c>
      <c r="B1245" t="inlineStr">
        <is>
          <t>DW70</t>
        </is>
      </c>
      <c r="C1245" t="inlineStr">
        <is>
          <t>D083</t>
        </is>
      </c>
      <c r="D1245" t="inlineStr">
        <is>
          <t>10248830</t>
        </is>
      </c>
      <c r="E1245" t="inlineStr"/>
      <c r="F1245" s="11" t="n">
        <v>91.20999999999999</v>
      </c>
      <c r="G1245" t="inlineStr"/>
      <c r="I1245" t="inlineStr">
        <is>
          <t>TN</t>
        </is>
      </c>
      <c r="J1245" t="inlineStr"/>
      <c r="K1245" t="inlineStr">
        <is>
          <t>20250701</t>
        </is>
      </c>
      <c r="L1245" t="inlineStr">
        <is>
          <t>20251031</t>
        </is>
      </c>
    </row>
    <row r="1246">
      <c r="A1246" t="inlineStr">
        <is>
          <t>900008570</t>
        </is>
      </c>
      <c r="B1246" t="inlineStr">
        <is>
          <t>DW70</t>
        </is>
      </c>
      <c r="C1246" t="inlineStr">
        <is>
          <t>D084</t>
        </is>
      </c>
      <c r="D1246" t="inlineStr">
        <is>
          <t>10248830</t>
        </is>
      </c>
      <c r="E1246" t="inlineStr"/>
      <c r="F1246" s="11" t="n">
        <v>91.20999999999999</v>
      </c>
      <c r="G1246" t="inlineStr"/>
      <c r="I1246" t="inlineStr">
        <is>
          <t>TN</t>
        </is>
      </c>
      <c r="J1246" t="inlineStr"/>
      <c r="K1246" t="inlineStr">
        <is>
          <t>20250701</t>
        </is>
      </c>
      <c r="L1246" t="inlineStr">
        <is>
          <t>20251031</t>
        </is>
      </c>
    </row>
    <row r="1247">
      <c r="A1247" t="inlineStr">
        <is>
          <t>900008570</t>
        </is>
      </c>
      <c r="B1247" t="inlineStr">
        <is>
          <t>DW70</t>
        </is>
      </c>
      <c r="C1247" t="inlineStr">
        <is>
          <t>D085</t>
        </is>
      </c>
      <c r="D1247" t="inlineStr">
        <is>
          <t>10248830</t>
        </is>
      </c>
      <c r="E1247" t="inlineStr"/>
      <c r="F1247" s="11" t="n">
        <v>105.56</v>
      </c>
      <c r="G1247" t="inlineStr"/>
      <c r="I1247" t="inlineStr">
        <is>
          <t>TN</t>
        </is>
      </c>
      <c r="J1247" t="inlineStr"/>
      <c r="K1247" t="inlineStr">
        <is>
          <t>20260601</t>
        </is>
      </c>
      <c r="L1247" t="inlineStr">
        <is>
          <t>99991231</t>
        </is>
      </c>
    </row>
    <row r="1248">
      <c r="A1248" t="inlineStr">
        <is>
          <t>900008570</t>
        </is>
      </c>
      <c r="B1248" t="inlineStr">
        <is>
          <t>DW70</t>
        </is>
      </c>
      <c r="C1248" t="inlineStr">
        <is>
          <t>D086</t>
        </is>
      </c>
      <c r="D1248" t="inlineStr">
        <is>
          <t>10248830</t>
        </is>
      </c>
      <c r="E1248" t="inlineStr"/>
      <c r="F1248" s="11" t="n">
        <v>105.56</v>
      </c>
      <c r="G1248" t="inlineStr"/>
      <c r="I1248" t="inlineStr">
        <is>
          <t>TN</t>
        </is>
      </c>
      <c r="J1248" t="inlineStr"/>
      <c r="K1248" t="inlineStr">
        <is>
          <t>20260601</t>
        </is>
      </c>
      <c r="L1248" t="inlineStr">
        <is>
          <t>99991231</t>
        </is>
      </c>
    </row>
    <row r="1249">
      <c r="A1249" t="inlineStr">
        <is>
          <t>900008570</t>
        </is>
      </c>
      <c r="B1249" t="inlineStr">
        <is>
          <t>DW70</t>
        </is>
      </c>
      <c r="C1249" t="inlineStr">
        <is>
          <t>D093</t>
        </is>
      </c>
      <c r="D1249" t="inlineStr">
        <is>
          <t>10248830</t>
        </is>
      </c>
      <c r="E1249" t="inlineStr"/>
      <c r="F1249" s="11" t="n">
        <v>105.56</v>
      </c>
      <c r="G1249" t="inlineStr"/>
      <c r="I1249" t="inlineStr">
        <is>
          <t>TN</t>
        </is>
      </c>
      <c r="J1249" t="inlineStr"/>
      <c r="K1249" t="inlineStr">
        <is>
          <t>20260601</t>
        </is>
      </c>
      <c r="L1249" t="inlineStr">
        <is>
          <t>99991231</t>
        </is>
      </c>
    </row>
    <row r="1250">
      <c r="A1250" t="inlineStr">
        <is>
          <t>900008570</t>
        </is>
      </c>
      <c r="B1250" t="inlineStr">
        <is>
          <t>DW70</t>
        </is>
      </c>
      <c r="C1250" t="inlineStr">
        <is>
          <t>D098</t>
        </is>
      </c>
      <c r="D1250" t="inlineStr">
        <is>
          <t>10248830</t>
        </is>
      </c>
      <c r="E1250" t="inlineStr"/>
      <c r="F1250" s="11" t="n">
        <v>105.56</v>
      </c>
      <c r="G1250" t="inlineStr"/>
      <c r="I1250" t="inlineStr">
        <is>
          <t>TN</t>
        </is>
      </c>
      <c r="J1250" t="inlineStr"/>
      <c r="K1250" t="inlineStr">
        <is>
          <t>20260601</t>
        </is>
      </c>
      <c r="L1250" t="inlineStr">
        <is>
          <t>99991231</t>
        </is>
      </c>
    </row>
    <row r="1251">
      <c r="A1251" t="inlineStr">
        <is>
          <t>900008570</t>
        </is>
      </c>
      <c r="B1251" t="inlineStr">
        <is>
          <t>DW70</t>
        </is>
      </c>
      <c r="C1251" t="inlineStr">
        <is>
          <t>D105</t>
        </is>
      </c>
      <c r="D1251" t="inlineStr">
        <is>
          <t>10248830</t>
        </is>
      </c>
      <c r="E1251" t="inlineStr"/>
      <c r="F1251" s="11" t="n">
        <v>105.56</v>
      </c>
      <c r="G1251" t="inlineStr"/>
      <c r="I1251" t="inlineStr">
        <is>
          <t>TN</t>
        </is>
      </c>
      <c r="J1251" t="inlineStr"/>
      <c r="K1251" t="inlineStr">
        <is>
          <t>20260601</t>
        </is>
      </c>
      <c r="L1251" t="inlineStr">
        <is>
          <t>99991231</t>
        </is>
      </c>
    </row>
    <row r="1252">
      <c r="A1252" t="inlineStr">
        <is>
          <t>900008570</t>
        </is>
      </c>
      <c r="B1252" t="inlineStr">
        <is>
          <t>DW70</t>
        </is>
      </c>
      <c r="C1252" t="inlineStr">
        <is>
          <t>D136</t>
        </is>
      </c>
      <c r="D1252" t="inlineStr">
        <is>
          <t>10248830</t>
        </is>
      </c>
      <c r="E1252" t="inlineStr"/>
      <c r="F1252" s="11" t="n">
        <v>91.20999999999999</v>
      </c>
      <c r="G1252" t="inlineStr"/>
      <c r="I1252" t="inlineStr">
        <is>
          <t>TN</t>
        </is>
      </c>
      <c r="J1252" t="inlineStr"/>
      <c r="K1252" t="inlineStr">
        <is>
          <t>20250701</t>
        </is>
      </c>
      <c r="L1252" t="inlineStr">
        <is>
          <t>20251031</t>
        </is>
      </c>
    </row>
    <row r="1253">
      <c r="A1253" t="inlineStr">
        <is>
          <t>900008570</t>
        </is>
      </c>
      <c r="B1253" t="inlineStr">
        <is>
          <t>DW70</t>
        </is>
      </c>
      <c r="C1253" t="inlineStr">
        <is>
          <t>D145</t>
        </is>
      </c>
      <c r="D1253" t="inlineStr">
        <is>
          <t>10248830</t>
        </is>
      </c>
      <c r="E1253" t="inlineStr"/>
      <c r="F1253" s="11" t="n">
        <v>105.56</v>
      </c>
      <c r="G1253" t="inlineStr"/>
      <c r="I1253" t="inlineStr">
        <is>
          <t>TN</t>
        </is>
      </c>
      <c r="J1253" t="inlineStr"/>
      <c r="K1253" t="inlineStr">
        <is>
          <t>20260601</t>
        </is>
      </c>
      <c r="L1253" t="inlineStr">
        <is>
          <t>99991231</t>
        </is>
      </c>
    </row>
    <row r="1254">
      <c r="A1254" t="inlineStr">
        <is>
          <t>900008570</t>
        </is>
      </c>
      <c r="B1254" t="inlineStr">
        <is>
          <t>DW70</t>
        </is>
      </c>
      <c r="C1254" t="inlineStr">
        <is>
          <t>D681</t>
        </is>
      </c>
      <c r="D1254" t="inlineStr">
        <is>
          <t>10248830</t>
        </is>
      </c>
      <c r="E1254" t="inlineStr"/>
      <c r="F1254" s="11" t="n">
        <v>105.56</v>
      </c>
      <c r="G1254" t="inlineStr"/>
      <c r="I1254" t="inlineStr">
        <is>
          <t>TN</t>
        </is>
      </c>
      <c r="J1254" t="inlineStr"/>
      <c r="K1254" t="inlineStr">
        <is>
          <t>20260601</t>
        </is>
      </c>
      <c r="L1254" t="inlineStr">
        <is>
          <t>99991231</t>
        </is>
      </c>
    </row>
    <row r="1255">
      <c r="A1255" t="inlineStr">
        <is>
          <t>900008619</t>
        </is>
      </c>
      <c r="B1255" t="inlineStr">
        <is>
          <t>DW70</t>
        </is>
      </c>
      <c r="C1255" t="inlineStr">
        <is>
          <t>D085</t>
        </is>
      </c>
      <c r="D1255" t="inlineStr">
        <is>
          <t>10019515</t>
        </is>
      </c>
      <c r="E1255" t="inlineStr"/>
      <c r="F1255" s="11" t="n">
        <v>138.46</v>
      </c>
      <c r="G1255" t="inlineStr"/>
      <c r="I1255" t="inlineStr">
        <is>
          <t>TN</t>
        </is>
      </c>
      <c r="J1255" t="inlineStr"/>
      <c r="K1255" t="inlineStr">
        <is>
          <t>20260107</t>
        </is>
      </c>
      <c r="L1255" t="inlineStr">
        <is>
          <t>99991231</t>
        </is>
      </c>
    </row>
    <row r="1256">
      <c r="A1256" t="inlineStr">
        <is>
          <t>900009292</t>
        </is>
      </c>
      <c r="B1256" t="inlineStr">
        <is>
          <t>DW70</t>
        </is>
      </c>
      <c r="C1256" t="inlineStr">
        <is>
          <t>D074</t>
        </is>
      </c>
      <c r="D1256" t="inlineStr">
        <is>
          <t>10000630</t>
        </is>
      </c>
      <c r="E1256" t="inlineStr"/>
      <c r="F1256" s="11" t="n">
        <v>138.27</v>
      </c>
      <c r="G1256" t="inlineStr"/>
      <c r="I1256" t="inlineStr">
        <is>
          <t>TN</t>
        </is>
      </c>
      <c r="J1256" t="inlineStr"/>
      <c r="K1256" t="inlineStr">
        <is>
          <t>20250701</t>
        </is>
      </c>
      <c r="L1256" t="inlineStr">
        <is>
          <t>20251031</t>
        </is>
      </c>
    </row>
    <row r="1257">
      <c r="A1257" t="inlineStr">
        <is>
          <t>900009292</t>
        </is>
      </c>
      <c r="B1257" t="inlineStr">
        <is>
          <t>DW70</t>
        </is>
      </c>
      <c r="C1257" t="inlineStr">
        <is>
          <t>D074</t>
        </is>
      </c>
      <c r="D1257" t="inlineStr">
        <is>
          <t>10000811</t>
        </is>
      </c>
      <c r="E1257" t="inlineStr"/>
      <c r="F1257" s="11" t="n">
        <v>155.49</v>
      </c>
      <c r="G1257" t="inlineStr"/>
      <c r="I1257" t="inlineStr">
        <is>
          <t>TN</t>
        </is>
      </c>
      <c r="J1257" t="inlineStr"/>
      <c r="K1257" t="inlineStr">
        <is>
          <t>20260814</t>
        </is>
      </c>
      <c r="L1257" t="inlineStr">
        <is>
          <t>99991231</t>
        </is>
      </c>
    </row>
    <row r="1258">
      <c r="A1258" t="inlineStr">
        <is>
          <t>900009292</t>
        </is>
      </c>
      <c r="B1258" t="inlineStr">
        <is>
          <t>DW70</t>
        </is>
      </c>
      <c r="C1258" t="inlineStr">
        <is>
          <t>D074</t>
        </is>
      </c>
      <c r="D1258" t="inlineStr">
        <is>
          <t>10058345</t>
        </is>
      </c>
      <c r="E1258" t="inlineStr"/>
      <c r="F1258" s="11" t="n">
        <v>95.23999999999999</v>
      </c>
      <c r="G1258" t="inlineStr"/>
      <c r="I1258" t="inlineStr">
        <is>
          <t>TN</t>
        </is>
      </c>
      <c r="J1258" t="inlineStr"/>
      <c r="K1258" t="inlineStr">
        <is>
          <t>20260814</t>
        </is>
      </c>
      <c r="L1258" t="inlineStr">
        <is>
          <t>99991231</t>
        </is>
      </c>
    </row>
    <row r="1259">
      <c r="A1259" t="inlineStr">
        <is>
          <t>900009292</t>
        </is>
      </c>
      <c r="B1259" t="inlineStr">
        <is>
          <t>DW70</t>
        </is>
      </c>
      <c r="C1259" t="inlineStr">
        <is>
          <t>D074</t>
        </is>
      </c>
      <c r="D1259" t="inlineStr">
        <is>
          <t>10269245</t>
        </is>
      </c>
      <c r="E1259" t="inlineStr"/>
      <c r="F1259" s="11" t="n">
        <v>141.61</v>
      </c>
      <c r="G1259" t="inlineStr"/>
      <c r="I1259" t="inlineStr">
        <is>
          <t>TN</t>
        </is>
      </c>
      <c r="J1259" t="inlineStr"/>
      <c r="K1259" t="inlineStr">
        <is>
          <t>20250701</t>
        </is>
      </c>
      <c r="L1259" t="inlineStr">
        <is>
          <t>20251031</t>
        </is>
      </c>
    </row>
    <row r="1260">
      <c r="A1260" t="inlineStr">
        <is>
          <t>900009292</t>
        </is>
      </c>
      <c r="B1260" t="inlineStr">
        <is>
          <t>DW70</t>
        </is>
      </c>
      <c r="C1260" t="inlineStr">
        <is>
          <t>D074</t>
        </is>
      </c>
      <c r="D1260" t="inlineStr">
        <is>
          <t>10269246</t>
        </is>
      </c>
      <c r="E1260" t="inlineStr"/>
      <c r="F1260" s="11" t="n">
        <v>138.27</v>
      </c>
      <c r="G1260" t="inlineStr"/>
      <c r="I1260" t="inlineStr">
        <is>
          <t>TN</t>
        </is>
      </c>
      <c r="J1260" t="inlineStr"/>
      <c r="K1260" t="inlineStr">
        <is>
          <t>20250701</t>
        </is>
      </c>
      <c r="L1260" t="inlineStr">
        <is>
          <t>20251031</t>
        </is>
      </c>
    </row>
    <row r="1261">
      <c r="A1261" t="inlineStr">
        <is>
          <t>900009292</t>
        </is>
      </c>
      <c r="B1261" t="inlineStr">
        <is>
          <t>DW70</t>
        </is>
      </c>
      <c r="C1261" t="inlineStr">
        <is>
          <t>D074</t>
        </is>
      </c>
      <c r="D1261" t="inlineStr">
        <is>
          <t>10269247</t>
        </is>
      </c>
      <c r="E1261" t="inlineStr"/>
      <c r="F1261" s="11" t="n">
        <v>96.54000000000001</v>
      </c>
      <c r="G1261" t="inlineStr"/>
      <c r="I1261" t="inlineStr">
        <is>
          <t>TN</t>
        </is>
      </c>
      <c r="J1261" t="inlineStr"/>
      <c r="K1261" t="inlineStr">
        <is>
          <t>20250701</t>
        </is>
      </c>
      <c r="L1261" t="inlineStr">
        <is>
          <t>20251031</t>
        </is>
      </c>
    </row>
    <row r="1262">
      <c r="A1262" t="inlineStr">
        <is>
          <t>900009292</t>
        </is>
      </c>
      <c r="B1262" t="inlineStr">
        <is>
          <t>DW70</t>
        </is>
      </c>
      <c r="C1262" t="inlineStr">
        <is>
          <t>D075</t>
        </is>
      </c>
      <c r="D1262" t="inlineStr">
        <is>
          <t>10000630</t>
        </is>
      </c>
      <c r="E1262" t="inlineStr"/>
      <c r="F1262" s="11" t="n">
        <v>138.27</v>
      </c>
      <c r="G1262" t="inlineStr"/>
      <c r="I1262" t="inlineStr">
        <is>
          <t>TN</t>
        </is>
      </c>
      <c r="J1262" t="inlineStr"/>
      <c r="K1262" t="inlineStr">
        <is>
          <t>20250701</t>
        </is>
      </c>
      <c r="L1262" t="inlineStr">
        <is>
          <t>20251031</t>
        </is>
      </c>
    </row>
    <row r="1263">
      <c r="A1263" t="inlineStr">
        <is>
          <t>900009292</t>
        </is>
      </c>
      <c r="B1263" t="inlineStr">
        <is>
          <t>DW70</t>
        </is>
      </c>
      <c r="C1263" t="inlineStr">
        <is>
          <t>D075</t>
        </is>
      </c>
      <c r="D1263" t="inlineStr">
        <is>
          <t>10000811</t>
        </is>
      </c>
      <c r="E1263" t="inlineStr"/>
      <c r="F1263" s="11" t="n">
        <v>155.49</v>
      </c>
      <c r="G1263" t="inlineStr"/>
      <c r="I1263" t="inlineStr">
        <is>
          <t>TN</t>
        </is>
      </c>
      <c r="J1263" t="inlineStr"/>
      <c r="K1263" t="inlineStr">
        <is>
          <t>20260814</t>
        </is>
      </c>
      <c r="L1263" t="inlineStr">
        <is>
          <t>99991231</t>
        </is>
      </c>
    </row>
    <row r="1264">
      <c r="A1264" t="inlineStr">
        <is>
          <t>900009292</t>
        </is>
      </c>
      <c r="B1264" t="inlineStr">
        <is>
          <t>DW70</t>
        </is>
      </c>
      <c r="C1264" t="inlineStr">
        <is>
          <t>D075</t>
        </is>
      </c>
      <c r="D1264" t="inlineStr">
        <is>
          <t>10058345</t>
        </is>
      </c>
      <c r="E1264" t="inlineStr"/>
      <c r="F1264" s="11" t="n">
        <v>95.23999999999999</v>
      </c>
      <c r="G1264" t="inlineStr"/>
      <c r="I1264" t="inlineStr">
        <is>
          <t>TN</t>
        </is>
      </c>
      <c r="J1264" t="inlineStr"/>
      <c r="K1264" t="inlineStr">
        <is>
          <t>20260814</t>
        </is>
      </c>
      <c r="L1264" t="inlineStr">
        <is>
          <t>99991231</t>
        </is>
      </c>
    </row>
    <row r="1265">
      <c r="A1265" t="inlineStr">
        <is>
          <t>900009292</t>
        </is>
      </c>
      <c r="B1265" t="inlineStr">
        <is>
          <t>DW70</t>
        </is>
      </c>
      <c r="C1265" t="inlineStr">
        <is>
          <t>D075</t>
        </is>
      </c>
      <c r="D1265" t="inlineStr">
        <is>
          <t>10269245</t>
        </is>
      </c>
      <c r="E1265" t="inlineStr"/>
      <c r="F1265" s="11" t="n">
        <v>141.61</v>
      </c>
      <c r="G1265" t="inlineStr"/>
      <c r="I1265" t="inlineStr">
        <is>
          <t>TN</t>
        </is>
      </c>
      <c r="J1265" t="inlineStr"/>
      <c r="K1265" t="inlineStr">
        <is>
          <t>20250701</t>
        </is>
      </c>
      <c r="L1265" t="inlineStr">
        <is>
          <t>20251031</t>
        </is>
      </c>
    </row>
    <row r="1266">
      <c r="A1266" t="inlineStr">
        <is>
          <t>900009292</t>
        </is>
      </c>
      <c r="B1266" t="inlineStr">
        <is>
          <t>DW70</t>
        </is>
      </c>
      <c r="C1266" t="inlineStr">
        <is>
          <t>D075</t>
        </is>
      </c>
      <c r="D1266" t="inlineStr">
        <is>
          <t>10269246</t>
        </is>
      </c>
      <c r="E1266" t="inlineStr"/>
      <c r="F1266" s="11" t="n">
        <v>138.27</v>
      </c>
      <c r="G1266" t="inlineStr"/>
      <c r="I1266" t="inlineStr">
        <is>
          <t>TN</t>
        </is>
      </c>
      <c r="J1266" t="inlineStr"/>
      <c r="K1266" t="inlineStr">
        <is>
          <t>20250701</t>
        </is>
      </c>
      <c r="L1266" t="inlineStr">
        <is>
          <t>20251031</t>
        </is>
      </c>
    </row>
    <row r="1267">
      <c r="A1267" t="inlineStr">
        <is>
          <t>900009292</t>
        </is>
      </c>
      <c r="B1267" t="inlineStr">
        <is>
          <t>DW70</t>
        </is>
      </c>
      <c r="C1267" t="inlineStr">
        <is>
          <t>D075</t>
        </is>
      </c>
      <c r="D1267" t="inlineStr">
        <is>
          <t>10269247</t>
        </is>
      </c>
      <c r="E1267" t="inlineStr"/>
      <c r="F1267" s="11" t="n">
        <v>96.54000000000001</v>
      </c>
      <c r="G1267" t="inlineStr"/>
      <c r="I1267" t="inlineStr">
        <is>
          <t>TN</t>
        </is>
      </c>
      <c r="J1267" t="inlineStr"/>
      <c r="K1267" t="inlineStr">
        <is>
          <t>20250701</t>
        </is>
      </c>
      <c r="L1267" t="inlineStr">
        <is>
          <t>20251031</t>
        </is>
      </c>
    </row>
    <row r="1268">
      <c r="A1268" t="inlineStr">
        <is>
          <t>900009292</t>
        </is>
      </c>
      <c r="B1268" t="inlineStr">
        <is>
          <t>DW70</t>
        </is>
      </c>
      <c r="C1268" t="inlineStr">
        <is>
          <t>D077</t>
        </is>
      </c>
      <c r="D1268" t="inlineStr">
        <is>
          <t>10000630</t>
        </is>
      </c>
      <c r="E1268" t="inlineStr"/>
      <c r="F1268" s="11" t="n">
        <v>138.27</v>
      </c>
      <c r="G1268" t="inlineStr"/>
      <c r="I1268" t="inlineStr">
        <is>
          <t>TN</t>
        </is>
      </c>
      <c r="J1268" t="inlineStr"/>
      <c r="K1268" t="inlineStr">
        <is>
          <t>20250701</t>
        </is>
      </c>
      <c r="L1268" t="inlineStr">
        <is>
          <t>20251031</t>
        </is>
      </c>
    </row>
    <row r="1269">
      <c r="A1269" t="inlineStr">
        <is>
          <t>900009292</t>
        </is>
      </c>
      <c r="B1269" t="inlineStr">
        <is>
          <t>DW70</t>
        </is>
      </c>
      <c r="C1269" t="inlineStr">
        <is>
          <t>D077</t>
        </is>
      </c>
      <c r="D1269" t="inlineStr">
        <is>
          <t>10000811</t>
        </is>
      </c>
      <c r="E1269" t="inlineStr"/>
      <c r="F1269" s="11" t="n">
        <v>155.49</v>
      </c>
      <c r="G1269" t="inlineStr"/>
      <c r="I1269" t="inlineStr">
        <is>
          <t>TN</t>
        </is>
      </c>
      <c r="J1269" t="inlineStr"/>
      <c r="K1269" t="inlineStr">
        <is>
          <t>20260814</t>
        </is>
      </c>
      <c r="L1269" t="inlineStr">
        <is>
          <t>99991231</t>
        </is>
      </c>
    </row>
    <row r="1270">
      <c r="A1270" t="inlineStr">
        <is>
          <t>900009292</t>
        </is>
      </c>
      <c r="B1270" t="inlineStr">
        <is>
          <t>DW70</t>
        </is>
      </c>
      <c r="C1270" t="inlineStr">
        <is>
          <t>D077</t>
        </is>
      </c>
      <c r="D1270" t="inlineStr">
        <is>
          <t>10058345</t>
        </is>
      </c>
      <c r="E1270" t="inlineStr"/>
      <c r="F1270" s="11" t="n">
        <v>95.23999999999999</v>
      </c>
      <c r="G1270" t="inlineStr"/>
      <c r="I1270" t="inlineStr">
        <is>
          <t>TN</t>
        </is>
      </c>
      <c r="J1270" t="inlineStr"/>
      <c r="K1270" t="inlineStr">
        <is>
          <t>20260814</t>
        </is>
      </c>
      <c r="L1270" t="inlineStr">
        <is>
          <t>99991231</t>
        </is>
      </c>
    </row>
    <row r="1271">
      <c r="A1271" t="inlineStr">
        <is>
          <t>900009292</t>
        </is>
      </c>
      <c r="B1271" t="inlineStr">
        <is>
          <t>DW70</t>
        </is>
      </c>
      <c r="C1271" t="inlineStr">
        <is>
          <t>D077</t>
        </is>
      </c>
      <c r="D1271" t="inlineStr">
        <is>
          <t>10269245</t>
        </is>
      </c>
      <c r="E1271" t="inlineStr"/>
      <c r="F1271" s="11" t="n">
        <v>141.61</v>
      </c>
      <c r="G1271" t="inlineStr"/>
      <c r="I1271" t="inlineStr">
        <is>
          <t>TN</t>
        </is>
      </c>
      <c r="J1271" t="inlineStr"/>
      <c r="K1271" t="inlineStr">
        <is>
          <t>20250701</t>
        </is>
      </c>
      <c r="L1271" t="inlineStr">
        <is>
          <t>20251031</t>
        </is>
      </c>
    </row>
    <row r="1272">
      <c r="A1272" t="inlineStr">
        <is>
          <t>900009292</t>
        </is>
      </c>
      <c r="B1272" t="inlineStr">
        <is>
          <t>DW70</t>
        </is>
      </c>
      <c r="C1272" t="inlineStr">
        <is>
          <t>D077</t>
        </is>
      </c>
      <c r="D1272" t="inlineStr">
        <is>
          <t>10269246</t>
        </is>
      </c>
      <c r="E1272" t="inlineStr"/>
      <c r="F1272" s="11" t="n">
        <v>138.27</v>
      </c>
      <c r="G1272" t="inlineStr"/>
      <c r="I1272" t="inlineStr">
        <is>
          <t>TN</t>
        </is>
      </c>
      <c r="J1272" t="inlineStr"/>
      <c r="K1272" t="inlineStr">
        <is>
          <t>20250701</t>
        </is>
      </c>
      <c r="L1272" t="inlineStr">
        <is>
          <t>20251031</t>
        </is>
      </c>
    </row>
    <row r="1273">
      <c r="A1273" t="inlineStr">
        <is>
          <t>900009292</t>
        </is>
      </c>
      <c r="B1273" t="inlineStr">
        <is>
          <t>DW70</t>
        </is>
      </c>
      <c r="C1273" t="inlineStr">
        <is>
          <t>D077</t>
        </is>
      </c>
      <c r="D1273" t="inlineStr">
        <is>
          <t>10269247</t>
        </is>
      </c>
      <c r="E1273" t="inlineStr"/>
      <c r="F1273" s="11" t="n">
        <v>96.54000000000001</v>
      </c>
      <c r="G1273" t="inlineStr"/>
      <c r="I1273" t="inlineStr">
        <is>
          <t>TN</t>
        </is>
      </c>
      <c r="J1273" t="inlineStr"/>
      <c r="K1273" t="inlineStr">
        <is>
          <t>20250701</t>
        </is>
      </c>
      <c r="L1273" t="inlineStr">
        <is>
          <t>20251031</t>
        </is>
      </c>
    </row>
    <row r="1274">
      <c r="A1274" t="inlineStr">
        <is>
          <t>900009292</t>
        </is>
      </c>
      <c r="B1274" t="inlineStr">
        <is>
          <t>DW70</t>
        </is>
      </c>
      <c r="C1274" t="inlineStr">
        <is>
          <t>D079</t>
        </is>
      </c>
      <c r="D1274" t="inlineStr">
        <is>
          <t>10000630</t>
        </is>
      </c>
      <c r="E1274" t="inlineStr"/>
      <c r="F1274" s="11" t="n">
        <v>138.27</v>
      </c>
      <c r="G1274" t="inlineStr"/>
      <c r="I1274" t="inlineStr">
        <is>
          <t>TN</t>
        </is>
      </c>
      <c r="J1274" t="inlineStr"/>
      <c r="K1274" t="inlineStr">
        <is>
          <t>20250701</t>
        </is>
      </c>
      <c r="L1274" t="inlineStr">
        <is>
          <t>20251031</t>
        </is>
      </c>
    </row>
    <row r="1275">
      <c r="A1275" t="inlineStr">
        <is>
          <t>900009292</t>
        </is>
      </c>
      <c r="B1275" t="inlineStr">
        <is>
          <t>DW70</t>
        </is>
      </c>
      <c r="C1275" t="inlineStr">
        <is>
          <t>D079</t>
        </is>
      </c>
      <c r="D1275" t="inlineStr">
        <is>
          <t>10000811</t>
        </is>
      </c>
      <c r="E1275" t="inlineStr"/>
      <c r="F1275" s="11" t="n">
        <v>155.49</v>
      </c>
      <c r="G1275" t="inlineStr"/>
      <c r="I1275" t="inlineStr">
        <is>
          <t>TN</t>
        </is>
      </c>
      <c r="J1275" t="inlineStr"/>
      <c r="K1275" t="inlineStr">
        <is>
          <t>20260814</t>
        </is>
      </c>
      <c r="L1275" t="inlineStr">
        <is>
          <t>99991231</t>
        </is>
      </c>
    </row>
    <row r="1276">
      <c r="A1276" t="inlineStr">
        <is>
          <t>900009292</t>
        </is>
      </c>
      <c r="B1276" t="inlineStr">
        <is>
          <t>DW70</t>
        </is>
      </c>
      <c r="C1276" t="inlineStr">
        <is>
          <t>D079</t>
        </is>
      </c>
      <c r="D1276" t="inlineStr">
        <is>
          <t>10058345</t>
        </is>
      </c>
      <c r="E1276" t="inlineStr"/>
      <c r="F1276" s="11" t="n">
        <v>95.23999999999999</v>
      </c>
      <c r="G1276" t="inlineStr"/>
      <c r="I1276" t="inlineStr">
        <is>
          <t>TN</t>
        </is>
      </c>
      <c r="J1276" t="inlineStr"/>
      <c r="K1276" t="inlineStr">
        <is>
          <t>20260814</t>
        </is>
      </c>
      <c r="L1276" t="inlineStr">
        <is>
          <t>99991231</t>
        </is>
      </c>
    </row>
    <row r="1277">
      <c r="A1277" t="inlineStr">
        <is>
          <t>900009292</t>
        </is>
      </c>
      <c r="B1277" t="inlineStr">
        <is>
          <t>DW70</t>
        </is>
      </c>
      <c r="C1277" t="inlineStr">
        <is>
          <t>D079</t>
        </is>
      </c>
      <c r="D1277" t="inlineStr">
        <is>
          <t>10269245</t>
        </is>
      </c>
      <c r="E1277" t="inlineStr"/>
      <c r="F1277" s="11" t="n">
        <v>141.61</v>
      </c>
      <c r="G1277" t="inlineStr"/>
      <c r="I1277" t="inlineStr">
        <is>
          <t>TN</t>
        </is>
      </c>
      <c r="J1277" t="inlineStr"/>
      <c r="K1277" t="inlineStr">
        <is>
          <t>20250701</t>
        </is>
      </c>
      <c r="L1277" t="inlineStr">
        <is>
          <t>20251031</t>
        </is>
      </c>
    </row>
    <row r="1278">
      <c r="A1278" t="inlineStr">
        <is>
          <t>900009292</t>
        </is>
      </c>
      <c r="B1278" t="inlineStr">
        <is>
          <t>DW70</t>
        </is>
      </c>
      <c r="C1278" t="inlineStr">
        <is>
          <t>D079</t>
        </is>
      </c>
      <c r="D1278" t="inlineStr">
        <is>
          <t>10269246</t>
        </is>
      </c>
      <c r="E1278" t="inlineStr"/>
      <c r="F1278" s="11" t="n">
        <v>138.27</v>
      </c>
      <c r="G1278" t="inlineStr"/>
      <c r="I1278" t="inlineStr">
        <is>
          <t>TN</t>
        </is>
      </c>
      <c r="J1278" t="inlineStr"/>
      <c r="K1278" t="inlineStr">
        <is>
          <t>20250701</t>
        </is>
      </c>
      <c r="L1278" t="inlineStr">
        <is>
          <t>20251031</t>
        </is>
      </c>
    </row>
    <row r="1279">
      <c r="A1279" t="inlineStr">
        <is>
          <t>900009292</t>
        </is>
      </c>
      <c r="B1279" t="inlineStr">
        <is>
          <t>DW70</t>
        </is>
      </c>
      <c r="C1279" t="inlineStr">
        <is>
          <t>D079</t>
        </is>
      </c>
      <c r="D1279" t="inlineStr">
        <is>
          <t>10269247</t>
        </is>
      </c>
      <c r="E1279" t="inlineStr"/>
      <c r="F1279" s="11" t="n">
        <v>96.54000000000001</v>
      </c>
      <c r="G1279" t="inlineStr"/>
      <c r="I1279" t="inlineStr">
        <is>
          <t>TN</t>
        </is>
      </c>
      <c r="J1279" t="inlineStr"/>
      <c r="K1279" t="inlineStr">
        <is>
          <t>20250701</t>
        </is>
      </c>
      <c r="L1279" t="inlineStr">
        <is>
          <t>20251031</t>
        </is>
      </c>
    </row>
    <row r="1280">
      <c r="A1280" t="inlineStr">
        <is>
          <t>900009292</t>
        </is>
      </c>
      <c r="B1280" t="inlineStr">
        <is>
          <t>DW70</t>
        </is>
      </c>
      <c r="C1280" t="inlineStr">
        <is>
          <t>D080</t>
        </is>
      </c>
      <c r="D1280" t="inlineStr">
        <is>
          <t>10000630</t>
        </is>
      </c>
      <c r="E1280" t="inlineStr"/>
      <c r="F1280" s="11" t="n">
        <v>138.27</v>
      </c>
      <c r="G1280" t="inlineStr"/>
      <c r="I1280" t="inlineStr">
        <is>
          <t>TN</t>
        </is>
      </c>
      <c r="J1280" t="inlineStr"/>
      <c r="K1280" t="inlineStr">
        <is>
          <t>20250701</t>
        </is>
      </c>
      <c r="L1280" t="inlineStr">
        <is>
          <t>20251031</t>
        </is>
      </c>
    </row>
    <row r="1281">
      <c r="A1281" t="inlineStr">
        <is>
          <t>900009292</t>
        </is>
      </c>
      <c r="B1281" t="inlineStr">
        <is>
          <t>DW70</t>
        </is>
      </c>
      <c r="C1281" t="inlineStr">
        <is>
          <t>D080</t>
        </is>
      </c>
      <c r="D1281" t="inlineStr">
        <is>
          <t>10000811</t>
        </is>
      </c>
      <c r="E1281" t="inlineStr"/>
      <c r="F1281" s="11" t="n">
        <v>155.49</v>
      </c>
      <c r="G1281" t="inlineStr"/>
      <c r="I1281" t="inlineStr">
        <is>
          <t>TN</t>
        </is>
      </c>
      <c r="J1281" t="inlineStr"/>
      <c r="K1281" t="inlineStr">
        <is>
          <t>20260814</t>
        </is>
      </c>
      <c r="L1281" t="inlineStr">
        <is>
          <t>99991231</t>
        </is>
      </c>
    </row>
    <row r="1282">
      <c r="A1282" t="inlineStr">
        <is>
          <t>900009292</t>
        </is>
      </c>
      <c r="B1282" t="inlineStr">
        <is>
          <t>DW70</t>
        </is>
      </c>
      <c r="C1282" t="inlineStr">
        <is>
          <t>D080</t>
        </is>
      </c>
      <c r="D1282" t="inlineStr">
        <is>
          <t>10058345</t>
        </is>
      </c>
      <c r="E1282" t="inlineStr"/>
      <c r="F1282" s="11" t="n">
        <v>95.23999999999999</v>
      </c>
      <c r="G1282" t="inlineStr"/>
      <c r="I1282" t="inlineStr">
        <is>
          <t>TN</t>
        </is>
      </c>
      <c r="J1282" t="inlineStr"/>
      <c r="K1282" t="inlineStr">
        <is>
          <t>20260814</t>
        </is>
      </c>
      <c r="L1282" t="inlineStr">
        <is>
          <t>99991231</t>
        </is>
      </c>
    </row>
    <row r="1283">
      <c r="A1283" t="inlineStr">
        <is>
          <t>900009292</t>
        </is>
      </c>
      <c r="B1283" t="inlineStr">
        <is>
          <t>DW70</t>
        </is>
      </c>
      <c r="C1283" t="inlineStr">
        <is>
          <t>D080</t>
        </is>
      </c>
      <c r="D1283" t="inlineStr">
        <is>
          <t>10269245</t>
        </is>
      </c>
      <c r="E1283" t="inlineStr"/>
      <c r="F1283" s="11" t="n">
        <v>141.61</v>
      </c>
      <c r="G1283" t="inlineStr"/>
      <c r="I1283" t="inlineStr">
        <is>
          <t>TN</t>
        </is>
      </c>
      <c r="J1283" t="inlineStr"/>
      <c r="K1283" t="inlineStr">
        <is>
          <t>20250701</t>
        </is>
      </c>
      <c r="L1283" t="inlineStr">
        <is>
          <t>20251031</t>
        </is>
      </c>
    </row>
    <row r="1284">
      <c r="A1284" t="inlineStr">
        <is>
          <t>900009292</t>
        </is>
      </c>
      <c r="B1284" t="inlineStr">
        <is>
          <t>DW70</t>
        </is>
      </c>
      <c r="C1284" t="inlineStr">
        <is>
          <t>D080</t>
        </is>
      </c>
      <c r="D1284" t="inlineStr">
        <is>
          <t>10269246</t>
        </is>
      </c>
      <c r="E1284" t="inlineStr"/>
      <c r="F1284" s="11" t="n">
        <v>138.27</v>
      </c>
      <c r="G1284" t="inlineStr"/>
      <c r="I1284" t="inlineStr">
        <is>
          <t>TN</t>
        </is>
      </c>
      <c r="J1284" t="inlineStr"/>
      <c r="K1284" t="inlineStr">
        <is>
          <t>20250701</t>
        </is>
      </c>
      <c r="L1284" t="inlineStr">
        <is>
          <t>20251031</t>
        </is>
      </c>
    </row>
    <row r="1285">
      <c r="A1285" t="inlineStr">
        <is>
          <t>900009292</t>
        </is>
      </c>
      <c r="B1285" t="inlineStr">
        <is>
          <t>DW70</t>
        </is>
      </c>
      <c r="C1285" t="inlineStr">
        <is>
          <t>D080</t>
        </is>
      </c>
      <c r="D1285" t="inlineStr">
        <is>
          <t>10269247</t>
        </is>
      </c>
      <c r="E1285" t="inlineStr"/>
      <c r="F1285" s="11" t="n">
        <v>96.54000000000001</v>
      </c>
      <c r="G1285" t="inlineStr"/>
      <c r="I1285" t="inlineStr">
        <is>
          <t>TN</t>
        </is>
      </c>
      <c r="J1285" t="inlineStr"/>
      <c r="K1285" t="inlineStr">
        <is>
          <t>20250701</t>
        </is>
      </c>
      <c r="L1285" t="inlineStr">
        <is>
          <t>20251031</t>
        </is>
      </c>
    </row>
    <row r="1286">
      <c r="A1286" t="inlineStr">
        <is>
          <t>900009292</t>
        </is>
      </c>
      <c r="B1286" t="inlineStr">
        <is>
          <t>DW70</t>
        </is>
      </c>
      <c r="C1286" t="inlineStr">
        <is>
          <t>D081</t>
        </is>
      </c>
      <c r="D1286" t="inlineStr">
        <is>
          <t>10000630</t>
        </is>
      </c>
      <c r="E1286" t="inlineStr"/>
      <c r="F1286" s="11" t="n">
        <v>138.27</v>
      </c>
      <c r="G1286" t="inlineStr"/>
      <c r="I1286" t="inlineStr">
        <is>
          <t>TN</t>
        </is>
      </c>
      <c r="J1286" t="inlineStr"/>
      <c r="K1286" t="inlineStr">
        <is>
          <t>20250701</t>
        </is>
      </c>
      <c r="L1286" t="inlineStr">
        <is>
          <t>20251031</t>
        </is>
      </c>
    </row>
    <row r="1287">
      <c r="A1287" t="inlineStr">
        <is>
          <t>900009292</t>
        </is>
      </c>
      <c r="B1287" t="inlineStr">
        <is>
          <t>DW70</t>
        </is>
      </c>
      <c r="C1287" t="inlineStr">
        <is>
          <t>D081</t>
        </is>
      </c>
      <c r="D1287" t="inlineStr">
        <is>
          <t>10000811</t>
        </is>
      </c>
      <c r="E1287" t="inlineStr"/>
      <c r="F1287" s="11" t="n">
        <v>155.49</v>
      </c>
      <c r="G1287" t="inlineStr"/>
      <c r="I1287" t="inlineStr">
        <is>
          <t>TN</t>
        </is>
      </c>
      <c r="J1287" t="inlineStr"/>
      <c r="K1287" t="inlineStr">
        <is>
          <t>20260814</t>
        </is>
      </c>
      <c r="L1287" t="inlineStr">
        <is>
          <t>99991231</t>
        </is>
      </c>
    </row>
    <row r="1288">
      <c r="A1288" t="inlineStr">
        <is>
          <t>900009292</t>
        </is>
      </c>
      <c r="B1288" t="inlineStr">
        <is>
          <t>DW70</t>
        </is>
      </c>
      <c r="C1288" t="inlineStr">
        <is>
          <t>D081</t>
        </is>
      </c>
      <c r="D1288" t="inlineStr">
        <is>
          <t>10058345</t>
        </is>
      </c>
      <c r="E1288" t="inlineStr"/>
      <c r="F1288" s="11" t="n">
        <v>95.23999999999999</v>
      </c>
      <c r="G1288" t="inlineStr"/>
      <c r="I1288" t="inlineStr">
        <is>
          <t>TN</t>
        </is>
      </c>
      <c r="J1288" t="inlineStr"/>
      <c r="K1288" t="inlineStr">
        <is>
          <t>20260814</t>
        </is>
      </c>
      <c r="L1288" t="inlineStr">
        <is>
          <t>99991231</t>
        </is>
      </c>
    </row>
    <row r="1289">
      <c r="A1289" t="inlineStr">
        <is>
          <t>900009292</t>
        </is>
      </c>
      <c r="B1289" t="inlineStr">
        <is>
          <t>DW70</t>
        </is>
      </c>
      <c r="C1289" t="inlineStr">
        <is>
          <t>D081</t>
        </is>
      </c>
      <c r="D1289" t="inlineStr">
        <is>
          <t>10269245</t>
        </is>
      </c>
      <c r="E1289" t="inlineStr"/>
      <c r="F1289" s="11" t="n">
        <v>141.61</v>
      </c>
      <c r="G1289" t="inlineStr"/>
      <c r="I1289" t="inlineStr">
        <is>
          <t>TN</t>
        </is>
      </c>
      <c r="J1289" t="inlineStr"/>
      <c r="K1289" t="inlineStr">
        <is>
          <t>20250701</t>
        </is>
      </c>
      <c r="L1289" t="inlineStr">
        <is>
          <t>20251031</t>
        </is>
      </c>
    </row>
    <row r="1290">
      <c r="A1290" t="inlineStr">
        <is>
          <t>900009292</t>
        </is>
      </c>
      <c r="B1290" t="inlineStr">
        <is>
          <t>DW70</t>
        </is>
      </c>
      <c r="C1290" t="inlineStr">
        <is>
          <t>D081</t>
        </is>
      </c>
      <c r="D1290" t="inlineStr">
        <is>
          <t>10269246</t>
        </is>
      </c>
      <c r="E1290" t="inlineStr"/>
      <c r="F1290" s="11" t="n">
        <v>138.27</v>
      </c>
      <c r="G1290" t="inlineStr"/>
      <c r="I1290" t="inlineStr">
        <is>
          <t>TN</t>
        </is>
      </c>
      <c r="J1290" t="inlineStr"/>
      <c r="K1290" t="inlineStr">
        <is>
          <t>20250701</t>
        </is>
      </c>
      <c r="L1290" t="inlineStr">
        <is>
          <t>20251031</t>
        </is>
      </c>
    </row>
    <row r="1291">
      <c r="A1291" t="inlineStr">
        <is>
          <t>900009292</t>
        </is>
      </c>
      <c r="B1291" t="inlineStr">
        <is>
          <t>DW70</t>
        </is>
      </c>
      <c r="C1291" t="inlineStr">
        <is>
          <t>D081</t>
        </is>
      </c>
      <c r="D1291" t="inlineStr">
        <is>
          <t>10269247</t>
        </is>
      </c>
      <c r="E1291" t="inlineStr"/>
      <c r="F1291" s="11" t="n">
        <v>96.54000000000001</v>
      </c>
      <c r="G1291" t="inlineStr"/>
      <c r="I1291" t="inlineStr">
        <is>
          <t>TN</t>
        </is>
      </c>
      <c r="J1291" t="inlineStr"/>
      <c r="K1291" t="inlineStr">
        <is>
          <t>20250701</t>
        </is>
      </c>
      <c r="L1291" t="inlineStr">
        <is>
          <t>20251031</t>
        </is>
      </c>
    </row>
    <row r="1292">
      <c r="A1292" t="inlineStr">
        <is>
          <t>900009292</t>
        </is>
      </c>
      <c r="B1292" t="inlineStr">
        <is>
          <t>DW70</t>
        </is>
      </c>
      <c r="C1292" t="inlineStr">
        <is>
          <t>D083</t>
        </is>
      </c>
      <c r="D1292" t="inlineStr">
        <is>
          <t>10000630</t>
        </is>
      </c>
      <c r="E1292" t="inlineStr"/>
      <c r="F1292" s="11" t="n">
        <v>138.27</v>
      </c>
      <c r="G1292" t="inlineStr"/>
      <c r="I1292" t="inlineStr">
        <is>
          <t>TN</t>
        </is>
      </c>
      <c r="J1292" t="inlineStr"/>
      <c r="K1292" t="inlineStr">
        <is>
          <t>20250701</t>
        </is>
      </c>
      <c r="L1292" t="inlineStr">
        <is>
          <t>20251031</t>
        </is>
      </c>
    </row>
    <row r="1293">
      <c r="A1293" t="inlineStr">
        <is>
          <t>900009292</t>
        </is>
      </c>
      <c r="B1293" t="inlineStr">
        <is>
          <t>DW70</t>
        </is>
      </c>
      <c r="C1293" t="inlineStr">
        <is>
          <t>D083</t>
        </is>
      </c>
      <c r="D1293" t="inlineStr">
        <is>
          <t>10000811</t>
        </is>
      </c>
      <c r="E1293" t="inlineStr"/>
      <c r="F1293" s="11" t="n">
        <v>155.49</v>
      </c>
      <c r="G1293" t="inlineStr"/>
      <c r="I1293" t="inlineStr">
        <is>
          <t>TN</t>
        </is>
      </c>
      <c r="J1293" t="inlineStr"/>
      <c r="K1293" t="inlineStr">
        <is>
          <t>20260814</t>
        </is>
      </c>
      <c r="L1293" t="inlineStr">
        <is>
          <t>99991231</t>
        </is>
      </c>
    </row>
    <row r="1294">
      <c r="A1294" t="inlineStr">
        <is>
          <t>900009292</t>
        </is>
      </c>
      <c r="B1294" t="inlineStr">
        <is>
          <t>DW70</t>
        </is>
      </c>
      <c r="C1294" t="inlineStr">
        <is>
          <t>D083</t>
        </is>
      </c>
      <c r="D1294" t="inlineStr">
        <is>
          <t>10058345</t>
        </is>
      </c>
      <c r="E1294" t="inlineStr"/>
      <c r="F1294" s="11" t="n">
        <v>95.23999999999999</v>
      </c>
      <c r="G1294" t="inlineStr"/>
      <c r="I1294" t="inlineStr">
        <is>
          <t>TN</t>
        </is>
      </c>
      <c r="J1294" t="inlineStr"/>
      <c r="K1294" t="inlineStr">
        <is>
          <t>20260814</t>
        </is>
      </c>
      <c r="L1294" t="inlineStr">
        <is>
          <t>99991231</t>
        </is>
      </c>
    </row>
    <row r="1295">
      <c r="A1295" t="inlineStr">
        <is>
          <t>900009292</t>
        </is>
      </c>
      <c r="B1295" t="inlineStr">
        <is>
          <t>DW70</t>
        </is>
      </c>
      <c r="C1295" t="inlineStr">
        <is>
          <t>D083</t>
        </is>
      </c>
      <c r="D1295" t="inlineStr">
        <is>
          <t>10269245</t>
        </is>
      </c>
      <c r="E1295" t="inlineStr"/>
      <c r="F1295" s="11" t="n">
        <v>141.61</v>
      </c>
      <c r="G1295" t="inlineStr"/>
      <c r="I1295" t="inlineStr">
        <is>
          <t>TN</t>
        </is>
      </c>
      <c r="J1295" t="inlineStr"/>
      <c r="K1295" t="inlineStr">
        <is>
          <t>20250701</t>
        </is>
      </c>
      <c r="L1295" t="inlineStr">
        <is>
          <t>20251031</t>
        </is>
      </c>
    </row>
    <row r="1296">
      <c r="A1296" t="inlineStr">
        <is>
          <t>900009292</t>
        </is>
      </c>
      <c r="B1296" t="inlineStr">
        <is>
          <t>DW70</t>
        </is>
      </c>
      <c r="C1296" t="inlineStr">
        <is>
          <t>D083</t>
        </is>
      </c>
      <c r="D1296" t="inlineStr">
        <is>
          <t>10269246</t>
        </is>
      </c>
      <c r="E1296" t="inlineStr"/>
      <c r="F1296" s="11" t="n">
        <v>138.27</v>
      </c>
      <c r="G1296" t="inlineStr"/>
      <c r="I1296" t="inlineStr">
        <is>
          <t>TN</t>
        </is>
      </c>
      <c r="J1296" t="inlineStr"/>
      <c r="K1296" t="inlineStr">
        <is>
          <t>20250701</t>
        </is>
      </c>
      <c r="L1296" t="inlineStr">
        <is>
          <t>20251031</t>
        </is>
      </c>
    </row>
    <row r="1297">
      <c r="A1297" t="inlineStr">
        <is>
          <t>900009292</t>
        </is>
      </c>
      <c r="B1297" t="inlineStr">
        <is>
          <t>DW70</t>
        </is>
      </c>
      <c r="C1297" t="inlineStr">
        <is>
          <t>D083</t>
        </is>
      </c>
      <c r="D1297" t="inlineStr">
        <is>
          <t>10269247</t>
        </is>
      </c>
      <c r="E1297" t="inlineStr"/>
      <c r="F1297" s="11" t="n">
        <v>96.54000000000001</v>
      </c>
      <c r="G1297" t="inlineStr"/>
      <c r="I1297" t="inlineStr">
        <is>
          <t>TN</t>
        </is>
      </c>
      <c r="J1297" t="inlineStr"/>
      <c r="K1297" t="inlineStr">
        <is>
          <t>20250701</t>
        </is>
      </c>
      <c r="L1297" t="inlineStr">
        <is>
          <t>20251031</t>
        </is>
      </c>
    </row>
    <row r="1298">
      <c r="A1298" t="inlineStr">
        <is>
          <t>900009292</t>
        </is>
      </c>
      <c r="B1298" t="inlineStr">
        <is>
          <t>DW70</t>
        </is>
      </c>
      <c r="C1298" t="inlineStr">
        <is>
          <t>D084</t>
        </is>
      </c>
      <c r="D1298" t="inlineStr">
        <is>
          <t>10000630</t>
        </is>
      </c>
      <c r="E1298" t="inlineStr"/>
      <c r="F1298" s="11" t="n">
        <v>138.27</v>
      </c>
      <c r="G1298" t="inlineStr"/>
      <c r="I1298" t="inlineStr">
        <is>
          <t>TN</t>
        </is>
      </c>
      <c r="J1298" t="inlineStr"/>
      <c r="K1298" t="inlineStr">
        <is>
          <t>20250701</t>
        </is>
      </c>
      <c r="L1298" t="inlineStr">
        <is>
          <t>20251031</t>
        </is>
      </c>
    </row>
    <row r="1299">
      <c r="A1299" t="inlineStr">
        <is>
          <t>900009292</t>
        </is>
      </c>
      <c r="B1299" t="inlineStr">
        <is>
          <t>DW70</t>
        </is>
      </c>
      <c r="C1299" t="inlineStr">
        <is>
          <t>D084</t>
        </is>
      </c>
      <c r="D1299" t="inlineStr">
        <is>
          <t>10000811</t>
        </is>
      </c>
      <c r="E1299" t="inlineStr"/>
      <c r="F1299" s="11" t="n">
        <v>155.49</v>
      </c>
      <c r="G1299" t="inlineStr"/>
      <c r="I1299" t="inlineStr">
        <is>
          <t>TN</t>
        </is>
      </c>
      <c r="J1299" t="inlineStr"/>
      <c r="K1299" t="inlineStr">
        <is>
          <t>20260814</t>
        </is>
      </c>
      <c r="L1299" t="inlineStr">
        <is>
          <t>99991231</t>
        </is>
      </c>
    </row>
    <row r="1300">
      <c r="A1300" t="inlineStr">
        <is>
          <t>900009292</t>
        </is>
      </c>
      <c r="B1300" t="inlineStr">
        <is>
          <t>DW70</t>
        </is>
      </c>
      <c r="C1300" t="inlineStr">
        <is>
          <t>D084</t>
        </is>
      </c>
      <c r="D1300" t="inlineStr">
        <is>
          <t>10058345</t>
        </is>
      </c>
      <c r="E1300" t="inlineStr"/>
      <c r="F1300" s="11" t="n">
        <v>95.23999999999999</v>
      </c>
      <c r="G1300" t="inlineStr"/>
      <c r="I1300" t="inlineStr">
        <is>
          <t>TN</t>
        </is>
      </c>
      <c r="J1300" t="inlineStr"/>
      <c r="K1300" t="inlineStr">
        <is>
          <t>20260814</t>
        </is>
      </c>
      <c r="L1300" t="inlineStr">
        <is>
          <t>99991231</t>
        </is>
      </c>
    </row>
    <row r="1301">
      <c r="A1301" t="inlineStr">
        <is>
          <t>900009292</t>
        </is>
      </c>
      <c r="B1301" t="inlineStr">
        <is>
          <t>DW70</t>
        </is>
      </c>
      <c r="C1301" t="inlineStr">
        <is>
          <t>D084</t>
        </is>
      </c>
      <c r="D1301" t="inlineStr">
        <is>
          <t>10269245</t>
        </is>
      </c>
      <c r="E1301" t="inlineStr"/>
      <c r="F1301" s="11" t="n">
        <v>141.61</v>
      </c>
      <c r="G1301" t="inlineStr"/>
      <c r="I1301" t="inlineStr">
        <is>
          <t>TN</t>
        </is>
      </c>
      <c r="J1301" t="inlineStr"/>
      <c r="K1301" t="inlineStr">
        <is>
          <t>20250701</t>
        </is>
      </c>
      <c r="L1301" t="inlineStr">
        <is>
          <t>20251031</t>
        </is>
      </c>
    </row>
    <row r="1302">
      <c r="A1302" t="inlineStr">
        <is>
          <t>900009292</t>
        </is>
      </c>
      <c r="B1302" t="inlineStr">
        <is>
          <t>DW70</t>
        </is>
      </c>
      <c r="C1302" t="inlineStr">
        <is>
          <t>D084</t>
        </is>
      </c>
      <c r="D1302" t="inlineStr">
        <is>
          <t>10269246</t>
        </is>
      </c>
      <c r="E1302" t="inlineStr"/>
      <c r="F1302" s="11" t="n">
        <v>138.27</v>
      </c>
      <c r="G1302" t="inlineStr"/>
      <c r="I1302" t="inlineStr">
        <is>
          <t>TN</t>
        </is>
      </c>
      <c r="J1302" t="inlineStr"/>
      <c r="K1302" t="inlineStr">
        <is>
          <t>20250701</t>
        </is>
      </c>
      <c r="L1302" t="inlineStr">
        <is>
          <t>20251031</t>
        </is>
      </c>
    </row>
    <row r="1303">
      <c r="A1303" t="inlineStr">
        <is>
          <t>900009292</t>
        </is>
      </c>
      <c r="B1303" t="inlineStr">
        <is>
          <t>DW70</t>
        </is>
      </c>
      <c r="C1303" t="inlineStr">
        <is>
          <t>D084</t>
        </is>
      </c>
      <c r="D1303" t="inlineStr">
        <is>
          <t>10269247</t>
        </is>
      </c>
      <c r="E1303" t="inlineStr"/>
      <c r="F1303" s="11" t="n">
        <v>96.54000000000001</v>
      </c>
      <c r="G1303" t="inlineStr"/>
      <c r="I1303" t="inlineStr">
        <is>
          <t>TN</t>
        </is>
      </c>
      <c r="J1303" t="inlineStr"/>
      <c r="K1303" t="inlineStr">
        <is>
          <t>20250701</t>
        </is>
      </c>
      <c r="L1303" t="inlineStr">
        <is>
          <t>20251031</t>
        </is>
      </c>
    </row>
    <row r="1304">
      <c r="A1304" t="inlineStr">
        <is>
          <t>900009292</t>
        </is>
      </c>
      <c r="B1304" t="inlineStr">
        <is>
          <t>DW70</t>
        </is>
      </c>
      <c r="C1304" t="inlineStr">
        <is>
          <t>D085</t>
        </is>
      </c>
      <c r="D1304" t="inlineStr">
        <is>
          <t>10000630</t>
        </is>
      </c>
      <c r="E1304" t="inlineStr"/>
      <c r="F1304" s="11" t="n">
        <v>138.27</v>
      </c>
      <c r="G1304" t="inlineStr"/>
      <c r="I1304" t="inlineStr">
        <is>
          <t>TN</t>
        </is>
      </c>
      <c r="J1304" t="inlineStr"/>
      <c r="K1304" t="inlineStr">
        <is>
          <t>20250701</t>
        </is>
      </c>
      <c r="L1304" t="inlineStr">
        <is>
          <t>20251031</t>
        </is>
      </c>
    </row>
    <row r="1305">
      <c r="A1305" t="inlineStr">
        <is>
          <t>900009292</t>
        </is>
      </c>
      <c r="B1305" t="inlineStr">
        <is>
          <t>DW70</t>
        </is>
      </c>
      <c r="C1305" t="inlineStr">
        <is>
          <t>D085</t>
        </is>
      </c>
      <c r="D1305" t="inlineStr">
        <is>
          <t>10000811</t>
        </is>
      </c>
      <c r="E1305" t="inlineStr"/>
      <c r="F1305" s="11" t="n">
        <v>155.49</v>
      </c>
      <c r="G1305" t="inlineStr"/>
      <c r="I1305" t="inlineStr">
        <is>
          <t>TN</t>
        </is>
      </c>
      <c r="J1305" t="inlineStr"/>
      <c r="K1305" t="inlineStr">
        <is>
          <t>20260814</t>
        </is>
      </c>
      <c r="L1305" t="inlineStr">
        <is>
          <t>99991231</t>
        </is>
      </c>
    </row>
    <row r="1306">
      <c r="A1306" t="inlineStr">
        <is>
          <t>900009292</t>
        </is>
      </c>
      <c r="B1306" t="inlineStr">
        <is>
          <t>DW70</t>
        </is>
      </c>
      <c r="C1306" t="inlineStr">
        <is>
          <t>D085</t>
        </is>
      </c>
      <c r="D1306" t="inlineStr">
        <is>
          <t>10058345</t>
        </is>
      </c>
      <c r="E1306" t="inlineStr"/>
      <c r="F1306" s="11" t="n">
        <v>95.23999999999999</v>
      </c>
      <c r="G1306" t="inlineStr"/>
      <c r="I1306" t="inlineStr">
        <is>
          <t>TN</t>
        </is>
      </c>
      <c r="J1306" t="inlineStr"/>
      <c r="K1306" t="inlineStr">
        <is>
          <t>20260814</t>
        </is>
      </c>
      <c r="L1306" t="inlineStr">
        <is>
          <t>99991231</t>
        </is>
      </c>
    </row>
    <row r="1307">
      <c r="A1307" t="inlineStr">
        <is>
          <t>900009292</t>
        </is>
      </c>
      <c r="B1307" t="inlineStr">
        <is>
          <t>DW70</t>
        </is>
      </c>
      <c r="C1307" t="inlineStr">
        <is>
          <t>D085</t>
        </is>
      </c>
      <c r="D1307" t="inlineStr">
        <is>
          <t>10269245</t>
        </is>
      </c>
      <c r="E1307" t="inlineStr"/>
      <c r="F1307" s="11" t="n">
        <v>141.61</v>
      </c>
      <c r="G1307" t="inlineStr"/>
      <c r="I1307" t="inlineStr">
        <is>
          <t>TN</t>
        </is>
      </c>
      <c r="J1307" t="inlineStr"/>
      <c r="K1307" t="inlineStr">
        <is>
          <t>20250701</t>
        </is>
      </c>
      <c r="L1307" t="inlineStr">
        <is>
          <t>20251031</t>
        </is>
      </c>
    </row>
    <row r="1308">
      <c r="A1308" t="inlineStr">
        <is>
          <t>900009292</t>
        </is>
      </c>
      <c r="B1308" t="inlineStr">
        <is>
          <t>DW70</t>
        </is>
      </c>
      <c r="C1308" t="inlineStr">
        <is>
          <t>D085</t>
        </is>
      </c>
      <c r="D1308" t="inlineStr">
        <is>
          <t>10269246</t>
        </is>
      </c>
      <c r="E1308" t="inlineStr"/>
      <c r="F1308" s="11" t="n">
        <v>138.27</v>
      </c>
      <c r="G1308" t="inlineStr"/>
      <c r="I1308" t="inlineStr">
        <is>
          <t>TN</t>
        </is>
      </c>
      <c r="J1308" t="inlineStr"/>
      <c r="K1308" t="inlineStr">
        <is>
          <t>20250701</t>
        </is>
      </c>
      <c r="L1308" t="inlineStr">
        <is>
          <t>20251031</t>
        </is>
      </c>
    </row>
    <row r="1309">
      <c r="A1309" t="inlineStr">
        <is>
          <t>900009292</t>
        </is>
      </c>
      <c r="B1309" t="inlineStr">
        <is>
          <t>DW70</t>
        </is>
      </c>
      <c r="C1309" t="inlineStr">
        <is>
          <t>D085</t>
        </is>
      </c>
      <c r="D1309" t="inlineStr">
        <is>
          <t>10269247</t>
        </is>
      </c>
      <c r="E1309" t="inlineStr"/>
      <c r="F1309" s="11" t="n">
        <v>96.54000000000001</v>
      </c>
      <c r="G1309" t="inlineStr"/>
      <c r="I1309" t="inlineStr">
        <is>
          <t>TN</t>
        </is>
      </c>
      <c r="J1309" t="inlineStr"/>
      <c r="K1309" t="inlineStr">
        <is>
          <t>20250701</t>
        </is>
      </c>
      <c r="L1309" t="inlineStr">
        <is>
          <t>20251031</t>
        </is>
      </c>
    </row>
    <row r="1310">
      <c r="A1310" t="inlineStr">
        <is>
          <t>900009292</t>
        </is>
      </c>
      <c r="B1310" t="inlineStr">
        <is>
          <t>DW70</t>
        </is>
      </c>
      <c r="C1310" t="inlineStr">
        <is>
          <t>D086</t>
        </is>
      </c>
      <c r="D1310" t="inlineStr">
        <is>
          <t>10000630</t>
        </is>
      </c>
      <c r="E1310" t="inlineStr"/>
      <c r="F1310" s="11" t="n">
        <v>138.27</v>
      </c>
      <c r="G1310" t="inlineStr"/>
      <c r="I1310" t="inlineStr">
        <is>
          <t>TN</t>
        </is>
      </c>
      <c r="J1310" t="inlineStr"/>
      <c r="K1310" t="inlineStr">
        <is>
          <t>20250701</t>
        </is>
      </c>
      <c r="L1310" t="inlineStr">
        <is>
          <t>20251031</t>
        </is>
      </c>
    </row>
    <row r="1311">
      <c r="A1311" t="inlineStr">
        <is>
          <t>900009292</t>
        </is>
      </c>
      <c r="B1311" t="inlineStr">
        <is>
          <t>DW70</t>
        </is>
      </c>
      <c r="C1311" t="inlineStr">
        <is>
          <t>D086</t>
        </is>
      </c>
      <c r="D1311" t="inlineStr">
        <is>
          <t>10000811</t>
        </is>
      </c>
      <c r="E1311" t="inlineStr"/>
      <c r="F1311" s="11" t="n">
        <v>155.49</v>
      </c>
      <c r="G1311" t="inlineStr"/>
      <c r="I1311" t="inlineStr">
        <is>
          <t>TN</t>
        </is>
      </c>
      <c r="J1311" t="inlineStr"/>
      <c r="K1311" t="inlineStr">
        <is>
          <t>20260814</t>
        </is>
      </c>
      <c r="L1311" t="inlineStr">
        <is>
          <t>99991231</t>
        </is>
      </c>
    </row>
    <row r="1312">
      <c r="A1312" t="inlineStr">
        <is>
          <t>900009292</t>
        </is>
      </c>
      <c r="B1312" t="inlineStr">
        <is>
          <t>DW70</t>
        </is>
      </c>
      <c r="C1312" t="inlineStr">
        <is>
          <t>D086</t>
        </is>
      </c>
      <c r="D1312" t="inlineStr">
        <is>
          <t>10058345</t>
        </is>
      </c>
      <c r="E1312" t="inlineStr"/>
      <c r="F1312" s="11" t="n">
        <v>95.23999999999999</v>
      </c>
      <c r="G1312" t="inlineStr"/>
      <c r="I1312" t="inlineStr">
        <is>
          <t>TN</t>
        </is>
      </c>
      <c r="J1312" t="inlineStr"/>
      <c r="K1312" t="inlineStr">
        <is>
          <t>20260814</t>
        </is>
      </c>
      <c r="L1312" t="inlineStr">
        <is>
          <t>99991231</t>
        </is>
      </c>
    </row>
    <row r="1313">
      <c r="A1313" t="inlineStr">
        <is>
          <t>900009292</t>
        </is>
      </c>
      <c r="B1313" t="inlineStr">
        <is>
          <t>DW70</t>
        </is>
      </c>
      <c r="C1313" t="inlineStr">
        <is>
          <t>D086</t>
        </is>
      </c>
      <c r="D1313" t="inlineStr">
        <is>
          <t>10269245</t>
        </is>
      </c>
      <c r="E1313" t="inlineStr"/>
      <c r="F1313" s="11" t="n">
        <v>141.61</v>
      </c>
      <c r="G1313" t="inlineStr"/>
      <c r="I1313" t="inlineStr">
        <is>
          <t>TN</t>
        </is>
      </c>
      <c r="J1313" t="inlineStr"/>
      <c r="K1313" t="inlineStr">
        <is>
          <t>20250701</t>
        </is>
      </c>
      <c r="L1313" t="inlineStr">
        <is>
          <t>20251031</t>
        </is>
      </c>
    </row>
    <row r="1314">
      <c r="A1314" t="inlineStr">
        <is>
          <t>900009292</t>
        </is>
      </c>
      <c r="B1314" t="inlineStr">
        <is>
          <t>DW70</t>
        </is>
      </c>
      <c r="C1314" t="inlineStr">
        <is>
          <t>D086</t>
        </is>
      </c>
      <c r="D1314" t="inlineStr">
        <is>
          <t>10269246</t>
        </is>
      </c>
      <c r="E1314" t="inlineStr"/>
      <c r="F1314" s="11" t="n">
        <v>138.27</v>
      </c>
      <c r="G1314" t="inlineStr"/>
      <c r="I1314" t="inlineStr">
        <is>
          <t>TN</t>
        </is>
      </c>
      <c r="J1314" t="inlineStr"/>
      <c r="K1314" t="inlineStr">
        <is>
          <t>20250701</t>
        </is>
      </c>
      <c r="L1314" t="inlineStr">
        <is>
          <t>20251031</t>
        </is>
      </c>
    </row>
    <row r="1315">
      <c r="A1315" t="inlineStr">
        <is>
          <t>900009292</t>
        </is>
      </c>
      <c r="B1315" t="inlineStr">
        <is>
          <t>DW70</t>
        </is>
      </c>
      <c r="C1315" t="inlineStr">
        <is>
          <t>D086</t>
        </is>
      </c>
      <c r="D1315" t="inlineStr">
        <is>
          <t>10269247</t>
        </is>
      </c>
      <c r="E1315" t="inlineStr"/>
      <c r="F1315" s="11" t="n">
        <v>96.54000000000001</v>
      </c>
      <c r="G1315" t="inlineStr"/>
      <c r="I1315" t="inlineStr">
        <is>
          <t>TN</t>
        </is>
      </c>
      <c r="J1315" t="inlineStr"/>
      <c r="K1315" t="inlineStr">
        <is>
          <t>20250701</t>
        </is>
      </c>
      <c r="L1315" t="inlineStr">
        <is>
          <t>20251031</t>
        </is>
      </c>
    </row>
    <row r="1316">
      <c r="A1316" t="inlineStr">
        <is>
          <t>900009292</t>
        </is>
      </c>
      <c r="B1316" t="inlineStr">
        <is>
          <t>DW70</t>
        </is>
      </c>
      <c r="C1316" t="inlineStr">
        <is>
          <t>D093</t>
        </is>
      </c>
      <c r="D1316" t="inlineStr">
        <is>
          <t>10000630</t>
        </is>
      </c>
      <c r="E1316" t="inlineStr"/>
      <c r="F1316" s="11" t="n">
        <v>138.27</v>
      </c>
      <c r="G1316" t="inlineStr"/>
      <c r="I1316" t="inlineStr">
        <is>
          <t>TN</t>
        </is>
      </c>
      <c r="J1316" t="inlineStr"/>
      <c r="K1316" t="inlineStr">
        <is>
          <t>20250701</t>
        </is>
      </c>
      <c r="L1316" t="inlineStr">
        <is>
          <t>20251031</t>
        </is>
      </c>
    </row>
    <row r="1317">
      <c r="A1317" t="inlineStr">
        <is>
          <t>900009292</t>
        </is>
      </c>
      <c r="B1317" t="inlineStr">
        <is>
          <t>DW70</t>
        </is>
      </c>
      <c r="C1317" t="inlineStr">
        <is>
          <t>D093</t>
        </is>
      </c>
      <c r="D1317" t="inlineStr">
        <is>
          <t>10000811</t>
        </is>
      </c>
      <c r="E1317" t="inlineStr"/>
      <c r="F1317" s="11" t="n">
        <v>155.49</v>
      </c>
      <c r="G1317" t="inlineStr"/>
      <c r="I1317" t="inlineStr">
        <is>
          <t>TN</t>
        </is>
      </c>
      <c r="J1317" t="inlineStr"/>
      <c r="K1317" t="inlineStr">
        <is>
          <t>20260814</t>
        </is>
      </c>
      <c r="L1317" t="inlineStr">
        <is>
          <t>99991231</t>
        </is>
      </c>
    </row>
    <row r="1318">
      <c r="A1318" t="inlineStr">
        <is>
          <t>900009292</t>
        </is>
      </c>
      <c r="B1318" t="inlineStr">
        <is>
          <t>DW70</t>
        </is>
      </c>
      <c r="C1318" t="inlineStr">
        <is>
          <t>D093</t>
        </is>
      </c>
      <c r="D1318" t="inlineStr">
        <is>
          <t>10058345</t>
        </is>
      </c>
      <c r="E1318" t="inlineStr"/>
      <c r="F1318" s="11" t="n">
        <v>95.23999999999999</v>
      </c>
      <c r="G1318" t="inlineStr"/>
      <c r="I1318" t="inlineStr">
        <is>
          <t>TN</t>
        </is>
      </c>
      <c r="J1318" t="inlineStr"/>
      <c r="K1318" t="inlineStr">
        <is>
          <t>20260814</t>
        </is>
      </c>
      <c r="L1318" t="inlineStr">
        <is>
          <t>99991231</t>
        </is>
      </c>
    </row>
    <row r="1319">
      <c r="A1319" t="inlineStr">
        <is>
          <t>900009292</t>
        </is>
      </c>
      <c r="B1319" t="inlineStr">
        <is>
          <t>DW70</t>
        </is>
      </c>
      <c r="C1319" t="inlineStr">
        <is>
          <t>D093</t>
        </is>
      </c>
      <c r="D1319" t="inlineStr">
        <is>
          <t>10269245</t>
        </is>
      </c>
      <c r="E1319" t="inlineStr"/>
      <c r="F1319" s="11" t="n">
        <v>141.61</v>
      </c>
      <c r="G1319" t="inlineStr"/>
      <c r="I1319" t="inlineStr">
        <is>
          <t>TN</t>
        </is>
      </c>
      <c r="J1319" t="inlineStr"/>
      <c r="K1319" t="inlineStr">
        <is>
          <t>20250701</t>
        </is>
      </c>
      <c r="L1319" t="inlineStr">
        <is>
          <t>20251031</t>
        </is>
      </c>
    </row>
    <row r="1320">
      <c r="A1320" t="inlineStr">
        <is>
          <t>900009292</t>
        </is>
      </c>
      <c r="B1320" t="inlineStr">
        <is>
          <t>DW70</t>
        </is>
      </c>
      <c r="C1320" t="inlineStr">
        <is>
          <t>D093</t>
        </is>
      </c>
      <c r="D1320" t="inlineStr">
        <is>
          <t>10269246</t>
        </is>
      </c>
      <c r="E1320" t="inlineStr"/>
      <c r="F1320" s="11" t="n">
        <v>138.27</v>
      </c>
      <c r="G1320" t="inlineStr"/>
      <c r="I1320" t="inlineStr">
        <is>
          <t>TN</t>
        </is>
      </c>
      <c r="J1320" t="inlineStr"/>
      <c r="K1320" t="inlineStr">
        <is>
          <t>20250701</t>
        </is>
      </c>
      <c r="L1320" t="inlineStr">
        <is>
          <t>20251031</t>
        </is>
      </c>
    </row>
    <row r="1321">
      <c r="A1321" t="inlineStr">
        <is>
          <t>900009292</t>
        </is>
      </c>
      <c r="B1321" t="inlineStr">
        <is>
          <t>DW70</t>
        </is>
      </c>
      <c r="C1321" t="inlineStr">
        <is>
          <t>D093</t>
        </is>
      </c>
      <c r="D1321" t="inlineStr">
        <is>
          <t>10269247</t>
        </is>
      </c>
      <c r="E1321" t="inlineStr"/>
      <c r="F1321" s="11" t="n">
        <v>96.54000000000001</v>
      </c>
      <c r="G1321" t="inlineStr"/>
      <c r="I1321" t="inlineStr">
        <is>
          <t>TN</t>
        </is>
      </c>
      <c r="J1321" t="inlineStr"/>
      <c r="K1321" t="inlineStr">
        <is>
          <t>20250701</t>
        </is>
      </c>
      <c r="L1321" t="inlineStr">
        <is>
          <t>20251031</t>
        </is>
      </c>
    </row>
    <row r="1322">
      <c r="A1322" t="inlineStr">
        <is>
          <t>900009292</t>
        </is>
      </c>
      <c r="B1322" t="inlineStr">
        <is>
          <t>DW70</t>
        </is>
      </c>
      <c r="C1322" t="inlineStr">
        <is>
          <t>D098</t>
        </is>
      </c>
      <c r="D1322" t="inlineStr">
        <is>
          <t>10000630</t>
        </is>
      </c>
      <c r="E1322" t="inlineStr"/>
      <c r="F1322" s="11" t="n">
        <v>138.27</v>
      </c>
      <c r="G1322" t="inlineStr"/>
      <c r="I1322" t="inlineStr">
        <is>
          <t>TN</t>
        </is>
      </c>
      <c r="J1322" t="inlineStr"/>
      <c r="K1322" t="inlineStr">
        <is>
          <t>20250701</t>
        </is>
      </c>
      <c r="L1322" t="inlineStr">
        <is>
          <t>20251031</t>
        </is>
      </c>
    </row>
    <row r="1323">
      <c r="A1323" t="inlineStr">
        <is>
          <t>900009292</t>
        </is>
      </c>
      <c r="B1323" t="inlineStr">
        <is>
          <t>DW70</t>
        </is>
      </c>
      <c r="C1323" t="inlineStr">
        <is>
          <t>D098</t>
        </is>
      </c>
      <c r="D1323" t="inlineStr">
        <is>
          <t>10000811</t>
        </is>
      </c>
      <c r="E1323" t="inlineStr"/>
      <c r="F1323" s="11" t="n">
        <v>155.49</v>
      </c>
      <c r="G1323" t="inlineStr"/>
      <c r="I1323" t="inlineStr">
        <is>
          <t>TN</t>
        </is>
      </c>
      <c r="J1323" t="inlineStr"/>
      <c r="K1323" t="inlineStr">
        <is>
          <t>20260814</t>
        </is>
      </c>
      <c r="L1323" t="inlineStr">
        <is>
          <t>99991231</t>
        </is>
      </c>
    </row>
    <row r="1324">
      <c r="A1324" t="inlineStr">
        <is>
          <t>900009292</t>
        </is>
      </c>
      <c r="B1324" t="inlineStr">
        <is>
          <t>DW70</t>
        </is>
      </c>
      <c r="C1324" t="inlineStr">
        <is>
          <t>D098</t>
        </is>
      </c>
      <c r="D1324" t="inlineStr">
        <is>
          <t>10058345</t>
        </is>
      </c>
      <c r="E1324" t="inlineStr"/>
      <c r="F1324" s="11" t="n">
        <v>95.23999999999999</v>
      </c>
      <c r="G1324" t="inlineStr"/>
      <c r="I1324" t="inlineStr">
        <is>
          <t>TN</t>
        </is>
      </c>
      <c r="J1324" t="inlineStr"/>
      <c r="K1324" t="inlineStr">
        <is>
          <t>20260814</t>
        </is>
      </c>
      <c r="L1324" t="inlineStr">
        <is>
          <t>99991231</t>
        </is>
      </c>
    </row>
    <row r="1325">
      <c r="A1325" t="inlineStr">
        <is>
          <t>900009292</t>
        </is>
      </c>
      <c r="B1325" t="inlineStr">
        <is>
          <t>DW70</t>
        </is>
      </c>
      <c r="C1325" t="inlineStr">
        <is>
          <t>D098</t>
        </is>
      </c>
      <c r="D1325" t="inlineStr">
        <is>
          <t>10269245</t>
        </is>
      </c>
      <c r="E1325" t="inlineStr"/>
      <c r="F1325" s="11" t="n">
        <v>141.61</v>
      </c>
      <c r="G1325" t="inlineStr"/>
      <c r="I1325" t="inlineStr">
        <is>
          <t>TN</t>
        </is>
      </c>
      <c r="J1325" t="inlineStr"/>
      <c r="K1325" t="inlineStr">
        <is>
          <t>20250701</t>
        </is>
      </c>
      <c r="L1325" t="inlineStr">
        <is>
          <t>20251031</t>
        </is>
      </c>
    </row>
    <row r="1326">
      <c r="A1326" t="inlineStr">
        <is>
          <t>900009292</t>
        </is>
      </c>
      <c r="B1326" t="inlineStr">
        <is>
          <t>DW70</t>
        </is>
      </c>
      <c r="C1326" t="inlineStr">
        <is>
          <t>D098</t>
        </is>
      </c>
      <c r="D1326" t="inlineStr">
        <is>
          <t>10269246</t>
        </is>
      </c>
      <c r="E1326" t="inlineStr"/>
      <c r="F1326" s="11" t="n">
        <v>138.27</v>
      </c>
      <c r="G1326" t="inlineStr"/>
      <c r="I1326" t="inlineStr">
        <is>
          <t>TN</t>
        </is>
      </c>
      <c r="J1326" t="inlineStr"/>
      <c r="K1326" t="inlineStr">
        <is>
          <t>20250701</t>
        </is>
      </c>
      <c r="L1326" t="inlineStr">
        <is>
          <t>20251031</t>
        </is>
      </c>
    </row>
    <row r="1327">
      <c r="A1327" t="inlineStr">
        <is>
          <t>900009292</t>
        </is>
      </c>
      <c r="B1327" t="inlineStr">
        <is>
          <t>DW70</t>
        </is>
      </c>
      <c r="C1327" t="inlineStr">
        <is>
          <t>D098</t>
        </is>
      </c>
      <c r="D1327" t="inlineStr">
        <is>
          <t>10269247</t>
        </is>
      </c>
      <c r="E1327" t="inlineStr"/>
      <c r="F1327" s="11" t="n">
        <v>96.54000000000001</v>
      </c>
      <c r="G1327" t="inlineStr"/>
      <c r="I1327" t="inlineStr">
        <is>
          <t>TN</t>
        </is>
      </c>
      <c r="J1327" t="inlineStr"/>
      <c r="K1327" t="inlineStr">
        <is>
          <t>20250701</t>
        </is>
      </c>
      <c r="L1327" t="inlineStr">
        <is>
          <t>20251031</t>
        </is>
      </c>
    </row>
    <row r="1328">
      <c r="A1328" t="inlineStr">
        <is>
          <t>900009292</t>
        </is>
      </c>
      <c r="B1328" t="inlineStr">
        <is>
          <t>DW70</t>
        </is>
      </c>
      <c r="C1328" t="inlineStr">
        <is>
          <t>D105</t>
        </is>
      </c>
      <c r="D1328" t="inlineStr">
        <is>
          <t>10000630</t>
        </is>
      </c>
      <c r="E1328" t="inlineStr"/>
      <c r="F1328" s="11" t="n">
        <v>138.27</v>
      </c>
      <c r="G1328" t="inlineStr"/>
      <c r="I1328" t="inlineStr">
        <is>
          <t>TN</t>
        </is>
      </c>
      <c r="J1328" t="inlineStr"/>
      <c r="K1328" t="inlineStr">
        <is>
          <t>20250701</t>
        </is>
      </c>
      <c r="L1328" t="inlineStr">
        <is>
          <t>20251031</t>
        </is>
      </c>
    </row>
    <row r="1329">
      <c r="A1329" t="inlineStr">
        <is>
          <t>900009292</t>
        </is>
      </c>
      <c r="B1329" t="inlineStr">
        <is>
          <t>DW70</t>
        </is>
      </c>
      <c r="C1329" t="inlineStr">
        <is>
          <t>D105</t>
        </is>
      </c>
      <c r="D1329" t="inlineStr">
        <is>
          <t>10000811</t>
        </is>
      </c>
      <c r="E1329" t="inlineStr"/>
      <c r="F1329" s="11" t="n">
        <v>155.49</v>
      </c>
      <c r="G1329" t="inlineStr"/>
      <c r="I1329" t="inlineStr">
        <is>
          <t>TN</t>
        </is>
      </c>
      <c r="J1329" t="inlineStr"/>
      <c r="K1329" t="inlineStr">
        <is>
          <t>20260814</t>
        </is>
      </c>
      <c r="L1329" t="inlineStr">
        <is>
          <t>99991231</t>
        </is>
      </c>
    </row>
    <row r="1330">
      <c r="A1330" t="inlineStr">
        <is>
          <t>900009292</t>
        </is>
      </c>
      <c r="B1330" t="inlineStr">
        <is>
          <t>DW70</t>
        </is>
      </c>
      <c r="C1330" t="inlineStr">
        <is>
          <t>D105</t>
        </is>
      </c>
      <c r="D1330" t="inlineStr">
        <is>
          <t>10058345</t>
        </is>
      </c>
      <c r="E1330" t="inlineStr"/>
      <c r="F1330" s="11" t="n">
        <v>95.23999999999999</v>
      </c>
      <c r="G1330" t="inlineStr"/>
      <c r="I1330" t="inlineStr">
        <is>
          <t>TN</t>
        </is>
      </c>
      <c r="J1330" t="inlineStr"/>
      <c r="K1330" t="inlineStr">
        <is>
          <t>20260814</t>
        </is>
      </c>
      <c r="L1330" t="inlineStr">
        <is>
          <t>99991231</t>
        </is>
      </c>
    </row>
    <row r="1331">
      <c r="A1331" t="inlineStr">
        <is>
          <t>900009292</t>
        </is>
      </c>
      <c r="B1331" t="inlineStr">
        <is>
          <t>DW70</t>
        </is>
      </c>
      <c r="C1331" t="inlineStr">
        <is>
          <t>D105</t>
        </is>
      </c>
      <c r="D1331" t="inlineStr">
        <is>
          <t>10269245</t>
        </is>
      </c>
      <c r="E1331" t="inlineStr"/>
      <c r="F1331" s="11" t="n">
        <v>141.61</v>
      </c>
      <c r="G1331" t="inlineStr"/>
      <c r="I1331" t="inlineStr">
        <is>
          <t>TN</t>
        </is>
      </c>
      <c r="J1331" t="inlineStr"/>
      <c r="K1331" t="inlineStr">
        <is>
          <t>20250701</t>
        </is>
      </c>
      <c r="L1331" t="inlineStr">
        <is>
          <t>20251031</t>
        </is>
      </c>
    </row>
    <row r="1332">
      <c r="A1332" t="inlineStr">
        <is>
          <t>900009292</t>
        </is>
      </c>
      <c r="B1332" t="inlineStr">
        <is>
          <t>DW70</t>
        </is>
      </c>
      <c r="C1332" t="inlineStr">
        <is>
          <t>D105</t>
        </is>
      </c>
      <c r="D1332" t="inlineStr">
        <is>
          <t>10269246</t>
        </is>
      </c>
      <c r="E1332" t="inlineStr"/>
      <c r="F1332" s="11" t="n">
        <v>138.27</v>
      </c>
      <c r="G1332" t="inlineStr"/>
      <c r="I1332" t="inlineStr">
        <is>
          <t>TN</t>
        </is>
      </c>
      <c r="J1332" t="inlineStr"/>
      <c r="K1332" t="inlineStr">
        <is>
          <t>20250701</t>
        </is>
      </c>
      <c r="L1332" t="inlineStr">
        <is>
          <t>20251031</t>
        </is>
      </c>
    </row>
    <row r="1333">
      <c r="A1333" t="inlineStr">
        <is>
          <t>900009292</t>
        </is>
      </c>
      <c r="B1333" t="inlineStr">
        <is>
          <t>DW70</t>
        </is>
      </c>
      <c r="C1333" t="inlineStr">
        <is>
          <t>D105</t>
        </is>
      </c>
      <c r="D1333" t="inlineStr">
        <is>
          <t>10269247</t>
        </is>
      </c>
      <c r="E1333" t="inlineStr"/>
      <c r="F1333" s="11" t="n">
        <v>96.54000000000001</v>
      </c>
      <c r="G1333" t="inlineStr"/>
      <c r="I1333" t="inlineStr">
        <is>
          <t>TN</t>
        </is>
      </c>
      <c r="J1333" t="inlineStr"/>
      <c r="K1333" t="inlineStr">
        <is>
          <t>20250701</t>
        </is>
      </c>
      <c r="L1333" t="inlineStr">
        <is>
          <t>20251031</t>
        </is>
      </c>
    </row>
    <row r="1334">
      <c r="A1334" t="inlineStr">
        <is>
          <t>900009292</t>
        </is>
      </c>
      <c r="B1334" t="inlineStr">
        <is>
          <t>DW70</t>
        </is>
      </c>
      <c r="C1334" t="inlineStr">
        <is>
          <t>D136</t>
        </is>
      </c>
      <c r="D1334" t="inlineStr">
        <is>
          <t>10000630</t>
        </is>
      </c>
      <c r="E1334" t="inlineStr"/>
      <c r="F1334" s="11" t="n">
        <v>138.27</v>
      </c>
      <c r="G1334" t="inlineStr"/>
      <c r="I1334" t="inlineStr">
        <is>
          <t>TN</t>
        </is>
      </c>
      <c r="J1334" t="inlineStr"/>
      <c r="K1334" t="inlineStr">
        <is>
          <t>20250701</t>
        </is>
      </c>
      <c r="L1334" t="inlineStr">
        <is>
          <t>20251031</t>
        </is>
      </c>
    </row>
    <row r="1335">
      <c r="A1335" t="inlineStr">
        <is>
          <t>900009292</t>
        </is>
      </c>
      <c r="B1335" t="inlineStr">
        <is>
          <t>DW70</t>
        </is>
      </c>
      <c r="C1335" t="inlineStr">
        <is>
          <t>D136</t>
        </is>
      </c>
      <c r="D1335" t="inlineStr">
        <is>
          <t>10000811</t>
        </is>
      </c>
      <c r="E1335" t="inlineStr"/>
      <c r="F1335" s="11" t="n">
        <v>155.49</v>
      </c>
      <c r="G1335" t="inlineStr"/>
      <c r="I1335" t="inlineStr">
        <is>
          <t>TN</t>
        </is>
      </c>
      <c r="J1335" t="inlineStr"/>
      <c r="K1335" t="inlineStr">
        <is>
          <t>20260814</t>
        </is>
      </c>
      <c r="L1335" t="inlineStr">
        <is>
          <t>99991231</t>
        </is>
      </c>
    </row>
    <row r="1336">
      <c r="A1336" t="inlineStr">
        <is>
          <t>900009292</t>
        </is>
      </c>
      <c r="B1336" t="inlineStr">
        <is>
          <t>DW70</t>
        </is>
      </c>
      <c r="C1336" t="inlineStr">
        <is>
          <t>D136</t>
        </is>
      </c>
      <c r="D1336" t="inlineStr">
        <is>
          <t>10058345</t>
        </is>
      </c>
      <c r="E1336" t="inlineStr"/>
      <c r="F1336" s="11" t="n">
        <v>95.23999999999999</v>
      </c>
      <c r="G1336" t="inlineStr"/>
      <c r="I1336" t="inlineStr">
        <is>
          <t>TN</t>
        </is>
      </c>
      <c r="J1336" t="inlineStr"/>
      <c r="K1336" t="inlineStr">
        <is>
          <t>20260814</t>
        </is>
      </c>
      <c r="L1336" t="inlineStr">
        <is>
          <t>99991231</t>
        </is>
      </c>
    </row>
    <row r="1337">
      <c r="A1337" t="inlineStr">
        <is>
          <t>900009292</t>
        </is>
      </c>
      <c r="B1337" t="inlineStr">
        <is>
          <t>DW70</t>
        </is>
      </c>
      <c r="C1337" t="inlineStr">
        <is>
          <t>D136</t>
        </is>
      </c>
      <c r="D1337" t="inlineStr">
        <is>
          <t>10269245</t>
        </is>
      </c>
      <c r="E1337" t="inlineStr"/>
      <c r="F1337" s="11" t="n">
        <v>141.61</v>
      </c>
      <c r="G1337" t="inlineStr"/>
      <c r="I1337" t="inlineStr">
        <is>
          <t>TN</t>
        </is>
      </c>
      <c r="J1337" t="inlineStr"/>
      <c r="K1337" t="inlineStr">
        <is>
          <t>20250701</t>
        </is>
      </c>
      <c r="L1337" t="inlineStr">
        <is>
          <t>20251031</t>
        </is>
      </c>
    </row>
    <row r="1338">
      <c r="A1338" t="inlineStr">
        <is>
          <t>900009292</t>
        </is>
      </c>
      <c r="B1338" t="inlineStr">
        <is>
          <t>DW70</t>
        </is>
      </c>
      <c r="C1338" t="inlineStr">
        <is>
          <t>D136</t>
        </is>
      </c>
      <c r="D1338" t="inlineStr">
        <is>
          <t>10269246</t>
        </is>
      </c>
      <c r="E1338" t="inlineStr"/>
      <c r="F1338" s="11" t="n">
        <v>138.27</v>
      </c>
      <c r="G1338" t="inlineStr"/>
      <c r="I1338" t="inlineStr">
        <is>
          <t>TN</t>
        </is>
      </c>
      <c r="J1338" t="inlineStr"/>
      <c r="K1338" t="inlineStr">
        <is>
          <t>20250701</t>
        </is>
      </c>
      <c r="L1338" t="inlineStr">
        <is>
          <t>20251031</t>
        </is>
      </c>
    </row>
    <row r="1339">
      <c r="A1339" t="inlineStr">
        <is>
          <t>900009292</t>
        </is>
      </c>
      <c r="B1339" t="inlineStr">
        <is>
          <t>DW70</t>
        </is>
      </c>
      <c r="C1339" t="inlineStr">
        <is>
          <t>D136</t>
        </is>
      </c>
      <c r="D1339" t="inlineStr">
        <is>
          <t>10269247</t>
        </is>
      </c>
      <c r="E1339" t="inlineStr"/>
      <c r="F1339" s="11" t="n">
        <v>96.54000000000001</v>
      </c>
      <c r="G1339" t="inlineStr"/>
      <c r="I1339" t="inlineStr">
        <is>
          <t>TN</t>
        </is>
      </c>
      <c r="J1339" t="inlineStr"/>
      <c r="K1339" t="inlineStr">
        <is>
          <t>20250701</t>
        </is>
      </c>
      <c r="L1339" t="inlineStr">
        <is>
          <t>20251031</t>
        </is>
      </c>
    </row>
    <row r="1340">
      <c r="A1340" t="inlineStr">
        <is>
          <t>900009292</t>
        </is>
      </c>
      <c r="B1340" t="inlineStr">
        <is>
          <t>DW70</t>
        </is>
      </c>
      <c r="C1340" t="inlineStr">
        <is>
          <t>D145</t>
        </is>
      </c>
      <c r="D1340" t="inlineStr">
        <is>
          <t>10000630</t>
        </is>
      </c>
      <c r="E1340" t="inlineStr"/>
      <c r="F1340" s="11" t="n">
        <v>138.27</v>
      </c>
      <c r="G1340" t="inlineStr"/>
      <c r="I1340" t="inlineStr">
        <is>
          <t>TN</t>
        </is>
      </c>
      <c r="J1340" t="inlineStr"/>
      <c r="K1340" t="inlineStr">
        <is>
          <t>20250701</t>
        </is>
      </c>
      <c r="L1340" t="inlineStr">
        <is>
          <t>20251031</t>
        </is>
      </c>
    </row>
    <row r="1341">
      <c r="A1341" t="inlineStr">
        <is>
          <t>900009292</t>
        </is>
      </c>
      <c r="B1341" t="inlineStr">
        <is>
          <t>DW70</t>
        </is>
      </c>
      <c r="C1341" t="inlineStr">
        <is>
          <t>D145</t>
        </is>
      </c>
      <c r="D1341" t="inlineStr">
        <is>
          <t>10000811</t>
        </is>
      </c>
      <c r="E1341" t="inlineStr"/>
      <c r="F1341" s="11" t="n">
        <v>155.49</v>
      </c>
      <c r="G1341" t="inlineStr"/>
      <c r="I1341" t="inlineStr">
        <is>
          <t>TN</t>
        </is>
      </c>
      <c r="J1341" t="inlineStr"/>
      <c r="K1341" t="inlineStr">
        <is>
          <t>20260814</t>
        </is>
      </c>
      <c r="L1341" t="inlineStr">
        <is>
          <t>99991231</t>
        </is>
      </c>
    </row>
    <row r="1342">
      <c r="A1342" t="inlineStr">
        <is>
          <t>900009292</t>
        </is>
      </c>
      <c r="B1342" t="inlineStr">
        <is>
          <t>DW70</t>
        </is>
      </c>
      <c r="C1342" t="inlineStr">
        <is>
          <t>D145</t>
        </is>
      </c>
      <c r="D1342" t="inlineStr">
        <is>
          <t>10058345</t>
        </is>
      </c>
      <c r="E1342" t="inlineStr"/>
      <c r="F1342" s="11" t="n">
        <v>95.23999999999999</v>
      </c>
      <c r="G1342" t="inlineStr"/>
      <c r="I1342" t="inlineStr">
        <is>
          <t>TN</t>
        </is>
      </c>
      <c r="J1342" t="inlineStr"/>
      <c r="K1342" t="inlineStr">
        <is>
          <t>20260814</t>
        </is>
      </c>
      <c r="L1342" t="inlineStr">
        <is>
          <t>99991231</t>
        </is>
      </c>
    </row>
    <row r="1343">
      <c r="A1343" t="inlineStr">
        <is>
          <t>900009292</t>
        </is>
      </c>
      <c r="B1343" t="inlineStr">
        <is>
          <t>DW70</t>
        </is>
      </c>
      <c r="C1343" t="inlineStr">
        <is>
          <t>D145</t>
        </is>
      </c>
      <c r="D1343" t="inlineStr">
        <is>
          <t>10269245</t>
        </is>
      </c>
      <c r="E1343" t="inlineStr"/>
      <c r="F1343" s="11" t="n">
        <v>141.61</v>
      </c>
      <c r="G1343" t="inlineStr"/>
      <c r="I1343" t="inlineStr">
        <is>
          <t>TN</t>
        </is>
      </c>
      <c r="J1343" t="inlineStr"/>
      <c r="K1343" t="inlineStr">
        <is>
          <t>20250701</t>
        </is>
      </c>
      <c r="L1343" t="inlineStr">
        <is>
          <t>20251031</t>
        </is>
      </c>
    </row>
    <row r="1344">
      <c r="A1344" t="inlineStr">
        <is>
          <t>900009292</t>
        </is>
      </c>
      <c r="B1344" t="inlineStr">
        <is>
          <t>DW70</t>
        </is>
      </c>
      <c r="C1344" t="inlineStr">
        <is>
          <t>D145</t>
        </is>
      </c>
      <c r="D1344" t="inlineStr">
        <is>
          <t>10269246</t>
        </is>
      </c>
      <c r="E1344" t="inlineStr"/>
      <c r="F1344" s="11" t="n">
        <v>138.27</v>
      </c>
      <c r="G1344" t="inlineStr"/>
      <c r="I1344" t="inlineStr">
        <is>
          <t>TN</t>
        </is>
      </c>
      <c r="J1344" t="inlineStr"/>
      <c r="K1344" t="inlineStr">
        <is>
          <t>20250701</t>
        </is>
      </c>
      <c r="L1344" t="inlineStr">
        <is>
          <t>20251031</t>
        </is>
      </c>
    </row>
    <row r="1345">
      <c r="A1345" t="inlineStr">
        <is>
          <t>900009292</t>
        </is>
      </c>
      <c r="B1345" t="inlineStr">
        <is>
          <t>DW70</t>
        </is>
      </c>
      <c r="C1345" t="inlineStr">
        <is>
          <t>D145</t>
        </is>
      </c>
      <c r="D1345" t="inlineStr">
        <is>
          <t>10269247</t>
        </is>
      </c>
      <c r="E1345" t="inlineStr"/>
      <c r="F1345" s="11" t="n">
        <v>96.54000000000001</v>
      </c>
      <c r="G1345" t="inlineStr"/>
      <c r="I1345" t="inlineStr">
        <is>
          <t>TN</t>
        </is>
      </c>
      <c r="J1345" t="inlineStr"/>
      <c r="K1345" t="inlineStr">
        <is>
          <t>20250701</t>
        </is>
      </c>
      <c r="L1345" t="inlineStr">
        <is>
          <t>20251031</t>
        </is>
      </c>
    </row>
    <row r="1346">
      <c r="A1346" t="inlineStr">
        <is>
          <t>900009292</t>
        </is>
      </c>
      <c r="B1346" t="inlineStr">
        <is>
          <t>DW70</t>
        </is>
      </c>
      <c r="C1346" t="inlineStr">
        <is>
          <t>D681</t>
        </is>
      </c>
      <c r="D1346" t="inlineStr">
        <is>
          <t>10000630</t>
        </is>
      </c>
      <c r="E1346" t="inlineStr"/>
      <c r="F1346" s="11" t="n">
        <v>138.27</v>
      </c>
      <c r="G1346" t="inlineStr"/>
      <c r="I1346" t="inlineStr">
        <is>
          <t>TN</t>
        </is>
      </c>
      <c r="J1346" t="inlineStr"/>
      <c r="K1346" t="inlineStr">
        <is>
          <t>20250701</t>
        </is>
      </c>
      <c r="L1346" t="inlineStr">
        <is>
          <t>20251031</t>
        </is>
      </c>
    </row>
    <row r="1347">
      <c r="A1347" t="inlineStr">
        <is>
          <t>900009292</t>
        </is>
      </c>
      <c r="B1347" t="inlineStr">
        <is>
          <t>DW70</t>
        </is>
      </c>
      <c r="C1347" t="inlineStr">
        <is>
          <t>D681</t>
        </is>
      </c>
      <c r="D1347" t="inlineStr">
        <is>
          <t>10000811</t>
        </is>
      </c>
      <c r="E1347" t="inlineStr"/>
      <c r="F1347" s="11" t="n">
        <v>155.49</v>
      </c>
      <c r="G1347" t="inlineStr"/>
      <c r="I1347" t="inlineStr">
        <is>
          <t>TN</t>
        </is>
      </c>
      <c r="J1347" t="inlineStr"/>
      <c r="K1347" t="inlineStr">
        <is>
          <t>20260814</t>
        </is>
      </c>
      <c r="L1347" t="inlineStr">
        <is>
          <t>99991231</t>
        </is>
      </c>
    </row>
    <row r="1348">
      <c r="A1348" t="inlineStr">
        <is>
          <t>900009292</t>
        </is>
      </c>
      <c r="B1348" t="inlineStr">
        <is>
          <t>DW70</t>
        </is>
      </c>
      <c r="C1348" t="inlineStr">
        <is>
          <t>D681</t>
        </is>
      </c>
      <c r="D1348" t="inlineStr">
        <is>
          <t>10058345</t>
        </is>
      </c>
      <c r="E1348" t="inlineStr"/>
      <c r="F1348" s="11" t="n">
        <v>95.23999999999999</v>
      </c>
      <c r="G1348" t="inlineStr"/>
      <c r="I1348" t="inlineStr">
        <is>
          <t>TN</t>
        </is>
      </c>
      <c r="J1348" t="inlineStr"/>
      <c r="K1348" t="inlineStr">
        <is>
          <t>20260814</t>
        </is>
      </c>
      <c r="L1348" t="inlineStr">
        <is>
          <t>99991231</t>
        </is>
      </c>
    </row>
    <row r="1349">
      <c r="A1349" t="inlineStr">
        <is>
          <t>900009292</t>
        </is>
      </c>
      <c r="B1349" t="inlineStr">
        <is>
          <t>DW70</t>
        </is>
      </c>
      <c r="C1349" t="inlineStr">
        <is>
          <t>D681</t>
        </is>
      </c>
      <c r="D1349" t="inlineStr">
        <is>
          <t>10269245</t>
        </is>
      </c>
      <c r="E1349" t="inlineStr"/>
      <c r="F1349" s="11" t="n">
        <v>141.61</v>
      </c>
      <c r="G1349" t="inlineStr"/>
      <c r="I1349" t="inlineStr">
        <is>
          <t>TN</t>
        </is>
      </c>
      <c r="J1349" t="inlineStr"/>
      <c r="K1349" t="inlineStr">
        <is>
          <t>20250701</t>
        </is>
      </c>
      <c r="L1349" t="inlineStr">
        <is>
          <t>20251031</t>
        </is>
      </c>
    </row>
    <row r="1350">
      <c r="A1350" t="inlineStr">
        <is>
          <t>900009292</t>
        </is>
      </c>
      <c r="B1350" t="inlineStr">
        <is>
          <t>DW70</t>
        </is>
      </c>
      <c r="C1350" t="inlineStr">
        <is>
          <t>D681</t>
        </is>
      </c>
      <c r="D1350" t="inlineStr">
        <is>
          <t>10269246</t>
        </is>
      </c>
      <c r="E1350" t="inlineStr"/>
      <c r="F1350" s="11" t="n">
        <v>138.27</v>
      </c>
      <c r="G1350" t="inlineStr"/>
      <c r="I1350" t="inlineStr">
        <is>
          <t>TN</t>
        </is>
      </c>
      <c r="J1350" t="inlineStr"/>
      <c r="K1350" t="inlineStr">
        <is>
          <t>20250701</t>
        </is>
      </c>
      <c r="L1350" t="inlineStr">
        <is>
          <t>20251031</t>
        </is>
      </c>
    </row>
    <row r="1351">
      <c r="A1351" t="inlineStr">
        <is>
          <t>900009292</t>
        </is>
      </c>
      <c r="B1351" t="inlineStr">
        <is>
          <t>DW70</t>
        </is>
      </c>
      <c r="C1351" t="inlineStr">
        <is>
          <t>D681</t>
        </is>
      </c>
      <c r="D1351" t="inlineStr">
        <is>
          <t>10269247</t>
        </is>
      </c>
      <c r="E1351" t="inlineStr"/>
      <c r="F1351" s="11" t="n">
        <v>96.54000000000001</v>
      </c>
      <c r="G1351" t="inlineStr"/>
      <c r="I1351" t="inlineStr">
        <is>
          <t>TN</t>
        </is>
      </c>
      <c r="J1351" t="inlineStr"/>
      <c r="K1351" t="inlineStr">
        <is>
          <t>20250701</t>
        </is>
      </c>
      <c r="L1351" t="inlineStr">
        <is>
          <t>20251031</t>
        </is>
      </c>
    </row>
    <row r="1352">
      <c r="A1352" t="inlineStr">
        <is>
          <t>900009480</t>
        </is>
      </c>
      <c r="B1352" t="inlineStr">
        <is>
          <t>DW70</t>
        </is>
      </c>
      <c r="C1352" t="inlineStr">
        <is>
          <t>D074</t>
        </is>
      </c>
      <c r="D1352" t="inlineStr">
        <is>
          <t>10000160</t>
        </is>
      </c>
      <c r="E1352" t="inlineStr"/>
      <c r="F1352" s="11" t="n">
        <v>63.17</v>
      </c>
      <c r="G1352" t="inlineStr"/>
      <c r="I1352" t="inlineStr">
        <is>
          <t>TN</t>
        </is>
      </c>
      <c r="J1352" t="inlineStr"/>
      <c r="K1352" t="inlineStr">
        <is>
          <t>20260211</t>
        </is>
      </c>
      <c r="L1352" t="inlineStr">
        <is>
          <t>20260309</t>
        </is>
      </c>
    </row>
    <row r="1353">
      <c r="A1353" t="inlineStr">
        <is>
          <t>900009480</t>
        </is>
      </c>
      <c r="B1353" t="inlineStr">
        <is>
          <t>DW70</t>
        </is>
      </c>
      <c r="C1353" t="inlineStr">
        <is>
          <t>D074</t>
        </is>
      </c>
      <c r="D1353" t="inlineStr">
        <is>
          <t>10000357</t>
        </is>
      </c>
      <c r="E1353" t="inlineStr"/>
      <c r="F1353" s="11" t="n">
        <v>86.73</v>
      </c>
      <c r="G1353" t="inlineStr"/>
      <c r="I1353" t="inlineStr">
        <is>
          <t>TN</t>
        </is>
      </c>
      <c r="J1353" t="inlineStr"/>
      <c r="K1353" t="inlineStr">
        <is>
          <t>20260302</t>
        </is>
      </c>
      <c r="L1353" t="inlineStr">
        <is>
          <t>99991231</t>
        </is>
      </c>
    </row>
    <row r="1354">
      <c r="A1354" t="inlineStr">
        <is>
          <t>900009480</t>
        </is>
      </c>
      <c r="B1354" t="inlineStr">
        <is>
          <t>DW70</t>
        </is>
      </c>
      <c r="C1354" t="inlineStr">
        <is>
          <t>D074</t>
        </is>
      </c>
      <c r="D1354" t="inlineStr">
        <is>
          <t>10275115</t>
        </is>
      </c>
      <c r="E1354" t="inlineStr"/>
      <c r="F1354" s="11" t="n">
        <v>70.69</v>
      </c>
      <c r="G1354" t="inlineStr"/>
      <c r="I1354" t="inlineStr">
        <is>
          <t>TN</t>
        </is>
      </c>
      <c r="J1354" t="inlineStr"/>
      <c r="K1354" t="inlineStr">
        <is>
          <t>20260302</t>
        </is>
      </c>
      <c r="L1354" t="inlineStr">
        <is>
          <t>99991231</t>
        </is>
      </c>
    </row>
    <row r="1355">
      <c r="A1355" t="inlineStr">
        <is>
          <t>900009480</t>
        </is>
      </c>
      <c r="B1355" t="inlineStr">
        <is>
          <t>DW70</t>
        </is>
      </c>
      <c r="C1355" t="inlineStr">
        <is>
          <t>D075</t>
        </is>
      </c>
      <c r="D1355" t="inlineStr">
        <is>
          <t>10000160</t>
        </is>
      </c>
      <c r="E1355" t="inlineStr"/>
      <c r="F1355" s="11" t="n">
        <v>63.17</v>
      </c>
      <c r="G1355" t="inlineStr"/>
      <c r="I1355" t="inlineStr">
        <is>
          <t>TN</t>
        </is>
      </c>
      <c r="J1355" t="inlineStr"/>
      <c r="K1355" t="inlineStr">
        <is>
          <t>20260211</t>
        </is>
      </c>
      <c r="L1355" t="inlineStr">
        <is>
          <t>20260309</t>
        </is>
      </c>
    </row>
    <row r="1356">
      <c r="A1356" t="inlineStr">
        <is>
          <t>900009480</t>
        </is>
      </c>
      <c r="B1356" t="inlineStr">
        <is>
          <t>DW70</t>
        </is>
      </c>
      <c r="C1356" t="inlineStr">
        <is>
          <t>D075</t>
        </is>
      </c>
      <c r="D1356" t="inlineStr">
        <is>
          <t>10000357</t>
        </is>
      </c>
      <c r="E1356" t="inlineStr"/>
      <c r="F1356" s="11" t="n">
        <v>86.73</v>
      </c>
      <c r="G1356" t="inlineStr"/>
      <c r="I1356" t="inlineStr">
        <is>
          <t>TN</t>
        </is>
      </c>
      <c r="J1356" t="inlineStr"/>
      <c r="K1356" t="inlineStr">
        <is>
          <t>20260302</t>
        </is>
      </c>
      <c r="L1356" t="inlineStr">
        <is>
          <t>99991231</t>
        </is>
      </c>
    </row>
    <row r="1357">
      <c r="A1357" t="inlineStr">
        <is>
          <t>900009480</t>
        </is>
      </c>
      <c r="B1357" t="inlineStr">
        <is>
          <t>DW70</t>
        </is>
      </c>
      <c r="C1357" t="inlineStr">
        <is>
          <t>D075</t>
        </is>
      </c>
      <c r="D1357" t="inlineStr">
        <is>
          <t>10275115</t>
        </is>
      </c>
      <c r="E1357" t="inlineStr"/>
      <c r="F1357" s="11" t="n">
        <v>70.69</v>
      </c>
      <c r="G1357" t="inlineStr"/>
      <c r="I1357" t="inlineStr">
        <is>
          <t>TN</t>
        </is>
      </c>
      <c r="J1357" t="inlineStr"/>
      <c r="K1357" t="inlineStr">
        <is>
          <t>20260302</t>
        </is>
      </c>
      <c r="L1357" t="inlineStr">
        <is>
          <t>99991231</t>
        </is>
      </c>
    </row>
    <row r="1358">
      <c r="A1358" t="inlineStr">
        <is>
          <t>900009480</t>
        </is>
      </c>
      <c r="B1358" t="inlineStr">
        <is>
          <t>DW70</t>
        </is>
      </c>
      <c r="C1358" t="inlineStr">
        <is>
          <t>D077</t>
        </is>
      </c>
      <c r="D1358" t="inlineStr">
        <is>
          <t>10000160</t>
        </is>
      </c>
      <c r="E1358" t="inlineStr"/>
      <c r="F1358" s="11" t="n">
        <v>63.17</v>
      </c>
      <c r="G1358" t="inlineStr"/>
      <c r="I1358" t="inlineStr">
        <is>
          <t>TN</t>
        </is>
      </c>
      <c r="J1358" t="inlineStr"/>
      <c r="K1358" t="inlineStr">
        <is>
          <t>20260211</t>
        </is>
      </c>
      <c r="L1358" t="inlineStr">
        <is>
          <t>20260309</t>
        </is>
      </c>
    </row>
    <row r="1359">
      <c r="A1359" t="inlineStr">
        <is>
          <t>900009480</t>
        </is>
      </c>
      <c r="B1359" t="inlineStr">
        <is>
          <t>DW70</t>
        </is>
      </c>
      <c r="C1359" t="inlineStr">
        <is>
          <t>D077</t>
        </is>
      </c>
      <c r="D1359" t="inlineStr">
        <is>
          <t>10000357</t>
        </is>
      </c>
      <c r="E1359" t="inlineStr"/>
      <c r="F1359" s="11" t="n">
        <v>86.73</v>
      </c>
      <c r="G1359" t="inlineStr"/>
      <c r="I1359" t="inlineStr">
        <is>
          <t>TN</t>
        </is>
      </c>
      <c r="J1359" t="inlineStr"/>
      <c r="K1359" t="inlineStr">
        <is>
          <t>20260302</t>
        </is>
      </c>
      <c r="L1359" t="inlineStr">
        <is>
          <t>99991231</t>
        </is>
      </c>
    </row>
    <row r="1360">
      <c r="A1360" t="inlineStr">
        <is>
          <t>900009480</t>
        </is>
      </c>
      <c r="B1360" t="inlineStr">
        <is>
          <t>DW70</t>
        </is>
      </c>
      <c r="C1360" t="inlineStr">
        <is>
          <t>D077</t>
        </is>
      </c>
      <c r="D1360" t="inlineStr">
        <is>
          <t>10275115</t>
        </is>
      </c>
      <c r="E1360" t="inlineStr"/>
      <c r="F1360" s="11" t="n">
        <v>70.69</v>
      </c>
      <c r="G1360" t="inlineStr"/>
      <c r="I1360" t="inlineStr">
        <is>
          <t>TN</t>
        </is>
      </c>
      <c r="J1360" t="inlineStr"/>
      <c r="K1360" t="inlineStr">
        <is>
          <t>20260302</t>
        </is>
      </c>
      <c r="L1360" t="inlineStr">
        <is>
          <t>99991231</t>
        </is>
      </c>
    </row>
    <row r="1361">
      <c r="A1361" t="inlineStr">
        <is>
          <t>900009480</t>
        </is>
      </c>
      <c r="B1361" t="inlineStr">
        <is>
          <t>DW70</t>
        </is>
      </c>
      <c r="C1361" t="inlineStr">
        <is>
          <t>D079</t>
        </is>
      </c>
      <c r="D1361" t="inlineStr">
        <is>
          <t>10000160</t>
        </is>
      </c>
      <c r="E1361" t="inlineStr"/>
      <c r="F1361" s="11" t="n">
        <v>63.17</v>
      </c>
      <c r="G1361" t="inlineStr"/>
      <c r="I1361" t="inlineStr">
        <is>
          <t>TN</t>
        </is>
      </c>
      <c r="J1361" t="inlineStr"/>
      <c r="K1361" t="inlineStr">
        <is>
          <t>20260211</t>
        </is>
      </c>
      <c r="L1361" t="inlineStr">
        <is>
          <t>20260309</t>
        </is>
      </c>
    </row>
    <row r="1362">
      <c r="A1362" t="inlineStr">
        <is>
          <t>900009480</t>
        </is>
      </c>
      <c r="B1362" t="inlineStr">
        <is>
          <t>DW70</t>
        </is>
      </c>
      <c r="C1362" t="inlineStr">
        <is>
          <t>D079</t>
        </is>
      </c>
      <c r="D1362" t="inlineStr">
        <is>
          <t>10000357</t>
        </is>
      </c>
      <c r="E1362" t="inlineStr"/>
      <c r="F1362" s="11" t="n">
        <v>86.73</v>
      </c>
      <c r="G1362" t="inlineStr"/>
      <c r="I1362" t="inlineStr">
        <is>
          <t>TN</t>
        </is>
      </c>
      <c r="J1362" t="inlineStr"/>
      <c r="K1362" t="inlineStr">
        <is>
          <t>20260302</t>
        </is>
      </c>
      <c r="L1362" t="inlineStr">
        <is>
          <t>99991231</t>
        </is>
      </c>
    </row>
    <row r="1363">
      <c r="A1363" t="inlineStr">
        <is>
          <t>900009480</t>
        </is>
      </c>
      <c r="B1363" t="inlineStr">
        <is>
          <t>DW70</t>
        </is>
      </c>
      <c r="C1363" t="inlineStr">
        <is>
          <t>D079</t>
        </is>
      </c>
      <c r="D1363" t="inlineStr">
        <is>
          <t>10275115</t>
        </is>
      </c>
      <c r="E1363" t="inlineStr"/>
      <c r="F1363" s="11" t="n">
        <v>70.69</v>
      </c>
      <c r="G1363" t="inlineStr"/>
      <c r="I1363" t="inlineStr">
        <is>
          <t>TN</t>
        </is>
      </c>
      <c r="J1363" t="inlineStr"/>
      <c r="K1363" t="inlineStr">
        <is>
          <t>20260302</t>
        </is>
      </c>
      <c r="L1363" t="inlineStr">
        <is>
          <t>99991231</t>
        </is>
      </c>
    </row>
    <row r="1364">
      <c r="A1364" t="inlineStr">
        <is>
          <t>900009480</t>
        </is>
      </c>
      <c r="B1364" t="inlineStr">
        <is>
          <t>DW70</t>
        </is>
      </c>
      <c r="C1364" t="inlineStr">
        <is>
          <t>D080</t>
        </is>
      </c>
      <c r="D1364" t="inlineStr">
        <is>
          <t>10000160</t>
        </is>
      </c>
      <c r="E1364" t="inlineStr"/>
      <c r="F1364" s="11" t="n">
        <v>63.17</v>
      </c>
      <c r="G1364" t="inlineStr"/>
      <c r="I1364" t="inlineStr">
        <is>
          <t>TN</t>
        </is>
      </c>
      <c r="J1364" t="inlineStr"/>
      <c r="K1364" t="inlineStr">
        <is>
          <t>20260211</t>
        </is>
      </c>
      <c r="L1364" t="inlineStr">
        <is>
          <t>20260309</t>
        </is>
      </c>
    </row>
    <row r="1365">
      <c r="A1365" t="inlineStr">
        <is>
          <t>900009480</t>
        </is>
      </c>
      <c r="B1365" t="inlineStr">
        <is>
          <t>DW70</t>
        </is>
      </c>
      <c r="C1365" t="inlineStr">
        <is>
          <t>D080</t>
        </is>
      </c>
      <c r="D1365" t="inlineStr">
        <is>
          <t>10000357</t>
        </is>
      </c>
      <c r="E1365" t="inlineStr"/>
      <c r="F1365" s="11" t="n">
        <v>86.73</v>
      </c>
      <c r="G1365" t="inlineStr"/>
      <c r="I1365" t="inlineStr">
        <is>
          <t>TN</t>
        </is>
      </c>
      <c r="J1365" t="inlineStr"/>
      <c r="K1365" t="inlineStr">
        <is>
          <t>20260302</t>
        </is>
      </c>
      <c r="L1365" t="inlineStr">
        <is>
          <t>99991231</t>
        </is>
      </c>
    </row>
    <row r="1366">
      <c r="A1366" t="inlineStr">
        <is>
          <t>900009480</t>
        </is>
      </c>
      <c r="B1366" t="inlineStr">
        <is>
          <t>DW70</t>
        </is>
      </c>
      <c r="C1366" t="inlineStr">
        <is>
          <t>D080</t>
        </is>
      </c>
      <c r="D1366" t="inlineStr">
        <is>
          <t>10275115</t>
        </is>
      </c>
      <c r="E1366" t="inlineStr"/>
      <c r="F1366" s="11" t="n">
        <v>70.69</v>
      </c>
      <c r="G1366" t="inlineStr"/>
      <c r="I1366" t="inlineStr">
        <is>
          <t>TN</t>
        </is>
      </c>
      <c r="J1366" t="inlineStr"/>
      <c r="K1366" t="inlineStr">
        <is>
          <t>20260302</t>
        </is>
      </c>
      <c r="L1366" t="inlineStr">
        <is>
          <t>99991231</t>
        </is>
      </c>
    </row>
    <row r="1367">
      <c r="A1367" t="inlineStr">
        <is>
          <t>900009480</t>
        </is>
      </c>
      <c r="B1367" t="inlineStr">
        <is>
          <t>DW70</t>
        </is>
      </c>
      <c r="C1367" t="inlineStr">
        <is>
          <t>D081</t>
        </is>
      </c>
      <c r="D1367" t="inlineStr">
        <is>
          <t>10000160</t>
        </is>
      </c>
      <c r="E1367" t="inlineStr"/>
      <c r="F1367" s="11" t="n">
        <v>63.17</v>
      </c>
      <c r="G1367" t="inlineStr"/>
      <c r="I1367" t="inlineStr">
        <is>
          <t>TN</t>
        </is>
      </c>
      <c r="J1367" t="inlineStr"/>
      <c r="K1367" t="inlineStr">
        <is>
          <t>20260211</t>
        </is>
      </c>
      <c r="L1367" t="inlineStr">
        <is>
          <t>20260309</t>
        </is>
      </c>
    </row>
    <row r="1368">
      <c r="A1368" t="inlineStr">
        <is>
          <t>900009480</t>
        </is>
      </c>
      <c r="B1368" t="inlineStr">
        <is>
          <t>DW70</t>
        </is>
      </c>
      <c r="C1368" t="inlineStr">
        <is>
          <t>D081</t>
        </is>
      </c>
      <c r="D1368" t="inlineStr">
        <is>
          <t>10000357</t>
        </is>
      </c>
      <c r="E1368" t="inlineStr"/>
      <c r="F1368" s="11" t="n">
        <v>86.73</v>
      </c>
      <c r="G1368" t="inlineStr"/>
      <c r="I1368" t="inlineStr">
        <is>
          <t>TN</t>
        </is>
      </c>
      <c r="J1368" t="inlineStr"/>
      <c r="K1368" t="inlineStr">
        <is>
          <t>20260302</t>
        </is>
      </c>
      <c r="L1368" t="inlineStr">
        <is>
          <t>99991231</t>
        </is>
      </c>
    </row>
    <row r="1369">
      <c r="A1369" t="inlineStr">
        <is>
          <t>900009480</t>
        </is>
      </c>
      <c r="B1369" t="inlineStr">
        <is>
          <t>DW70</t>
        </is>
      </c>
      <c r="C1369" t="inlineStr">
        <is>
          <t>D081</t>
        </is>
      </c>
      <c r="D1369" t="inlineStr">
        <is>
          <t>10275115</t>
        </is>
      </c>
      <c r="E1369" t="inlineStr"/>
      <c r="F1369" s="11" t="n">
        <v>70.69</v>
      </c>
      <c r="G1369" t="inlineStr"/>
      <c r="I1369" t="inlineStr">
        <is>
          <t>TN</t>
        </is>
      </c>
      <c r="J1369" t="inlineStr"/>
      <c r="K1369" t="inlineStr">
        <is>
          <t>20260302</t>
        </is>
      </c>
      <c r="L1369" t="inlineStr">
        <is>
          <t>99991231</t>
        </is>
      </c>
    </row>
    <row r="1370">
      <c r="A1370" t="inlineStr">
        <is>
          <t>900009480</t>
        </is>
      </c>
      <c r="B1370" t="inlineStr">
        <is>
          <t>DW70</t>
        </is>
      </c>
      <c r="C1370" t="inlineStr">
        <is>
          <t>D083</t>
        </is>
      </c>
      <c r="D1370" t="inlineStr">
        <is>
          <t>10000160</t>
        </is>
      </c>
      <c r="E1370" t="inlineStr"/>
      <c r="F1370" s="11" t="n">
        <v>63.17</v>
      </c>
      <c r="G1370" t="inlineStr"/>
      <c r="I1370" t="inlineStr">
        <is>
          <t>TN</t>
        </is>
      </c>
      <c r="J1370" t="inlineStr"/>
      <c r="K1370" t="inlineStr">
        <is>
          <t>20260211</t>
        </is>
      </c>
      <c r="L1370" t="inlineStr">
        <is>
          <t>20260309</t>
        </is>
      </c>
    </row>
    <row r="1371">
      <c r="A1371" t="inlineStr">
        <is>
          <t>900009480</t>
        </is>
      </c>
      <c r="B1371" t="inlineStr">
        <is>
          <t>DW70</t>
        </is>
      </c>
      <c r="C1371" t="inlineStr">
        <is>
          <t>D083</t>
        </is>
      </c>
      <c r="D1371" t="inlineStr">
        <is>
          <t>10000357</t>
        </is>
      </c>
      <c r="E1371" t="inlineStr"/>
      <c r="F1371" s="11" t="n">
        <v>86.73</v>
      </c>
      <c r="G1371" t="inlineStr"/>
      <c r="I1371" t="inlineStr">
        <is>
          <t>TN</t>
        </is>
      </c>
      <c r="J1371" t="inlineStr"/>
      <c r="K1371" t="inlineStr">
        <is>
          <t>20260302</t>
        </is>
      </c>
      <c r="L1371" t="inlineStr">
        <is>
          <t>99991231</t>
        </is>
      </c>
    </row>
    <row r="1372">
      <c r="A1372" t="inlineStr">
        <is>
          <t>900009480</t>
        </is>
      </c>
      <c r="B1372" t="inlineStr">
        <is>
          <t>DW70</t>
        </is>
      </c>
      <c r="C1372" t="inlineStr">
        <is>
          <t>D083</t>
        </is>
      </c>
      <c r="D1372" t="inlineStr">
        <is>
          <t>10275115</t>
        </is>
      </c>
      <c r="E1372" t="inlineStr"/>
      <c r="F1372" s="11" t="n">
        <v>70.69</v>
      </c>
      <c r="G1372" t="inlineStr"/>
      <c r="I1372" t="inlineStr">
        <is>
          <t>TN</t>
        </is>
      </c>
      <c r="J1372" t="inlineStr"/>
      <c r="K1372" t="inlineStr">
        <is>
          <t>20260302</t>
        </is>
      </c>
      <c r="L1372" t="inlineStr">
        <is>
          <t>99991231</t>
        </is>
      </c>
    </row>
    <row r="1373">
      <c r="A1373" t="inlineStr">
        <is>
          <t>900009480</t>
        </is>
      </c>
      <c r="B1373" t="inlineStr">
        <is>
          <t>DW70</t>
        </is>
      </c>
      <c r="C1373" t="inlineStr">
        <is>
          <t>D084</t>
        </is>
      </c>
      <c r="D1373" t="inlineStr">
        <is>
          <t>10000160</t>
        </is>
      </c>
      <c r="E1373" t="inlineStr"/>
      <c r="F1373" s="11" t="n">
        <v>63.17</v>
      </c>
      <c r="G1373" t="inlineStr"/>
      <c r="I1373" t="inlineStr">
        <is>
          <t>TN</t>
        </is>
      </c>
      <c r="J1373" t="inlineStr"/>
      <c r="K1373" t="inlineStr">
        <is>
          <t>20260211</t>
        </is>
      </c>
      <c r="L1373" t="inlineStr">
        <is>
          <t>20260309</t>
        </is>
      </c>
    </row>
    <row r="1374">
      <c r="A1374" t="inlineStr">
        <is>
          <t>900009480</t>
        </is>
      </c>
      <c r="B1374" t="inlineStr">
        <is>
          <t>DW70</t>
        </is>
      </c>
      <c r="C1374" t="inlineStr">
        <is>
          <t>D084</t>
        </is>
      </c>
      <c r="D1374" t="inlineStr">
        <is>
          <t>10000357</t>
        </is>
      </c>
      <c r="E1374" t="inlineStr"/>
      <c r="F1374" s="11" t="n">
        <v>86.73</v>
      </c>
      <c r="G1374" t="inlineStr"/>
      <c r="I1374" t="inlineStr">
        <is>
          <t>TN</t>
        </is>
      </c>
      <c r="J1374" t="inlineStr"/>
      <c r="K1374" t="inlineStr">
        <is>
          <t>20260302</t>
        </is>
      </c>
      <c r="L1374" t="inlineStr">
        <is>
          <t>99991231</t>
        </is>
      </c>
    </row>
    <row r="1375">
      <c r="A1375" t="inlineStr">
        <is>
          <t>900009480</t>
        </is>
      </c>
      <c r="B1375" t="inlineStr">
        <is>
          <t>DW70</t>
        </is>
      </c>
      <c r="C1375" t="inlineStr">
        <is>
          <t>D084</t>
        </is>
      </c>
      <c r="D1375" t="inlineStr">
        <is>
          <t>10275115</t>
        </is>
      </c>
      <c r="E1375" t="inlineStr"/>
      <c r="F1375" s="11" t="n">
        <v>70.69</v>
      </c>
      <c r="G1375" t="inlineStr"/>
      <c r="I1375" t="inlineStr">
        <is>
          <t>TN</t>
        </is>
      </c>
      <c r="J1375" t="inlineStr"/>
      <c r="K1375" t="inlineStr">
        <is>
          <t>20260302</t>
        </is>
      </c>
      <c r="L1375" t="inlineStr">
        <is>
          <t>99991231</t>
        </is>
      </c>
    </row>
    <row r="1376">
      <c r="A1376" t="inlineStr">
        <is>
          <t>900009480</t>
        </is>
      </c>
      <c r="B1376" t="inlineStr">
        <is>
          <t>DW70</t>
        </is>
      </c>
      <c r="C1376" t="inlineStr">
        <is>
          <t>D085</t>
        </is>
      </c>
      <c r="D1376" t="inlineStr">
        <is>
          <t>10000160</t>
        </is>
      </c>
      <c r="E1376" t="inlineStr"/>
      <c r="F1376" s="11" t="n">
        <v>63.17</v>
      </c>
      <c r="G1376" t="inlineStr"/>
      <c r="I1376" t="inlineStr">
        <is>
          <t>TN</t>
        </is>
      </c>
      <c r="J1376" t="inlineStr"/>
      <c r="K1376" t="inlineStr">
        <is>
          <t>20260211</t>
        </is>
      </c>
      <c r="L1376" t="inlineStr">
        <is>
          <t>20260309</t>
        </is>
      </c>
    </row>
    <row r="1377">
      <c r="A1377" t="inlineStr">
        <is>
          <t>900009480</t>
        </is>
      </c>
      <c r="B1377" t="inlineStr">
        <is>
          <t>DW70</t>
        </is>
      </c>
      <c r="C1377" t="inlineStr">
        <is>
          <t>D085</t>
        </is>
      </c>
      <c r="D1377" t="inlineStr">
        <is>
          <t>10000357</t>
        </is>
      </c>
      <c r="E1377" t="inlineStr"/>
      <c r="F1377" s="11" t="n">
        <v>86.73</v>
      </c>
      <c r="G1377" t="inlineStr"/>
      <c r="I1377" t="inlineStr">
        <is>
          <t>TN</t>
        </is>
      </c>
      <c r="J1377" t="inlineStr"/>
      <c r="K1377" t="inlineStr">
        <is>
          <t>20260302</t>
        </is>
      </c>
      <c r="L1377" t="inlineStr">
        <is>
          <t>99991231</t>
        </is>
      </c>
    </row>
    <row r="1378">
      <c r="A1378" t="inlineStr">
        <is>
          <t>900009480</t>
        </is>
      </c>
      <c r="B1378" t="inlineStr">
        <is>
          <t>DW70</t>
        </is>
      </c>
      <c r="C1378" t="inlineStr">
        <is>
          <t>D085</t>
        </is>
      </c>
      <c r="D1378" t="inlineStr">
        <is>
          <t>10275115</t>
        </is>
      </c>
      <c r="E1378" t="inlineStr"/>
      <c r="F1378" s="11" t="n">
        <v>70.69</v>
      </c>
      <c r="G1378" t="inlineStr"/>
      <c r="I1378" t="inlineStr">
        <is>
          <t>TN</t>
        </is>
      </c>
      <c r="J1378" t="inlineStr"/>
      <c r="K1378" t="inlineStr">
        <is>
          <t>20260302</t>
        </is>
      </c>
      <c r="L1378" t="inlineStr">
        <is>
          <t>99991231</t>
        </is>
      </c>
    </row>
    <row r="1379">
      <c r="A1379" t="inlineStr">
        <is>
          <t>900009480</t>
        </is>
      </c>
      <c r="B1379" t="inlineStr">
        <is>
          <t>DW70</t>
        </is>
      </c>
      <c r="C1379" t="inlineStr">
        <is>
          <t>D086</t>
        </is>
      </c>
      <c r="D1379" t="inlineStr">
        <is>
          <t>10000160</t>
        </is>
      </c>
      <c r="E1379" t="inlineStr"/>
      <c r="F1379" s="11" t="n">
        <v>63.17</v>
      </c>
      <c r="G1379" t="inlineStr"/>
      <c r="I1379" t="inlineStr">
        <is>
          <t>TN</t>
        </is>
      </c>
      <c r="J1379" t="inlineStr"/>
      <c r="K1379" t="inlineStr">
        <is>
          <t>20260211</t>
        </is>
      </c>
      <c r="L1379" t="inlineStr">
        <is>
          <t>20260309</t>
        </is>
      </c>
    </row>
    <row r="1380">
      <c r="A1380" t="inlineStr">
        <is>
          <t>900009480</t>
        </is>
      </c>
      <c r="B1380" t="inlineStr">
        <is>
          <t>DW70</t>
        </is>
      </c>
      <c r="C1380" t="inlineStr">
        <is>
          <t>D086</t>
        </is>
      </c>
      <c r="D1380" t="inlineStr">
        <is>
          <t>10000357</t>
        </is>
      </c>
      <c r="E1380" t="inlineStr"/>
      <c r="F1380" s="11" t="n">
        <v>86.73</v>
      </c>
      <c r="G1380" t="inlineStr"/>
      <c r="I1380" t="inlineStr">
        <is>
          <t>TN</t>
        </is>
      </c>
      <c r="J1380" t="inlineStr"/>
      <c r="K1380" t="inlineStr">
        <is>
          <t>20260302</t>
        </is>
      </c>
      <c r="L1380" t="inlineStr">
        <is>
          <t>99991231</t>
        </is>
      </c>
    </row>
    <row r="1381">
      <c r="A1381" t="inlineStr">
        <is>
          <t>900009480</t>
        </is>
      </c>
      <c r="B1381" t="inlineStr">
        <is>
          <t>DW70</t>
        </is>
      </c>
      <c r="C1381" t="inlineStr">
        <is>
          <t>D086</t>
        </is>
      </c>
      <c r="D1381" t="inlineStr">
        <is>
          <t>10275115</t>
        </is>
      </c>
      <c r="E1381" t="inlineStr"/>
      <c r="F1381" s="11" t="n">
        <v>70.69</v>
      </c>
      <c r="G1381" t="inlineStr"/>
      <c r="I1381" t="inlineStr">
        <is>
          <t>TN</t>
        </is>
      </c>
      <c r="J1381" t="inlineStr"/>
      <c r="K1381" t="inlineStr">
        <is>
          <t>20260302</t>
        </is>
      </c>
      <c r="L1381" t="inlineStr">
        <is>
          <t>99991231</t>
        </is>
      </c>
    </row>
    <row r="1382">
      <c r="A1382" t="inlineStr">
        <is>
          <t>900009480</t>
        </is>
      </c>
      <c r="B1382" t="inlineStr">
        <is>
          <t>DW70</t>
        </is>
      </c>
      <c r="C1382" t="inlineStr">
        <is>
          <t>D093</t>
        </is>
      </c>
      <c r="D1382" t="inlineStr">
        <is>
          <t>10000160</t>
        </is>
      </c>
      <c r="E1382" t="inlineStr"/>
      <c r="F1382" s="11" t="n">
        <v>63.17</v>
      </c>
      <c r="G1382" t="inlineStr"/>
      <c r="I1382" t="inlineStr">
        <is>
          <t>TN</t>
        </is>
      </c>
      <c r="J1382" t="inlineStr"/>
      <c r="K1382" t="inlineStr">
        <is>
          <t>20260211</t>
        </is>
      </c>
      <c r="L1382" t="inlineStr">
        <is>
          <t>20260309</t>
        </is>
      </c>
    </row>
    <row r="1383">
      <c r="A1383" t="inlineStr">
        <is>
          <t>900009480</t>
        </is>
      </c>
      <c r="B1383" t="inlineStr">
        <is>
          <t>DW70</t>
        </is>
      </c>
      <c r="C1383" t="inlineStr">
        <is>
          <t>D093</t>
        </is>
      </c>
      <c r="D1383" t="inlineStr">
        <is>
          <t>10000357</t>
        </is>
      </c>
      <c r="E1383" t="inlineStr"/>
      <c r="F1383" s="11" t="n">
        <v>86.73</v>
      </c>
      <c r="G1383" t="inlineStr"/>
      <c r="I1383" t="inlineStr">
        <is>
          <t>TN</t>
        </is>
      </c>
      <c r="J1383" t="inlineStr"/>
      <c r="K1383" t="inlineStr">
        <is>
          <t>20260302</t>
        </is>
      </c>
      <c r="L1383" t="inlineStr">
        <is>
          <t>99991231</t>
        </is>
      </c>
    </row>
    <row r="1384">
      <c r="A1384" t="inlineStr">
        <is>
          <t>900009480</t>
        </is>
      </c>
      <c r="B1384" t="inlineStr">
        <is>
          <t>DW70</t>
        </is>
      </c>
      <c r="C1384" t="inlineStr">
        <is>
          <t>D093</t>
        </is>
      </c>
      <c r="D1384" t="inlineStr">
        <is>
          <t>10275115</t>
        </is>
      </c>
      <c r="E1384" t="inlineStr"/>
      <c r="F1384" s="11" t="n">
        <v>70.69</v>
      </c>
      <c r="G1384" t="inlineStr"/>
      <c r="I1384" t="inlineStr">
        <is>
          <t>TN</t>
        </is>
      </c>
      <c r="J1384" t="inlineStr"/>
      <c r="K1384" t="inlineStr">
        <is>
          <t>20260302</t>
        </is>
      </c>
      <c r="L1384" t="inlineStr">
        <is>
          <t>99991231</t>
        </is>
      </c>
    </row>
    <row r="1385">
      <c r="A1385" t="inlineStr">
        <is>
          <t>900009480</t>
        </is>
      </c>
      <c r="B1385" t="inlineStr">
        <is>
          <t>DW70</t>
        </is>
      </c>
      <c r="C1385" t="inlineStr">
        <is>
          <t>D098</t>
        </is>
      </c>
      <c r="D1385" t="inlineStr">
        <is>
          <t>10000160</t>
        </is>
      </c>
      <c r="E1385" t="inlineStr"/>
      <c r="F1385" s="11" t="n">
        <v>63.17</v>
      </c>
      <c r="G1385" t="inlineStr"/>
      <c r="I1385" t="inlineStr">
        <is>
          <t>TN</t>
        </is>
      </c>
      <c r="J1385" t="inlineStr"/>
      <c r="K1385" t="inlineStr">
        <is>
          <t>20260211</t>
        </is>
      </c>
      <c r="L1385" t="inlineStr">
        <is>
          <t>20260309</t>
        </is>
      </c>
    </row>
    <row r="1386">
      <c r="A1386" t="inlineStr">
        <is>
          <t>900009480</t>
        </is>
      </c>
      <c r="B1386" t="inlineStr">
        <is>
          <t>DW70</t>
        </is>
      </c>
      <c r="C1386" t="inlineStr">
        <is>
          <t>D098</t>
        </is>
      </c>
      <c r="D1386" t="inlineStr">
        <is>
          <t>10000357</t>
        </is>
      </c>
      <c r="E1386" t="inlineStr"/>
      <c r="F1386" s="11" t="n">
        <v>86.73</v>
      </c>
      <c r="G1386" t="inlineStr"/>
      <c r="I1386" t="inlineStr">
        <is>
          <t>TN</t>
        </is>
      </c>
      <c r="J1386" t="inlineStr"/>
      <c r="K1386" t="inlineStr">
        <is>
          <t>20260302</t>
        </is>
      </c>
      <c r="L1386" t="inlineStr">
        <is>
          <t>99991231</t>
        </is>
      </c>
    </row>
    <row r="1387">
      <c r="A1387" t="inlineStr">
        <is>
          <t>900009480</t>
        </is>
      </c>
      <c r="B1387" t="inlineStr">
        <is>
          <t>DW70</t>
        </is>
      </c>
      <c r="C1387" t="inlineStr">
        <is>
          <t>D098</t>
        </is>
      </c>
      <c r="D1387" t="inlineStr">
        <is>
          <t>10275115</t>
        </is>
      </c>
      <c r="E1387" t="inlineStr"/>
      <c r="F1387" s="11" t="n">
        <v>70.69</v>
      </c>
      <c r="G1387" t="inlineStr"/>
      <c r="I1387" t="inlineStr">
        <is>
          <t>TN</t>
        </is>
      </c>
      <c r="J1387" t="inlineStr"/>
      <c r="K1387" t="inlineStr">
        <is>
          <t>20260302</t>
        </is>
      </c>
      <c r="L1387" t="inlineStr">
        <is>
          <t>99991231</t>
        </is>
      </c>
    </row>
    <row r="1388">
      <c r="A1388" t="inlineStr">
        <is>
          <t>900009480</t>
        </is>
      </c>
      <c r="B1388" t="inlineStr">
        <is>
          <t>DW70</t>
        </is>
      </c>
      <c r="C1388" t="inlineStr">
        <is>
          <t>D105</t>
        </is>
      </c>
      <c r="D1388" t="inlineStr">
        <is>
          <t>10000160</t>
        </is>
      </c>
      <c r="E1388" t="inlineStr"/>
      <c r="F1388" s="11" t="n">
        <v>63.17</v>
      </c>
      <c r="G1388" t="inlineStr"/>
      <c r="I1388" t="inlineStr">
        <is>
          <t>TN</t>
        </is>
      </c>
      <c r="J1388" t="inlineStr"/>
      <c r="K1388" t="inlineStr">
        <is>
          <t>20260211</t>
        </is>
      </c>
      <c r="L1388" t="inlineStr">
        <is>
          <t>20260309</t>
        </is>
      </c>
    </row>
    <row r="1389">
      <c r="A1389" t="inlineStr">
        <is>
          <t>900009480</t>
        </is>
      </c>
      <c r="B1389" t="inlineStr">
        <is>
          <t>DW70</t>
        </is>
      </c>
      <c r="C1389" t="inlineStr">
        <is>
          <t>D105</t>
        </is>
      </c>
      <c r="D1389" t="inlineStr">
        <is>
          <t>10000357</t>
        </is>
      </c>
      <c r="E1389" t="inlineStr"/>
      <c r="F1389" s="11" t="n">
        <v>86.73</v>
      </c>
      <c r="G1389" t="inlineStr"/>
      <c r="I1389" t="inlineStr">
        <is>
          <t>TN</t>
        </is>
      </c>
      <c r="J1389" t="inlineStr"/>
      <c r="K1389" t="inlineStr">
        <is>
          <t>20260302</t>
        </is>
      </c>
      <c r="L1389" t="inlineStr">
        <is>
          <t>99991231</t>
        </is>
      </c>
    </row>
    <row r="1390">
      <c r="A1390" t="inlineStr">
        <is>
          <t>900009480</t>
        </is>
      </c>
      <c r="B1390" t="inlineStr">
        <is>
          <t>DW70</t>
        </is>
      </c>
      <c r="C1390" t="inlineStr">
        <is>
          <t>D105</t>
        </is>
      </c>
      <c r="D1390" t="inlineStr">
        <is>
          <t>10275115</t>
        </is>
      </c>
      <c r="E1390" t="inlineStr"/>
      <c r="F1390" s="11" t="n">
        <v>70.69</v>
      </c>
      <c r="G1390" t="inlineStr"/>
      <c r="I1390" t="inlineStr">
        <is>
          <t>TN</t>
        </is>
      </c>
      <c r="J1390" t="inlineStr"/>
      <c r="K1390" t="inlineStr">
        <is>
          <t>20260302</t>
        </is>
      </c>
      <c r="L1390" t="inlineStr">
        <is>
          <t>99991231</t>
        </is>
      </c>
    </row>
    <row r="1391">
      <c r="A1391" t="inlineStr">
        <is>
          <t>900009480</t>
        </is>
      </c>
      <c r="B1391" t="inlineStr">
        <is>
          <t>DW70</t>
        </is>
      </c>
      <c r="C1391" t="inlineStr">
        <is>
          <t>D136</t>
        </is>
      </c>
      <c r="D1391" t="inlineStr">
        <is>
          <t>10000160</t>
        </is>
      </c>
      <c r="E1391" t="inlineStr"/>
      <c r="F1391" s="11" t="n">
        <v>63.17</v>
      </c>
      <c r="G1391" t="inlineStr"/>
      <c r="I1391" t="inlineStr">
        <is>
          <t>TN</t>
        </is>
      </c>
      <c r="J1391" t="inlineStr"/>
      <c r="K1391" t="inlineStr">
        <is>
          <t>20260211</t>
        </is>
      </c>
      <c r="L1391" t="inlineStr">
        <is>
          <t>20260309</t>
        </is>
      </c>
    </row>
    <row r="1392">
      <c r="A1392" t="inlineStr">
        <is>
          <t>900009480</t>
        </is>
      </c>
      <c r="B1392" t="inlineStr">
        <is>
          <t>DW70</t>
        </is>
      </c>
      <c r="C1392" t="inlineStr">
        <is>
          <t>D136</t>
        </is>
      </c>
      <c r="D1392" t="inlineStr">
        <is>
          <t>10000357</t>
        </is>
      </c>
      <c r="E1392" t="inlineStr"/>
      <c r="F1392" s="11" t="n">
        <v>86.73</v>
      </c>
      <c r="G1392" t="inlineStr"/>
      <c r="I1392" t="inlineStr">
        <is>
          <t>TN</t>
        </is>
      </c>
      <c r="J1392" t="inlineStr"/>
      <c r="K1392" t="inlineStr">
        <is>
          <t>20260302</t>
        </is>
      </c>
      <c r="L1392" t="inlineStr">
        <is>
          <t>99991231</t>
        </is>
      </c>
    </row>
    <row r="1393">
      <c r="A1393" t="inlineStr">
        <is>
          <t>900009480</t>
        </is>
      </c>
      <c r="B1393" t="inlineStr">
        <is>
          <t>DW70</t>
        </is>
      </c>
      <c r="C1393" t="inlineStr">
        <is>
          <t>D136</t>
        </is>
      </c>
      <c r="D1393" t="inlineStr">
        <is>
          <t>10275115</t>
        </is>
      </c>
      <c r="E1393" t="inlineStr"/>
      <c r="F1393" s="11" t="n">
        <v>70.69</v>
      </c>
      <c r="G1393" t="inlineStr"/>
      <c r="I1393" t="inlineStr">
        <is>
          <t>TN</t>
        </is>
      </c>
      <c r="J1393" t="inlineStr"/>
      <c r="K1393" t="inlineStr">
        <is>
          <t>20260302</t>
        </is>
      </c>
      <c r="L1393" t="inlineStr">
        <is>
          <t>99991231</t>
        </is>
      </c>
    </row>
    <row r="1394">
      <c r="A1394" t="inlineStr">
        <is>
          <t>900009480</t>
        </is>
      </c>
      <c r="B1394" t="inlineStr">
        <is>
          <t>DW70</t>
        </is>
      </c>
      <c r="C1394" t="inlineStr">
        <is>
          <t>D145</t>
        </is>
      </c>
      <c r="D1394" t="inlineStr">
        <is>
          <t>10000160</t>
        </is>
      </c>
      <c r="E1394" t="inlineStr"/>
      <c r="F1394" s="11" t="n">
        <v>63.17</v>
      </c>
      <c r="G1394" t="inlineStr"/>
      <c r="I1394" t="inlineStr">
        <is>
          <t>TN</t>
        </is>
      </c>
      <c r="J1394" t="inlineStr"/>
      <c r="K1394" t="inlineStr">
        <is>
          <t>20260211</t>
        </is>
      </c>
      <c r="L1394" t="inlineStr">
        <is>
          <t>20260309</t>
        </is>
      </c>
    </row>
    <row r="1395">
      <c r="A1395" t="inlineStr">
        <is>
          <t>900009480</t>
        </is>
      </c>
      <c r="B1395" t="inlineStr">
        <is>
          <t>DW70</t>
        </is>
      </c>
      <c r="C1395" t="inlineStr">
        <is>
          <t>D145</t>
        </is>
      </c>
      <c r="D1395" t="inlineStr">
        <is>
          <t>10000357</t>
        </is>
      </c>
      <c r="E1395" t="inlineStr"/>
      <c r="F1395" s="11" t="n">
        <v>86.73</v>
      </c>
      <c r="G1395" t="inlineStr"/>
      <c r="I1395" t="inlineStr">
        <is>
          <t>TN</t>
        </is>
      </c>
      <c r="J1395" t="inlineStr"/>
      <c r="K1395" t="inlineStr">
        <is>
          <t>20260302</t>
        </is>
      </c>
      <c r="L1395" t="inlineStr">
        <is>
          <t>99991231</t>
        </is>
      </c>
    </row>
    <row r="1396">
      <c r="A1396" t="inlineStr">
        <is>
          <t>900009480</t>
        </is>
      </c>
      <c r="B1396" t="inlineStr">
        <is>
          <t>DW70</t>
        </is>
      </c>
      <c r="C1396" t="inlineStr">
        <is>
          <t>D145</t>
        </is>
      </c>
      <c r="D1396" t="inlineStr">
        <is>
          <t>10275115</t>
        </is>
      </c>
      <c r="E1396" t="inlineStr"/>
      <c r="F1396" s="11" t="n">
        <v>70.69</v>
      </c>
      <c r="G1396" t="inlineStr"/>
      <c r="I1396" t="inlineStr">
        <is>
          <t>TN</t>
        </is>
      </c>
      <c r="J1396" t="inlineStr"/>
      <c r="K1396" t="inlineStr">
        <is>
          <t>20260302</t>
        </is>
      </c>
      <c r="L1396" t="inlineStr">
        <is>
          <t>99991231</t>
        </is>
      </c>
    </row>
    <row r="1397">
      <c r="A1397" t="inlineStr">
        <is>
          <t>900009480</t>
        </is>
      </c>
      <c r="B1397" t="inlineStr">
        <is>
          <t>DW70</t>
        </is>
      </c>
      <c r="C1397" t="inlineStr">
        <is>
          <t>D681</t>
        </is>
      </c>
      <c r="D1397" t="inlineStr">
        <is>
          <t>10000160</t>
        </is>
      </c>
      <c r="E1397" t="inlineStr"/>
      <c r="F1397" s="11" t="n">
        <v>63.17</v>
      </c>
      <c r="G1397" t="inlineStr"/>
      <c r="I1397" t="inlineStr">
        <is>
          <t>TN</t>
        </is>
      </c>
      <c r="J1397" t="inlineStr"/>
      <c r="K1397" t="inlineStr">
        <is>
          <t>20260211</t>
        </is>
      </c>
      <c r="L1397" t="inlineStr">
        <is>
          <t>20260309</t>
        </is>
      </c>
    </row>
    <row r="1398">
      <c r="A1398" t="inlineStr">
        <is>
          <t>900009480</t>
        </is>
      </c>
      <c r="B1398" t="inlineStr">
        <is>
          <t>DW70</t>
        </is>
      </c>
      <c r="C1398" t="inlineStr">
        <is>
          <t>D681</t>
        </is>
      </c>
      <c r="D1398" t="inlineStr">
        <is>
          <t>10000357</t>
        </is>
      </c>
      <c r="E1398" t="inlineStr"/>
      <c r="F1398" s="11" t="n">
        <v>86.73</v>
      </c>
      <c r="G1398" t="inlineStr"/>
      <c r="I1398" t="inlineStr">
        <is>
          <t>TN</t>
        </is>
      </c>
      <c r="J1398" t="inlineStr"/>
      <c r="K1398" t="inlineStr">
        <is>
          <t>20260302</t>
        </is>
      </c>
      <c r="L1398" t="inlineStr">
        <is>
          <t>99991231</t>
        </is>
      </c>
    </row>
    <row r="1399">
      <c r="A1399" t="inlineStr">
        <is>
          <t>900009480</t>
        </is>
      </c>
      <c r="B1399" t="inlineStr">
        <is>
          <t>DW70</t>
        </is>
      </c>
      <c r="C1399" t="inlineStr">
        <is>
          <t>D681</t>
        </is>
      </c>
      <c r="D1399" t="inlineStr">
        <is>
          <t>10275115</t>
        </is>
      </c>
      <c r="E1399" t="inlineStr"/>
      <c r="F1399" s="11" t="n">
        <v>70.69</v>
      </c>
      <c r="G1399" t="inlineStr"/>
      <c r="I1399" t="inlineStr">
        <is>
          <t>TN</t>
        </is>
      </c>
      <c r="J1399" t="inlineStr"/>
      <c r="K1399" t="inlineStr">
        <is>
          <t>20260302</t>
        </is>
      </c>
      <c r="L1399" t="inlineStr">
        <is>
          <t>99991231</t>
        </is>
      </c>
    </row>
    <row r="1400">
      <c r="A1400" t="inlineStr">
        <is>
          <t>900009585</t>
        </is>
      </c>
      <c r="B1400" t="inlineStr">
        <is>
          <t>DW70</t>
        </is>
      </c>
      <c r="C1400" t="inlineStr">
        <is>
          <t>D093</t>
        </is>
      </c>
      <c r="D1400" t="inlineStr">
        <is>
          <t>10000811</t>
        </is>
      </c>
      <c r="E1400" t="inlineStr"/>
      <c r="F1400" s="11" t="n">
        <v>155.49</v>
      </c>
      <c r="G1400" t="inlineStr"/>
      <c r="I1400" t="inlineStr">
        <is>
          <t>TN</t>
        </is>
      </c>
      <c r="J1400" t="inlineStr"/>
      <c r="K1400" t="inlineStr">
        <is>
          <t>20260814</t>
        </is>
      </c>
      <c r="L1400" t="inlineStr">
        <is>
          <t>99991231</t>
        </is>
      </c>
    </row>
    <row r="1401">
      <c r="A1401" t="inlineStr">
        <is>
          <t>900009585</t>
        </is>
      </c>
      <c r="B1401" t="inlineStr">
        <is>
          <t>DW70</t>
        </is>
      </c>
      <c r="C1401" t="inlineStr">
        <is>
          <t>D145</t>
        </is>
      </c>
      <c r="D1401" t="inlineStr">
        <is>
          <t>10000811</t>
        </is>
      </c>
      <c r="E1401" t="inlineStr"/>
      <c r="F1401" s="11" t="n">
        <v>155.49</v>
      </c>
      <c r="G1401" t="inlineStr"/>
      <c r="I1401" t="inlineStr">
        <is>
          <t>TN</t>
        </is>
      </c>
      <c r="J1401" t="inlineStr"/>
      <c r="K1401" t="inlineStr">
        <is>
          <t>20260814</t>
        </is>
      </c>
      <c r="L1401" t="inlineStr">
        <is>
          <t>99991231</t>
        </is>
      </c>
    </row>
    <row r="1402">
      <c r="A1402" t="inlineStr">
        <is>
          <t>900009585</t>
        </is>
      </c>
      <c r="B1402" t="inlineStr">
        <is>
          <t>DW70</t>
        </is>
      </c>
      <c r="C1402" t="inlineStr">
        <is>
          <t>D681</t>
        </is>
      </c>
      <c r="D1402" t="inlineStr">
        <is>
          <t>10000811</t>
        </is>
      </c>
      <c r="E1402" t="inlineStr"/>
      <c r="F1402" s="11" t="n">
        <v>155.49</v>
      </c>
      <c r="G1402" t="inlineStr"/>
      <c r="I1402" t="inlineStr">
        <is>
          <t>TN</t>
        </is>
      </c>
      <c r="J1402" t="inlineStr"/>
      <c r="K1402" t="inlineStr">
        <is>
          <t>20260814</t>
        </is>
      </c>
      <c r="L140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900000034DW70D07410000623</t>
        </is>
      </c>
      <c r="B2" t="inlineStr">
        <is>
          <t>900000034</t>
        </is>
      </c>
      <c r="C2" t="inlineStr">
        <is>
          <t>DW70</t>
        </is>
      </c>
      <c r="D2" t="inlineStr">
        <is>
          <t>D074</t>
        </is>
      </c>
      <c r="E2" t="inlineStr">
        <is>
          <t>1</t>
        </is>
      </c>
      <c r="F2" t="inlineStr">
        <is>
          <t>10000623</t>
        </is>
      </c>
      <c r="H2" t="inlineStr"/>
      <c r="J2" t="n">
        <v>263.76</v>
      </c>
      <c r="K2" t="inlineStr"/>
      <c r="M2" t="inlineStr">
        <is>
          <t>TN</t>
        </is>
      </c>
      <c r="N2" t="inlineStr"/>
      <c r="P2" t="inlineStr">
        <is>
          <t>20260430</t>
        </is>
      </c>
      <c r="Q2" t="inlineStr">
        <is>
          <t>99991231</t>
        </is>
      </c>
    </row>
    <row r="3">
      <c r="A3" t="inlineStr">
        <is>
          <t>900000034DW70D07410000811</t>
        </is>
      </c>
      <c r="B3" t="inlineStr">
        <is>
          <t>900000034</t>
        </is>
      </c>
      <c r="C3" t="inlineStr">
        <is>
          <t>DW70</t>
        </is>
      </c>
      <c r="D3" t="inlineStr">
        <is>
          <t>D074</t>
        </is>
      </c>
      <c r="E3" t="inlineStr">
        <is>
          <t>1</t>
        </is>
      </c>
      <c r="F3" t="inlineStr">
        <is>
          <t>10000811</t>
        </is>
      </c>
      <c r="H3" t="inlineStr"/>
      <c r="J3" t="n">
        <v>189.28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20250131</t>
        </is>
      </c>
    </row>
    <row r="4">
      <c r="A4" t="inlineStr">
        <is>
          <t>900000034DW70D07510000623</t>
        </is>
      </c>
      <c r="B4" t="inlineStr">
        <is>
          <t>900000034</t>
        </is>
      </c>
      <c r="C4" t="inlineStr">
        <is>
          <t>DW70</t>
        </is>
      </c>
      <c r="D4" t="inlineStr">
        <is>
          <t>D075</t>
        </is>
      </c>
      <c r="E4" t="inlineStr">
        <is>
          <t>1</t>
        </is>
      </c>
      <c r="F4" t="inlineStr">
        <is>
          <t>10000623</t>
        </is>
      </c>
      <c r="H4" t="inlineStr"/>
      <c r="J4" t="n">
        <v>218.72</v>
      </c>
      <c r="K4" t="inlineStr"/>
      <c r="M4" t="inlineStr">
        <is>
          <t>TN</t>
        </is>
      </c>
      <c r="N4" t="inlineStr"/>
      <c r="P4" t="inlineStr">
        <is>
          <t>20260430</t>
        </is>
      </c>
      <c r="Q4" t="inlineStr">
        <is>
          <t>99991231</t>
        </is>
      </c>
    </row>
    <row r="5">
      <c r="A5" t="inlineStr">
        <is>
          <t>900000034DW70D07510000811</t>
        </is>
      </c>
      <c r="B5" t="inlineStr">
        <is>
          <t>900000034</t>
        </is>
      </c>
      <c r="C5" t="inlineStr">
        <is>
          <t>DW70</t>
        </is>
      </c>
      <c r="D5" t="inlineStr">
        <is>
          <t>D075</t>
        </is>
      </c>
      <c r="E5" t="inlineStr">
        <is>
          <t>1</t>
        </is>
      </c>
      <c r="F5" t="inlineStr">
        <is>
          <t>10000811</t>
        </is>
      </c>
      <c r="H5" t="inlineStr"/>
      <c r="J5" t="n">
        <v>156.97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20250131</t>
        </is>
      </c>
    </row>
    <row r="6">
      <c r="A6" t="inlineStr">
        <is>
          <t>900000034DW70D07710000623</t>
        </is>
      </c>
      <c r="B6" t="inlineStr">
        <is>
          <t>900000034</t>
        </is>
      </c>
      <c r="C6" t="inlineStr">
        <is>
          <t>DW70</t>
        </is>
      </c>
      <c r="D6" t="inlineStr">
        <is>
          <t>D077</t>
        </is>
      </c>
      <c r="E6" t="inlineStr">
        <is>
          <t>1</t>
        </is>
      </c>
      <c r="F6" t="inlineStr">
        <is>
          <t>10000623</t>
        </is>
      </c>
      <c r="H6" t="inlineStr"/>
      <c r="J6" t="n">
        <v>223.62</v>
      </c>
      <c r="K6" t="inlineStr"/>
      <c r="M6" t="inlineStr">
        <is>
          <t>TN</t>
        </is>
      </c>
      <c r="N6" t="inlineStr"/>
      <c r="P6" t="inlineStr">
        <is>
          <t>20260508</t>
        </is>
      </c>
      <c r="Q6" t="inlineStr">
        <is>
          <t>99991231</t>
        </is>
      </c>
    </row>
    <row r="7">
      <c r="A7" t="inlineStr">
        <is>
          <t>900000034DW70D07710000811</t>
        </is>
      </c>
      <c r="B7" t="inlineStr">
        <is>
          <t>900000034</t>
        </is>
      </c>
      <c r="C7" t="inlineStr">
        <is>
          <t>DW70</t>
        </is>
      </c>
      <c r="D7" t="inlineStr">
        <is>
          <t>D077</t>
        </is>
      </c>
      <c r="E7" t="inlineStr">
        <is>
          <t>1</t>
        </is>
      </c>
      <c r="F7" t="inlineStr">
        <is>
          <t>10000811</t>
        </is>
      </c>
      <c r="H7" t="inlineStr"/>
      <c r="J7" t="n">
        <v>240.06</v>
      </c>
      <c r="K7" t="inlineStr"/>
      <c r="M7" t="inlineStr">
        <is>
          <t>TN</t>
        </is>
      </c>
      <c r="N7" t="inlineStr"/>
      <c r="P7" t="inlineStr">
        <is>
          <t>20220331</t>
        </is>
      </c>
      <c r="Q7" t="inlineStr">
        <is>
          <t>20250131</t>
        </is>
      </c>
    </row>
    <row r="8">
      <c r="A8" t="inlineStr">
        <is>
          <t>900000034DW70D07910000623</t>
        </is>
      </c>
      <c r="B8" t="inlineStr">
        <is>
          <t>900000034</t>
        </is>
      </c>
      <c r="C8" t="inlineStr">
        <is>
          <t>DW70</t>
        </is>
      </c>
      <c r="D8" t="inlineStr">
        <is>
          <t>D079</t>
        </is>
      </c>
      <c r="E8" t="inlineStr">
        <is>
          <t>1</t>
        </is>
      </c>
      <c r="F8" t="inlineStr">
        <is>
          <t>10000623</t>
        </is>
      </c>
      <c r="H8" t="inlineStr"/>
      <c r="J8" t="n">
        <v>331.31</v>
      </c>
      <c r="K8" t="inlineStr"/>
      <c r="M8" t="inlineStr">
        <is>
          <t>TN</t>
        </is>
      </c>
      <c r="N8" t="inlineStr"/>
      <c r="P8" t="inlineStr">
        <is>
          <t>20260430</t>
        </is>
      </c>
      <c r="Q8" t="inlineStr">
        <is>
          <t>99991231</t>
        </is>
      </c>
    </row>
    <row r="9">
      <c r="A9" t="inlineStr">
        <is>
          <t>900000034DW70D07910000811</t>
        </is>
      </c>
      <c r="B9" t="inlineStr">
        <is>
          <t>900000034</t>
        </is>
      </c>
      <c r="C9" t="inlineStr">
        <is>
          <t>DW70</t>
        </is>
      </c>
      <c r="D9" t="inlineStr">
        <is>
          <t>D079</t>
        </is>
      </c>
      <c r="E9" t="inlineStr">
        <is>
          <t>1</t>
        </is>
      </c>
      <c r="F9" t="inlineStr">
        <is>
          <t>10000811</t>
        </is>
      </c>
      <c r="H9" t="inlineStr"/>
      <c r="J9" t="n">
        <v>237.75</v>
      </c>
      <c r="K9" t="inlineStr"/>
      <c r="M9" t="inlineStr">
        <is>
          <t>TN</t>
        </is>
      </c>
      <c r="N9" t="inlineStr"/>
      <c r="P9" t="inlineStr">
        <is>
          <t>20220331</t>
        </is>
      </c>
      <c r="Q9" t="inlineStr">
        <is>
          <t>20250131</t>
        </is>
      </c>
    </row>
    <row r="10">
      <c r="A10" t="inlineStr">
        <is>
          <t>900000034DW70D08010000623</t>
        </is>
      </c>
      <c r="B10" t="inlineStr">
        <is>
          <t>900000034</t>
        </is>
      </c>
      <c r="C10" t="inlineStr">
        <is>
          <t>DW70</t>
        </is>
      </c>
      <c r="D10" t="inlineStr">
        <is>
          <t>D080</t>
        </is>
      </c>
      <c r="E10" t="inlineStr">
        <is>
          <t>1</t>
        </is>
      </c>
      <c r="F10" t="inlineStr">
        <is>
          <t>10000623</t>
        </is>
      </c>
      <c r="H10" t="inlineStr"/>
      <c r="J10" t="n">
        <v>218.72</v>
      </c>
      <c r="K10" t="inlineStr"/>
      <c r="M10" t="inlineStr">
        <is>
          <t>TN</t>
        </is>
      </c>
      <c r="N10" t="inlineStr"/>
      <c r="P10" t="inlineStr">
        <is>
          <t>20260430</t>
        </is>
      </c>
      <c r="Q10" t="inlineStr">
        <is>
          <t>99991231</t>
        </is>
      </c>
    </row>
    <row r="11">
      <c r="A11" t="inlineStr">
        <is>
          <t>900000034DW70D08010000811</t>
        </is>
      </c>
      <c r="B11" t="inlineStr">
        <is>
          <t>900000034</t>
        </is>
      </c>
      <c r="C11" t="inlineStr">
        <is>
          <t>DW70</t>
        </is>
      </c>
      <c r="D11" t="inlineStr">
        <is>
          <t>D080</t>
        </is>
      </c>
      <c r="E11" t="inlineStr">
        <is>
          <t>1</t>
        </is>
      </c>
      <c r="F11" t="inlineStr">
        <is>
          <t>10000811</t>
        </is>
      </c>
      <c r="H11" t="inlineStr"/>
      <c r="J11" t="n">
        <v>156.97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20250131</t>
        </is>
      </c>
    </row>
    <row r="12">
      <c r="A12" t="inlineStr">
        <is>
          <t>900000034DW70D08110000623</t>
        </is>
      </c>
      <c r="B12" t="inlineStr">
        <is>
          <t>900000034</t>
        </is>
      </c>
      <c r="C12" t="inlineStr">
        <is>
          <t>DW70</t>
        </is>
      </c>
      <c r="D12" t="inlineStr">
        <is>
          <t>D081</t>
        </is>
      </c>
      <c r="E12" t="inlineStr">
        <is>
          <t>1</t>
        </is>
      </c>
      <c r="F12" t="inlineStr">
        <is>
          <t>10000623</t>
        </is>
      </c>
      <c r="H12" t="inlineStr"/>
      <c r="J12" t="n">
        <v>202.65</v>
      </c>
      <c r="K12" t="inlineStr"/>
      <c r="M12" t="inlineStr">
        <is>
          <t>TN</t>
        </is>
      </c>
      <c r="N12" t="inlineStr"/>
      <c r="P12" t="inlineStr">
        <is>
          <t>20260430</t>
        </is>
      </c>
      <c r="Q12" t="inlineStr">
        <is>
          <t>99991231</t>
        </is>
      </c>
    </row>
    <row r="13">
      <c r="A13" t="inlineStr">
        <is>
          <t>900000034DW70D08110000811</t>
        </is>
      </c>
      <c r="B13" t="inlineStr">
        <is>
          <t>900000034</t>
        </is>
      </c>
      <c r="C13" t="inlineStr">
        <is>
          <t>DW70</t>
        </is>
      </c>
      <c r="D13" t="inlineStr">
        <is>
          <t>D081</t>
        </is>
      </c>
      <c r="E13" t="inlineStr">
        <is>
          <t>1</t>
        </is>
      </c>
      <c r="F13" t="inlineStr">
        <is>
          <t>10000811</t>
        </is>
      </c>
      <c r="H13" t="inlineStr"/>
      <c r="J13" t="n">
        <v>145.43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20250131</t>
        </is>
      </c>
    </row>
    <row r="14">
      <c r="A14" t="inlineStr">
        <is>
          <t>900000034DW70D08310000623</t>
        </is>
      </c>
      <c r="B14" t="inlineStr">
        <is>
          <t>900000034</t>
        </is>
      </c>
      <c r="C14" t="inlineStr">
        <is>
          <t>DW70</t>
        </is>
      </c>
      <c r="D14" t="inlineStr">
        <is>
          <t>D083</t>
        </is>
      </c>
      <c r="E14" t="inlineStr">
        <is>
          <t>1</t>
        </is>
      </c>
      <c r="F14" t="inlineStr">
        <is>
          <t>10000623</t>
        </is>
      </c>
      <c r="H14" t="inlineStr"/>
      <c r="J14" t="n">
        <v>250.89</v>
      </c>
      <c r="K14" t="inlineStr"/>
      <c r="M14" t="inlineStr">
        <is>
          <t>TN</t>
        </is>
      </c>
      <c r="N14" t="inlineStr"/>
      <c r="P14" t="inlineStr">
        <is>
          <t>20260430</t>
        </is>
      </c>
      <c r="Q14" t="inlineStr">
        <is>
          <t>99991231</t>
        </is>
      </c>
    </row>
    <row r="15">
      <c r="A15" t="inlineStr">
        <is>
          <t>900000034DW70D08310000811</t>
        </is>
      </c>
      <c r="B15" t="inlineStr">
        <is>
          <t>900000034</t>
        </is>
      </c>
      <c r="C15" t="inlineStr">
        <is>
          <t>DW70</t>
        </is>
      </c>
      <c r="D15" t="inlineStr">
        <is>
          <t>D083</t>
        </is>
      </c>
      <c r="E15" t="inlineStr">
        <is>
          <t>1</t>
        </is>
      </c>
      <c r="F15" t="inlineStr">
        <is>
          <t>10000811</t>
        </is>
      </c>
      <c r="H15" t="inlineStr"/>
      <c r="J15" t="n">
        <v>180.05</v>
      </c>
      <c r="K15" t="inlineStr"/>
      <c r="M15" t="inlineStr">
        <is>
          <t>TN</t>
        </is>
      </c>
      <c r="N15" t="inlineStr"/>
      <c r="P15" t="inlineStr">
        <is>
          <t>20220331</t>
        </is>
      </c>
      <c r="Q15" t="inlineStr">
        <is>
          <t>20250131</t>
        </is>
      </c>
    </row>
    <row r="16">
      <c r="A16" t="inlineStr">
        <is>
          <t>900000034DW70D08410000623</t>
        </is>
      </c>
      <c r="B16" t="inlineStr">
        <is>
          <t>900000034</t>
        </is>
      </c>
      <c r="C16" t="inlineStr">
        <is>
          <t>DW70</t>
        </is>
      </c>
      <c r="D16" t="inlineStr">
        <is>
          <t>D084</t>
        </is>
      </c>
      <c r="E16" t="inlineStr">
        <is>
          <t>1</t>
        </is>
      </c>
      <c r="F16" t="inlineStr">
        <is>
          <t>10000623</t>
        </is>
      </c>
      <c r="H16" t="inlineStr"/>
      <c r="J16" t="n">
        <v>312.01</v>
      </c>
      <c r="K16" t="inlineStr"/>
      <c r="M16" t="inlineStr">
        <is>
          <t>TN</t>
        </is>
      </c>
      <c r="N16" t="inlineStr"/>
      <c r="P16" t="inlineStr">
        <is>
          <t>20260430</t>
        </is>
      </c>
      <c r="Q16" t="inlineStr">
        <is>
          <t>99991231</t>
        </is>
      </c>
    </row>
    <row r="17">
      <c r="A17" t="inlineStr">
        <is>
          <t>900000034DW70D08410000811</t>
        </is>
      </c>
      <c r="B17" t="inlineStr">
        <is>
          <t>900000034</t>
        </is>
      </c>
      <c r="C17" t="inlineStr">
        <is>
          <t>DW70</t>
        </is>
      </c>
      <c r="D17" t="inlineStr">
        <is>
          <t>D084</t>
        </is>
      </c>
      <c r="E17" t="inlineStr">
        <is>
          <t>1</t>
        </is>
      </c>
      <c r="F17" t="inlineStr">
        <is>
          <t>10000811</t>
        </is>
      </c>
      <c r="H17" t="inlineStr"/>
      <c r="J17" t="n">
        <v>223.9</v>
      </c>
      <c r="K17" t="inlineStr"/>
      <c r="M17" t="inlineStr">
        <is>
          <t>TN</t>
        </is>
      </c>
      <c r="N17" t="inlineStr"/>
      <c r="P17" t="inlineStr">
        <is>
          <t>20220331</t>
        </is>
      </c>
      <c r="Q17" t="inlineStr">
        <is>
          <t>20250131</t>
        </is>
      </c>
    </row>
    <row r="18">
      <c r="A18" t="inlineStr">
        <is>
          <t>900000034DW70D08510000623</t>
        </is>
      </c>
      <c r="B18" t="inlineStr">
        <is>
          <t>900000034</t>
        </is>
      </c>
      <c r="C18" t="inlineStr">
        <is>
          <t>DW70</t>
        </is>
      </c>
      <c r="D18" t="inlineStr">
        <is>
          <t>D085</t>
        </is>
      </c>
      <c r="E18" t="inlineStr">
        <is>
          <t>1</t>
        </is>
      </c>
      <c r="F18" t="inlineStr">
        <is>
          <t>10000623</t>
        </is>
      </c>
      <c r="H18" t="inlineStr"/>
      <c r="J18" t="n">
        <v>302.35</v>
      </c>
      <c r="K18" t="inlineStr"/>
      <c r="M18" t="inlineStr">
        <is>
          <t>TN</t>
        </is>
      </c>
      <c r="N18" t="inlineStr"/>
      <c r="P18" t="inlineStr">
        <is>
          <t>20260430</t>
        </is>
      </c>
      <c r="Q18" t="inlineStr">
        <is>
          <t>99991231</t>
        </is>
      </c>
    </row>
    <row r="19">
      <c r="A19" t="inlineStr">
        <is>
          <t>900000034DW70D08510000811</t>
        </is>
      </c>
      <c r="B19" t="inlineStr">
        <is>
          <t>900000034</t>
        </is>
      </c>
      <c r="C19" t="inlineStr">
        <is>
          <t>DW70</t>
        </is>
      </c>
      <c r="D19" t="inlineStr">
        <is>
          <t>D085</t>
        </is>
      </c>
      <c r="E19" t="inlineStr">
        <is>
          <t>1</t>
        </is>
      </c>
      <c r="F19" t="inlineStr">
        <is>
          <t>10000811</t>
        </is>
      </c>
      <c r="H19" t="inlineStr"/>
      <c r="J19" t="n">
        <v>216.98</v>
      </c>
      <c r="K19" t="inlineStr"/>
      <c r="M19" t="inlineStr">
        <is>
          <t>TN</t>
        </is>
      </c>
      <c r="N19" t="inlineStr"/>
      <c r="P19" t="inlineStr">
        <is>
          <t>20220331</t>
        </is>
      </c>
      <c r="Q19" t="inlineStr">
        <is>
          <t>20250131</t>
        </is>
      </c>
    </row>
    <row r="20">
      <c r="A20" t="inlineStr">
        <is>
          <t>900000034DW70D08610000623</t>
        </is>
      </c>
      <c r="B20" t="inlineStr">
        <is>
          <t>900000034</t>
        </is>
      </c>
      <c r="C20" t="inlineStr">
        <is>
          <t>DW70</t>
        </is>
      </c>
      <c r="D20" t="inlineStr">
        <is>
          <t>D086</t>
        </is>
      </c>
      <c r="E20" t="inlineStr">
        <is>
          <t>1</t>
        </is>
      </c>
      <c r="F20" t="inlineStr">
        <is>
          <t>10000623</t>
        </is>
      </c>
      <c r="H20" t="inlineStr"/>
      <c r="J20" t="n">
        <v>270.19</v>
      </c>
      <c r="K20" t="inlineStr"/>
      <c r="M20" t="inlineStr">
        <is>
          <t>TN</t>
        </is>
      </c>
      <c r="N20" t="inlineStr"/>
      <c r="P20" t="inlineStr">
        <is>
          <t>20260430</t>
        </is>
      </c>
      <c r="Q20" t="inlineStr">
        <is>
          <t>99991231</t>
        </is>
      </c>
    </row>
    <row r="21">
      <c r="A21" t="inlineStr">
        <is>
          <t>900000034DW70D08610000811</t>
        </is>
      </c>
      <c r="B21" t="inlineStr">
        <is>
          <t>900000034</t>
        </is>
      </c>
      <c r="C21" t="inlineStr">
        <is>
          <t>DW70</t>
        </is>
      </c>
      <c r="D21" t="inlineStr">
        <is>
          <t>D086</t>
        </is>
      </c>
      <c r="E21" t="inlineStr">
        <is>
          <t>1</t>
        </is>
      </c>
      <c r="F21" t="inlineStr">
        <is>
          <t>10000811</t>
        </is>
      </c>
      <c r="H21" t="inlineStr"/>
      <c r="J21" t="n">
        <v>193.9</v>
      </c>
      <c r="K21" t="inlineStr"/>
      <c r="M21" t="inlineStr">
        <is>
          <t>TN</t>
        </is>
      </c>
      <c r="N21" t="inlineStr"/>
      <c r="P21" t="inlineStr">
        <is>
          <t>20220331</t>
        </is>
      </c>
      <c r="Q21" t="inlineStr">
        <is>
          <t>20250131</t>
        </is>
      </c>
    </row>
    <row r="22">
      <c r="A22" t="inlineStr">
        <is>
          <t>900000034DW70D08810000623</t>
        </is>
      </c>
      <c r="B22" t="inlineStr">
        <is>
          <t>900000034</t>
        </is>
      </c>
      <c r="C22" t="inlineStr">
        <is>
          <t>DW70</t>
        </is>
      </c>
      <c r="D22" t="inlineStr">
        <is>
          <t>D088</t>
        </is>
      </c>
      <c r="E22" t="inlineStr">
        <is>
          <t>1</t>
        </is>
      </c>
      <c r="F22" t="inlineStr">
        <is>
          <t>10000623</t>
        </is>
      </c>
      <c r="H22" t="inlineStr"/>
      <c r="J22" t="n">
        <v>52.74</v>
      </c>
      <c r="K22" t="inlineStr"/>
      <c r="M22" t="inlineStr">
        <is>
          <t>TN</t>
        </is>
      </c>
      <c r="N22" t="inlineStr"/>
      <c r="P22" t="inlineStr">
        <is>
          <t>20250401</t>
        </is>
      </c>
      <c r="Q22" t="inlineStr">
        <is>
          <t>20251031</t>
        </is>
      </c>
    </row>
    <row r="23">
      <c r="A23" t="inlineStr">
        <is>
          <t>900000034DW70D08810000811</t>
        </is>
      </c>
      <c r="B23" t="inlineStr">
        <is>
          <t>900000034</t>
        </is>
      </c>
      <c r="C23" t="inlineStr">
        <is>
          <t>DW70</t>
        </is>
      </c>
      <c r="D23" t="inlineStr">
        <is>
          <t>D088</t>
        </is>
      </c>
      <c r="E23" t="inlineStr">
        <is>
          <t>1</t>
        </is>
      </c>
      <c r="F23" t="inlineStr">
        <is>
          <t>10000811</t>
        </is>
      </c>
      <c r="H23" t="inlineStr"/>
      <c r="J23" t="n">
        <v>46.07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20250131</t>
        </is>
      </c>
    </row>
    <row r="24">
      <c r="A24" t="inlineStr">
        <is>
          <t>900000034DW70D08910000811</t>
        </is>
      </c>
      <c r="B24" t="inlineStr">
        <is>
          <t>900000034</t>
        </is>
      </c>
      <c r="C24" t="inlineStr">
        <is>
          <t>DW70</t>
        </is>
      </c>
      <c r="D24" t="inlineStr">
        <is>
          <t>D089</t>
        </is>
      </c>
      <c r="E24" t="inlineStr">
        <is>
          <t>1</t>
        </is>
      </c>
      <c r="F24" t="inlineStr">
        <is>
          <t>10000811</t>
        </is>
      </c>
      <c r="H24" t="inlineStr"/>
      <c r="J24" t="n">
        <v>17.16</v>
      </c>
      <c r="K24" t="inlineStr"/>
      <c r="M24" t="inlineStr">
        <is>
          <t>TN</t>
        </is>
      </c>
      <c r="N24" t="inlineStr"/>
      <c r="P24" t="inlineStr">
        <is>
          <t>20220331</t>
        </is>
      </c>
      <c r="Q24" t="inlineStr">
        <is>
          <t>20250131</t>
        </is>
      </c>
    </row>
    <row r="25">
      <c r="A25" t="inlineStr">
        <is>
          <t>900000034DW70D09310000623</t>
        </is>
      </c>
      <c r="B25" t="inlineStr">
        <is>
          <t>900000034</t>
        </is>
      </c>
      <c r="C25" t="inlineStr">
        <is>
          <t>DW70</t>
        </is>
      </c>
      <c r="D25" t="inlineStr">
        <is>
          <t>D093</t>
        </is>
      </c>
      <c r="E25" t="inlineStr">
        <is>
          <t>1</t>
        </is>
      </c>
      <c r="F25" t="inlineStr">
        <is>
          <t>10000623</t>
        </is>
      </c>
      <c r="H25" t="inlineStr"/>
      <c r="J25" t="n">
        <v>147.96</v>
      </c>
      <c r="K25" t="inlineStr"/>
      <c r="M25" t="inlineStr">
        <is>
          <t>TN</t>
        </is>
      </c>
      <c r="N25" t="inlineStr"/>
      <c r="P25" t="inlineStr">
        <is>
          <t>20260430</t>
        </is>
      </c>
      <c r="Q25" t="inlineStr">
        <is>
          <t>99991231</t>
        </is>
      </c>
    </row>
    <row r="26">
      <c r="A26" t="inlineStr">
        <is>
          <t>900000034DW70D09310000811</t>
        </is>
      </c>
      <c r="B26" t="inlineStr">
        <is>
          <t>900000034</t>
        </is>
      </c>
      <c r="C26" t="inlineStr">
        <is>
          <t>DW70</t>
        </is>
      </c>
      <c r="D26" t="inlineStr">
        <is>
          <t>D093</t>
        </is>
      </c>
      <c r="E26" t="inlineStr">
        <is>
          <t>1</t>
        </is>
      </c>
      <c r="F26" t="inlineStr">
        <is>
          <t>10000811</t>
        </is>
      </c>
      <c r="H26" t="inlineStr"/>
      <c r="J26" t="n">
        <v>106.19</v>
      </c>
      <c r="K26" t="inlineStr"/>
      <c r="M26" t="inlineStr">
        <is>
          <t>TN</t>
        </is>
      </c>
      <c r="N26" t="inlineStr"/>
      <c r="P26" t="inlineStr">
        <is>
          <t>20220331</t>
        </is>
      </c>
      <c r="Q26" t="inlineStr">
        <is>
          <t>20250131</t>
        </is>
      </c>
    </row>
    <row r="27">
      <c r="A27" t="inlineStr">
        <is>
          <t>900000034DW70D09810000623</t>
        </is>
      </c>
      <c r="B27" t="inlineStr">
        <is>
          <t>900000034</t>
        </is>
      </c>
      <c r="C27" t="inlineStr">
        <is>
          <t>DW70</t>
        </is>
      </c>
      <c r="D27" t="inlineStr">
        <is>
          <t>D098</t>
        </is>
      </c>
      <c r="E27" t="inlineStr">
        <is>
          <t>1</t>
        </is>
      </c>
      <c r="F27" t="inlineStr">
        <is>
          <t>10000623</t>
        </is>
      </c>
      <c r="H27" t="inlineStr"/>
      <c r="J27" t="n">
        <v>112.58</v>
      </c>
      <c r="K27" t="inlineStr"/>
      <c r="M27" t="inlineStr">
        <is>
          <t>TN</t>
        </is>
      </c>
      <c r="N27" t="inlineStr"/>
      <c r="P27" t="inlineStr">
        <is>
          <t>20260430</t>
        </is>
      </c>
      <c r="Q27" t="inlineStr">
        <is>
          <t>99991231</t>
        </is>
      </c>
    </row>
    <row r="28">
      <c r="A28" t="inlineStr">
        <is>
          <t>900000034DW70D09810000811</t>
        </is>
      </c>
      <c r="B28" t="inlineStr">
        <is>
          <t>900000034</t>
        </is>
      </c>
      <c r="C28" t="inlineStr">
        <is>
          <t>DW70</t>
        </is>
      </c>
      <c r="D28" t="inlineStr">
        <is>
          <t>D098</t>
        </is>
      </c>
      <c r="E28" t="inlineStr">
        <is>
          <t>1</t>
        </is>
      </c>
      <c r="F28" t="inlineStr">
        <is>
          <t>10000811</t>
        </is>
      </c>
      <c r="H28" t="inlineStr"/>
      <c r="J28" t="n">
        <v>80.79000000000001</v>
      </c>
      <c r="K28" t="inlineStr"/>
      <c r="M28" t="inlineStr">
        <is>
          <t>TN</t>
        </is>
      </c>
      <c r="N28" t="inlineStr"/>
      <c r="P28" t="inlineStr">
        <is>
          <t>20220331</t>
        </is>
      </c>
      <c r="Q28" t="inlineStr">
        <is>
          <t>20250131</t>
        </is>
      </c>
    </row>
    <row r="29">
      <c r="A29" t="inlineStr">
        <is>
          <t>900000034DW70D10510000623</t>
        </is>
      </c>
      <c r="B29" t="inlineStr">
        <is>
          <t>900000034</t>
        </is>
      </c>
      <c r="C29" t="inlineStr">
        <is>
          <t>DW70</t>
        </is>
      </c>
      <c r="D29" t="inlineStr">
        <is>
          <t>D105</t>
        </is>
      </c>
      <c r="E29" t="inlineStr">
        <is>
          <t>1</t>
        </is>
      </c>
      <c r="F29" t="inlineStr">
        <is>
          <t>10000623</t>
        </is>
      </c>
      <c r="H29" t="inlineStr"/>
      <c r="J29" t="n">
        <v>194.31</v>
      </c>
      <c r="K29" t="inlineStr"/>
      <c r="M29" t="inlineStr">
        <is>
          <t>TN</t>
        </is>
      </c>
      <c r="N29" t="inlineStr"/>
      <c r="P29" t="inlineStr">
        <is>
          <t>20250401</t>
        </is>
      </c>
      <c r="Q29" t="inlineStr">
        <is>
          <t>20251031</t>
        </is>
      </c>
    </row>
    <row r="30">
      <c r="A30" t="inlineStr">
        <is>
          <t>900000034DW70D10510000811</t>
        </is>
      </c>
      <c r="B30" t="inlineStr">
        <is>
          <t>900000034</t>
        </is>
      </c>
      <c r="C30" t="inlineStr">
        <is>
          <t>DW70</t>
        </is>
      </c>
      <c r="D30" t="inlineStr">
        <is>
          <t>D105</t>
        </is>
      </c>
      <c r="E30" t="inlineStr">
        <is>
          <t>1</t>
        </is>
      </c>
      <c r="F30" t="inlineStr">
        <is>
          <t>10000811</t>
        </is>
      </c>
      <c r="H30" t="inlineStr"/>
      <c r="J30" t="n">
        <v>150.04</v>
      </c>
      <c r="K30" t="inlineStr"/>
      <c r="M30" t="inlineStr">
        <is>
          <t>TN</t>
        </is>
      </c>
      <c r="N30" t="inlineStr"/>
      <c r="P30" t="inlineStr">
        <is>
          <t>20220331</t>
        </is>
      </c>
      <c r="Q30" t="inlineStr">
        <is>
          <t>20250131</t>
        </is>
      </c>
    </row>
    <row r="31">
      <c r="A31" t="inlineStr">
        <is>
          <t>900000034DW70D11010000811</t>
        </is>
      </c>
      <c r="B31" t="inlineStr">
        <is>
          <t>900000034</t>
        </is>
      </c>
      <c r="C31" t="inlineStr">
        <is>
          <t>DW70</t>
        </is>
      </c>
      <c r="D31" t="inlineStr">
        <is>
          <t>D110</t>
        </is>
      </c>
      <c r="E31" t="inlineStr">
        <is>
          <t>1</t>
        </is>
      </c>
      <c r="F31" t="inlineStr">
        <is>
          <t>10000811</t>
        </is>
      </c>
      <c r="H31" t="inlineStr"/>
      <c r="J31" t="n">
        <v>141.9</v>
      </c>
      <c r="K31" t="inlineStr"/>
      <c r="M31" t="inlineStr">
        <is>
          <t>TN</t>
        </is>
      </c>
      <c r="N31" t="inlineStr"/>
      <c r="P31" t="inlineStr">
        <is>
          <t>20220331</t>
        </is>
      </c>
      <c r="Q31" t="inlineStr">
        <is>
          <t>20250131</t>
        </is>
      </c>
    </row>
    <row r="32">
      <c r="A32" t="inlineStr">
        <is>
          <t>900000034DW70D13610000623</t>
        </is>
      </c>
      <c r="B32" t="inlineStr">
        <is>
          <t>900000034</t>
        </is>
      </c>
      <c r="C32" t="inlineStr">
        <is>
          <t>DW70</t>
        </is>
      </c>
      <c r="D32" t="inlineStr">
        <is>
          <t>D136</t>
        </is>
      </c>
      <c r="E32" t="inlineStr">
        <is>
          <t>1</t>
        </is>
      </c>
      <c r="F32" t="inlineStr">
        <is>
          <t>10000623</t>
        </is>
      </c>
      <c r="H32" t="inlineStr"/>
      <c r="J32" t="n">
        <v>257.33</v>
      </c>
      <c r="K32" t="inlineStr"/>
      <c r="M32" t="inlineStr">
        <is>
          <t>TN</t>
        </is>
      </c>
      <c r="N32" t="inlineStr"/>
      <c r="P32" t="inlineStr">
        <is>
          <t>20260430</t>
        </is>
      </c>
      <c r="Q32" t="inlineStr">
        <is>
          <t>99991231</t>
        </is>
      </c>
    </row>
    <row r="33">
      <c r="A33" t="inlineStr">
        <is>
          <t>900000034DW70D13610000811</t>
        </is>
      </c>
      <c r="B33" t="inlineStr">
        <is>
          <t>900000034</t>
        </is>
      </c>
      <c r="C33" t="inlineStr">
        <is>
          <t>DW70</t>
        </is>
      </c>
      <c r="D33" t="inlineStr">
        <is>
          <t>D136</t>
        </is>
      </c>
      <c r="E33" t="inlineStr">
        <is>
          <t>1</t>
        </is>
      </c>
      <c r="F33" t="inlineStr">
        <is>
          <t>10000811</t>
        </is>
      </c>
      <c r="H33" t="inlineStr"/>
      <c r="J33" t="n">
        <v>184.66</v>
      </c>
      <c r="K33" t="inlineStr"/>
      <c r="M33" t="inlineStr">
        <is>
          <t>TN</t>
        </is>
      </c>
      <c r="N33" t="inlineStr"/>
      <c r="P33" t="inlineStr">
        <is>
          <t>20220331</t>
        </is>
      </c>
      <c r="Q33" t="inlineStr">
        <is>
          <t>20250131</t>
        </is>
      </c>
    </row>
    <row r="34">
      <c r="A34" t="inlineStr">
        <is>
          <t>900000034DW70D14510000623</t>
        </is>
      </c>
      <c r="B34" t="inlineStr">
        <is>
          <t>900000034</t>
        </is>
      </c>
      <c r="C34" t="inlineStr">
        <is>
          <t>DW70</t>
        </is>
      </c>
      <c r="D34" t="inlineStr">
        <is>
          <t>D145</t>
        </is>
      </c>
      <c r="E34" t="inlineStr">
        <is>
          <t>1</t>
        </is>
      </c>
      <c r="F34" t="inlineStr">
        <is>
          <t>10000623</t>
        </is>
      </c>
      <c r="H34" t="inlineStr"/>
      <c r="J34" t="n">
        <v>192.99</v>
      </c>
      <c r="K34" t="inlineStr"/>
      <c r="M34" t="inlineStr">
        <is>
          <t>TN</t>
        </is>
      </c>
      <c r="N34" t="inlineStr"/>
      <c r="P34" t="inlineStr">
        <is>
          <t>20260430</t>
        </is>
      </c>
      <c r="Q34" t="inlineStr">
        <is>
          <t>99991231</t>
        </is>
      </c>
    </row>
    <row r="35">
      <c r="A35" t="inlineStr">
        <is>
          <t>900000034DW70D14510000811</t>
        </is>
      </c>
      <c r="B35" t="inlineStr">
        <is>
          <t>900000034</t>
        </is>
      </c>
      <c r="C35" t="inlineStr">
        <is>
          <t>DW70</t>
        </is>
      </c>
      <c r="D35" t="inlineStr">
        <is>
          <t>D145</t>
        </is>
      </c>
      <c r="E35" t="inlineStr">
        <is>
          <t>1</t>
        </is>
      </c>
      <c r="F35" t="inlineStr">
        <is>
          <t>10000811</t>
        </is>
      </c>
      <c r="H35" t="inlineStr"/>
      <c r="J35" t="n">
        <v>138.5</v>
      </c>
      <c r="K35" t="inlineStr"/>
      <c r="M35" t="inlineStr">
        <is>
          <t>TN</t>
        </is>
      </c>
      <c r="N35" t="inlineStr"/>
      <c r="P35" t="inlineStr">
        <is>
          <t>20220331</t>
        </is>
      </c>
      <c r="Q35" t="inlineStr">
        <is>
          <t>20250131</t>
        </is>
      </c>
    </row>
    <row r="36">
      <c r="A36" t="inlineStr">
        <is>
          <t>900000034DW70D14510159432</t>
        </is>
      </c>
      <c r="B36" t="inlineStr">
        <is>
          <t>900000034</t>
        </is>
      </c>
      <c r="C36" t="inlineStr">
        <is>
          <t>DW70</t>
        </is>
      </c>
      <c r="D36" t="inlineStr">
        <is>
          <t>D145</t>
        </is>
      </c>
      <c r="E36" t="inlineStr">
        <is>
          <t>1</t>
        </is>
      </c>
      <c r="F36" t="inlineStr">
        <is>
          <t>10159432</t>
        </is>
      </c>
      <c r="H36" t="inlineStr"/>
      <c r="J36" t="n">
        <v>149</v>
      </c>
      <c r="K36" t="inlineStr"/>
      <c r="M36" t="inlineStr">
        <is>
          <t>TN</t>
        </is>
      </c>
      <c r="N36" t="inlineStr"/>
      <c r="P36" t="inlineStr">
        <is>
          <t>20220331</t>
        </is>
      </c>
      <c r="Q36" t="inlineStr">
        <is>
          <t>20250131</t>
        </is>
      </c>
    </row>
    <row r="37">
      <c r="A37" t="inlineStr">
        <is>
          <t>900000080DW70D07510000625</t>
        </is>
      </c>
      <c r="B37" t="inlineStr">
        <is>
          <t>900000080</t>
        </is>
      </c>
      <c r="C37" t="inlineStr">
        <is>
          <t>DW70</t>
        </is>
      </c>
      <c r="D37" t="inlineStr">
        <is>
          <t>D075</t>
        </is>
      </c>
      <c r="E37" t="inlineStr">
        <is>
          <t>1</t>
        </is>
      </c>
      <c r="F37" t="inlineStr">
        <is>
          <t>10000625</t>
        </is>
      </c>
      <c r="H37" t="inlineStr"/>
      <c r="J37" t="n">
        <v>96.73999999999999</v>
      </c>
      <c r="K37" t="inlineStr"/>
      <c r="M37" t="inlineStr">
        <is>
          <t>TN</t>
        </is>
      </c>
      <c r="N37" t="inlineStr"/>
      <c r="P37" t="inlineStr">
        <is>
          <t>20220331</t>
        </is>
      </c>
      <c r="Q37" t="inlineStr">
        <is>
          <t>20250131</t>
        </is>
      </c>
    </row>
    <row r="38">
      <c r="A38" t="inlineStr">
        <is>
          <t>900000080DW70D08010000625</t>
        </is>
      </c>
      <c r="B38" t="inlineStr">
        <is>
          <t>900000080</t>
        </is>
      </c>
      <c r="C38" t="inlineStr">
        <is>
          <t>DW70</t>
        </is>
      </c>
      <c r="D38" t="inlineStr">
        <is>
          <t>D080</t>
        </is>
      </c>
      <c r="E38" t="inlineStr">
        <is>
          <t>1</t>
        </is>
      </c>
      <c r="F38" t="inlineStr">
        <is>
          <t>10000625</t>
        </is>
      </c>
      <c r="H38" t="inlineStr"/>
      <c r="J38" t="n">
        <v>101.35</v>
      </c>
      <c r="K38" t="inlineStr"/>
      <c r="M38" t="inlineStr">
        <is>
          <t>TN</t>
        </is>
      </c>
      <c r="N38" t="inlineStr"/>
      <c r="P38" t="inlineStr">
        <is>
          <t>20220331</t>
        </is>
      </c>
      <c r="Q38" t="inlineStr">
        <is>
          <t>20250131</t>
        </is>
      </c>
    </row>
    <row r="39">
      <c r="A39" t="inlineStr">
        <is>
          <t>900000080DW70D08110000625</t>
        </is>
      </c>
      <c r="B39" t="inlineStr">
        <is>
          <t>900000080</t>
        </is>
      </c>
      <c r="C39" t="inlineStr">
        <is>
          <t>DW70</t>
        </is>
      </c>
      <c r="D39" t="inlineStr">
        <is>
          <t>D081</t>
        </is>
      </c>
      <c r="E39" t="inlineStr">
        <is>
          <t>1</t>
        </is>
      </c>
      <c r="F39" t="inlineStr">
        <is>
          <t>10000625</t>
        </is>
      </c>
      <c r="H39" t="inlineStr"/>
      <c r="J39" t="n">
        <v>87.53</v>
      </c>
      <c r="K39" t="inlineStr"/>
      <c r="M39" t="inlineStr">
        <is>
          <t>TN</t>
        </is>
      </c>
      <c r="N39" t="inlineStr"/>
      <c r="P39" t="inlineStr">
        <is>
          <t>20220331</t>
        </is>
      </c>
      <c r="Q39" t="inlineStr">
        <is>
          <t>20250131</t>
        </is>
      </c>
    </row>
    <row r="40">
      <c r="A40" t="inlineStr">
        <is>
          <t>900000080DW70D08310000625</t>
        </is>
      </c>
      <c r="B40" t="inlineStr">
        <is>
          <t>900000080</t>
        </is>
      </c>
      <c r="C40" t="inlineStr">
        <is>
          <t>DW70</t>
        </is>
      </c>
      <c r="D40" t="inlineStr">
        <is>
          <t>D083</t>
        </is>
      </c>
      <c r="E40" t="inlineStr">
        <is>
          <t>1</t>
        </is>
      </c>
      <c r="F40" t="inlineStr">
        <is>
          <t>10000625</t>
        </is>
      </c>
      <c r="H40" t="inlineStr"/>
      <c r="J40" t="n">
        <v>104.63</v>
      </c>
      <c r="K40" t="inlineStr"/>
      <c r="M40" t="inlineStr">
        <is>
          <t>TN</t>
        </is>
      </c>
      <c r="N40" t="inlineStr"/>
      <c r="P40" t="inlineStr">
        <is>
          <t>20220331</t>
        </is>
      </c>
      <c r="Q40" t="inlineStr">
        <is>
          <t>20250131</t>
        </is>
      </c>
    </row>
    <row r="41">
      <c r="A41" t="inlineStr">
        <is>
          <t>900000080DW70D08410000651</t>
        </is>
      </c>
      <c r="B41" t="inlineStr">
        <is>
          <t>900000080</t>
        </is>
      </c>
      <c r="C41" t="inlineStr">
        <is>
          <t>DW70</t>
        </is>
      </c>
      <c r="D41" t="inlineStr">
        <is>
          <t>D084</t>
        </is>
      </c>
      <c r="E41" t="inlineStr">
        <is>
          <t>1</t>
        </is>
      </c>
      <c r="F41" t="inlineStr">
        <is>
          <t>10000651</t>
        </is>
      </c>
      <c r="H41" t="inlineStr"/>
      <c r="J41" t="n">
        <v>170.56</v>
      </c>
      <c r="K41" t="inlineStr"/>
      <c r="M41" t="inlineStr">
        <is>
          <t>TN</t>
        </is>
      </c>
      <c r="N41" t="inlineStr"/>
      <c r="P41" t="inlineStr">
        <is>
          <t>20220331</t>
        </is>
      </c>
      <c r="Q41" t="inlineStr">
        <is>
          <t>20250131</t>
        </is>
      </c>
    </row>
    <row r="42">
      <c r="A42" t="inlineStr">
        <is>
          <t>900000080DW70D08510000625</t>
        </is>
      </c>
      <c r="B42" t="inlineStr">
        <is>
          <t>900000080</t>
        </is>
      </c>
      <c r="C42" t="inlineStr">
        <is>
          <t>DW70</t>
        </is>
      </c>
      <c r="D42" t="inlineStr">
        <is>
          <t>D085</t>
        </is>
      </c>
      <c r="E42" t="inlineStr">
        <is>
          <t>1</t>
        </is>
      </c>
      <c r="F42" t="inlineStr">
        <is>
          <t>10000625</t>
        </is>
      </c>
      <c r="H42" t="inlineStr"/>
      <c r="J42" t="n">
        <v>114.89</v>
      </c>
      <c r="K42" t="inlineStr"/>
      <c r="M42" t="inlineStr">
        <is>
          <t>TN</t>
        </is>
      </c>
      <c r="N42" t="inlineStr"/>
      <c r="P42" t="inlineStr">
        <is>
          <t>20220331</t>
        </is>
      </c>
      <c r="Q42" t="inlineStr">
        <is>
          <t>20250131</t>
        </is>
      </c>
    </row>
    <row r="43">
      <c r="A43" t="inlineStr">
        <is>
          <t>900000080DW70D08610000625</t>
        </is>
      </c>
      <c r="B43" t="inlineStr">
        <is>
          <t>900000080</t>
        </is>
      </c>
      <c r="C43" t="inlineStr">
        <is>
          <t>DW70</t>
        </is>
      </c>
      <c r="D43" t="inlineStr">
        <is>
          <t>D086</t>
        </is>
      </c>
      <c r="E43" t="inlineStr">
        <is>
          <t>1</t>
        </is>
      </c>
      <c r="F43" t="inlineStr">
        <is>
          <t>10000625</t>
        </is>
      </c>
      <c r="H43" t="inlineStr"/>
      <c r="J43" t="n">
        <v>133.6</v>
      </c>
      <c r="K43" t="inlineStr"/>
      <c r="M43" t="inlineStr">
        <is>
          <t>TN</t>
        </is>
      </c>
      <c r="N43" t="inlineStr"/>
      <c r="P43" t="inlineStr">
        <is>
          <t>20220331</t>
        </is>
      </c>
      <c r="Q43" t="inlineStr">
        <is>
          <t>20250131</t>
        </is>
      </c>
    </row>
    <row r="44">
      <c r="A44" t="inlineStr">
        <is>
          <t>900000080DW70D08810000651</t>
        </is>
      </c>
      <c r="B44" t="inlineStr">
        <is>
          <t>900000080</t>
        </is>
      </c>
      <c r="C44" t="inlineStr">
        <is>
          <t>DW70</t>
        </is>
      </c>
      <c r="D44" t="inlineStr">
        <is>
          <t>D088</t>
        </is>
      </c>
      <c r="E44" t="inlineStr">
        <is>
          <t>1</t>
        </is>
      </c>
      <c r="F44" t="inlineStr">
        <is>
          <t>10000651</t>
        </is>
      </c>
      <c r="H44" t="inlineStr"/>
      <c r="J44" t="n">
        <v>132.21</v>
      </c>
      <c r="K44" t="inlineStr"/>
      <c r="M44" t="inlineStr">
        <is>
          <t>TN</t>
        </is>
      </c>
      <c r="N44" t="inlineStr"/>
      <c r="P44" t="inlineStr">
        <is>
          <t>20220331</t>
        </is>
      </c>
      <c r="Q44" t="inlineStr">
        <is>
          <t>20250131</t>
        </is>
      </c>
    </row>
    <row r="45">
      <c r="A45" t="inlineStr">
        <is>
          <t>900000080DW70D08910000625</t>
        </is>
      </c>
      <c r="B45" t="inlineStr">
        <is>
          <t>900000080</t>
        </is>
      </c>
      <c r="C45" t="inlineStr">
        <is>
          <t>DW70</t>
        </is>
      </c>
      <c r="D45" t="inlineStr">
        <is>
          <t>D089</t>
        </is>
      </c>
      <c r="E45" t="inlineStr">
        <is>
          <t>1</t>
        </is>
      </c>
      <c r="F45" t="inlineStr">
        <is>
          <t>10000625</t>
        </is>
      </c>
      <c r="H45" t="inlineStr"/>
      <c r="J45" t="n">
        <v>126.88</v>
      </c>
      <c r="K45" t="inlineStr"/>
      <c r="M45" t="inlineStr">
        <is>
          <t>TN</t>
        </is>
      </c>
      <c r="N45" t="inlineStr"/>
      <c r="P45" t="inlineStr">
        <is>
          <t>20220331</t>
        </is>
      </c>
      <c r="Q45" t="inlineStr">
        <is>
          <t>20250131</t>
        </is>
      </c>
    </row>
    <row r="46">
      <c r="A46" t="inlineStr">
        <is>
          <t>900000080DW70D09310000625</t>
        </is>
      </c>
      <c r="B46" t="inlineStr">
        <is>
          <t>900000080</t>
        </is>
      </c>
      <c r="C46" t="inlineStr">
        <is>
          <t>DW70</t>
        </is>
      </c>
      <c r="D46" t="inlineStr">
        <is>
          <t>D093</t>
        </is>
      </c>
      <c r="E46" t="inlineStr">
        <is>
          <t>1</t>
        </is>
      </c>
      <c r="F46" t="inlineStr">
        <is>
          <t>10000625</t>
        </is>
      </c>
      <c r="H46" t="inlineStr"/>
      <c r="J46" t="n">
        <v>149.72</v>
      </c>
      <c r="K46" t="inlineStr"/>
      <c r="M46" t="inlineStr">
        <is>
          <t>TN</t>
        </is>
      </c>
      <c r="N46" t="inlineStr"/>
      <c r="P46" t="inlineStr">
        <is>
          <t>20220331</t>
        </is>
      </c>
      <c r="Q46" t="inlineStr">
        <is>
          <t>20250131</t>
        </is>
      </c>
    </row>
    <row r="47">
      <c r="A47" t="inlineStr">
        <is>
          <t>900000080DW70D09310000651</t>
        </is>
      </c>
      <c r="B47" t="inlineStr">
        <is>
          <t>900000080</t>
        </is>
      </c>
      <c r="C47" t="inlineStr">
        <is>
          <t>DW70</t>
        </is>
      </c>
      <c r="D47" t="inlineStr">
        <is>
          <t>D093</t>
        </is>
      </c>
      <c r="E47" t="inlineStr">
        <is>
          <t>1</t>
        </is>
      </c>
      <c r="F47" t="inlineStr">
        <is>
          <t>10000651</t>
        </is>
      </c>
      <c r="H47" t="inlineStr"/>
      <c r="J47" t="n">
        <v>218.37</v>
      </c>
      <c r="K47" t="inlineStr"/>
      <c r="M47" t="inlineStr">
        <is>
          <t>TN</t>
        </is>
      </c>
      <c r="N47" t="inlineStr"/>
      <c r="P47" t="inlineStr">
        <is>
          <t>20260430</t>
        </is>
      </c>
      <c r="Q47" t="inlineStr">
        <is>
          <t>99991231</t>
        </is>
      </c>
    </row>
    <row r="48">
      <c r="A48" t="inlineStr">
        <is>
          <t>900000080DW70D09810000625</t>
        </is>
      </c>
      <c r="B48" t="inlineStr">
        <is>
          <t>900000080</t>
        </is>
      </c>
      <c r="C48" t="inlineStr">
        <is>
          <t>DW70</t>
        </is>
      </c>
      <c r="D48" t="inlineStr">
        <is>
          <t>D098</t>
        </is>
      </c>
      <c r="E48" t="inlineStr">
        <is>
          <t>1</t>
        </is>
      </c>
      <c r="F48" t="inlineStr">
        <is>
          <t>10000625</t>
        </is>
      </c>
      <c r="H48" t="inlineStr"/>
      <c r="J48" t="n">
        <v>64.5</v>
      </c>
      <c r="K48" t="inlineStr"/>
      <c r="M48" t="inlineStr">
        <is>
          <t>TN</t>
        </is>
      </c>
      <c r="N48" t="inlineStr"/>
      <c r="P48" t="inlineStr">
        <is>
          <t>20220331</t>
        </is>
      </c>
      <c r="Q48" t="inlineStr">
        <is>
          <t>20250131</t>
        </is>
      </c>
    </row>
    <row r="49">
      <c r="A49" t="inlineStr">
        <is>
          <t>900000080DW70D10510000625</t>
        </is>
      </c>
      <c r="B49" t="inlineStr">
        <is>
          <t>900000080</t>
        </is>
      </c>
      <c r="C49" t="inlineStr">
        <is>
          <t>DW70</t>
        </is>
      </c>
      <c r="D49" t="inlineStr">
        <is>
          <t>D105</t>
        </is>
      </c>
      <c r="E49" t="inlineStr">
        <is>
          <t>1</t>
        </is>
      </c>
      <c r="F49" t="inlineStr">
        <is>
          <t>10000625</t>
        </is>
      </c>
      <c r="H49" t="inlineStr"/>
      <c r="J49" t="n">
        <v>94.44</v>
      </c>
      <c r="K49" t="inlineStr"/>
      <c r="M49" t="inlineStr">
        <is>
          <t>TN</t>
        </is>
      </c>
      <c r="N49" t="inlineStr"/>
      <c r="P49" t="inlineStr">
        <is>
          <t>20220331</t>
        </is>
      </c>
      <c r="Q49" t="inlineStr">
        <is>
          <t>20250131</t>
        </is>
      </c>
    </row>
    <row r="50">
      <c r="A50" t="inlineStr">
        <is>
          <t>900000080DW70D13610000625</t>
        </is>
      </c>
      <c r="B50" t="inlineStr">
        <is>
          <t>900000080</t>
        </is>
      </c>
      <c r="C50" t="inlineStr">
        <is>
          <t>DW70</t>
        </is>
      </c>
      <c r="D50" t="inlineStr">
        <is>
          <t>D136</t>
        </is>
      </c>
      <c r="E50" t="inlineStr">
        <is>
          <t>1</t>
        </is>
      </c>
      <c r="F50" t="inlineStr">
        <is>
          <t>10000625</t>
        </is>
      </c>
      <c r="H50" t="inlineStr"/>
      <c r="J50" t="n">
        <v>128.99</v>
      </c>
      <c r="K50" t="inlineStr"/>
      <c r="M50" t="inlineStr">
        <is>
          <t>TN</t>
        </is>
      </c>
      <c r="N50" t="inlineStr"/>
      <c r="P50" t="inlineStr">
        <is>
          <t>20220331</t>
        </is>
      </c>
      <c r="Q50" t="inlineStr">
        <is>
          <t>20250131</t>
        </is>
      </c>
    </row>
    <row r="51">
      <c r="A51" t="inlineStr">
        <is>
          <t>900000080DW70D13610000651</t>
        </is>
      </c>
      <c r="B51" t="inlineStr">
        <is>
          <t>900000080</t>
        </is>
      </c>
      <c r="C51" t="inlineStr">
        <is>
          <t>DW70</t>
        </is>
      </c>
      <c r="D51" t="inlineStr">
        <is>
          <t>D136</t>
        </is>
      </c>
      <c r="E51" t="inlineStr">
        <is>
          <t>1</t>
        </is>
      </c>
      <c r="F51" t="inlineStr">
        <is>
          <t>10000651</t>
        </is>
      </c>
      <c r="H51" t="inlineStr"/>
      <c r="J51" t="n">
        <v>188.13</v>
      </c>
      <c r="K51" t="inlineStr"/>
      <c r="M51" t="inlineStr">
        <is>
          <t>TN</t>
        </is>
      </c>
      <c r="N51" t="inlineStr"/>
      <c r="P51" t="inlineStr">
        <is>
          <t>20260430</t>
        </is>
      </c>
      <c r="Q51" t="inlineStr">
        <is>
          <t>99991231</t>
        </is>
      </c>
    </row>
    <row r="52">
      <c r="A52" t="inlineStr">
        <is>
          <t>900000080DW70D13610000651</t>
        </is>
      </c>
      <c r="B52" t="inlineStr">
        <is>
          <t>900000080</t>
        </is>
      </c>
      <c r="C52" t="inlineStr">
        <is>
          <t>DW70</t>
        </is>
      </c>
      <c r="D52" t="inlineStr">
        <is>
          <t>D136</t>
        </is>
      </c>
      <c r="E52" t="inlineStr">
        <is>
          <t>4</t>
        </is>
      </c>
      <c r="F52" t="inlineStr">
        <is>
          <t>10000651</t>
        </is>
      </c>
      <c r="H52" t="inlineStr"/>
      <c r="J52" t="n">
        <v>162.95</v>
      </c>
      <c r="K52" t="inlineStr"/>
      <c r="M52" t="inlineStr">
        <is>
          <t>TN</t>
        </is>
      </c>
      <c r="N52" t="inlineStr"/>
      <c r="P52" t="inlineStr">
        <is>
          <t>20250227</t>
        </is>
      </c>
      <c r="Q52" t="inlineStr">
        <is>
          <t>20250527</t>
        </is>
      </c>
    </row>
    <row r="53">
      <c r="A53" t="inlineStr">
        <is>
          <t>900000080DW70D14510000625</t>
        </is>
      </c>
      <c r="B53" t="inlineStr">
        <is>
          <t>900000080</t>
        </is>
      </c>
      <c r="C53" t="inlineStr">
        <is>
          <t>DW70</t>
        </is>
      </c>
      <c r="D53" t="inlineStr">
        <is>
          <t>D145</t>
        </is>
      </c>
      <c r="E53" t="inlineStr">
        <is>
          <t>1</t>
        </is>
      </c>
      <c r="F53" t="inlineStr">
        <is>
          <t>10000625</t>
        </is>
      </c>
      <c r="H53" t="inlineStr"/>
      <c r="J53" t="n">
        <v>119.78</v>
      </c>
      <c r="K53" t="inlineStr"/>
      <c r="M53" t="inlineStr">
        <is>
          <t>TN</t>
        </is>
      </c>
      <c r="N53" t="inlineStr"/>
      <c r="P53" t="inlineStr">
        <is>
          <t>20220331</t>
        </is>
      </c>
      <c r="Q53" t="inlineStr">
        <is>
          <t>20250131</t>
        </is>
      </c>
    </row>
    <row r="54">
      <c r="A54" t="inlineStr">
        <is>
          <t>900000080DW70D14510000651</t>
        </is>
      </c>
      <c r="B54" t="inlineStr">
        <is>
          <t>900000080</t>
        </is>
      </c>
      <c r="C54" t="inlineStr">
        <is>
          <t>DW70</t>
        </is>
      </c>
      <c r="D54" t="inlineStr">
        <is>
          <t>D145</t>
        </is>
      </c>
      <c r="E54" t="inlineStr">
        <is>
          <t>1</t>
        </is>
      </c>
      <c r="F54" t="inlineStr">
        <is>
          <t>10000651</t>
        </is>
      </c>
      <c r="H54" t="inlineStr"/>
      <c r="J54" t="n">
        <v>174.7</v>
      </c>
      <c r="K54" t="inlineStr"/>
      <c r="M54" t="inlineStr">
        <is>
          <t>TN</t>
        </is>
      </c>
      <c r="N54" t="inlineStr"/>
      <c r="P54" t="inlineStr">
        <is>
          <t>20260430</t>
        </is>
      </c>
      <c r="Q54" t="inlineStr">
        <is>
          <t>99991231</t>
        </is>
      </c>
    </row>
    <row r="55">
      <c r="A55" t="inlineStr">
        <is>
          <t>900000137DW70D07410000623</t>
        </is>
      </c>
      <c r="B55" t="inlineStr">
        <is>
          <t>900000137</t>
        </is>
      </c>
      <c r="C55" t="inlineStr">
        <is>
          <t>DW70</t>
        </is>
      </c>
      <c r="D55" t="inlineStr">
        <is>
          <t>D074</t>
        </is>
      </c>
      <c r="E55" t="inlineStr">
        <is>
          <t>1</t>
        </is>
      </c>
      <c r="F55" t="inlineStr">
        <is>
          <t>10000623</t>
        </is>
      </c>
      <c r="H55" t="inlineStr"/>
      <c r="J55" t="n">
        <v>144.39</v>
      </c>
      <c r="K55" t="inlineStr"/>
      <c r="M55" t="inlineStr">
        <is>
          <t>TN</t>
        </is>
      </c>
      <c r="N55" t="inlineStr"/>
      <c r="P55" t="inlineStr">
        <is>
          <t>20220331</t>
        </is>
      </c>
      <c r="Q55" t="inlineStr">
        <is>
          <t>20250131</t>
        </is>
      </c>
    </row>
    <row r="56">
      <c r="A56" t="inlineStr">
        <is>
          <t>900000137DW70D07410000624</t>
        </is>
      </c>
      <c r="B56" t="inlineStr">
        <is>
          <t>900000137</t>
        </is>
      </c>
      <c r="C56" t="inlineStr">
        <is>
          <t>DW70</t>
        </is>
      </c>
      <c r="D56" t="inlineStr">
        <is>
          <t>D074</t>
        </is>
      </c>
      <c r="E56" t="inlineStr">
        <is>
          <t>1</t>
        </is>
      </c>
      <c r="F56" t="inlineStr">
        <is>
          <t>10000624</t>
        </is>
      </c>
      <c r="H56" t="inlineStr"/>
      <c r="J56" t="n">
        <v>256.48</v>
      </c>
      <c r="K56" t="inlineStr"/>
      <c r="M56" t="inlineStr">
        <is>
          <t>TN</t>
        </is>
      </c>
      <c r="N56" t="inlineStr"/>
      <c r="P56" t="inlineStr">
        <is>
          <t>20260430</t>
        </is>
      </c>
      <c r="Q56" t="inlineStr">
        <is>
          <t>99991231</t>
        </is>
      </c>
    </row>
    <row r="57">
      <c r="A57" t="inlineStr">
        <is>
          <t>900000137DW70D07410000630</t>
        </is>
      </c>
      <c r="B57" t="inlineStr">
        <is>
          <t>900000137</t>
        </is>
      </c>
      <c r="C57" t="inlineStr">
        <is>
          <t>DW70</t>
        </is>
      </c>
      <c r="D57" t="inlineStr">
        <is>
          <t>D074</t>
        </is>
      </c>
      <c r="E57" t="inlineStr">
        <is>
          <t>1</t>
        </is>
      </c>
      <c r="F57" t="inlineStr">
        <is>
          <t>10000630</t>
        </is>
      </c>
      <c r="H57" t="inlineStr"/>
      <c r="J57" t="n">
        <v>265.64</v>
      </c>
      <c r="K57" t="inlineStr"/>
      <c r="M57" t="inlineStr">
        <is>
          <t>TN</t>
        </is>
      </c>
      <c r="N57" t="inlineStr"/>
      <c r="P57" t="inlineStr">
        <is>
          <t>20260430</t>
        </is>
      </c>
      <c r="Q57" t="inlineStr">
        <is>
          <t>99991231</t>
        </is>
      </c>
    </row>
    <row r="58">
      <c r="A58" t="inlineStr">
        <is>
          <t>900000137DW70D07410000811</t>
        </is>
      </c>
      <c r="B58" t="inlineStr">
        <is>
          <t>900000137</t>
        </is>
      </c>
      <c r="C58" t="inlineStr">
        <is>
          <t>DW70</t>
        </is>
      </c>
      <c r="D58" t="inlineStr">
        <is>
          <t>D074</t>
        </is>
      </c>
      <c r="E58" t="inlineStr">
        <is>
          <t>1</t>
        </is>
      </c>
      <c r="F58" t="inlineStr">
        <is>
          <t>10000811</t>
        </is>
      </c>
      <c r="H58" t="inlineStr"/>
      <c r="J58" t="n">
        <v>257.01</v>
      </c>
      <c r="K58" t="inlineStr"/>
      <c r="M58" t="inlineStr">
        <is>
          <t>TN</t>
        </is>
      </c>
      <c r="N58" t="inlineStr"/>
      <c r="P58" t="inlineStr">
        <is>
          <t>20260430</t>
        </is>
      </c>
      <c r="Q58" t="inlineStr">
        <is>
          <t>99991231</t>
        </is>
      </c>
    </row>
    <row r="59">
      <c r="A59" t="inlineStr">
        <is>
          <t>900000137DW70D07410058345</t>
        </is>
      </c>
      <c r="B59" t="inlineStr">
        <is>
          <t>900000137</t>
        </is>
      </c>
      <c r="C59" t="inlineStr">
        <is>
          <t>DW70</t>
        </is>
      </c>
      <c r="D59" t="inlineStr">
        <is>
          <t>D074</t>
        </is>
      </c>
      <c r="E59" t="inlineStr">
        <is>
          <t>1</t>
        </is>
      </c>
      <c r="F59" t="inlineStr">
        <is>
          <t>10058345</t>
        </is>
      </c>
      <c r="H59" t="inlineStr"/>
      <c r="J59" t="n">
        <v>236.13</v>
      </c>
      <c r="K59" t="inlineStr"/>
      <c r="M59" t="inlineStr">
        <is>
          <t>TN</t>
        </is>
      </c>
      <c r="N59" t="inlineStr"/>
      <c r="P59" t="inlineStr">
        <is>
          <t>20260430</t>
        </is>
      </c>
      <c r="Q59" t="inlineStr">
        <is>
          <t>99991231</t>
        </is>
      </c>
    </row>
    <row r="60">
      <c r="A60" t="inlineStr">
        <is>
          <t>900000137DW70D07510000623</t>
        </is>
      </c>
      <c r="B60" t="inlineStr">
        <is>
          <t>900000137</t>
        </is>
      </c>
      <c r="C60" t="inlineStr">
        <is>
          <t>DW70</t>
        </is>
      </c>
      <c r="D60" t="inlineStr">
        <is>
          <t>D075</t>
        </is>
      </c>
      <c r="E60" t="inlineStr">
        <is>
          <t>1</t>
        </is>
      </c>
      <c r="F60" t="inlineStr">
        <is>
          <t>10000623</t>
        </is>
      </c>
      <c r="H60" t="inlineStr"/>
      <c r="J60" t="n">
        <v>137.78</v>
      </c>
      <c r="K60" t="inlineStr"/>
      <c r="M60" t="inlineStr">
        <is>
          <t>TN</t>
        </is>
      </c>
      <c r="N60" t="inlineStr"/>
      <c r="P60" t="inlineStr">
        <is>
          <t>20220331</t>
        </is>
      </c>
      <c r="Q60" t="inlineStr">
        <is>
          <t>20250131</t>
        </is>
      </c>
    </row>
    <row r="61">
      <c r="A61" t="inlineStr">
        <is>
          <t>900000137DW70D07510000624</t>
        </is>
      </c>
      <c r="B61" t="inlineStr">
        <is>
          <t>900000137</t>
        </is>
      </c>
      <c r="C61" t="inlineStr">
        <is>
          <t>DW70</t>
        </is>
      </c>
      <c r="D61" t="inlineStr">
        <is>
          <t>D075</t>
        </is>
      </c>
      <c r="E61" t="inlineStr">
        <is>
          <t>1</t>
        </is>
      </c>
      <c r="F61" t="inlineStr">
        <is>
          <t>10000624</t>
        </is>
      </c>
      <c r="H61" t="inlineStr"/>
      <c r="J61" t="n">
        <v>225.2</v>
      </c>
      <c r="K61" t="inlineStr"/>
      <c r="M61" t="inlineStr">
        <is>
          <t>TN</t>
        </is>
      </c>
      <c r="N61" t="inlineStr"/>
      <c r="P61" t="inlineStr">
        <is>
          <t>20260430</t>
        </is>
      </c>
      <c r="Q61" t="inlineStr">
        <is>
          <t>99991231</t>
        </is>
      </c>
    </row>
    <row r="62">
      <c r="A62" t="inlineStr">
        <is>
          <t>900000137DW70D07510000630</t>
        </is>
      </c>
      <c r="B62" t="inlineStr">
        <is>
          <t>900000137</t>
        </is>
      </c>
      <c r="C62" t="inlineStr">
        <is>
          <t>DW70</t>
        </is>
      </c>
      <c r="D62" t="inlineStr">
        <is>
          <t>D075</t>
        </is>
      </c>
      <c r="E62" t="inlineStr">
        <is>
          <t>1</t>
        </is>
      </c>
      <c r="F62" t="inlineStr">
        <is>
          <t>10000630</t>
        </is>
      </c>
      <c r="H62" t="inlineStr"/>
      <c r="J62" t="n">
        <v>233.24</v>
      </c>
      <c r="K62" t="inlineStr"/>
      <c r="M62" t="inlineStr">
        <is>
          <t>TN</t>
        </is>
      </c>
      <c r="N62" t="inlineStr"/>
      <c r="P62" t="inlineStr">
        <is>
          <t>20260430</t>
        </is>
      </c>
      <c r="Q62" t="inlineStr">
        <is>
          <t>99991231</t>
        </is>
      </c>
    </row>
    <row r="63">
      <c r="A63" t="inlineStr">
        <is>
          <t>900000137DW70D07510000811</t>
        </is>
      </c>
      <c r="B63" t="inlineStr">
        <is>
          <t>900000137</t>
        </is>
      </c>
      <c r="C63" t="inlineStr">
        <is>
          <t>DW70</t>
        </is>
      </c>
      <c r="D63" t="inlineStr">
        <is>
          <t>D075</t>
        </is>
      </c>
      <c r="E63" t="inlineStr">
        <is>
          <t>1</t>
        </is>
      </c>
      <c r="F63" t="inlineStr">
        <is>
          <t>10000811</t>
        </is>
      </c>
      <c r="H63" t="inlineStr"/>
      <c r="J63" t="n">
        <v>225.67</v>
      </c>
      <c r="K63" t="inlineStr"/>
      <c r="M63" t="inlineStr">
        <is>
          <t>TN</t>
        </is>
      </c>
      <c r="N63" t="inlineStr"/>
      <c r="P63" t="inlineStr">
        <is>
          <t>20260430</t>
        </is>
      </c>
      <c r="Q63" t="inlineStr">
        <is>
          <t>99991231</t>
        </is>
      </c>
    </row>
    <row r="64">
      <c r="A64" t="inlineStr">
        <is>
          <t>900000137DW70D07510058345</t>
        </is>
      </c>
      <c r="B64" t="inlineStr">
        <is>
          <t>900000137</t>
        </is>
      </c>
      <c r="C64" t="inlineStr">
        <is>
          <t>DW70</t>
        </is>
      </c>
      <c r="D64" t="inlineStr">
        <is>
          <t>D075</t>
        </is>
      </c>
      <c r="E64" t="inlineStr">
        <is>
          <t>1</t>
        </is>
      </c>
      <c r="F64" t="inlineStr">
        <is>
          <t>10058345</t>
        </is>
      </c>
      <c r="H64" t="inlineStr"/>
      <c r="J64" t="n">
        <v>207.33</v>
      </c>
      <c r="K64" t="inlineStr"/>
      <c r="M64" t="inlineStr">
        <is>
          <t>TN</t>
        </is>
      </c>
      <c r="N64" t="inlineStr"/>
      <c r="P64" t="inlineStr">
        <is>
          <t>20260430</t>
        </is>
      </c>
      <c r="Q64" t="inlineStr">
        <is>
          <t>99991231</t>
        </is>
      </c>
    </row>
    <row r="65">
      <c r="A65" t="inlineStr">
        <is>
          <t>900000137DW70D07710000623</t>
        </is>
      </c>
      <c r="B65" t="inlineStr">
        <is>
          <t>900000137</t>
        </is>
      </c>
      <c r="C65" t="inlineStr">
        <is>
          <t>DW70</t>
        </is>
      </c>
      <c r="D65" t="inlineStr">
        <is>
          <t>D077</t>
        </is>
      </c>
      <c r="E65" t="inlineStr">
        <is>
          <t>1</t>
        </is>
      </c>
      <c r="F65" t="inlineStr">
        <is>
          <t>10000623</t>
        </is>
      </c>
      <c r="H65" t="inlineStr"/>
      <c r="J65" t="n">
        <v>211.45</v>
      </c>
      <c r="K65" t="inlineStr"/>
      <c r="M65" t="inlineStr">
        <is>
          <t>TN</t>
        </is>
      </c>
      <c r="N65" t="inlineStr"/>
      <c r="P65" t="inlineStr">
        <is>
          <t>20220331</t>
        </is>
      </c>
      <c r="Q65" t="inlineStr">
        <is>
          <t>20250131</t>
        </is>
      </c>
    </row>
    <row r="66">
      <c r="A66" t="inlineStr">
        <is>
          <t>900000137DW70D07710000624</t>
        </is>
      </c>
      <c r="B66" t="inlineStr">
        <is>
          <t>900000137</t>
        </is>
      </c>
      <c r="C66" t="inlineStr">
        <is>
          <t>DW70</t>
        </is>
      </c>
      <c r="D66" t="inlineStr">
        <is>
          <t>D077</t>
        </is>
      </c>
      <c r="E66" t="inlineStr">
        <is>
          <t>1</t>
        </is>
      </c>
      <c r="F66" t="inlineStr">
        <is>
          <t>10000624</t>
        </is>
      </c>
      <c r="H66" t="inlineStr"/>
      <c r="J66" t="n">
        <v>344.06</v>
      </c>
      <c r="K66" t="inlineStr"/>
      <c r="M66" t="inlineStr">
        <is>
          <t>TN</t>
        </is>
      </c>
      <c r="N66" t="inlineStr"/>
      <c r="P66" t="inlineStr">
        <is>
          <t>20260430</t>
        </is>
      </c>
      <c r="Q66" t="inlineStr">
        <is>
          <t>99991231</t>
        </is>
      </c>
    </row>
    <row r="67">
      <c r="A67" t="inlineStr">
        <is>
          <t>900000137DW70D07710000630</t>
        </is>
      </c>
      <c r="B67" t="inlineStr">
        <is>
          <t>900000137</t>
        </is>
      </c>
      <c r="C67" t="inlineStr">
        <is>
          <t>DW70</t>
        </is>
      </c>
      <c r="D67" t="inlineStr">
        <is>
          <t>D077</t>
        </is>
      </c>
      <c r="E67" t="inlineStr">
        <is>
          <t>1</t>
        </is>
      </c>
      <c r="F67" t="inlineStr">
        <is>
          <t>10000630</t>
        </is>
      </c>
      <c r="H67" t="inlineStr"/>
      <c r="J67" t="n">
        <v>356.35</v>
      </c>
      <c r="K67" t="inlineStr"/>
      <c r="M67" t="inlineStr">
        <is>
          <t>TN</t>
        </is>
      </c>
      <c r="N67" t="inlineStr"/>
      <c r="P67" t="inlineStr">
        <is>
          <t>20260430</t>
        </is>
      </c>
      <c r="Q67" t="inlineStr">
        <is>
          <t>99991231</t>
        </is>
      </c>
    </row>
    <row r="68">
      <c r="A68" t="inlineStr">
        <is>
          <t>900000137DW70D07710000811</t>
        </is>
      </c>
      <c r="B68" t="inlineStr">
        <is>
          <t>900000137</t>
        </is>
      </c>
      <c r="C68" t="inlineStr">
        <is>
          <t>DW70</t>
        </is>
      </c>
      <c r="D68" t="inlineStr">
        <is>
          <t>D077</t>
        </is>
      </c>
      <c r="E68" t="inlineStr">
        <is>
          <t>1</t>
        </is>
      </c>
      <c r="F68" t="inlineStr">
        <is>
          <t>10000811</t>
        </is>
      </c>
      <c r="H68" t="inlineStr"/>
      <c r="J68" t="n">
        <v>344.78</v>
      </c>
      <c r="K68" t="inlineStr"/>
      <c r="M68" t="inlineStr">
        <is>
          <t>TN</t>
        </is>
      </c>
      <c r="N68" t="inlineStr"/>
      <c r="P68" t="inlineStr">
        <is>
          <t>20260430</t>
        </is>
      </c>
      <c r="Q68" t="inlineStr">
        <is>
          <t>99991231</t>
        </is>
      </c>
    </row>
    <row r="69">
      <c r="A69" t="inlineStr">
        <is>
          <t>900000137DW70D07710058345</t>
        </is>
      </c>
      <c r="B69" t="inlineStr">
        <is>
          <t>900000137</t>
        </is>
      </c>
      <c r="C69" t="inlineStr">
        <is>
          <t>DW70</t>
        </is>
      </c>
      <c r="D69" t="inlineStr">
        <is>
          <t>D077</t>
        </is>
      </c>
      <c r="E69" t="inlineStr">
        <is>
          <t>1</t>
        </is>
      </c>
      <c r="F69" t="inlineStr">
        <is>
          <t>10058345</t>
        </is>
      </c>
      <c r="H69" t="inlineStr"/>
      <c r="J69" t="n">
        <v>316.76</v>
      </c>
      <c r="K69" t="inlineStr"/>
      <c r="M69" t="inlineStr">
        <is>
          <t>TN</t>
        </is>
      </c>
      <c r="N69" t="inlineStr"/>
      <c r="P69" t="inlineStr">
        <is>
          <t>20260430</t>
        </is>
      </c>
      <c r="Q69" t="inlineStr">
        <is>
          <t>99991231</t>
        </is>
      </c>
    </row>
    <row r="70">
      <c r="A70" t="inlineStr">
        <is>
          <t>900000137DW70D07910000623</t>
        </is>
      </c>
      <c r="B70" t="inlineStr">
        <is>
          <t>900000137</t>
        </is>
      </c>
      <c r="C70" t="inlineStr">
        <is>
          <t>DW70</t>
        </is>
      </c>
      <c r="D70" t="inlineStr">
        <is>
          <t>D079</t>
        </is>
      </c>
      <c r="E70" t="inlineStr">
        <is>
          <t>1</t>
        </is>
      </c>
      <c r="F70" t="inlineStr">
        <is>
          <t>10000623</t>
        </is>
      </c>
      <c r="H70" t="inlineStr"/>
      <c r="J70" t="n">
        <v>205.03</v>
      </c>
      <c r="K70" t="inlineStr"/>
      <c r="M70" t="inlineStr">
        <is>
          <t>TN</t>
        </is>
      </c>
      <c r="N70" t="inlineStr"/>
      <c r="P70" t="inlineStr">
        <is>
          <t>20220331</t>
        </is>
      </c>
      <c r="Q70" t="inlineStr">
        <is>
          <t>20250131</t>
        </is>
      </c>
    </row>
    <row r="71">
      <c r="A71" t="inlineStr">
        <is>
          <t>900000137DW70D07910000624</t>
        </is>
      </c>
      <c r="B71" t="inlineStr">
        <is>
          <t>900000137</t>
        </is>
      </c>
      <c r="C71" t="inlineStr">
        <is>
          <t>DW70</t>
        </is>
      </c>
      <c r="D71" t="inlineStr">
        <is>
          <t>D079</t>
        </is>
      </c>
      <c r="E71" t="inlineStr">
        <is>
          <t>1</t>
        </is>
      </c>
      <c r="F71" t="inlineStr">
        <is>
          <t>10000624</t>
        </is>
      </c>
      <c r="H71" t="inlineStr"/>
      <c r="J71" t="n">
        <v>334.68</v>
      </c>
      <c r="K71" t="inlineStr"/>
      <c r="M71" t="inlineStr">
        <is>
          <t>TN</t>
        </is>
      </c>
      <c r="N71" t="inlineStr"/>
      <c r="P71" t="inlineStr">
        <is>
          <t>20260430</t>
        </is>
      </c>
      <c r="Q71" t="inlineStr">
        <is>
          <t>99991231</t>
        </is>
      </c>
    </row>
    <row r="72">
      <c r="A72" t="inlineStr">
        <is>
          <t>900000137DW70D07910000630</t>
        </is>
      </c>
      <c r="B72" t="inlineStr">
        <is>
          <t>900000137</t>
        </is>
      </c>
      <c r="C72" t="inlineStr">
        <is>
          <t>DW70</t>
        </is>
      </c>
      <c r="D72" t="inlineStr">
        <is>
          <t>D079</t>
        </is>
      </c>
      <c r="E72" t="inlineStr">
        <is>
          <t>1</t>
        </is>
      </c>
      <c r="F72" t="inlineStr">
        <is>
          <t>10000630</t>
        </is>
      </c>
      <c r="H72" t="inlineStr"/>
      <c r="J72" t="n">
        <v>346.64</v>
      </c>
      <c r="K72" t="inlineStr"/>
      <c r="M72" t="inlineStr">
        <is>
          <t>TN</t>
        </is>
      </c>
      <c r="N72" t="inlineStr"/>
      <c r="P72" t="inlineStr">
        <is>
          <t>20260430</t>
        </is>
      </c>
      <c r="Q72" t="inlineStr">
        <is>
          <t>99991231</t>
        </is>
      </c>
    </row>
    <row r="73">
      <c r="A73" t="inlineStr">
        <is>
          <t>900000137DW70D07910000811</t>
        </is>
      </c>
      <c r="B73" t="inlineStr">
        <is>
          <t>900000137</t>
        </is>
      </c>
      <c r="C73" t="inlineStr">
        <is>
          <t>DW70</t>
        </is>
      </c>
      <c r="D73" t="inlineStr">
        <is>
          <t>D079</t>
        </is>
      </c>
      <c r="E73" t="inlineStr">
        <is>
          <t>1</t>
        </is>
      </c>
      <c r="F73" t="inlineStr">
        <is>
          <t>10000811</t>
        </is>
      </c>
      <c r="H73" t="inlineStr"/>
      <c r="J73" t="n">
        <v>335.38</v>
      </c>
      <c r="K73" t="inlineStr"/>
      <c r="M73" t="inlineStr">
        <is>
          <t>TN</t>
        </is>
      </c>
      <c r="N73" t="inlineStr"/>
      <c r="P73" t="inlineStr">
        <is>
          <t>20260430</t>
        </is>
      </c>
      <c r="Q73" t="inlineStr">
        <is>
          <t>99991231</t>
        </is>
      </c>
    </row>
    <row r="74">
      <c r="A74" t="inlineStr">
        <is>
          <t>900000137DW70D07910058345</t>
        </is>
      </c>
      <c r="B74" t="inlineStr">
        <is>
          <t>900000137</t>
        </is>
      </c>
      <c r="C74" t="inlineStr">
        <is>
          <t>DW70</t>
        </is>
      </c>
      <c r="D74" t="inlineStr">
        <is>
          <t>D079</t>
        </is>
      </c>
      <c r="E74" t="inlineStr">
        <is>
          <t>1</t>
        </is>
      </c>
      <c r="F74" t="inlineStr">
        <is>
          <t>10058345</t>
        </is>
      </c>
      <c r="H74" t="inlineStr"/>
      <c r="J74" t="n">
        <v>308.12</v>
      </c>
      <c r="K74" t="inlineStr"/>
      <c r="M74" t="inlineStr">
        <is>
          <t>TN</t>
        </is>
      </c>
      <c r="N74" t="inlineStr"/>
      <c r="P74" t="inlineStr">
        <is>
          <t>20260430</t>
        </is>
      </c>
      <c r="Q74" t="inlineStr">
        <is>
          <t>99991231</t>
        </is>
      </c>
    </row>
    <row r="75">
      <c r="A75" t="inlineStr">
        <is>
          <t>900000137DW70D08010000623</t>
        </is>
      </c>
      <c r="B75" t="inlineStr">
        <is>
          <t>900000137</t>
        </is>
      </c>
      <c r="C75" t="inlineStr">
        <is>
          <t>DW70</t>
        </is>
      </c>
      <c r="D75" t="inlineStr">
        <is>
          <t>D080</t>
        </is>
      </c>
      <c r="E75" t="inlineStr">
        <is>
          <t>1</t>
        </is>
      </c>
      <c r="F75" t="inlineStr">
        <is>
          <t>10000623</t>
        </is>
      </c>
      <c r="H75" t="inlineStr"/>
      <c r="J75" t="n">
        <v>137.78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900000137DW70D08010000624</t>
        </is>
      </c>
      <c r="B76" t="inlineStr">
        <is>
          <t>900000137</t>
        </is>
      </c>
      <c r="C76" t="inlineStr">
        <is>
          <t>DW70</t>
        </is>
      </c>
      <c r="D76" t="inlineStr">
        <is>
          <t>D080</t>
        </is>
      </c>
      <c r="E76" t="inlineStr">
        <is>
          <t>1</t>
        </is>
      </c>
      <c r="F76" t="inlineStr">
        <is>
          <t>10000624</t>
        </is>
      </c>
      <c r="H76" t="inlineStr"/>
      <c r="J76" t="n">
        <v>225.2</v>
      </c>
      <c r="K76" t="inlineStr"/>
      <c r="M76" t="inlineStr">
        <is>
          <t>TN</t>
        </is>
      </c>
      <c r="N76" t="inlineStr"/>
      <c r="P76" t="inlineStr">
        <is>
          <t>20260430</t>
        </is>
      </c>
      <c r="Q76" t="inlineStr">
        <is>
          <t>99991231</t>
        </is>
      </c>
    </row>
    <row r="77">
      <c r="A77" t="inlineStr">
        <is>
          <t>900000137DW70D08010000630</t>
        </is>
      </c>
      <c r="B77" t="inlineStr">
        <is>
          <t>900000137</t>
        </is>
      </c>
      <c r="C77" t="inlineStr">
        <is>
          <t>DW70</t>
        </is>
      </c>
      <c r="D77" t="inlineStr">
        <is>
          <t>D080</t>
        </is>
      </c>
      <c r="E77" t="inlineStr">
        <is>
          <t>1</t>
        </is>
      </c>
      <c r="F77" t="inlineStr">
        <is>
          <t>10000630</t>
        </is>
      </c>
      <c r="H77" t="inlineStr"/>
      <c r="J77" t="n">
        <v>233.24</v>
      </c>
      <c r="K77" t="inlineStr"/>
      <c r="M77" t="inlineStr">
        <is>
          <t>TN</t>
        </is>
      </c>
      <c r="N77" t="inlineStr"/>
      <c r="P77" t="inlineStr">
        <is>
          <t>20260430</t>
        </is>
      </c>
      <c r="Q77" t="inlineStr">
        <is>
          <t>99991231</t>
        </is>
      </c>
    </row>
    <row r="78">
      <c r="A78" t="inlineStr">
        <is>
          <t>900000137DW70D08010000811</t>
        </is>
      </c>
      <c r="B78" t="inlineStr">
        <is>
          <t>900000137</t>
        </is>
      </c>
      <c r="C78" t="inlineStr">
        <is>
          <t>DW70</t>
        </is>
      </c>
      <c r="D78" t="inlineStr">
        <is>
          <t>D080</t>
        </is>
      </c>
      <c r="E78" t="inlineStr">
        <is>
          <t>1</t>
        </is>
      </c>
      <c r="F78" t="inlineStr">
        <is>
          <t>10000811</t>
        </is>
      </c>
      <c r="H78" t="inlineStr"/>
      <c r="J78" t="n">
        <v>225.67</v>
      </c>
      <c r="K78" t="inlineStr"/>
      <c r="M78" t="inlineStr">
        <is>
          <t>TN</t>
        </is>
      </c>
      <c r="N78" t="inlineStr"/>
      <c r="P78" t="inlineStr">
        <is>
          <t>20260430</t>
        </is>
      </c>
      <c r="Q78" t="inlineStr">
        <is>
          <t>99991231</t>
        </is>
      </c>
    </row>
    <row r="79">
      <c r="A79" t="inlineStr">
        <is>
          <t>900000137DW70D08010058345</t>
        </is>
      </c>
      <c r="B79" t="inlineStr">
        <is>
          <t>900000137</t>
        </is>
      </c>
      <c r="C79" t="inlineStr">
        <is>
          <t>DW70</t>
        </is>
      </c>
      <c r="D79" t="inlineStr">
        <is>
          <t>D080</t>
        </is>
      </c>
      <c r="E79" t="inlineStr">
        <is>
          <t>1</t>
        </is>
      </c>
      <c r="F79" t="inlineStr">
        <is>
          <t>10058345</t>
        </is>
      </c>
      <c r="H79" t="inlineStr"/>
      <c r="J79" t="n">
        <v>207.33</v>
      </c>
      <c r="K79" t="inlineStr"/>
      <c r="M79" t="inlineStr">
        <is>
          <t>TN</t>
        </is>
      </c>
      <c r="N79" t="inlineStr"/>
      <c r="P79" t="inlineStr">
        <is>
          <t>20260430</t>
        </is>
      </c>
      <c r="Q79" t="inlineStr">
        <is>
          <t>99991231</t>
        </is>
      </c>
    </row>
    <row r="80">
      <c r="A80" t="inlineStr">
        <is>
          <t>900000137DW70D08110000623</t>
        </is>
      </c>
      <c r="B80" t="inlineStr">
        <is>
          <t>900000137</t>
        </is>
      </c>
      <c r="C80" t="inlineStr">
        <is>
          <t>DW70</t>
        </is>
      </c>
      <c r="D80" t="inlineStr">
        <is>
          <t>D081</t>
        </is>
      </c>
      <c r="E80" t="inlineStr">
        <is>
          <t>1</t>
        </is>
      </c>
      <c r="F80" t="inlineStr">
        <is>
          <t>10000623</t>
        </is>
      </c>
      <c r="H80" t="inlineStr"/>
      <c r="J80" t="n">
        <v>126.71</v>
      </c>
      <c r="K80" t="inlineStr"/>
      <c r="M80" t="inlineStr">
        <is>
          <t>TN</t>
        </is>
      </c>
      <c r="N80" t="inlineStr"/>
      <c r="P80" t="inlineStr">
        <is>
          <t>20220331</t>
        </is>
      </c>
      <c r="Q80" t="inlineStr">
        <is>
          <t>20250131</t>
        </is>
      </c>
    </row>
    <row r="81">
      <c r="A81" t="inlineStr">
        <is>
          <t>900000137DW70D08110000624</t>
        </is>
      </c>
      <c r="B81" t="inlineStr">
        <is>
          <t>900000137</t>
        </is>
      </c>
      <c r="C81" t="inlineStr">
        <is>
          <t>DW70</t>
        </is>
      </c>
      <c r="D81" t="inlineStr">
        <is>
          <t>D081</t>
        </is>
      </c>
      <c r="E81" t="inlineStr">
        <is>
          <t>1</t>
        </is>
      </c>
      <c r="F81" t="inlineStr">
        <is>
          <t>10000624</t>
        </is>
      </c>
      <c r="H81" t="inlineStr"/>
      <c r="J81" t="n">
        <v>215.82</v>
      </c>
      <c r="K81" t="inlineStr"/>
      <c r="M81" t="inlineStr">
        <is>
          <t>TN</t>
        </is>
      </c>
      <c r="N81" t="inlineStr"/>
      <c r="P81" t="inlineStr">
        <is>
          <t>20260430</t>
        </is>
      </c>
      <c r="Q81" t="inlineStr">
        <is>
          <t>99991231</t>
        </is>
      </c>
    </row>
    <row r="82">
      <c r="A82" t="inlineStr">
        <is>
          <t>900000137DW70D08110000630</t>
        </is>
      </c>
      <c r="B82" t="inlineStr">
        <is>
          <t>900000137</t>
        </is>
      </c>
      <c r="C82" t="inlineStr">
        <is>
          <t>DW70</t>
        </is>
      </c>
      <c r="D82" t="inlineStr">
        <is>
          <t>D081</t>
        </is>
      </c>
      <c r="E82" t="inlineStr">
        <is>
          <t>1</t>
        </is>
      </c>
      <c r="F82" t="inlineStr">
        <is>
          <t>10000630</t>
        </is>
      </c>
      <c r="H82" t="inlineStr"/>
      <c r="J82" t="n">
        <v>223.53</v>
      </c>
      <c r="K82" t="inlineStr"/>
      <c r="M82" t="inlineStr">
        <is>
          <t>TN</t>
        </is>
      </c>
      <c r="N82" t="inlineStr"/>
      <c r="P82" t="inlineStr">
        <is>
          <t>20260430</t>
        </is>
      </c>
      <c r="Q82" t="inlineStr">
        <is>
          <t>99991231</t>
        </is>
      </c>
    </row>
    <row r="83">
      <c r="A83" t="inlineStr">
        <is>
          <t>900000137DW70D08110000811</t>
        </is>
      </c>
      <c r="B83" t="inlineStr">
        <is>
          <t>900000137</t>
        </is>
      </c>
      <c r="C83" t="inlineStr">
        <is>
          <t>DW70</t>
        </is>
      </c>
      <c r="D83" t="inlineStr">
        <is>
          <t>D081</t>
        </is>
      </c>
      <c r="E83" t="inlineStr">
        <is>
          <t>1</t>
        </is>
      </c>
      <c r="F83" t="inlineStr">
        <is>
          <t>10000811</t>
        </is>
      </c>
      <c r="H83" t="inlineStr"/>
      <c r="J83" t="n">
        <v>216.27</v>
      </c>
      <c r="K83" t="inlineStr"/>
      <c r="M83" t="inlineStr">
        <is>
          <t>TN</t>
        </is>
      </c>
      <c r="N83" t="inlineStr"/>
      <c r="P83" t="inlineStr">
        <is>
          <t>20260430</t>
        </is>
      </c>
      <c r="Q83" t="inlineStr">
        <is>
          <t>99991231</t>
        </is>
      </c>
    </row>
    <row r="84">
      <c r="A84" t="inlineStr">
        <is>
          <t>900000137DW70D08110058345</t>
        </is>
      </c>
      <c r="B84" t="inlineStr">
        <is>
          <t>900000137</t>
        </is>
      </c>
      <c r="C84" t="inlineStr">
        <is>
          <t>DW70</t>
        </is>
      </c>
      <c r="D84" t="inlineStr">
        <is>
          <t>D081</t>
        </is>
      </c>
      <c r="E84" t="inlineStr">
        <is>
          <t>1</t>
        </is>
      </c>
      <c r="F84" t="inlineStr">
        <is>
          <t>10058345</t>
        </is>
      </c>
      <c r="H84" t="inlineStr"/>
      <c r="J84" t="n">
        <v>198.69</v>
      </c>
      <c r="K84" t="inlineStr"/>
      <c r="M84" t="inlineStr">
        <is>
          <t>TN</t>
        </is>
      </c>
      <c r="N84" t="inlineStr"/>
      <c r="P84" t="inlineStr">
        <is>
          <t>20260430</t>
        </is>
      </c>
      <c r="Q84" t="inlineStr">
        <is>
          <t>99991231</t>
        </is>
      </c>
    </row>
    <row r="85">
      <c r="A85" t="inlineStr">
        <is>
          <t>900000137DW70D08310000623</t>
        </is>
      </c>
      <c r="B85" t="inlineStr">
        <is>
          <t>900000137</t>
        </is>
      </c>
      <c r="C85" t="inlineStr">
        <is>
          <t>DW70</t>
        </is>
      </c>
      <c r="D85" t="inlineStr">
        <is>
          <t>D083</t>
        </is>
      </c>
      <c r="E85" t="inlineStr">
        <is>
          <t>1</t>
        </is>
      </c>
      <c r="F85" t="inlineStr">
        <is>
          <t>10000623</t>
        </is>
      </c>
      <c r="H85" t="inlineStr"/>
      <c r="J85" t="n">
        <v>156.99</v>
      </c>
      <c r="K85" t="inlineStr"/>
      <c r="M85" t="inlineStr">
        <is>
          <t>TN</t>
        </is>
      </c>
      <c r="N85" t="inlineStr"/>
      <c r="P85" t="inlineStr">
        <is>
          <t>20220331</t>
        </is>
      </c>
      <c r="Q85" t="inlineStr">
        <is>
          <t>20250131</t>
        </is>
      </c>
    </row>
    <row r="86">
      <c r="A86" t="inlineStr">
        <is>
          <t>900000137DW70D08310000624</t>
        </is>
      </c>
      <c r="B86" t="inlineStr">
        <is>
          <t>900000137</t>
        </is>
      </c>
      <c r="C86" t="inlineStr">
        <is>
          <t>DW70</t>
        </is>
      </c>
      <c r="D86" t="inlineStr">
        <is>
          <t>D083</t>
        </is>
      </c>
      <c r="E86" t="inlineStr">
        <is>
          <t>1</t>
        </is>
      </c>
      <c r="F86" t="inlineStr">
        <is>
          <t>10000624</t>
        </is>
      </c>
      <c r="H86" t="inlineStr"/>
      <c r="J86" t="n">
        <v>256.48</v>
      </c>
      <c r="K86" t="inlineStr"/>
      <c r="M86" t="inlineStr">
        <is>
          <t>TN</t>
        </is>
      </c>
      <c r="N86" t="inlineStr"/>
      <c r="P86" t="inlineStr">
        <is>
          <t>20260430</t>
        </is>
      </c>
      <c r="Q86" t="inlineStr">
        <is>
          <t>99991231</t>
        </is>
      </c>
    </row>
    <row r="87">
      <c r="A87" t="inlineStr">
        <is>
          <t>900000137DW70D08310000630</t>
        </is>
      </c>
      <c r="B87" t="inlineStr">
        <is>
          <t>900000137</t>
        </is>
      </c>
      <c r="C87" t="inlineStr">
        <is>
          <t>DW70</t>
        </is>
      </c>
      <c r="D87" t="inlineStr">
        <is>
          <t>D083</t>
        </is>
      </c>
      <c r="E87" t="inlineStr">
        <is>
          <t>1</t>
        </is>
      </c>
      <c r="F87" t="inlineStr">
        <is>
          <t>10000630</t>
        </is>
      </c>
      <c r="H87" t="inlineStr"/>
      <c r="J87" t="n">
        <v>265.64</v>
      </c>
      <c r="K87" t="inlineStr"/>
      <c r="M87" t="inlineStr">
        <is>
          <t>TN</t>
        </is>
      </c>
      <c r="N87" t="inlineStr"/>
      <c r="P87" t="inlineStr">
        <is>
          <t>20260430</t>
        </is>
      </c>
      <c r="Q87" t="inlineStr">
        <is>
          <t>99991231</t>
        </is>
      </c>
    </row>
    <row r="88">
      <c r="A88" t="inlineStr">
        <is>
          <t>900000137DW70D08310000811</t>
        </is>
      </c>
      <c r="B88" t="inlineStr">
        <is>
          <t>900000137</t>
        </is>
      </c>
      <c r="C88" t="inlineStr">
        <is>
          <t>DW70</t>
        </is>
      </c>
      <c r="D88" t="inlineStr">
        <is>
          <t>D083</t>
        </is>
      </c>
      <c r="E88" t="inlineStr">
        <is>
          <t>1</t>
        </is>
      </c>
      <c r="F88" t="inlineStr">
        <is>
          <t>10000811</t>
        </is>
      </c>
      <c r="H88" t="inlineStr"/>
      <c r="J88" t="n">
        <v>257.01</v>
      </c>
      <c r="K88" t="inlineStr"/>
      <c r="M88" t="inlineStr">
        <is>
          <t>TN</t>
        </is>
      </c>
      <c r="N88" t="inlineStr"/>
      <c r="P88" t="inlineStr">
        <is>
          <t>20260430</t>
        </is>
      </c>
      <c r="Q88" t="inlineStr">
        <is>
          <t>99991231</t>
        </is>
      </c>
    </row>
    <row r="89">
      <c r="A89" t="inlineStr">
        <is>
          <t>900000137DW70D08310058345</t>
        </is>
      </c>
      <c r="B89" t="inlineStr">
        <is>
          <t>900000137</t>
        </is>
      </c>
      <c r="C89" t="inlineStr">
        <is>
          <t>DW70</t>
        </is>
      </c>
      <c r="D89" t="inlineStr">
        <is>
          <t>D083</t>
        </is>
      </c>
      <c r="E89" t="inlineStr">
        <is>
          <t>1</t>
        </is>
      </c>
      <c r="F89" t="inlineStr">
        <is>
          <t>10058345</t>
        </is>
      </c>
      <c r="H89" t="inlineStr"/>
      <c r="J89" t="n">
        <v>236.13</v>
      </c>
      <c r="K89" t="inlineStr"/>
      <c r="M89" t="inlineStr">
        <is>
          <t>TN</t>
        </is>
      </c>
      <c r="N89" t="inlineStr"/>
      <c r="P89" t="inlineStr">
        <is>
          <t>20260430</t>
        </is>
      </c>
      <c r="Q89" t="inlineStr">
        <is>
          <t>99991231</t>
        </is>
      </c>
    </row>
    <row r="90">
      <c r="A90" t="inlineStr">
        <is>
          <t>900000137DW70D08410000623</t>
        </is>
      </c>
      <c r="B90" t="inlineStr">
        <is>
          <t>900000137</t>
        </is>
      </c>
      <c r="C90" t="inlineStr">
        <is>
          <t>DW70</t>
        </is>
      </c>
      <c r="D90" t="inlineStr">
        <is>
          <t>D084</t>
        </is>
      </c>
      <c r="E90" t="inlineStr">
        <is>
          <t>1</t>
        </is>
      </c>
      <c r="F90" t="inlineStr">
        <is>
          <t>10000623</t>
        </is>
      </c>
      <c r="H90" t="inlineStr"/>
      <c r="J90" t="n">
        <v>193.39</v>
      </c>
      <c r="K90" t="inlineStr"/>
      <c r="M90" t="inlineStr">
        <is>
          <t>TN</t>
        </is>
      </c>
      <c r="N90" t="inlineStr"/>
      <c r="P90" t="inlineStr">
        <is>
          <t>20220331</t>
        </is>
      </c>
      <c r="Q90" t="inlineStr">
        <is>
          <t>20250131</t>
        </is>
      </c>
    </row>
    <row r="91">
      <c r="A91" t="inlineStr">
        <is>
          <t>900000137DW70D08410000624</t>
        </is>
      </c>
      <c r="B91" t="inlineStr">
        <is>
          <t>900000137</t>
        </is>
      </c>
      <c r="C91" t="inlineStr">
        <is>
          <t>DW70</t>
        </is>
      </c>
      <c r="D91" t="inlineStr">
        <is>
          <t>D084</t>
        </is>
      </c>
      <c r="E91" t="inlineStr">
        <is>
          <t>1</t>
        </is>
      </c>
      <c r="F91" t="inlineStr">
        <is>
          <t>10000624</t>
        </is>
      </c>
      <c r="H91" t="inlineStr"/>
      <c r="J91" t="n">
        <v>315.91</v>
      </c>
      <c r="K91" t="inlineStr"/>
      <c r="M91" t="inlineStr">
        <is>
          <t>TN</t>
        </is>
      </c>
      <c r="N91" t="inlineStr"/>
      <c r="P91" t="inlineStr">
        <is>
          <t>20260430</t>
        </is>
      </c>
      <c r="Q91" t="inlineStr">
        <is>
          <t>99991231</t>
        </is>
      </c>
    </row>
    <row r="92">
      <c r="A92" t="inlineStr">
        <is>
          <t>900000137DW70D08410000630</t>
        </is>
      </c>
      <c r="B92" t="inlineStr">
        <is>
          <t>900000137</t>
        </is>
      </c>
      <c r="C92" t="inlineStr">
        <is>
          <t>DW70</t>
        </is>
      </c>
      <c r="D92" t="inlineStr">
        <is>
          <t>D084</t>
        </is>
      </c>
      <c r="E92" t="inlineStr">
        <is>
          <t>1</t>
        </is>
      </c>
      <c r="F92" t="inlineStr">
        <is>
          <t>10000630</t>
        </is>
      </c>
      <c r="H92" t="inlineStr"/>
      <c r="J92" t="n">
        <v>327.19</v>
      </c>
      <c r="K92" t="inlineStr"/>
      <c r="M92" t="inlineStr">
        <is>
          <t>TN</t>
        </is>
      </c>
      <c r="N92" t="inlineStr"/>
      <c r="P92" t="inlineStr">
        <is>
          <t>20260430</t>
        </is>
      </c>
      <c r="Q92" t="inlineStr">
        <is>
          <t>99991231</t>
        </is>
      </c>
    </row>
    <row r="93">
      <c r="A93" t="inlineStr">
        <is>
          <t>900000137DW70D08410000811</t>
        </is>
      </c>
      <c r="B93" t="inlineStr">
        <is>
          <t>900000137</t>
        </is>
      </c>
      <c r="C93" t="inlineStr">
        <is>
          <t>DW70</t>
        </is>
      </c>
      <c r="D93" t="inlineStr">
        <is>
          <t>D084</t>
        </is>
      </c>
      <c r="E93" t="inlineStr">
        <is>
          <t>1</t>
        </is>
      </c>
      <c r="F93" t="inlineStr">
        <is>
          <t>10000811</t>
        </is>
      </c>
      <c r="H93" t="inlineStr"/>
      <c r="J93" t="n">
        <v>316.57</v>
      </c>
      <c r="K93" t="inlineStr"/>
      <c r="M93" t="inlineStr">
        <is>
          <t>TN</t>
        </is>
      </c>
      <c r="N93" t="inlineStr"/>
      <c r="P93" t="inlineStr">
        <is>
          <t>20260430</t>
        </is>
      </c>
      <c r="Q93" t="inlineStr">
        <is>
          <t>99991231</t>
        </is>
      </c>
    </row>
    <row r="94">
      <c r="A94" t="inlineStr">
        <is>
          <t>900000137DW70D08410058345</t>
        </is>
      </c>
      <c r="B94" t="inlineStr">
        <is>
          <t>900000137</t>
        </is>
      </c>
      <c r="C94" t="inlineStr">
        <is>
          <t>DW70</t>
        </is>
      </c>
      <c r="D94" t="inlineStr">
        <is>
          <t>D084</t>
        </is>
      </c>
      <c r="E94" t="inlineStr">
        <is>
          <t>1</t>
        </is>
      </c>
      <c r="F94" t="inlineStr">
        <is>
          <t>10058345</t>
        </is>
      </c>
      <c r="H94" t="inlineStr"/>
      <c r="J94" t="n">
        <v>290.84</v>
      </c>
      <c r="K94" t="inlineStr"/>
      <c r="M94" t="inlineStr">
        <is>
          <t>TN</t>
        </is>
      </c>
      <c r="N94" t="inlineStr"/>
      <c r="P94" t="inlineStr">
        <is>
          <t>20260430</t>
        </is>
      </c>
      <c r="Q94" t="inlineStr">
        <is>
          <t>99991231</t>
        </is>
      </c>
    </row>
    <row r="95">
      <c r="A95" t="inlineStr">
        <is>
          <t>900000137DW70D08510000623</t>
        </is>
      </c>
      <c r="B95" t="inlineStr">
        <is>
          <t>900000137</t>
        </is>
      </c>
      <c r="C95" t="inlineStr">
        <is>
          <t>DW70</t>
        </is>
      </c>
      <c r="D95" t="inlineStr">
        <is>
          <t>D085</t>
        </is>
      </c>
      <c r="E95" t="inlineStr">
        <is>
          <t>1</t>
        </is>
      </c>
      <c r="F95" t="inlineStr">
        <is>
          <t>10000623</t>
        </is>
      </c>
      <c r="H95" t="inlineStr"/>
      <c r="J95" t="n">
        <v>187.66</v>
      </c>
      <c r="K95" t="inlineStr"/>
      <c r="M95" t="inlineStr">
        <is>
          <t>TN</t>
        </is>
      </c>
      <c r="N95" t="inlineStr"/>
      <c r="P95" t="inlineStr">
        <is>
          <t>20220331</t>
        </is>
      </c>
      <c r="Q95" t="inlineStr">
        <is>
          <t>20250131</t>
        </is>
      </c>
    </row>
    <row r="96">
      <c r="A96" t="inlineStr">
        <is>
          <t>900000137DW70D08510000624</t>
        </is>
      </c>
      <c r="B96" t="inlineStr">
        <is>
          <t>900000137</t>
        </is>
      </c>
      <c r="C96" t="inlineStr">
        <is>
          <t>DW70</t>
        </is>
      </c>
      <c r="D96" t="inlineStr">
        <is>
          <t>D085</t>
        </is>
      </c>
      <c r="E96" t="inlineStr">
        <is>
          <t>1</t>
        </is>
      </c>
      <c r="F96" t="inlineStr">
        <is>
          <t>10000624</t>
        </is>
      </c>
      <c r="H96" t="inlineStr"/>
      <c r="J96" t="n">
        <v>306.52</v>
      </c>
      <c r="K96" t="inlineStr"/>
      <c r="M96" t="inlineStr">
        <is>
          <t>TN</t>
        </is>
      </c>
      <c r="N96" t="inlineStr"/>
      <c r="P96" t="inlineStr">
        <is>
          <t>20260430</t>
        </is>
      </c>
      <c r="Q96" t="inlineStr">
        <is>
          <t>99991231</t>
        </is>
      </c>
    </row>
    <row r="97">
      <c r="A97" t="inlineStr">
        <is>
          <t>900000137DW70D08510000630</t>
        </is>
      </c>
      <c r="B97" t="inlineStr">
        <is>
          <t>900000137</t>
        </is>
      </c>
      <c r="C97" t="inlineStr">
        <is>
          <t>DW70</t>
        </is>
      </c>
      <c r="D97" t="inlineStr">
        <is>
          <t>D085</t>
        </is>
      </c>
      <c r="E97" t="inlineStr">
        <is>
          <t>1</t>
        </is>
      </c>
      <c r="F97" t="inlineStr">
        <is>
          <t>10000630</t>
        </is>
      </c>
      <c r="H97" t="inlineStr"/>
      <c r="J97" t="n">
        <v>317.47</v>
      </c>
      <c r="K97" t="inlineStr"/>
      <c r="M97" t="inlineStr">
        <is>
          <t>TN</t>
        </is>
      </c>
      <c r="N97" t="inlineStr"/>
      <c r="P97" t="inlineStr">
        <is>
          <t>20260430</t>
        </is>
      </c>
      <c r="Q97" t="inlineStr">
        <is>
          <t>99991231</t>
        </is>
      </c>
    </row>
    <row r="98">
      <c r="A98" t="inlineStr">
        <is>
          <t>900000137DW70D08510000811</t>
        </is>
      </c>
      <c r="B98" t="inlineStr">
        <is>
          <t>900000137</t>
        </is>
      </c>
      <c r="C98" t="inlineStr">
        <is>
          <t>DW70</t>
        </is>
      </c>
      <c r="D98" t="inlineStr">
        <is>
          <t>D085</t>
        </is>
      </c>
      <c r="E98" t="inlineStr">
        <is>
          <t>1</t>
        </is>
      </c>
      <c r="F98" t="inlineStr">
        <is>
          <t>10000811</t>
        </is>
      </c>
      <c r="H98" t="inlineStr"/>
      <c r="J98" t="n">
        <v>307.16</v>
      </c>
      <c r="K98" t="inlineStr"/>
      <c r="M98" t="inlineStr">
        <is>
          <t>TN</t>
        </is>
      </c>
      <c r="N98" t="inlineStr"/>
      <c r="P98" t="inlineStr">
        <is>
          <t>20260430</t>
        </is>
      </c>
      <c r="Q98" t="inlineStr">
        <is>
          <t>99991231</t>
        </is>
      </c>
    </row>
    <row r="99">
      <c r="A99" t="inlineStr">
        <is>
          <t>900000137DW70D08510058345</t>
        </is>
      </c>
      <c r="B99" t="inlineStr">
        <is>
          <t>900000137</t>
        </is>
      </c>
      <c r="C99" t="inlineStr">
        <is>
          <t>DW70</t>
        </is>
      </c>
      <c r="D99" t="inlineStr">
        <is>
          <t>D085</t>
        </is>
      </c>
      <c r="E99" t="inlineStr">
        <is>
          <t>1</t>
        </is>
      </c>
      <c r="F99" t="inlineStr">
        <is>
          <t>10058345</t>
        </is>
      </c>
      <c r="H99" t="inlineStr"/>
      <c r="J99" t="n">
        <v>282.2</v>
      </c>
      <c r="K99" t="inlineStr"/>
      <c r="M99" t="inlineStr">
        <is>
          <t>TN</t>
        </is>
      </c>
      <c r="N99" t="inlineStr"/>
      <c r="P99" t="inlineStr">
        <is>
          <t>20260430</t>
        </is>
      </c>
      <c r="Q99" t="inlineStr">
        <is>
          <t>99991231</t>
        </is>
      </c>
    </row>
    <row r="100">
      <c r="A100" t="inlineStr">
        <is>
          <t>900000137DW70D08610000623</t>
        </is>
      </c>
      <c r="B100" t="inlineStr">
        <is>
          <t>900000137</t>
        </is>
      </c>
      <c r="C100" t="inlineStr">
        <is>
          <t>DW70</t>
        </is>
      </c>
      <c r="D100" t="inlineStr">
        <is>
          <t>D086</t>
        </is>
      </c>
      <c r="E100" t="inlineStr">
        <is>
          <t>1</t>
        </is>
      </c>
      <c r="F100" t="inlineStr">
        <is>
          <t>10000623</t>
        </is>
      </c>
      <c r="H100" t="inlineStr"/>
      <c r="J100" t="n">
        <v>158.87</v>
      </c>
      <c r="K100" t="inlineStr"/>
      <c r="M100" t="inlineStr">
        <is>
          <t>TN</t>
        </is>
      </c>
      <c r="N100" t="inlineStr"/>
      <c r="P100" t="inlineStr">
        <is>
          <t>20220331</t>
        </is>
      </c>
      <c r="Q100" t="inlineStr">
        <is>
          <t>20250131</t>
        </is>
      </c>
    </row>
    <row r="101">
      <c r="A101" t="inlineStr">
        <is>
          <t>900000137DW70D08610000624</t>
        </is>
      </c>
      <c r="B101" t="inlineStr">
        <is>
          <t>900000137</t>
        </is>
      </c>
      <c r="C101" t="inlineStr">
        <is>
          <t>DW70</t>
        </is>
      </c>
      <c r="D101" t="inlineStr">
        <is>
          <t>D086</t>
        </is>
      </c>
      <c r="E101" t="inlineStr">
        <is>
          <t>1</t>
        </is>
      </c>
      <c r="F101" t="inlineStr">
        <is>
          <t>10000624</t>
        </is>
      </c>
      <c r="H101" t="inlineStr"/>
      <c r="J101" t="n">
        <v>281.5</v>
      </c>
      <c r="K101" t="inlineStr"/>
      <c r="M101" t="inlineStr">
        <is>
          <t>TN</t>
        </is>
      </c>
      <c r="N101" t="inlineStr"/>
      <c r="P101" t="inlineStr">
        <is>
          <t>20260430</t>
        </is>
      </c>
      <c r="Q101" t="inlineStr">
        <is>
          <t>99991231</t>
        </is>
      </c>
    </row>
    <row r="102">
      <c r="A102" t="inlineStr">
        <is>
          <t>900000137DW70D08610000630</t>
        </is>
      </c>
      <c r="B102" t="inlineStr">
        <is>
          <t>900000137</t>
        </is>
      </c>
      <c r="C102" t="inlineStr">
        <is>
          <t>DW70</t>
        </is>
      </c>
      <c r="D102" t="inlineStr">
        <is>
          <t>D086</t>
        </is>
      </c>
      <c r="E102" t="inlineStr">
        <is>
          <t>1</t>
        </is>
      </c>
      <c r="F102" t="inlineStr">
        <is>
          <t>10000630</t>
        </is>
      </c>
      <c r="H102" t="inlineStr"/>
      <c r="J102" t="n">
        <v>291.56</v>
      </c>
      <c r="K102" t="inlineStr"/>
      <c r="M102" t="inlineStr">
        <is>
          <t>TN</t>
        </is>
      </c>
      <c r="N102" t="inlineStr"/>
      <c r="P102" t="inlineStr">
        <is>
          <t>20260430</t>
        </is>
      </c>
      <c r="Q102" t="inlineStr">
        <is>
          <t>99991231</t>
        </is>
      </c>
    </row>
    <row r="103">
      <c r="A103" t="inlineStr">
        <is>
          <t>900000137DW70D08610000811</t>
        </is>
      </c>
      <c r="B103" t="inlineStr">
        <is>
          <t>900000137</t>
        </is>
      </c>
      <c r="C103" t="inlineStr">
        <is>
          <t>DW70</t>
        </is>
      </c>
      <c r="D103" t="inlineStr">
        <is>
          <t>D086</t>
        </is>
      </c>
      <c r="E103" t="inlineStr">
        <is>
          <t>1</t>
        </is>
      </c>
      <c r="F103" t="inlineStr">
        <is>
          <t>10000811</t>
        </is>
      </c>
      <c r="H103" t="inlineStr"/>
      <c r="J103" t="n">
        <v>282.09</v>
      </c>
      <c r="K103" t="inlineStr"/>
      <c r="M103" t="inlineStr">
        <is>
          <t>TN</t>
        </is>
      </c>
      <c r="N103" t="inlineStr"/>
      <c r="P103" t="inlineStr">
        <is>
          <t>20260430</t>
        </is>
      </c>
      <c r="Q103" t="inlineStr">
        <is>
          <t>99991231</t>
        </is>
      </c>
    </row>
    <row r="104">
      <c r="A104" t="inlineStr">
        <is>
          <t>900000137DW70D08610058345</t>
        </is>
      </c>
      <c r="B104" t="inlineStr">
        <is>
          <t>900000137</t>
        </is>
      </c>
      <c r="C104" t="inlineStr">
        <is>
          <t>DW70</t>
        </is>
      </c>
      <c r="D104" t="inlineStr">
        <is>
          <t>D086</t>
        </is>
      </c>
      <c r="E104" t="inlineStr">
        <is>
          <t>1</t>
        </is>
      </c>
      <c r="F104" t="inlineStr">
        <is>
          <t>10058345</t>
        </is>
      </c>
      <c r="H104" t="inlineStr"/>
      <c r="J104" t="n">
        <v>259.16</v>
      </c>
      <c r="K104" t="inlineStr"/>
      <c r="M104" t="inlineStr">
        <is>
          <t>TN</t>
        </is>
      </c>
      <c r="N104" t="inlineStr"/>
      <c r="P104" t="inlineStr">
        <is>
          <t>20260430</t>
        </is>
      </c>
      <c r="Q104" t="inlineStr">
        <is>
          <t>99991231</t>
        </is>
      </c>
    </row>
    <row r="105">
      <c r="A105" t="inlineStr">
        <is>
          <t>900000137DW70D08810000623</t>
        </is>
      </c>
      <c r="B105" t="inlineStr">
        <is>
          <t>900000137</t>
        </is>
      </c>
      <c r="C105" t="inlineStr">
        <is>
          <t>DW70</t>
        </is>
      </c>
      <c r="D105" t="inlineStr">
        <is>
          <t>D088</t>
        </is>
      </c>
      <c r="E105" t="inlineStr">
        <is>
          <t>1</t>
        </is>
      </c>
      <c r="F105" t="inlineStr">
        <is>
          <t>10000623</t>
        </is>
      </c>
      <c r="H105" t="inlineStr"/>
      <c r="J105" t="n">
        <v>38.74</v>
      </c>
      <c r="K105" t="inlineStr"/>
      <c r="M105" t="inlineStr">
        <is>
          <t>TN</t>
        </is>
      </c>
      <c r="N105" t="inlineStr"/>
      <c r="P105" t="inlineStr">
        <is>
          <t>20220331</t>
        </is>
      </c>
      <c r="Q105" t="inlineStr">
        <is>
          <t>20250131</t>
        </is>
      </c>
    </row>
    <row r="106">
      <c r="A106" t="inlineStr">
        <is>
          <t>900000137DW70D08810000624</t>
        </is>
      </c>
      <c r="B106" t="inlineStr">
        <is>
          <t>900000137</t>
        </is>
      </c>
      <c r="C106" t="inlineStr">
        <is>
          <t>DW70</t>
        </is>
      </c>
      <c r="D106" t="inlineStr">
        <is>
          <t>D088</t>
        </is>
      </c>
      <c r="E106" t="inlineStr">
        <is>
          <t>1</t>
        </is>
      </c>
      <c r="F106" t="inlineStr">
        <is>
          <t>10000624</t>
        </is>
      </c>
      <c r="H106" t="inlineStr"/>
      <c r="J106" t="n">
        <v>61.55</v>
      </c>
      <c r="K106" t="inlineStr"/>
      <c r="M106" t="inlineStr">
        <is>
          <t>TN</t>
        </is>
      </c>
      <c r="N106" t="inlineStr"/>
      <c r="P106" t="inlineStr">
        <is>
          <t>20220331</t>
        </is>
      </c>
      <c r="Q106" t="inlineStr">
        <is>
          <t>20250131</t>
        </is>
      </c>
    </row>
    <row r="107">
      <c r="A107" t="inlineStr">
        <is>
          <t>900000137DW70D08810000811</t>
        </is>
      </c>
      <c r="B107" t="inlineStr">
        <is>
          <t>900000137</t>
        </is>
      </c>
      <c r="C107" t="inlineStr">
        <is>
          <t>DW70</t>
        </is>
      </c>
      <c r="D107" t="inlineStr">
        <is>
          <t>D088</t>
        </is>
      </c>
      <c r="E107" t="inlineStr">
        <is>
          <t>1</t>
        </is>
      </c>
      <c r="F107" t="inlineStr">
        <is>
          <t>10000811</t>
        </is>
      </c>
      <c r="H107" t="inlineStr"/>
      <c r="J107" t="n">
        <v>51.4</v>
      </c>
      <c r="K107" t="inlineStr"/>
      <c r="M107" t="inlineStr">
        <is>
          <t>TN</t>
        </is>
      </c>
      <c r="N107" t="inlineStr"/>
      <c r="P107" t="inlineStr">
        <is>
          <t>20220331</t>
        </is>
      </c>
      <c r="Q107" t="inlineStr">
        <is>
          <t>20250131</t>
        </is>
      </c>
    </row>
    <row r="108">
      <c r="A108" t="inlineStr">
        <is>
          <t>900000137DW70D08810058345</t>
        </is>
      </c>
      <c r="B108" t="inlineStr">
        <is>
          <t>900000137</t>
        </is>
      </c>
      <c r="C108" t="inlineStr">
        <is>
          <t>DW70</t>
        </is>
      </c>
      <c r="D108" t="inlineStr">
        <is>
          <t>D088</t>
        </is>
      </c>
      <c r="E108" t="inlineStr">
        <is>
          <t>1</t>
        </is>
      </c>
      <c r="F108" t="inlineStr">
        <is>
          <t>10058345</t>
        </is>
      </c>
      <c r="H108" t="inlineStr"/>
      <c r="J108" t="n">
        <v>41.55</v>
      </c>
      <c r="K108" t="inlineStr"/>
      <c r="M108" t="inlineStr">
        <is>
          <t>TN</t>
        </is>
      </c>
      <c r="N108" t="inlineStr"/>
      <c r="P108" t="inlineStr">
        <is>
          <t>20220331</t>
        </is>
      </c>
      <c r="Q108" t="inlineStr">
        <is>
          <t>20250131</t>
        </is>
      </c>
    </row>
    <row r="109">
      <c r="A109" t="inlineStr">
        <is>
          <t>900000137DW70D08910000623</t>
        </is>
      </c>
      <c r="B109" t="inlineStr">
        <is>
          <t>900000137</t>
        </is>
      </c>
      <c r="C109" t="inlineStr">
        <is>
          <t>DW70</t>
        </is>
      </c>
      <c r="D109" t="inlineStr">
        <is>
          <t>D089</t>
        </is>
      </c>
      <c r="E109" t="inlineStr">
        <is>
          <t>1</t>
        </is>
      </c>
      <c r="F109" t="inlineStr">
        <is>
          <t>10000623</t>
        </is>
      </c>
      <c r="H109" t="inlineStr"/>
      <c r="J109" t="n">
        <v>40.5</v>
      </c>
      <c r="K109" t="inlineStr"/>
      <c r="M109" t="inlineStr">
        <is>
          <t>TN</t>
        </is>
      </c>
      <c r="N109" t="inlineStr"/>
      <c r="P109" t="inlineStr">
        <is>
          <t>20220331</t>
        </is>
      </c>
      <c r="Q109" t="inlineStr">
        <is>
          <t>20250131</t>
        </is>
      </c>
    </row>
    <row r="110">
      <c r="A110" t="inlineStr">
        <is>
          <t>900000137DW70D08910000624</t>
        </is>
      </c>
      <c r="B110" t="inlineStr">
        <is>
          <t>900000137</t>
        </is>
      </c>
      <c r="C110" t="inlineStr">
        <is>
          <t>DW70</t>
        </is>
      </c>
      <c r="D110" t="inlineStr">
        <is>
          <t>D089</t>
        </is>
      </c>
      <c r="E110" t="inlineStr">
        <is>
          <t>1</t>
        </is>
      </c>
      <c r="F110" t="inlineStr">
        <is>
          <t>10000624</t>
        </is>
      </c>
      <c r="H110" t="inlineStr"/>
      <c r="J110" t="n">
        <v>42.3</v>
      </c>
      <c r="K110" t="inlineStr"/>
      <c r="M110" t="inlineStr">
        <is>
          <t>TN</t>
        </is>
      </c>
      <c r="N110" t="inlineStr"/>
      <c r="P110" t="inlineStr">
        <is>
          <t>20220331</t>
        </is>
      </c>
      <c r="Q110" t="inlineStr">
        <is>
          <t>20250131</t>
        </is>
      </c>
    </row>
    <row r="111">
      <c r="A111" t="inlineStr">
        <is>
          <t>900000137DW70D08910000811</t>
        </is>
      </c>
      <c r="B111" t="inlineStr">
        <is>
          <t>900000137</t>
        </is>
      </c>
      <c r="C111" t="inlineStr">
        <is>
          <t>DW70</t>
        </is>
      </c>
      <c r="D111" t="inlineStr">
        <is>
          <t>D089</t>
        </is>
      </c>
      <c r="E111" t="inlineStr">
        <is>
          <t>1</t>
        </is>
      </c>
      <c r="F111" t="inlineStr">
        <is>
          <t>10000811</t>
        </is>
      </c>
      <c r="H111" t="inlineStr"/>
      <c r="J111" t="n">
        <v>39.46</v>
      </c>
      <c r="K111" t="inlineStr"/>
      <c r="M111" t="inlineStr">
        <is>
          <t>TN</t>
        </is>
      </c>
      <c r="N111" t="inlineStr"/>
      <c r="P111" t="inlineStr">
        <is>
          <t>20220331</t>
        </is>
      </c>
      <c r="Q111" t="inlineStr">
        <is>
          <t>20250131</t>
        </is>
      </c>
    </row>
    <row r="112">
      <c r="A112" t="inlineStr">
        <is>
          <t>900000137DW70D08910058345</t>
        </is>
      </c>
      <c r="B112" t="inlineStr">
        <is>
          <t>900000137</t>
        </is>
      </c>
      <c r="C112" t="inlineStr">
        <is>
          <t>DW70</t>
        </is>
      </c>
      <c r="D112" t="inlineStr">
        <is>
          <t>D089</t>
        </is>
      </c>
      <c r="E112" t="inlineStr">
        <is>
          <t>1</t>
        </is>
      </c>
      <c r="F112" t="inlineStr">
        <is>
          <t>10058345</t>
        </is>
      </c>
      <c r="H112" t="inlineStr"/>
      <c r="J112" t="n">
        <v>36.25</v>
      </c>
      <c r="K112" t="inlineStr"/>
      <c r="M112" t="inlineStr">
        <is>
          <t>TN</t>
        </is>
      </c>
      <c r="N112" t="inlineStr"/>
      <c r="P112" t="inlineStr">
        <is>
          <t>20220331</t>
        </is>
      </c>
      <c r="Q112" t="inlineStr">
        <is>
          <t>20250131</t>
        </is>
      </c>
    </row>
    <row r="113">
      <c r="A113" t="inlineStr">
        <is>
          <t>900000137DW70D09310000623</t>
        </is>
      </c>
      <c r="B113" t="inlineStr">
        <is>
          <t>900000137</t>
        </is>
      </c>
      <c r="C113" t="inlineStr">
        <is>
          <t>DW70</t>
        </is>
      </c>
      <c r="D113" t="inlineStr">
        <is>
          <t>D093</t>
        </is>
      </c>
      <c r="E113" t="inlineStr">
        <is>
          <t>1</t>
        </is>
      </c>
      <c r="F113" t="inlineStr">
        <is>
          <t>10000623</t>
        </is>
      </c>
      <c r="H113" t="inlineStr"/>
      <c r="J113" t="n">
        <v>69.98</v>
      </c>
      <c r="K113" t="inlineStr"/>
      <c r="M113" t="inlineStr">
        <is>
          <t>TN</t>
        </is>
      </c>
      <c r="N113" t="inlineStr"/>
      <c r="P113" t="inlineStr">
        <is>
          <t>20220331</t>
        </is>
      </c>
      <c r="Q113" t="inlineStr">
        <is>
          <t>20250131</t>
        </is>
      </c>
    </row>
    <row r="114">
      <c r="A114" t="inlineStr">
        <is>
          <t>900000137DW70D09310000624</t>
        </is>
      </c>
      <c r="B114" t="inlineStr">
        <is>
          <t>900000137</t>
        </is>
      </c>
      <c r="C114" t="inlineStr">
        <is>
          <t>DW70</t>
        </is>
      </c>
      <c r="D114" t="inlineStr">
        <is>
          <t>D093</t>
        </is>
      </c>
      <c r="E114" t="inlineStr">
        <is>
          <t>1</t>
        </is>
      </c>
      <c r="F114" t="inlineStr">
        <is>
          <t>10000624</t>
        </is>
      </c>
      <c r="H114" t="inlineStr"/>
      <c r="J114" t="n">
        <v>115.73</v>
      </c>
      <c r="K114" t="inlineStr"/>
      <c r="M114" t="inlineStr">
        <is>
          <t>TN</t>
        </is>
      </c>
      <c r="N114" t="inlineStr"/>
      <c r="P114" t="inlineStr">
        <is>
          <t>20260430</t>
        </is>
      </c>
      <c r="Q114" t="inlineStr">
        <is>
          <t>99991231</t>
        </is>
      </c>
    </row>
    <row r="115">
      <c r="A115" t="inlineStr">
        <is>
          <t>900000137DW70D09310000630</t>
        </is>
      </c>
      <c r="B115" t="inlineStr">
        <is>
          <t>900000137</t>
        </is>
      </c>
      <c r="C115" t="inlineStr">
        <is>
          <t>DW70</t>
        </is>
      </c>
      <c r="D115" t="inlineStr">
        <is>
          <t>D093</t>
        </is>
      </c>
      <c r="E115" t="inlineStr">
        <is>
          <t>1</t>
        </is>
      </c>
      <c r="F115" t="inlineStr">
        <is>
          <t>10000630</t>
        </is>
      </c>
      <c r="H115" t="inlineStr"/>
      <c r="J115" t="n">
        <v>119.86</v>
      </c>
      <c r="K115" t="inlineStr"/>
      <c r="M115" t="inlineStr">
        <is>
          <t>TN</t>
        </is>
      </c>
      <c r="N115" t="inlineStr"/>
      <c r="P115" t="inlineStr">
        <is>
          <t>20260430</t>
        </is>
      </c>
      <c r="Q115" t="inlineStr">
        <is>
          <t>99991231</t>
        </is>
      </c>
    </row>
    <row r="116">
      <c r="A116" t="inlineStr">
        <is>
          <t>900000137DW70D09310000811</t>
        </is>
      </c>
      <c r="B116" t="inlineStr">
        <is>
          <t>900000137</t>
        </is>
      </c>
      <c r="C116" t="inlineStr">
        <is>
          <t>DW70</t>
        </is>
      </c>
      <c r="D116" t="inlineStr">
        <is>
          <t>D093</t>
        </is>
      </c>
      <c r="E116" t="inlineStr">
        <is>
          <t>1</t>
        </is>
      </c>
      <c r="F116" t="inlineStr">
        <is>
          <t>10000811</t>
        </is>
      </c>
      <c r="H116" t="inlineStr"/>
      <c r="J116" t="n">
        <v>115.97</v>
      </c>
      <c r="K116" t="inlineStr"/>
      <c r="M116" t="inlineStr">
        <is>
          <t>TN</t>
        </is>
      </c>
      <c r="N116" t="inlineStr"/>
      <c r="P116" t="inlineStr">
        <is>
          <t>20260430</t>
        </is>
      </c>
      <c r="Q116" t="inlineStr">
        <is>
          <t>99991231</t>
        </is>
      </c>
    </row>
    <row r="117">
      <c r="A117" t="inlineStr">
        <is>
          <t>900000137DW70D09310058345</t>
        </is>
      </c>
      <c r="B117" t="inlineStr">
        <is>
          <t>900000137</t>
        </is>
      </c>
      <c r="C117" t="inlineStr">
        <is>
          <t>DW70</t>
        </is>
      </c>
      <c r="D117" t="inlineStr">
        <is>
          <t>D093</t>
        </is>
      </c>
      <c r="E117" t="inlineStr">
        <is>
          <t>1</t>
        </is>
      </c>
      <c r="F117" t="inlineStr">
        <is>
          <t>10058345</t>
        </is>
      </c>
      <c r="H117" t="inlineStr"/>
      <c r="J117" t="n">
        <v>106.55</v>
      </c>
      <c r="K117" t="inlineStr"/>
      <c r="M117" t="inlineStr">
        <is>
          <t>TN</t>
        </is>
      </c>
      <c r="N117" t="inlineStr"/>
      <c r="P117" t="inlineStr">
        <is>
          <t>20260430</t>
        </is>
      </c>
      <c r="Q117" t="inlineStr">
        <is>
          <t>99991231</t>
        </is>
      </c>
    </row>
    <row r="118">
      <c r="A118" t="inlineStr">
        <is>
          <t>900000137DW70D09810000623</t>
        </is>
      </c>
      <c r="B118" t="inlineStr">
        <is>
          <t>900000137</t>
        </is>
      </c>
      <c r="C118" t="inlineStr">
        <is>
          <t>DW70</t>
        </is>
      </c>
      <c r="D118" t="inlineStr">
        <is>
          <t>D098</t>
        </is>
      </c>
      <c r="E118" t="inlineStr">
        <is>
          <t>1</t>
        </is>
      </c>
      <c r="F118" t="inlineStr">
        <is>
          <t>10000623</t>
        </is>
      </c>
      <c r="H118" t="inlineStr"/>
      <c r="J118" t="n">
        <v>77.54000000000001</v>
      </c>
      <c r="K118" t="inlineStr"/>
      <c r="M118" t="inlineStr">
        <is>
          <t>TN</t>
        </is>
      </c>
      <c r="N118" t="inlineStr"/>
      <c r="P118" t="inlineStr">
        <is>
          <t>20220331</t>
        </is>
      </c>
      <c r="Q118" t="inlineStr">
        <is>
          <t>20250131</t>
        </is>
      </c>
    </row>
    <row r="119">
      <c r="A119" t="inlineStr">
        <is>
          <t>900000137DW70D09810000624</t>
        </is>
      </c>
      <c r="B119" t="inlineStr">
        <is>
          <t>900000137</t>
        </is>
      </c>
      <c r="C119" t="inlineStr">
        <is>
          <t>DW70</t>
        </is>
      </c>
      <c r="D119" t="inlineStr">
        <is>
          <t>D098</t>
        </is>
      </c>
      <c r="E119" t="inlineStr">
        <is>
          <t>1</t>
        </is>
      </c>
      <c r="F119" t="inlineStr">
        <is>
          <t>10000624</t>
        </is>
      </c>
      <c r="H119" t="inlineStr"/>
      <c r="J119" t="n">
        <v>128.24</v>
      </c>
      <c r="K119" t="inlineStr"/>
      <c r="M119" t="inlineStr">
        <is>
          <t>TN</t>
        </is>
      </c>
      <c r="N119" t="inlineStr"/>
      <c r="P119" t="inlineStr">
        <is>
          <t>20260430</t>
        </is>
      </c>
      <c r="Q119" t="inlineStr">
        <is>
          <t>99991231</t>
        </is>
      </c>
    </row>
    <row r="120">
      <c r="A120" t="inlineStr">
        <is>
          <t>900000137DW70D09810000630</t>
        </is>
      </c>
      <c r="B120" t="inlineStr">
        <is>
          <t>900000137</t>
        </is>
      </c>
      <c r="C120" t="inlineStr">
        <is>
          <t>DW70</t>
        </is>
      </c>
      <c r="D120" t="inlineStr">
        <is>
          <t>D098</t>
        </is>
      </c>
      <c r="E120" t="inlineStr">
        <is>
          <t>1</t>
        </is>
      </c>
      <c r="F120" t="inlineStr">
        <is>
          <t>10000630</t>
        </is>
      </c>
      <c r="H120" t="inlineStr"/>
      <c r="J120" t="n">
        <v>132.82</v>
      </c>
      <c r="K120" t="inlineStr"/>
      <c r="M120" t="inlineStr">
        <is>
          <t>TN</t>
        </is>
      </c>
      <c r="N120" t="inlineStr"/>
      <c r="P120" t="inlineStr">
        <is>
          <t>20260430</t>
        </is>
      </c>
      <c r="Q120" t="inlineStr">
        <is>
          <t>99991231</t>
        </is>
      </c>
    </row>
    <row r="121">
      <c r="A121" t="inlineStr">
        <is>
          <t>900000137DW70D09810000811</t>
        </is>
      </c>
      <c r="B121" t="inlineStr">
        <is>
          <t>900000137</t>
        </is>
      </c>
      <c r="C121" t="inlineStr">
        <is>
          <t>DW70</t>
        </is>
      </c>
      <c r="D121" t="inlineStr">
        <is>
          <t>D098</t>
        </is>
      </c>
      <c r="E121" t="inlineStr">
        <is>
          <t>1</t>
        </is>
      </c>
      <c r="F121" t="inlineStr">
        <is>
          <t>10000811</t>
        </is>
      </c>
      <c r="H121" t="inlineStr"/>
      <c r="J121" t="n">
        <v>128.51</v>
      </c>
      <c r="K121" t="inlineStr"/>
      <c r="M121" t="inlineStr">
        <is>
          <t>TN</t>
        </is>
      </c>
      <c r="N121" t="inlineStr"/>
      <c r="P121" t="inlineStr">
        <is>
          <t>20260430</t>
        </is>
      </c>
      <c r="Q121" t="inlineStr">
        <is>
          <t>99991231</t>
        </is>
      </c>
    </row>
    <row r="122">
      <c r="A122" t="inlineStr">
        <is>
          <t>900000137DW70D09810058345</t>
        </is>
      </c>
      <c r="B122" t="inlineStr">
        <is>
          <t>900000137</t>
        </is>
      </c>
      <c r="C122" t="inlineStr">
        <is>
          <t>DW70</t>
        </is>
      </c>
      <c r="D122" t="inlineStr">
        <is>
          <t>D098</t>
        </is>
      </c>
      <c r="E122" t="inlineStr">
        <is>
          <t>1</t>
        </is>
      </c>
      <c r="F122" t="inlineStr">
        <is>
          <t>10058345</t>
        </is>
      </c>
      <c r="H122" t="inlineStr"/>
      <c r="J122" t="n">
        <v>118.06</v>
      </c>
      <c r="K122" t="inlineStr"/>
      <c r="M122" t="inlineStr">
        <is>
          <t>TN</t>
        </is>
      </c>
      <c r="N122" t="inlineStr"/>
      <c r="P122" t="inlineStr">
        <is>
          <t>20260430</t>
        </is>
      </c>
      <c r="Q122" t="inlineStr">
        <is>
          <t>99991231</t>
        </is>
      </c>
    </row>
    <row r="123">
      <c r="A123" t="inlineStr">
        <is>
          <t>900000137DW70D09810147486</t>
        </is>
      </c>
      <c r="B123" t="inlineStr">
        <is>
          <t>900000137</t>
        </is>
      </c>
      <c r="C123" t="inlineStr">
        <is>
          <t>DW70</t>
        </is>
      </c>
      <c r="D123" t="inlineStr">
        <is>
          <t>D098</t>
        </is>
      </c>
      <c r="E123" t="inlineStr">
        <is>
          <t>1</t>
        </is>
      </c>
      <c r="F123" t="inlineStr">
        <is>
          <t>10147486</t>
        </is>
      </c>
      <c r="H123" t="inlineStr"/>
      <c r="J123" t="n">
        <v>119.2</v>
      </c>
      <c r="K123" t="inlineStr"/>
      <c r="M123" t="inlineStr">
        <is>
          <t>TN</t>
        </is>
      </c>
      <c r="N123" t="inlineStr"/>
      <c r="P123" t="inlineStr">
        <is>
          <t>20260430</t>
        </is>
      </c>
      <c r="Q123" t="inlineStr">
        <is>
          <t>99991231</t>
        </is>
      </c>
    </row>
    <row r="124">
      <c r="A124" t="inlineStr">
        <is>
          <t>900000137DW70D10510000623</t>
        </is>
      </c>
      <c r="B124" t="inlineStr">
        <is>
          <t>900000137</t>
        </is>
      </c>
      <c r="C124" t="inlineStr">
        <is>
          <t>DW70</t>
        </is>
      </c>
      <c r="D124" t="inlineStr">
        <is>
          <t>D105</t>
        </is>
      </c>
      <c r="E124" t="inlineStr">
        <is>
          <t>1</t>
        </is>
      </c>
      <c r="F124" t="inlineStr">
        <is>
          <t>10000623</t>
        </is>
      </c>
      <c r="H124" t="inlineStr"/>
      <c r="J124" t="n">
        <v>130.5</v>
      </c>
      <c r="K124" t="inlineStr"/>
      <c r="M124" t="inlineStr">
        <is>
          <t>TN</t>
        </is>
      </c>
      <c r="N124" t="inlineStr"/>
      <c r="P124" t="inlineStr">
        <is>
          <t>20220331</t>
        </is>
      </c>
      <c r="Q124" t="inlineStr">
        <is>
          <t>20250131</t>
        </is>
      </c>
    </row>
    <row r="125">
      <c r="A125" t="inlineStr">
        <is>
          <t>900000137DW70D10510000624</t>
        </is>
      </c>
      <c r="B125" t="inlineStr">
        <is>
          <t>900000137</t>
        </is>
      </c>
      <c r="C125" t="inlineStr">
        <is>
          <t>DW70</t>
        </is>
      </c>
      <c r="D125" t="inlineStr">
        <is>
          <t>D105</t>
        </is>
      </c>
      <c r="E125" t="inlineStr">
        <is>
          <t>1</t>
        </is>
      </c>
      <c r="F125" t="inlineStr">
        <is>
          <t>10000624</t>
        </is>
      </c>
      <c r="H125" t="inlineStr"/>
      <c r="J125" t="n">
        <v>222.08</v>
      </c>
      <c r="K125" t="inlineStr"/>
      <c r="M125" t="inlineStr">
        <is>
          <t>TN</t>
        </is>
      </c>
      <c r="N125" t="inlineStr"/>
      <c r="P125" t="inlineStr">
        <is>
          <t>20260430</t>
        </is>
      </c>
      <c r="Q125" t="inlineStr">
        <is>
          <t>99991231</t>
        </is>
      </c>
    </row>
    <row r="126">
      <c r="A126" t="inlineStr">
        <is>
          <t>900000137DW70D10510000630</t>
        </is>
      </c>
      <c r="B126" t="inlineStr">
        <is>
          <t>900000137</t>
        </is>
      </c>
      <c r="C126" t="inlineStr">
        <is>
          <t>DW70</t>
        </is>
      </c>
      <c r="D126" t="inlineStr">
        <is>
          <t>D105</t>
        </is>
      </c>
      <c r="E126" t="inlineStr">
        <is>
          <t>1</t>
        </is>
      </c>
      <c r="F126" t="inlineStr">
        <is>
          <t>10000630</t>
        </is>
      </c>
      <c r="H126" t="inlineStr"/>
      <c r="J126" t="n">
        <v>230.01</v>
      </c>
      <c r="K126" t="inlineStr"/>
      <c r="M126" t="inlineStr">
        <is>
          <t>TN</t>
        </is>
      </c>
      <c r="N126" t="inlineStr"/>
      <c r="P126" t="inlineStr">
        <is>
          <t>20260430</t>
        </is>
      </c>
      <c r="Q126" t="inlineStr">
        <is>
          <t>99991231</t>
        </is>
      </c>
    </row>
    <row r="127">
      <c r="A127" t="inlineStr">
        <is>
          <t>900000137DW70D10510000811</t>
        </is>
      </c>
      <c r="B127" t="inlineStr">
        <is>
          <t>900000137</t>
        </is>
      </c>
      <c r="C127" t="inlineStr">
        <is>
          <t>DW70</t>
        </is>
      </c>
      <c r="D127" t="inlineStr">
        <is>
          <t>D105</t>
        </is>
      </c>
      <c r="E127" t="inlineStr">
        <is>
          <t>1</t>
        </is>
      </c>
      <c r="F127" t="inlineStr">
        <is>
          <t>10000811</t>
        </is>
      </c>
      <c r="H127" t="inlineStr"/>
      <c r="J127" t="n">
        <v>222.54</v>
      </c>
      <c r="K127" t="inlineStr"/>
      <c r="M127" t="inlineStr">
        <is>
          <t>TN</t>
        </is>
      </c>
      <c r="N127" t="inlineStr"/>
      <c r="P127" t="inlineStr">
        <is>
          <t>20260430</t>
        </is>
      </c>
      <c r="Q127" t="inlineStr">
        <is>
          <t>99991231</t>
        </is>
      </c>
    </row>
    <row r="128">
      <c r="A128" t="inlineStr">
        <is>
          <t>900000137DW70D10510058345</t>
        </is>
      </c>
      <c r="B128" t="inlineStr">
        <is>
          <t>900000137</t>
        </is>
      </c>
      <c r="C128" t="inlineStr">
        <is>
          <t>DW70</t>
        </is>
      </c>
      <c r="D128" t="inlineStr">
        <is>
          <t>D105</t>
        </is>
      </c>
      <c r="E128" t="inlineStr">
        <is>
          <t>1</t>
        </is>
      </c>
      <c r="F128" t="inlineStr">
        <is>
          <t>10058345</t>
        </is>
      </c>
      <c r="H128" t="inlineStr"/>
      <c r="J128" t="n">
        <v>204.45</v>
      </c>
      <c r="K128" t="inlineStr"/>
      <c r="M128" t="inlineStr">
        <is>
          <t>TN</t>
        </is>
      </c>
      <c r="N128" t="inlineStr"/>
      <c r="P128" t="inlineStr">
        <is>
          <t>20260430</t>
        </is>
      </c>
      <c r="Q128" t="inlineStr">
        <is>
          <t>99991231</t>
        </is>
      </c>
    </row>
    <row r="129">
      <c r="A129" t="inlineStr">
        <is>
          <t>900000137DW70D11110000624</t>
        </is>
      </c>
      <c r="B129" t="inlineStr">
        <is>
          <t>900000137</t>
        </is>
      </c>
      <c r="C129" t="inlineStr">
        <is>
          <t>DW70</t>
        </is>
      </c>
      <c r="D129" t="inlineStr">
        <is>
          <t>D111</t>
        </is>
      </c>
      <c r="E129" t="inlineStr">
        <is>
          <t>1</t>
        </is>
      </c>
      <c r="F129" t="inlineStr">
        <is>
          <t>10000624</t>
        </is>
      </c>
      <c r="H129" t="inlineStr"/>
      <c r="J129" t="n">
        <v>246.48</v>
      </c>
      <c r="K129" t="inlineStr"/>
      <c r="M129" t="inlineStr">
        <is>
          <t>TN</t>
        </is>
      </c>
      <c r="N129" t="inlineStr"/>
      <c r="P129" t="inlineStr">
        <is>
          <t>20220331</t>
        </is>
      </c>
      <c r="Q129" t="inlineStr">
        <is>
          <t>20250131</t>
        </is>
      </c>
    </row>
    <row r="130">
      <c r="A130" t="inlineStr">
        <is>
          <t>900000137DW70D13610000623</t>
        </is>
      </c>
      <c r="B130" t="inlineStr">
        <is>
          <t>900000137</t>
        </is>
      </c>
      <c r="C130" t="inlineStr">
        <is>
          <t>DW70</t>
        </is>
      </c>
      <c r="D130" t="inlineStr">
        <is>
          <t>D136</t>
        </is>
      </c>
      <c r="E130" t="inlineStr">
        <is>
          <t>1</t>
        </is>
      </c>
      <c r="F130" t="inlineStr">
        <is>
          <t>10000623</t>
        </is>
      </c>
      <c r="H130" t="inlineStr"/>
      <c r="J130" t="n">
        <v>166.43</v>
      </c>
      <c r="K130" t="inlineStr"/>
      <c r="M130" t="inlineStr">
        <is>
          <t>TN</t>
        </is>
      </c>
      <c r="N130" t="inlineStr"/>
      <c r="P130" t="inlineStr">
        <is>
          <t>20220331</t>
        </is>
      </c>
      <c r="Q130" t="inlineStr">
        <is>
          <t>20250131</t>
        </is>
      </c>
    </row>
    <row r="131">
      <c r="A131" t="inlineStr">
        <is>
          <t>900000137DW70D13610000624</t>
        </is>
      </c>
      <c r="B131" t="inlineStr">
        <is>
          <t>900000137</t>
        </is>
      </c>
      <c r="C131" t="inlineStr">
        <is>
          <t>DW70</t>
        </is>
      </c>
      <c r="D131" t="inlineStr">
        <is>
          <t>D136</t>
        </is>
      </c>
      <c r="E131" t="inlineStr">
        <is>
          <t>1</t>
        </is>
      </c>
      <c r="F131" t="inlineStr">
        <is>
          <t>10000624</t>
        </is>
      </c>
      <c r="H131" t="inlineStr"/>
      <c r="J131" t="n">
        <v>275.25</v>
      </c>
      <c r="K131" t="inlineStr"/>
      <c r="M131" t="inlineStr">
        <is>
          <t>TN</t>
        </is>
      </c>
      <c r="N131" t="inlineStr"/>
      <c r="P131" t="inlineStr">
        <is>
          <t>20260430</t>
        </is>
      </c>
      <c r="Q131" t="inlineStr">
        <is>
          <t>99991231</t>
        </is>
      </c>
    </row>
    <row r="132">
      <c r="A132" t="inlineStr">
        <is>
          <t>900000137DW70D13610000630</t>
        </is>
      </c>
      <c r="B132" t="inlineStr">
        <is>
          <t>900000137</t>
        </is>
      </c>
      <c r="C132" t="inlineStr">
        <is>
          <t>DW70</t>
        </is>
      </c>
      <c r="D132" t="inlineStr">
        <is>
          <t>D136</t>
        </is>
      </c>
      <c r="E132" t="inlineStr">
        <is>
          <t>1</t>
        </is>
      </c>
      <c r="F132" t="inlineStr">
        <is>
          <t>10000630</t>
        </is>
      </c>
      <c r="H132" t="inlineStr"/>
      <c r="J132" t="n">
        <v>285.08</v>
      </c>
      <c r="K132" t="inlineStr"/>
      <c r="M132" t="inlineStr">
        <is>
          <t>TN</t>
        </is>
      </c>
      <c r="N132" t="inlineStr"/>
      <c r="P132" t="inlineStr">
        <is>
          <t>20260430</t>
        </is>
      </c>
      <c r="Q132" t="inlineStr">
        <is>
          <t>99991231</t>
        </is>
      </c>
    </row>
    <row r="133">
      <c r="A133" t="inlineStr">
        <is>
          <t>900000137DW70D13610000811</t>
        </is>
      </c>
      <c r="B133" t="inlineStr">
        <is>
          <t>900000137</t>
        </is>
      </c>
      <c r="C133" t="inlineStr">
        <is>
          <t>DW70</t>
        </is>
      </c>
      <c r="D133" t="inlineStr">
        <is>
          <t>D136</t>
        </is>
      </c>
      <c r="E133" t="inlineStr">
        <is>
          <t>1</t>
        </is>
      </c>
      <c r="F133" t="inlineStr">
        <is>
          <t>10000811</t>
        </is>
      </c>
      <c r="H133" t="inlineStr"/>
      <c r="J133" t="n">
        <v>275.82</v>
      </c>
      <c r="K133" t="inlineStr"/>
      <c r="M133" t="inlineStr">
        <is>
          <t>TN</t>
        </is>
      </c>
      <c r="N133" t="inlineStr"/>
      <c r="P133" t="inlineStr">
        <is>
          <t>20260430</t>
        </is>
      </c>
      <c r="Q133" t="inlineStr">
        <is>
          <t>99991231</t>
        </is>
      </c>
    </row>
    <row r="134">
      <c r="A134" t="inlineStr">
        <is>
          <t>900000137DW70D13610058345</t>
        </is>
      </c>
      <c r="B134" t="inlineStr">
        <is>
          <t>900000137</t>
        </is>
      </c>
      <c r="C134" t="inlineStr">
        <is>
          <t>DW70</t>
        </is>
      </c>
      <c r="D134" t="inlineStr">
        <is>
          <t>D136</t>
        </is>
      </c>
      <c r="E134" t="inlineStr">
        <is>
          <t>1</t>
        </is>
      </c>
      <c r="F134" t="inlineStr">
        <is>
          <t>10058345</t>
        </is>
      </c>
      <c r="H134" t="inlineStr"/>
      <c r="J134" t="n">
        <v>253.4</v>
      </c>
      <c r="K134" t="inlineStr"/>
      <c r="M134" t="inlineStr">
        <is>
          <t>TN</t>
        </is>
      </c>
      <c r="N134" t="inlineStr"/>
      <c r="P134" t="inlineStr">
        <is>
          <t>20260430</t>
        </is>
      </c>
      <c r="Q134" t="inlineStr">
        <is>
          <t>99991231</t>
        </is>
      </c>
    </row>
    <row r="135">
      <c r="A135" t="inlineStr">
        <is>
          <t>900000137DW70D14510000623</t>
        </is>
      </c>
      <c r="B135" t="inlineStr">
        <is>
          <t>900000137</t>
        </is>
      </c>
      <c r="C135" t="inlineStr">
        <is>
          <t>DW70</t>
        </is>
      </c>
      <c r="D135" t="inlineStr">
        <is>
          <t>D145</t>
        </is>
      </c>
      <c r="E135" t="inlineStr">
        <is>
          <t>1</t>
        </is>
      </c>
      <c r="F135" t="inlineStr">
        <is>
          <t>10000623</t>
        </is>
      </c>
      <c r="H135" t="inlineStr"/>
      <c r="J135" t="n">
        <v>124.82</v>
      </c>
      <c r="K135" t="inlineStr"/>
      <c r="M135" t="inlineStr">
        <is>
          <t>TN</t>
        </is>
      </c>
      <c r="N135" t="inlineStr"/>
      <c r="P135" t="inlineStr">
        <is>
          <t>20220331</t>
        </is>
      </c>
      <c r="Q135" t="inlineStr">
        <is>
          <t>20250131</t>
        </is>
      </c>
    </row>
    <row r="136">
      <c r="A136" t="inlineStr">
        <is>
          <t>900000137DW70D14510000624</t>
        </is>
      </c>
      <c r="B136" t="inlineStr">
        <is>
          <t>900000137</t>
        </is>
      </c>
      <c r="C136" t="inlineStr">
        <is>
          <t>DW70</t>
        </is>
      </c>
      <c r="D136" t="inlineStr">
        <is>
          <t>D145</t>
        </is>
      </c>
      <c r="E136" t="inlineStr">
        <is>
          <t>1</t>
        </is>
      </c>
      <c r="F136" t="inlineStr">
        <is>
          <t>10000624</t>
        </is>
      </c>
      <c r="H136" t="inlineStr"/>
      <c r="J136" t="n">
        <v>206.43</v>
      </c>
      <c r="K136" t="inlineStr"/>
      <c r="M136" t="inlineStr">
        <is>
          <t>TN</t>
        </is>
      </c>
      <c r="N136" t="inlineStr"/>
      <c r="P136" t="inlineStr">
        <is>
          <t>20260430</t>
        </is>
      </c>
      <c r="Q136" t="inlineStr">
        <is>
          <t>99991231</t>
        </is>
      </c>
    </row>
    <row r="137">
      <c r="A137" t="inlineStr">
        <is>
          <t>900000137DW70D14510000630</t>
        </is>
      </c>
      <c r="B137" t="inlineStr">
        <is>
          <t>900000137</t>
        </is>
      </c>
      <c r="C137" t="inlineStr">
        <is>
          <t>DW70</t>
        </is>
      </c>
      <c r="D137" t="inlineStr">
        <is>
          <t>D145</t>
        </is>
      </c>
      <c r="E137" t="inlineStr">
        <is>
          <t>1</t>
        </is>
      </c>
      <c r="F137" t="inlineStr">
        <is>
          <t>10000630</t>
        </is>
      </c>
      <c r="H137" t="inlineStr"/>
      <c r="J137" t="n">
        <v>213.81</v>
      </c>
      <c r="K137" t="inlineStr"/>
      <c r="M137" t="inlineStr">
        <is>
          <t>TN</t>
        </is>
      </c>
      <c r="N137" t="inlineStr"/>
      <c r="P137" t="inlineStr">
        <is>
          <t>20260430</t>
        </is>
      </c>
      <c r="Q137" t="inlineStr">
        <is>
          <t>99991231</t>
        </is>
      </c>
    </row>
    <row r="138">
      <c r="A138" t="inlineStr">
        <is>
          <t>900000137DW70D14510000811</t>
        </is>
      </c>
      <c r="B138" t="inlineStr">
        <is>
          <t>900000137</t>
        </is>
      </c>
      <c r="C138" t="inlineStr">
        <is>
          <t>DW70</t>
        </is>
      </c>
      <c r="D138" t="inlineStr">
        <is>
          <t>D145</t>
        </is>
      </c>
      <c r="E138" t="inlineStr">
        <is>
          <t>1</t>
        </is>
      </c>
      <c r="F138" t="inlineStr">
        <is>
          <t>10000811</t>
        </is>
      </c>
      <c r="H138" t="inlineStr"/>
      <c r="J138" t="n">
        <v>206.86</v>
      </c>
      <c r="K138" t="inlineStr"/>
      <c r="M138" t="inlineStr">
        <is>
          <t>TN</t>
        </is>
      </c>
      <c r="N138" t="inlineStr"/>
      <c r="P138" t="inlineStr">
        <is>
          <t>20260430</t>
        </is>
      </c>
      <c r="Q138" t="inlineStr">
        <is>
          <t>99991231</t>
        </is>
      </c>
    </row>
    <row r="139">
      <c r="A139" t="inlineStr">
        <is>
          <t>900000137DW70D14510058345</t>
        </is>
      </c>
      <c r="B139" t="inlineStr">
        <is>
          <t>900000137</t>
        </is>
      </c>
      <c r="C139" t="inlineStr">
        <is>
          <t>DW70</t>
        </is>
      </c>
      <c r="D139" t="inlineStr">
        <is>
          <t>D145</t>
        </is>
      </c>
      <c r="E139" t="inlineStr">
        <is>
          <t>1</t>
        </is>
      </c>
      <c r="F139" t="inlineStr">
        <is>
          <t>10058345</t>
        </is>
      </c>
      <c r="H139" t="inlineStr"/>
      <c r="J139" t="n">
        <v>190.05</v>
      </c>
      <c r="K139" t="inlineStr"/>
      <c r="M139" t="inlineStr">
        <is>
          <t>TN</t>
        </is>
      </c>
      <c r="N139" t="inlineStr"/>
      <c r="P139" t="inlineStr">
        <is>
          <t>20260430</t>
        </is>
      </c>
      <c r="Q139" t="inlineStr">
        <is>
          <t>99991231</t>
        </is>
      </c>
    </row>
    <row r="140">
      <c r="A140" t="inlineStr">
        <is>
          <t>900000137DW70D68110000624</t>
        </is>
      </c>
      <c r="B140" t="inlineStr">
        <is>
          <t>900000137</t>
        </is>
      </c>
      <c r="C140" t="inlineStr">
        <is>
          <t>DW70</t>
        </is>
      </c>
      <c r="D140" t="inlineStr">
        <is>
          <t>D681</t>
        </is>
      </c>
      <c r="E140" t="inlineStr">
        <is>
          <t>1</t>
        </is>
      </c>
      <c r="F140" t="inlineStr">
        <is>
          <t>10000624</t>
        </is>
      </c>
      <c r="H140" t="inlineStr"/>
      <c r="J140" t="n">
        <v>172.03</v>
      </c>
      <c r="K140" t="inlineStr"/>
      <c r="M140" t="inlineStr">
        <is>
          <t>TN</t>
        </is>
      </c>
      <c r="N140" t="inlineStr"/>
      <c r="P140" t="inlineStr">
        <is>
          <t>20260430</t>
        </is>
      </c>
      <c r="Q140" t="inlineStr">
        <is>
          <t>99991231</t>
        </is>
      </c>
    </row>
    <row r="141">
      <c r="A141" t="inlineStr">
        <is>
          <t>900000137DW70D68110000811</t>
        </is>
      </c>
      <c r="B141" t="inlineStr">
        <is>
          <t>900000137</t>
        </is>
      </c>
      <c r="C141" t="inlineStr">
        <is>
          <t>DW70</t>
        </is>
      </c>
      <c r="D141" t="inlineStr">
        <is>
          <t>D681</t>
        </is>
      </c>
      <c r="E141" t="inlineStr">
        <is>
          <t>1</t>
        </is>
      </c>
      <c r="F141" t="inlineStr">
        <is>
          <t>10000811</t>
        </is>
      </c>
      <c r="H141" t="inlineStr"/>
      <c r="J141" t="n">
        <v>172.39</v>
      </c>
      <c r="K141" t="inlineStr"/>
      <c r="M141" t="inlineStr">
        <is>
          <t>TN</t>
        </is>
      </c>
      <c r="N141" t="inlineStr"/>
      <c r="P141" t="inlineStr">
        <is>
          <t>20260430</t>
        </is>
      </c>
      <c r="Q141" t="inlineStr">
        <is>
          <t>99991231</t>
        </is>
      </c>
    </row>
    <row r="142">
      <c r="A142" t="inlineStr">
        <is>
          <t>900000137DW70D68110058345</t>
        </is>
      </c>
      <c r="B142" t="inlineStr">
        <is>
          <t>900000137</t>
        </is>
      </c>
      <c r="C142" t="inlineStr">
        <is>
          <t>DW70</t>
        </is>
      </c>
      <c r="D142" t="inlineStr">
        <is>
          <t>D681</t>
        </is>
      </c>
      <c r="E142" t="inlineStr">
        <is>
          <t>1</t>
        </is>
      </c>
      <c r="F142" t="inlineStr">
        <is>
          <t>10058345</t>
        </is>
      </c>
      <c r="H142" t="inlineStr"/>
      <c r="J142" t="n">
        <v>158.38</v>
      </c>
      <c r="K142" t="inlineStr"/>
      <c r="M142" t="inlineStr">
        <is>
          <t>TN</t>
        </is>
      </c>
      <c r="N142" t="inlineStr"/>
      <c r="P142" t="inlineStr">
        <is>
          <t>20260430</t>
        </is>
      </c>
      <c r="Q142" t="inlineStr">
        <is>
          <t>99991231</t>
        </is>
      </c>
    </row>
    <row r="143">
      <c r="A143" t="inlineStr">
        <is>
          <t>900000137DW70D68110147486</t>
        </is>
      </c>
      <c r="B143" t="inlineStr">
        <is>
          <t>900000137</t>
        </is>
      </c>
      <c r="C143" t="inlineStr">
        <is>
          <t>DW70</t>
        </is>
      </c>
      <c r="D143" t="inlineStr">
        <is>
          <t>D681</t>
        </is>
      </c>
      <c r="E143" t="inlineStr">
        <is>
          <t>1</t>
        </is>
      </c>
      <c r="F143" t="inlineStr">
        <is>
          <t>10147486</t>
        </is>
      </c>
      <c r="H143" t="inlineStr"/>
      <c r="J143" t="n">
        <v>159.9</v>
      </c>
      <c r="K143" t="inlineStr"/>
      <c r="M143" t="inlineStr">
        <is>
          <t>TN</t>
        </is>
      </c>
      <c r="N143" t="inlineStr"/>
      <c r="P143" t="inlineStr">
        <is>
          <t>20260430</t>
        </is>
      </c>
      <c r="Q143" t="inlineStr">
        <is>
          <t>99991231</t>
        </is>
      </c>
    </row>
    <row r="144">
      <c r="A144" t="inlineStr">
        <is>
          <t>900000137DW70DE4210000811</t>
        </is>
      </c>
      <c r="B144" t="inlineStr">
        <is>
          <t>900000137</t>
        </is>
      </c>
      <c r="C144" t="inlineStr">
        <is>
          <t>DW70</t>
        </is>
      </c>
      <c r="D144" t="inlineStr">
        <is>
          <t>DE42</t>
        </is>
      </c>
      <c r="E144" t="inlineStr">
        <is>
          <t>1</t>
        </is>
      </c>
      <c r="F144" t="inlineStr">
        <is>
          <t>10000811</t>
        </is>
      </c>
      <c r="H144" t="inlineStr"/>
      <c r="J144" t="n">
        <v>88.09999999999999</v>
      </c>
      <c r="K144" t="inlineStr"/>
      <c r="M144" t="inlineStr">
        <is>
          <t>TN</t>
        </is>
      </c>
      <c r="N144" t="inlineStr"/>
      <c r="P144" t="inlineStr">
        <is>
          <t>20220331</t>
        </is>
      </c>
      <c r="Q144" t="inlineStr">
        <is>
          <t>20250131</t>
        </is>
      </c>
    </row>
    <row r="145">
      <c r="A145" t="inlineStr">
        <is>
          <t>900000137DW70DE9210000811</t>
        </is>
      </c>
      <c r="B145" t="inlineStr">
        <is>
          <t>900000137</t>
        </is>
      </c>
      <c r="C145" t="inlineStr">
        <is>
          <t>DW70</t>
        </is>
      </c>
      <c r="D145" t="inlineStr">
        <is>
          <t>DE92</t>
        </is>
      </c>
      <c r="E145" t="inlineStr">
        <is>
          <t>1</t>
        </is>
      </c>
      <c r="F145" t="inlineStr">
        <is>
          <t>10000811</t>
        </is>
      </c>
      <c r="H145" t="inlineStr"/>
      <c r="J145" t="n">
        <v>79.5</v>
      </c>
      <c r="K145" t="inlineStr"/>
      <c r="M145" t="inlineStr">
        <is>
          <t>TN</t>
        </is>
      </c>
      <c r="N145" t="inlineStr"/>
      <c r="P145" t="inlineStr">
        <is>
          <t>20220331</t>
        </is>
      </c>
      <c r="Q145" t="inlineStr">
        <is>
          <t>20250131</t>
        </is>
      </c>
    </row>
    <row r="146">
      <c r="A146" t="inlineStr">
        <is>
          <t>900000137DW70E67310000624</t>
        </is>
      </c>
      <c r="B146" t="inlineStr">
        <is>
          <t>900000137</t>
        </is>
      </c>
      <c r="C146" t="inlineStr">
        <is>
          <t>DW70</t>
        </is>
      </c>
      <c r="D146" t="inlineStr">
        <is>
          <t>E673</t>
        </is>
      </c>
      <c r="E146" t="inlineStr">
        <is>
          <t>1</t>
        </is>
      </c>
      <c r="F146" t="inlineStr">
        <is>
          <t>10000624</t>
        </is>
      </c>
      <c r="H146" t="inlineStr"/>
      <c r="J146" t="n">
        <v>151.34</v>
      </c>
      <c r="K146" t="inlineStr"/>
      <c r="M146" t="inlineStr">
        <is>
          <t>TN</t>
        </is>
      </c>
      <c r="N146" t="inlineStr"/>
      <c r="P146" t="inlineStr">
        <is>
          <t>20220331</t>
        </is>
      </c>
      <c r="Q146" t="inlineStr">
        <is>
          <t>20250131</t>
        </is>
      </c>
    </row>
    <row r="147">
      <c r="A147" t="inlineStr">
        <is>
          <t>900000137DW70E67310000811</t>
        </is>
      </c>
      <c r="B147" t="inlineStr">
        <is>
          <t>900000137</t>
        </is>
      </c>
      <c r="C147" t="inlineStr">
        <is>
          <t>DW70</t>
        </is>
      </c>
      <c r="D147" t="inlineStr">
        <is>
          <t>E673</t>
        </is>
      </c>
      <c r="E147" t="inlineStr">
        <is>
          <t>1</t>
        </is>
      </c>
      <c r="F147" t="inlineStr">
        <is>
          <t>10000811</t>
        </is>
      </c>
      <c r="H147" t="inlineStr"/>
      <c r="J147" t="n">
        <v>138.36</v>
      </c>
      <c r="K147" t="inlineStr"/>
      <c r="M147" t="inlineStr">
        <is>
          <t>TN</t>
        </is>
      </c>
      <c r="N147" t="inlineStr"/>
      <c r="P147" t="inlineStr">
        <is>
          <t>20220331</t>
        </is>
      </c>
      <c r="Q147" t="inlineStr">
        <is>
          <t>20250131</t>
        </is>
      </c>
    </row>
    <row r="148">
      <c r="A148" t="inlineStr">
        <is>
          <t>900000137DW70E67310058345</t>
        </is>
      </c>
      <c r="B148" t="inlineStr">
        <is>
          <t>900000137</t>
        </is>
      </c>
      <c r="C148" t="inlineStr">
        <is>
          <t>DW70</t>
        </is>
      </c>
      <c r="D148" t="inlineStr">
        <is>
          <t>E673</t>
        </is>
      </c>
      <c r="E148" t="inlineStr">
        <is>
          <t>1</t>
        </is>
      </c>
      <c r="F148" t="inlineStr">
        <is>
          <t>10058345</t>
        </is>
      </c>
      <c r="H148" t="inlineStr"/>
      <c r="J148" t="n">
        <v>139.33</v>
      </c>
      <c r="K148" t="inlineStr"/>
      <c r="M148" t="inlineStr">
        <is>
          <t>TN</t>
        </is>
      </c>
      <c r="N148" t="inlineStr"/>
      <c r="P148" t="inlineStr">
        <is>
          <t>20220331</t>
        </is>
      </c>
      <c r="Q148" t="inlineStr">
        <is>
          <t>20250131</t>
        </is>
      </c>
    </row>
    <row r="149">
      <c r="A149" t="inlineStr">
        <is>
          <t>900000137DW70E67310207890</t>
        </is>
      </c>
      <c r="B149" t="inlineStr">
        <is>
          <t>900000137</t>
        </is>
      </c>
      <c r="C149" t="inlineStr">
        <is>
          <t>DW70</t>
        </is>
      </c>
      <c r="D149" t="inlineStr">
        <is>
          <t>E673</t>
        </is>
      </c>
      <c r="E149" t="inlineStr">
        <is>
          <t>1</t>
        </is>
      </c>
      <c r="F149" t="inlineStr">
        <is>
          <t>10207890</t>
        </is>
      </c>
      <c r="H149" t="inlineStr"/>
      <c r="J149" t="n">
        <v>151.34</v>
      </c>
      <c r="K149" t="inlineStr"/>
      <c r="M149" t="inlineStr">
        <is>
          <t>TN</t>
        </is>
      </c>
      <c r="N149" t="inlineStr"/>
      <c r="P149" t="inlineStr">
        <is>
          <t>20220331</t>
        </is>
      </c>
      <c r="Q149" t="inlineStr">
        <is>
          <t>20250131</t>
        </is>
      </c>
    </row>
    <row r="150">
      <c r="A150" t="inlineStr">
        <is>
          <t>900000137DW70E67310207891</t>
        </is>
      </c>
      <c r="B150" t="inlineStr">
        <is>
          <t>900000137</t>
        </is>
      </c>
      <c r="C150" t="inlineStr">
        <is>
          <t>DW70</t>
        </is>
      </c>
      <c r="D150" t="inlineStr">
        <is>
          <t>E673</t>
        </is>
      </c>
      <c r="E150" t="inlineStr">
        <is>
          <t>1</t>
        </is>
      </c>
      <c r="F150" t="inlineStr">
        <is>
          <t>10207891</t>
        </is>
      </c>
      <c r="H150" t="inlineStr"/>
      <c r="J150" t="n">
        <v>133.09</v>
      </c>
      <c r="K150" t="inlineStr"/>
      <c r="M150" t="inlineStr">
        <is>
          <t>TN</t>
        </is>
      </c>
      <c r="N150" t="inlineStr"/>
      <c r="P150" t="inlineStr">
        <is>
          <t>20220331</t>
        </is>
      </c>
      <c r="Q150" t="inlineStr">
        <is>
          <t>20250131</t>
        </is>
      </c>
    </row>
    <row r="151">
      <c r="A151" t="inlineStr">
        <is>
          <t>900000137DW70EQ7510000624</t>
        </is>
      </c>
      <c r="B151" t="inlineStr">
        <is>
          <t>900000137</t>
        </is>
      </c>
      <c r="C151" t="inlineStr">
        <is>
          <t>DW70</t>
        </is>
      </c>
      <c r="D151" t="inlineStr">
        <is>
          <t>EQ75</t>
        </is>
      </c>
      <c r="E151" t="inlineStr">
        <is>
          <t>1</t>
        </is>
      </c>
      <c r="F151" t="inlineStr">
        <is>
          <t>10000624</t>
        </is>
      </c>
      <c r="H151" t="inlineStr"/>
      <c r="J151" t="n">
        <v>150.5</v>
      </c>
      <c r="K151" t="inlineStr"/>
      <c r="M151" t="inlineStr">
        <is>
          <t>TN</t>
        </is>
      </c>
      <c r="N151" t="inlineStr"/>
      <c r="P151" t="inlineStr">
        <is>
          <t>20220331</t>
        </is>
      </c>
      <c r="Q151" t="inlineStr">
        <is>
          <t>20250131</t>
        </is>
      </c>
    </row>
    <row r="152">
      <c r="A152" t="inlineStr">
        <is>
          <t>900000137DW70EQ7510000811</t>
        </is>
      </c>
      <c r="B152" t="inlineStr">
        <is>
          <t>900000137</t>
        </is>
      </c>
      <c r="C152" t="inlineStr">
        <is>
          <t>DW70</t>
        </is>
      </c>
      <c r="D152" t="inlineStr">
        <is>
          <t>EQ75</t>
        </is>
      </c>
      <c r="E152" t="inlineStr">
        <is>
          <t>1</t>
        </is>
      </c>
      <c r="F152" t="inlineStr">
        <is>
          <t>10000811</t>
        </is>
      </c>
      <c r="H152" t="inlineStr"/>
      <c r="J152" t="n">
        <v>150.81</v>
      </c>
      <c r="K152" t="inlineStr"/>
      <c r="M152" t="inlineStr">
        <is>
          <t>TN</t>
        </is>
      </c>
      <c r="N152" t="inlineStr"/>
      <c r="P152" t="inlineStr">
        <is>
          <t>20220331</t>
        </is>
      </c>
      <c r="Q152" t="inlineStr">
        <is>
          <t>20250131</t>
        </is>
      </c>
    </row>
    <row r="153">
      <c r="A153" t="inlineStr">
        <is>
          <t>900000137DW70EQ7510058345</t>
        </is>
      </c>
      <c r="B153" t="inlineStr">
        <is>
          <t>900000137</t>
        </is>
      </c>
      <c r="C153" t="inlineStr">
        <is>
          <t>DW70</t>
        </is>
      </c>
      <c r="D153" t="inlineStr">
        <is>
          <t>EQ75</t>
        </is>
      </c>
      <c r="E153" t="inlineStr">
        <is>
          <t>1</t>
        </is>
      </c>
      <c r="F153" t="inlineStr">
        <is>
          <t>10058345</t>
        </is>
      </c>
      <c r="H153" t="inlineStr"/>
      <c r="J153" t="n">
        <v>127.12</v>
      </c>
      <c r="K153" t="inlineStr"/>
      <c r="M153" t="inlineStr">
        <is>
          <t>TN</t>
        </is>
      </c>
      <c r="N153" t="inlineStr"/>
      <c r="P153" t="inlineStr">
        <is>
          <t>20220331</t>
        </is>
      </c>
      <c r="Q153" t="inlineStr">
        <is>
          <t>20250131</t>
        </is>
      </c>
    </row>
    <row r="154">
      <c r="A154" t="inlineStr">
        <is>
          <t>900000137DW70EQ7510207891</t>
        </is>
      </c>
      <c r="B154" t="inlineStr">
        <is>
          <t>900000137</t>
        </is>
      </c>
      <c r="C154" t="inlineStr">
        <is>
          <t>DW70</t>
        </is>
      </c>
      <c r="D154" t="inlineStr">
        <is>
          <t>EQ75</t>
        </is>
      </c>
      <c r="E154" t="inlineStr">
        <is>
          <t>1</t>
        </is>
      </c>
      <c r="F154" t="inlineStr">
        <is>
          <t>10207891</t>
        </is>
      </c>
      <c r="H154" t="inlineStr"/>
      <c r="J154" t="n">
        <v>134.7</v>
      </c>
      <c r="K154" t="inlineStr"/>
      <c r="M154" t="inlineStr">
        <is>
          <t>TN</t>
        </is>
      </c>
      <c r="N154" t="inlineStr"/>
      <c r="P154" t="inlineStr">
        <is>
          <t>20220331</t>
        </is>
      </c>
      <c r="Q154" t="inlineStr">
        <is>
          <t>20250131</t>
        </is>
      </c>
    </row>
    <row r="155">
      <c r="A155" t="inlineStr">
        <is>
          <t>900000295DW70D07410000160</t>
        </is>
      </c>
      <c r="B155" t="inlineStr">
        <is>
          <t>900000295</t>
        </is>
      </c>
      <c r="C155" t="inlineStr">
        <is>
          <t>DW70</t>
        </is>
      </c>
      <c r="D155" t="inlineStr">
        <is>
          <t>D074</t>
        </is>
      </c>
      <c r="E155" t="inlineStr">
        <is>
          <t>1</t>
        </is>
      </c>
      <c r="F155" t="inlineStr">
        <is>
          <t>10000160</t>
        </is>
      </c>
      <c r="H155" t="inlineStr"/>
      <c r="J155" t="n">
        <v>103.97</v>
      </c>
      <c r="K155" t="inlineStr"/>
      <c r="M155" t="inlineStr">
        <is>
          <t>TN</t>
        </is>
      </c>
      <c r="N155" t="inlineStr"/>
      <c r="P155" t="inlineStr">
        <is>
          <t>20220331</t>
        </is>
      </c>
      <c r="Q155" t="inlineStr">
        <is>
          <t>20250131</t>
        </is>
      </c>
    </row>
    <row r="156">
      <c r="A156" t="inlineStr">
        <is>
          <t>900000295DW70D07410264162</t>
        </is>
      </c>
      <c r="B156" t="inlineStr">
        <is>
          <t>900000295</t>
        </is>
      </c>
      <c r="C156" t="inlineStr">
        <is>
          <t>DW70</t>
        </is>
      </c>
      <c r="D156" t="inlineStr">
        <is>
          <t>D074</t>
        </is>
      </c>
      <c r="E156" t="inlineStr">
        <is>
          <t>1</t>
        </is>
      </c>
      <c r="F156" t="inlineStr">
        <is>
          <t>10264162</t>
        </is>
      </c>
      <c r="H156" t="inlineStr"/>
      <c r="J156" t="n">
        <v>187.58</v>
      </c>
      <c r="K156" t="inlineStr"/>
      <c r="M156" t="inlineStr">
        <is>
          <t>TN</t>
        </is>
      </c>
      <c r="N156" t="inlineStr"/>
      <c r="P156" t="inlineStr">
        <is>
          <t>20260430</t>
        </is>
      </c>
      <c r="Q156" t="inlineStr">
        <is>
          <t>99991231</t>
        </is>
      </c>
    </row>
    <row r="157">
      <c r="A157" t="inlineStr">
        <is>
          <t>900000295DW70D07410274754</t>
        </is>
      </c>
      <c r="B157" t="inlineStr">
        <is>
          <t>900000295</t>
        </is>
      </c>
      <c r="C157" t="inlineStr">
        <is>
          <t>DW70</t>
        </is>
      </c>
      <c r="D157" t="inlineStr">
        <is>
          <t>D074</t>
        </is>
      </c>
      <c r="E157" t="inlineStr">
        <is>
          <t>1</t>
        </is>
      </c>
      <c r="F157" t="inlineStr">
        <is>
          <t>10274754</t>
        </is>
      </c>
      <c r="H157" t="inlineStr"/>
      <c r="J157" t="n">
        <v>181.8</v>
      </c>
      <c r="K157" t="inlineStr"/>
      <c r="M157" t="inlineStr">
        <is>
          <t>TN</t>
        </is>
      </c>
      <c r="N157" t="inlineStr"/>
      <c r="P157" t="inlineStr">
        <is>
          <t>20260430</t>
        </is>
      </c>
      <c r="Q157" t="inlineStr">
        <is>
          <t>99991231</t>
        </is>
      </c>
    </row>
    <row r="158">
      <c r="A158" t="inlineStr">
        <is>
          <t>900000295DW70D07410277513</t>
        </is>
      </c>
      <c r="B158" t="inlineStr">
        <is>
          <t>900000295</t>
        </is>
      </c>
      <c r="C158" t="inlineStr">
        <is>
          <t>DW70</t>
        </is>
      </c>
      <c r="D158" t="inlineStr">
        <is>
          <t>D074</t>
        </is>
      </c>
      <c r="E158" t="inlineStr">
        <is>
          <t>1</t>
        </is>
      </c>
      <c r="F158" t="inlineStr">
        <is>
          <t>10277513</t>
        </is>
      </c>
      <c r="H158" t="inlineStr"/>
      <c r="J158" t="n">
        <v>181.68</v>
      </c>
      <c r="K158" t="inlineStr"/>
      <c r="M158" t="inlineStr">
        <is>
          <t>TN</t>
        </is>
      </c>
      <c r="N158" t="inlineStr"/>
      <c r="P158" t="inlineStr">
        <is>
          <t>20260525</t>
        </is>
      </c>
      <c r="Q158" t="inlineStr">
        <is>
          <t>99991231</t>
        </is>
      </c>
    </row>
    <row r="159">
      <c r="A159" t="inlineStr">
        <is>
          <t>900000295DW70D07510000160</t>
        </is>
      </c>
      <c r="B159" t="inlineStr">
        <is>
          <t>900000295</t>
        </is>
      </c>
      <c r="C159" t="inlineStr">
        <is>
          <t>DW70</t>
        </is>
      </c>
      <c r="D159" t="inlineStr">
        <is>
          <t>D075</t>
        </is>
      </c>
      <c r="E159" t="inlineStr">
        <is>
          <t>1</t>
        </is>
      </c>
      <c r="F159" t="inlineStr">
        <is>
          <t>10000160</t>
        </is>
      </c>
      <c r="H159" t="inlineStr"/>
      <c r="J159" t="n">
        <v>107.49</v>
      </c>
      <c r="K159" t="inlineStr"/>
      <c r="M159" t="inlineStr">
        <is>
          <t>TN</t>
        </is>
      </c>
      <c r="N159" t="inlineStr"/>
      <c r="P159" t="inlineStr">
        <is>
          <t>20220331</t>
        </is>
      </c>
      <c r="Q159" t="inlineStr">
        <is>
          <t>20250131</t>
        </is>
      </c>
    </row>
    <row r="160">
      <c r="A160" t="inlineStr">
        <is>
          <t>900000295DW70D07510264162</t>
        </is>
      </c>
      <c r="B160" t="inlineStr">
        <is>
          <t>900000295</t>
        </is>
      </c>
      <c r="C160" t="inlineStr">
        <is>
          <t>DW70</t>
        </is>
      </c>
      <c r="D160" t="inlineStr">
        <is>
          <t>D075</t>
        </is>
      </c>
      <c r="E160" t="inlineStr">
        <is>
          <t>1</t>
        </is>
      </c>
      <c r="F160" t="inlineStr">
        <is>
          <t>10264162</t>
        </is>
      </c>
      <c r="H160" t="inlineStr"/>
      <c r="J160" t="n">
        <v>190.93</v>
      </c>
      <c r="K160" t="inlineStr"/>
      <c r="M160" t="inlineStr">
        <is>
          <t>TN</t>
        </is>
      </c>
      <c r="N160" t="inlineStr"/>
      <c r="P160" t="inlineStr">
        <is>
          <t>20260430</t>
        </is>
      </c>
      <c r="Q160" t="inlineStr">
        <is>
          <t>99991231</t>
        </is>
      </c>
    </row>
    <row r="161">
      <c r="A161" t="inlineStr">
        <is>
          <t>900000295DW70D07510274754</t>
        </is>
      </c>
      <c r="B161" t="inlineStr">
        <is>
          <t>900000295</t>
        </is>
      </c>
      <c r="C161" t="inlineStr">
        <is>
          <t>DW70</t>
        </is>
      </c>
      <c r="D161" t="inlineStr">
        <is>
          <t>D075</t>
        </is>
      </c>
      <c r="E161" t="inlineStr">
        <is>
          <t>1</t>
        </is>
      </c>
      <c r="F161" t="inlineStr">
        <is>
          <t>10274754</t>
        </is>
      </c>
      <c r="H161" t="inlineStr"/>
      <c r="J161" t="n">
        <v>185.05</v>
      </c>
      <c r="K161" t="inlineStr"/>
      <c r="M161" t="inlineStr">
        <is>
          <t>TN</t>
        </is>
      </c>
      <c r="N161" t="inlineStr"/>
      <c r="P161" t="inlineStr">
        <is>
          <t>20260430</t>
        </is>
      </c>
      <c r="Q161" t="inlineStr">
        <is>
          <t>99991231</t>
        </is>
      </c>
    </row>
    <row r="162">
      <c r="A162" t="inlineStr">
        <is>
          <t>900000295DW70D07510277513</t>
        </is>
      </c>
      <c r="B162" t="inlineStr">
        <is>
          <t>900000295</t>
        </is>
      </c>
      <c r="C162" t="inlineStr">
        <is>
          <t>DW70</t>
        </is>
      </c>
      <c r="D162" t="inlineStr">
        <is>
          <t>D075</t>
        </is>
      </c>
      <c r="E162" t="inlineStr">
        <is>
          <t>1</t>
        </is>
      </c>
      <c r="F162" t="inlineStr">
        <is>
          <t>10277513</t>
        </is>
      </c>
      <c r="H162" t="inlineStr"/>
      <c r="J162" t="n">
        <v>184.92</v>
      </c>
      <c r="K162" t="inlineStr"/>
      <c r="M162" t="inlineStr">
        <is>
          <t>TN</t>
        </is>
      </c>
      <c r="N162" t="inlineStr"/>
      <c r="P162" t="inlineStr">
        <is>
          <t>20260525</t>
        </is>
      </c>
      <c r="Q162" t="inlineStr">
        <is>
          <t>99991231</t>
        </is>
      </c>
    </row>
    <row r="163">
      <c r="A163" t="inlineStr">
        <is>
          <t>900000295DW70D07710000160</t>
        </is>
      </c>
      <c r="B163" t="inlineStr">
        <is>
          <t>900000295</t>
        </is>
      </c>
      <c r="C163" t="inlineStr">
        <is>
          <t>DW70</t>
        </is>
      </c>
      <c r="D163" t="inlineStr">
        <is>
          <t>D077</t>
        </is>
      </c>
      <c r="E163" t="inlineStr">
        <is>
          <t>1</t>
        </is>
      </c>
      <c r="F163" t="inlineStr">
        <is>
          <t>10000160</t>
        </is>
      </c>
      <c r="H163" t="inlineStr"/>
      <c r="J163" t="n">
        <v>59.91</v>
      </c>
      <c r="K163" t="inlineStr"/>
      <c r="M163" t="inlineStr">
        <is>
          <t>TN</t>
        </is>
      </c>
      <c r="N163" t="inlineStr"/>
      <c r="P163" t="inlineStr">
        <is>
          <t>20220331</t>
        </is>
      </c>
      <c r="Q163" t="inlineStr">
        <is>
          <t>20250131</t>
        </is>
      </c>
    </row>
    <row r="164">
      <c r="A164" t="inlineStr">
        <is>
          <t>900000295DW70D07710264162</t>
        </is>
      </c>
      <c r="B164" t="inlineStr">
        <is>
          <t>900000295</t>
        </is>
      </c>
      <c r="C164" t="inlineStr">
        <is>
          <t>DW70</t>
        </is>
      </c>
      <c r="D164" t="inlineStr">
        <is>
          <t>D077</t>
        </is>
      </c>
      <c r="E164" t="inlineStr">
        <is>
          <t>1</t>
        </is>
      </c>
      <c r="F164" t="inlineStr">
        <is>
          <t>10264162</t>
        </is>
      </c>
      <c r="H164" t="inlineStr"/>
      <c r="J164" t="n">
        <v>97.14</v>
      </c>
      <c r="K164" t="inlineStr"/>
      <c r="M164" t="inlineStr">
        <is>
          <t>TN</t>
        </is>
      </c>
      <c r="N164" t="inlineStr"/>
      <c r="P164" t="inlineStr">
        <is>
          <t>20260430</t>
        </is>
      </c>
      <c r="Q164" t="inlineStr">
        <is>
          <t>99991231</t>
        </is>
      </c>
    </row>
    <row r="165">
      <c r="A165" t="inlineStr">
        <is>
          <t>900000295DW70D07710274754</t>
        </is>
      </c>
      <c r="B165" t="inlineStr">
        <is>
          <t>900000295</t>
        </is>
      </c>
      <c r="C165" t="inlineStr">
        <is>
          <t>DW70</t>
        </is>
      </c>
      <c r="D165" t="inlineStr">
        <is>
          <t>D077</t>
        </is>
      </c>
      <c r="E165" t="inlineStr">
        <is>
          <t>1</t>
        </is>
      </c>
      <c r="F165" t="inlineStr">
        <is>
          <t>10274754</t>
        </is>
      </c>
      <c r="H165" t="inlineStr"/>
      <c r="J165" t="n">
        <v>94.15000000000001</v>
      </c>
      <c r="K165" t="inlineStr"/>
      <c r="M165" t="inlineStr">
        <is>
          <t>TN</t>
        </is>
      </c>
      <c r="N165" t="inlineStr"/>
      <c r="P165" t="inlineStr">
        <is>
          <t>20260430</t>
        </is>
      </c>
      <c r="Q165" t="inlineStr">
        <is>
          <t>99991231</t>
        </is>
      </c>
    </row>
    <row r="166">
      <c r="A166" t="inlineStr">
        <is>
          <t>900000295DW70D07710277513</t>
        </is>
      </c>
      <c r="B166" t="inlineStr">
        <is>
          <t>900000295</t>
        </is>
      </c>
      <c r="C166" t="inlineStr">
        <is>
          <t>DW70</t>
        </is>
      </c>
      <c r="D166" t="inlineStr">
        <is>
          <t>D077</t>
        </is>
      </c>
      <c r="E166" t="inlineStr">
        <is>
          <t>1</t>
        </is>
      </c>
      <c r="F166" t="inlineStr">
        <is>
          <t>10277513</t>
        </is>
      </c>
      <c r="H166" t="inlineStr"/>
      <c r="J166" t="n">
        <v>94.08</v>
      </c>
      <c r="K166" t="inlineStr"/>
      <c r="M166" t="inlineStr">
        <is>
          <t>TN</t>
        </is>
      </c>
      <c r="N166" t="inlineStr"/>
      <c r="P166" t="inlineStr">
        <is>
          <t>20260525</t>
        </is>
      </c>
      <c r="Q166" t="inlineStr">
        <is>
          <t>99991231</t>
        </is>
      </c>
    </row>
    <row r="167">
      <c r="A167" t="inlineStr">
        <is>
          <t>900000295DW70D07910000160</t>
        </is>
      </c>
      <c r="B167" t="inlineStr">
        <is>
          <t>900000295</t>
        </is>
      </c>
      <c r="C167" t="inlineStr">
        <is>
          <t>DW70</t>
        </is>
      </c>
      <c r="D167" t="inlineStr">
        <is>
          <t>D079</t>
        </is>
      </c>
      <c r="E167" t="inlineStr">
        <is>
          <t>1</t>
        </is>
      </c>
      <c r="F167" t="inlineStr">
        <is>
          <t>10000160</t>
        </is>
      </c>
      <c r="H167" t="inlineStr"/>
      <c r="J167" t="n">
        <v>103.97</v>
      </c>
      <c r="K167" t="inlineStr"/>
      <c r="M167" t="inlineStr">
        <is>
          <t>TN</t>
        </is>
      </c>
      <c r="N167" t="inlineStr"/>
      <c r="P167" t="inlineStr">
        <is>
          <t>20220331</t>
        </is>
      </c>
      <c r="Q167" t="inlineStr">
        <is>
          <t>20250131</t>
        </is>
      </c>
    </row>
    <row r="168">
      <c r="A168" t="inlineStr">
        <is>
          <t>900000295DW70D07910264162</t>
        </is>
      </c>
      <c r="B168" t="inlineStr">
        <is>
          <t>900000295</t>
        </is>
      </c>
      <c r="C168" t="inlineStr">
        <is>
          <t>DW70</t>
        </is>
      </c>
      <c r="D168" t="inlineStr">
        <is>
          <t>D079</t>
        </is>
      </c>
      <c r="E168" t="inlineStr">
        <is>
          <t>1</t>
        </is>
      </c>
      <c r="F168" t="inlineStr">
        <is>
          <t>10264162</t>
        </is>
      </c>
      <c r="H168" t="inlineStr"/>
      <c r="J168" t="n">
        <v>180.88</v>
      </c>
      <c r="K168" t="inlineStr"/>
      <c r="M168" t="inlineStr">
        <is>
          <t>TN</t>
        </is>
      </c>
      <c r="N168" t="inlineStr"/>
      <c r="P168" t="inlineStr">
        <is>
          <t>20260430</t>
        </is>
      </c>
      <c r="Q168" t="inlineStr">
        <is>
          <t>99991231</t>
        </is>
      </c>
    </row>
    <row r="169">
      <c r="A169" t="inlineStr">
        <is>
          <t>900000295DW70D07910274754</t>
        </is>
      </c>
      <c r="B169" t="inlineStr">
        <is>
          <t>900000295</t>
        </is>
      </c>
      <c r="C169" t="inlineStr">
        <is>
          <t>DW70</t>
        </is>
      </c>
      <c r="D169" t="inlineStr">
        <is>
          <t>D079</t>
        </is>
      </c>
      <c r="E169" t="inlineStr">
        <is>
          <t>1</t>
        </is>
      </c>
      <c r="F169" t="inlineStr">
        <is>
          <t>10274754</t>
        </is>
      </c>
      <c r="H169" t="inlineStr"/>
      <c r="J169" t="n">
        <v>175.31</v>
      </c>
      <c r="K169" t="inlineStr"/>
      <c r="M169" t="inlineStr">
        <is>
          <t>TN</t>
        </is>
      </c>
      <c r="N169" t="inlineStr"/>
      <c r="P169" t="inlineStr">
        <is>
          <t>20260430</t>
        </is>
      </c>
      <c r="Q169" t="inlineStr">
        <is>
          <t>99991231</t>
        </is>
      </c>
    </row>
    <row r="170">
      <c r="A170" t="inlineStr">
        <is>
          <t>900000295DW70D07910277513</t>
        </is>
      </c>
      <c r="B170" t="inlineStr">
        <is>
          <t>900000295</t>
        </is>
      </c>
      <c r="C170" t="inlineStr">
        <is>
          <t>DW70</t>
        </is>
      </c>
      <c r="D170" t="inlineStr">
        <is>
          <t>D079</t>
        </is>
      </c>
      <c r="E170" t="inlineStr">
        <is>
          <t>1</t>
        </is>
      </c>
      <c r="F170" t="inlineStr">
        <is>
          <t>10277513</t>
        </is>
      </c>
      <c r="H170" t="inlineStr"/>
      <c r="J170" t="n">
        <v>175.19</v>
      </c>
      <c r="K170" t="inlineStr"/>
      <c r="M170" t="inlineStr">
        <is>
          <t>TN</t>
        </is>
      </c>
      <c r="N170" t="inlineStr"/>
      <c r="P170" t="inlineStr">
        <is>
          <t>20260525</t>
        </is>
      </c>
      <c r="Q170" t="inlineStr">
        <is>
          <t>99991231</t>
        </is>
      </c>
    </row>
    <row r="171">
      <c r="A171" t="inlineStr">
        <is>
          <t>900000295DW70D08010000160</t>
        </is>
      </c>
      <c r="B171" t="inlineStr">
        <is>
          <t>900000295</t>
        </is>
      </c>
      <c r="C171" t="inlineStr">
        <is>
          <t>DW70</t>
        </is>
      </c>
      <c r="D171" t="inlineStr">
        <is>
          <t>D080</t>
        </is>
      </c>
      <c r="E171" t="inlineStr">
        <is>
          <t>1</t>
        </is>
      </c>
      <c r="F171" t="inlineStr">
        <is>
          <t>10000160</t>
        </is>
      </c>
      <c r="H171" t="inlineStr"/>
      <c r="J171" t="n">
        <v>105.73</v>
      </c>
      <c r="K171" t="inlineStr"/>
      <c r="M171" t="inlineStr">
        <is>
          <t>TN</t>
        </is>
      </c>
      <c r="N171" t="inlineStr"/>
      <c r="P171" t="inlineStr">
        <is>
          <t>20220331</t>
        </is>
      </c>
      <c r="Q171" t="inlineStr">
        <is>
          <t>20250131</t>
        </is>
      </c>
    </row>
    <row r="172">
      <c r="A172" t="inlineStr">
        <is>
          <t>900000295DW70D08010264162</t>
        </is>
      </c>
      <c r="B172" t="inlineStr">
        <is>
          <t>900000295</t>
        </is>
      </c>
      <c r="C172" t="inlineStr">
        <is>
          <t>DW70</t>
        </is>
      </c>
      <c r="D172" t="inlineStr">
        <is>
          <t>D080</t>
        </is>
      </c>
      <c r="E172" t="inlineStr">
        <is>
          <t>1</t>
        </is>
      </c>
      <c r="F172" t="inlineStr">
        <is>
          <t>10264162</t>
        </is>
      </c>
      <c r="H172" t="inlineStr"/>
      <c r="J172" t="n">
        <v>194.28</v>
      </c>
      <c r="K172" t="inlineStr"/>
      <c r="M172" t="inlineStr">
        <is>
          <t>TN</t>
        </is>
      </c>
      <c r="N172" t="inlineStr"/>
      <c r="P172" t="inlineStr">
        <is>
          <t>20260430</t>
        </is>
      </c>
      <c r="Q172" t="inlineStr">
        <is>
          <t>99991231</t>
        </is>
      </c>
    </row>
    <row r="173">
      <c r="A173" t="inlineStr">
        <is>
          <t>900000295DW70D08010274754</t>
        </is>
      </c>
      <c r="B173" t="inlineStr">
        <is>
          <t>900000295</t>
        </is>
      </c>
      <c r="C173" t="inlineStr">
        <is>
          <t>DW70</t>
        </is>
      </c>
      <c r="D173" t="inlineStr">
        <is>
          <t>D080</t>
        </is>
      </c>
      <c r="E173" t="inlineStr">
        <is>
          <t>1</t>
        </is>
      </c>
      <c r="F173" t="inlineStr">
        <is>
          <t>10274754</t>
        </is>
      </c>
      <c r="H173" t="inlineStr"/>
      <c r="J173" t="n">
        <v>188.3</v>
      </c>
      <c r="K173" t="inlineStr"/>
      <c r="M173" t="inlineStr">
        <is>
          <t>TN</t>
        </is>
      </c>
      <c r="N173" t="inlineStr"/>
      <c r="P173" t="inlineStr">
        <is>
          <t>20260430</t>
        </is>
      </c>
      <c r="Q173" t="inlineStr">
        <is>
          <t>99991231</t>
        </is>
      </c>
    </row>
    <row r="174">
      <c r="A174" t="inlineStr">
        <is>
          <t>900000295DW70D08010277513</t>
        </is>
      </c>
      <c r="B174" t="inlineStr">
        <is>
          <t>900000295</t>
        </is>
      </c>
      <c r="C174" t="inlineStr">
        <is>
          <t>DW70</t>
        </is>
      </c>
      <c r="D174" t="inlineStr">
        <is>
          <t>D080</t>
        </is>
      </c>
      <c r="E174" t="inlineStr">
        <is>
          <t>1</t>
        </is>
      </c>
      <c r="F174" t="inlineStr">
        <is>
          <t>10277513</t>
        </is>
      </c>
      <c r="H174" t="inlineStr"/>
      <c r="J174" t="n">
        <v>188.17</v>
      </c>
      <c r="K174" t="inlineStr"/>
      <c r="M174" t="inlineStr">
        <is>
          <t>TN</t>
        </is>
      </c>
      <c r="N174" t="inlineStr"/>
      <c r="P174" t="inlineStr">
        <is>
          <t>20260525</t>
        </is>
      </c>
      <c r="Q174" t="inlineStr">
        <is>
          <t>99991231</t>
        </is>
      </c>
    </row>
    <row r="175">
      <c r="A175" t="inlineStr">
        <is>
          <t>900000295DW70D08110000160</t>
        </is>
      </c>
      <c r="B175" t="inlineStr">
        <is>
          <t>900000295</t>
        </is>
      </c>
      <c r="C175" t="inlineStr">
        <is>
          <t>DW70</t>
        </is>
      </c>
      <c r="D175" t="inlineStr">
        <is>
          <t>D081</t>
        </is>
      </c>
      <c r="E175" t="inlineStr">
        <is>
          <t>1</t>
        </is>
      </c>
      <c r="F175" t="inlineStr">
        <is>
          <t>10000160</t>
        </is>
      </c>
      <c r="H175" t="inlineStr"/>
      <c r="J175" t="n">
        <v>121.59</v>
      </c>
      <c r="K175" t="inlineStr"/>
      <c r="M175" t="inlineStr">
        <is>
          <t>TN</t>
        </is>
      </c>
      <c r="N175" t="inlineStr"/>
      <c r="P175" t="inlineStr">
        <is>
          <t>20220331</t>
        </is>
      </c>
      <c r="Q175" t="inlineStr">
        <is>
          <t>20250131</t>
        </is>
      </c>
    </row>
    <row r="176">
      <c r="A176" t="inlineStr">
        <is>
          <t>900000295DW70D08110264162</t>
        </is>
      </c>
      <c r="B176" t="inlineStr">
        <is>
          <t>900000295</t>
        </is>
      </c>
      <c r="C176" t="inlineStr">
        <is>
          <t>DW70</t>
        </is>
      </c>
      <c r="D176" t="inlineStr">
        <is>
          <t>D081</t>
        </is>
      </c>
      <c r="E176" t="inlineStr">
        <is>
          <t>1</t>
        </is>
      </c>
      <c r="F176" t="inlineStr">
        <is>
          <t>10264162</t>
        </is>
      </c>
      <c r="H176" t="inlineStr"/>
      <c r="J176" t="n">
        <v>224.42</v>
      </c>
      <c r="K176" t="inlineStr"/>
      <c r="M176" t="inlineStr">
        <is>
          <t>TN</t>
        </is>
      </c>
      <c r="N176" t="inlineStr"/>
      <c r="P176" t="inlineStr">
        <is>
          <t>20260430</t>
        </is>
      </c>
      <c r="Q176" t="inlineStr">
        <is>
          <t>99991231</t>
        </is>
      </c>
    </row>
    <row r="177">
      <c r="A177" t="inlineStr">
        <is>
          <t>900000295DW70D08110274754</t>
        </is>
      </c>
      <c r="B177" t="inlineStr">
        <is>
          <t>900000295</t>
        </is>
      </c>
      <c r="C177" t="inlineStr">
        <is>
          <t>DW70</t>
        </is>
      </c>
      <c r="D177" t="inlineStr">
        <is>
          <t>D081</t>
        </is>
      </c>
      <c r="E177" t="inlineStr">
        <is>
          <t>1</t>
        </is>
      </c>
      <c r="F177" t="inlineStr">
        <is>
          <t>10274754</t>
        </is>
      </c>
      <c r="H177" t="inlineStr"/>
      <c r="J177" t="n">
        <v>217.52</v>
      </c>
      <c r="K177" t="inlineStr"/>
      <c r="M177" t="inlineStr">
        <is>
          <t>TN</t>
        </is>
      </c>
      <c r="N177" t="inlineStr"/>
      <c r="P177" t="inlineStr">
        <is>
          <t>20260430</t>
        </is>
      </c>
      <c r="Q177" t="inlineStr">
        <is>
          <t>99991231</t>
        </is>
      </c>
    </row>
    <row r="178">
      <c r="A178" t="inlineStr">
        <is>
          <t>900000295DW70D08110277513</t>
        </is>
      </c>
      <c r="B178" t="inlineStr">
        <is>
          <t>900000295</t>
        </is>
      </c>
      <c r="C178" t="inlineStr">
        <is>
          <t>DW70</t>
        </is>
      </c>
      <c r="D178" t="inlineStr">
        <is>
          <t>D081</t>
        </is>
      </c>
      <c r="E178" t="inlineStr">
        <is>
          <t>1</t>
        </is>
      </c>
      <c r="F178" t="inlineStr">
        <is>
          <t>10277513</t>
        </is>
      </c>
      <c r="H178" t="inlineStr"/>
      <c r="J178" t="n">
        <v>217.36</v>
      </c>
      <c r="K178" t="inlineStr"/>
      <c r="M178" t="inlineStr">
        <is>
          <t>TN</t>
        </is>
      </c>
      <c r="N178" t="inlineStr"/>
      <c r="P178" t="inlineStr">
        <is>
          <t>20260525</t>
        </is>
      </c>
      <c r="Q178" t="inlineStr">
        <is>
          <t>99991231</t>
        </is>
      </c>
    </row>
    <row r="179">
      <c r="A179" t="inlineStr">
        <is>
          <t>900000295DW70D08310000160</t>
        </is>
      </c>
      <c r="B179" t="inlineStr">
        <is>
          <t>900000295</t>
        </is>
      </c>
      <c r="C179" t="inlineStr">
        <is>
          <t>DW70</t>
        </is>
      </c>
      <c r="D179" t="inlineStr">
        <is>
          <t>D083</t>
        </is>
      </c>
      <c r="E179" t="inlineStr">
        <is>
          <t>1</t>
        </is>
      </c>
      <c r="F179" t="inlineStr">
        <is>
          <t>10000160</t>
        </is>
      </c>
      <c r="H179" t="inlineStr"/>
      <c r="J179" t="n">
        <v>107.49</v>
      </c>
      <c r="K179" t="inlineStr"/>
      <c r="M179" t="inlineStr">
        <is>
          <t>TN</t>
        </is>
      </c>
      <c r="N179" t="inlineStr"/>
      <c r="P179" t="inlineStr">
        <is>
          <t>20220331</t>
        </is>
      </c>
      <c r="Q179" t="inlineStr">
        <is>
          <t>20250131</t>
        </is>
      </c>
    </row>
    <row r="180">
      <c r="A180" t="inlineStr">
        <is>
          <t>900000295DW70D08310264162</t>
        </is>
      </c>
      <c r="B180" t="inlineStr">
        <is>
          <t>900000295</t>
        </is>
      </c>
      <c r="C180" t="inlineStr">
        <is>
          <t>DW70</t>
        </is>
      </c>
      <c r="D180" t="inlineStr">
        <is>
          <t>D083</t>
        </is>
      </c>
      <c r="E180" t="inlineStr">
        <is>
          <t>1</t>
        </is>
      </c>
      <c r="F180" t="inlineStr">
        <is>
          <t>10264162</t>
        </is>
      </c>
      <c r="H180" t="inlineStr"/>
      <c r="J180" t="n">
        <v>190.93</v>
      </c>
      <c r="K180" t="inlineStr"/>
      <c r="M180" t="inlineStr">
        <is>
          <t>TN</t>
        </is>
      </c>
      <c r="N180" t="inlineStr"/>
      <c r="P180" t="inlineStr">
        <is>
          <t>20260430</t>
        </is>
      </c>
      <c r="Q180" t="inlineStr">
        <is>
          <t>99991231</t>
        </is>
      </c>
    </row>
    <row r="181">
      <c r="A181" t="inlineStr">
        <is>
          <t>900000295DW70D08310274754</t>
        </is>
      </c>
      <c r="B181" t="inlineStr">
        <is>
          <t>900000295</t>
        </is>
      </c>
      <c r="C181" t="inlineStr">
        <is>
          <t>DW70</t>
        </is>
      </c>
      <c r="D181" t="inlineStr">
        <is>
          <t>D083</t>
        </is>
      </c>
      <c r="E181" t="inlineStr">
        <is>
          <t>1</t>
        </is>
      </c>
      <c r="F181" t="inlineStr">
        <is>
          <t>10274754</t>
        </is>
      </c>
      <c r="H181" t="inlineStr"/>
      <c r="J181" t="n">
        <v>185.05</v>
      </c>
      <c r="K181" t="inlineStr"/>
      <c r="M181" t="inlineStr">
        <is>
          <t>TN</t>
        </is>
      </c>
      <c r="N181" t="inlineStr"/>
      <c r="P181" t="inlineStr">
        <is>
          <t>20260430</t>
        </is>
      </c>
      <c r="Q181" t="inlineStr">
        <is>
          <t>99991231</t>
        </is>
      </c>
    </row>
    <row r="182">
      <c r="A182" t="inlineStr">
        <is>
          <t>900000295DW70D08310277513</t>
        </is>
      </c>
      <c r="B182" t="inlineStr">
        <is>
          <t>900000295</t>
        </is>
      </c>
      <c r="C182" t="inlineStr">
        <is>
          <t>DW70</t>
        </is>
      </c>
      <c r="D182" t="inlineStr">
        <is>
          <t>D083</t>
        </is>
      </c>
      <c r="E182" t="inlineStr">
        <is>
          <t>1</t>
        </is>
      </c>
      <c r="F182" t="inlineStr">
        <is>
          <t>10277513</t>
        </is>
      </c>
      <c r="H182" t="inlineStr"/>
      <c r="J182" t="n">
        <v>184.92</v>
      </c>
      <c r="K182" t="inlineStr"/>
      <c r="M182" t="inlineStr">
        <is>
          <t>TN</t>
        </is>
      </c>
      <c r="N182" t="inlineStr"/>
      <c r="P182" t="inlineStr">
        <is>
          <t>20260525</t>
        </is>
      </c>
      <c r="Q182" t="inlineStr">
        <is>
          <t>99991231</t>
        </is>
      </c>
    </row>
    <row r="183">
      <c r="A183" t="inlineStr">
        <is>
          <t>900000295DW70D08410000160</t>
        </is>
      </c>
      <c r="B183" t="inlineStr">
        <is>
          <t>900000295</t>
        </is>
      </c>
      <c r="C183" t="inlineStr">
        <is>
          <t>DW70</t>
        </is>
      </c>
      <c r="D183" t="inlineStr">
        <is>
          <t>D084</t>
        </is>
      </c>
      <c r="E183" t="inlineStr">
        <is>
          <t>1</t>
        </is>
      </c>
      <c r="F183" t="inlineStr">
        <is>
          <t>10000160</t>
        </is>
      </c>
      <c r="H183" t="inlineStr"/>
      <c r="J183" t="n">
        <v>77.53</v>
      </c>
      <c r="K183" t="inlineStr"/>
      <c r="M183" t="inlineStr">
        <is>
          <t>TN</t>
        </is>
      </c>
      <c r="N183" t="inlineStr"/>
      <c r="P183" t="inlineStr">
        <is>
          <t>20220331</t>
        </is>
      </c>
      <c r="Q183" t="inlineStr">
        <is>
          <t>20250131</t>
        </is>
      </c>
    </row>
    <row r="184">
      <c r="A184" t="inlineStr">
        <is>
          <t>900000295DW70D08410264162</t>
        </is>
      </c>
      <c r="B184" t="inlineStr">
        <is>
          <t>900000295</t>
        </is>
      </c>
      <c r="C184" t="inlineStr">
        <is>
          <t>DW70</t>
        </is>
      </c>
      <c r="D184" t="inlineStr">
        <is>
          <t>D084</t>
        </is>
      </c>
      <c r="E184" t="inlineStr">
        <is>
          <t>1</t>
        </is>
      </c>
      <c r="F184" t="inlineStr">
        <is>
          <t>10264162</t>
        </is>
      </c>
      <c r="H184" t="inlineStr"/>
      <c r="J184" t="n">
        <v>140.68</v>
      </c>
      <c r="K184" t="inlineStr"/>
      <c r="M184" t="inlineStr">
        <is>
          <t>TN</t>
        </is>
      </c>
      <c r="N184" t="inlineStr"/>
      <c r="P184" t="inlineStr">
        <is>
          <t>20260430</t>
        </is>
      </c>
      <c r="Q184" t="inlineStr">
        <is>
          <t>99991231</t>
        </is>
      </c>
    </row>
    <row r="185">
      <c r="A185" t="inlineStr">
        <is>
          <t>900000295DW70D08410274754</t>
        </is>
      </c>
      <c r="B185" t="inlineStr">
        <is>
          <t>900000295</t>
        </is>
      </c>
      <c r="C185" t="inlineStr">
        <is>
          <t>DW70</t>
        </is>
      </c>
      <c r="D185" t="inlineStr">
        <is>
          <t>D084</t>
        </is>
      </c>
      <c r="E185" t="inlineStr">
        <is>
          <t>1</t>
        </is>
      </c>
      <c r="F185" t="inlineStr">
        <is>
          <t>10274754</t>
        </is>
      </c>
      <c r="H185" t="inlineStr"/>
      <c r="J185" t="n">
        <v>136.35</v>
      </c>
      <c r="K185" t="inlineStr"/>
      <c r="M185" t="inlineStr">
        <is>
          <t>TN</t>
        </is>
      </c>
      <c r="N185" t="inlineStr"/>
      <c r="P185" t="inlineStr">
        <is>
          <t>20260430</t>
        </is>
      </c>
      <c r="Q185" t="inlineStr">
        <is>
          <t>99991231</t>
        </is>
      </c>
    </row>
    <row r="186">
      <c r="A186" t="inlineStr">
        <is>
          <t>900000295DW70D08410277513</t>
        </is>
      </c>
      <c r="B186" t="inlineStr">
        <is>
          <t>900000295</t>
        </is>
      </c>
      <c r="C186" t="inlineStr">
        <is>
          <t>DW70</t>
        </is>
      </c>
      <c r="D186" t="inlineStr">
        <is>
          <t>D084</t>
        </is>
      </c>
      <c r="E186" t="inlineStr">
        <is>
          <t>1</t>
        </is>
      </c>
      <c r="F186" t="inlineStr">
        <is>
          <t>10277513</t>
        </is>
      </c>
      <c r="H186" t="inlineStr"/>
      <c r="J186" t="n">
        <v>136.25</v>
      </c>
      <c r="K186" t="inlineStr"/>
      <c r="M186" t="inlineStr">
        <is>
          <t>TN</t>
        </is>
      </c>
      <c r="N186" t="inlineStr"/>
      <c r="P186" t="inlineStr">
        <is>
          <t>20260525</t>
        </is>
      </c>
      <c r="Q186" t="inlineStr">
        <is>
          <t>99991231</t>
        </is>
      </c>
    </row>
    <row r="187">
      <c r="A187" t="inlineStr">
        <is>
          <t>900000295DW70D08510000160</t>
        </is>
      </c>
      <c r="B187" t="inlineStr">
        <is>
          <t>900000295</t>
        </is>
      </c>
      <c r="C187" t="inlineStr">
        <is>
          <t>DW70</t>
        </is>
      </c>
      <c r="D187" t="inlineStr">
        <is>
          <t>D085</t>
        </is>
      </c>
      <c r="E187" t="inlineStr">
        <is>
          <t>1</t>
        </is>
      </c>
      <c r="F187" t="inlineStr">
        <is>
          <t>10000160</t>
        </is>
      </c>
      <c r="H187" t="inlineStr"/>
      <c r="J187" t="n">
        <v>82.81999999999999</v>
      </c>
      <c r="K187" t="inlineStr"/>
      <c r="M187" t="inlineStr">
        <is>
          <t>TN</t>
        </is>
      </c>
      <c r="N187" t="inlineStr"/>
      <c r="P187" t="inlineStr">
        <is>
          <t>20220331</t>
        </is>
      </c>
      <c r="Q187" t="inlineStr">
        <is>
          <t>20250131</t>
        </is>
      </c>
    </row>
    <row r="188">
      <c r="A188" t="inlineStr">
        <is>
          <t>900000295DW70D08510264162</t>
        </is>
      </c>
      <c r="B188" t="inlineStr">
        <is>
          <t>900000295</t>
        </is>
      </c>
      <c r="C188" t="inlineStr">
        <is>
          <t>DW70</t>
        </is>
      </c>
      <c r="D188" t="inlineStr">
        <is>
          <t>D085</t>
        </is>
      </c>
      <c r="E188" t="inlineStr">
        <is>
          <t>1</t>
        </is>
      </c>
      <c r="F188" t="inlineStr">
        <is>
          <t>10264162</t>
        </is>
      </c>
      <c r="H188" t="inlineStr"/>
      <c r="J188" t="n">
        <v>144.04</v>
      </c>
      <c r="K188" t="inlineStr"/>
      <c r="M188" t="inlineStr">
        <is>
          <t>TN</t>
        </is>
      </c>
      <c r="N188" t="inlineStr"/>
      <c r="P188" t="inlineStr">
        <is>
          <t>20260430</t>
        </is>
      </c>
      <c r="Q188" t="inlineStr">
        <is>
          <t>99991231</t>
        </is>
      </c>
    </row>
    <row r="189">
      <c r="A189" t="inlineStr">
        <is>
          <t>900000295DW70D08510274754</t>
        </is>
      </c>
      <c r="B189" t="inlineStr">
        <is>
          <t>900000295</t>
        </is>
      </c>
      <c r="C189" t="inlineStr">
        <is>
          <t>DW70</t>
        </is>
      </c>
      <c r="D189" t="inlineStr">
        <is>
          <t>D085</t>
        </is>
      </c>
      <c r="E189" t="inlineStr">
        <is>
          <t>1</t>
        </is>
      </c>
      <c r="F189" t="inlineStr">
        <is>
          <t>10274754</t>
        </is>
      </c>
      <c r="H189" t="inlineStr"/>
      <c r="J189" t="n">
        <v>139.61</v>
      </c>
      <c r="K189" t="inlineStr"/>
      <c r="M189" t="inlineStr">
        <is>
          <t>TN</t>
        </is>
      </c>
      <c r="N189" t="inlineStr"/>
      <c r="P189" t="inlineStr">
        <is>
          <t>20260430</t>
        </is>
      </c>
      <c r="Q189" t="inlineStr">
        <is>
          <t>99991231</t>
        </is>
      </c>
    </row>
    <row r="190">
      <c r="A190" t="inlineStr">
        <is>
          <t>900000295DW70D08510277513</t>
        </is>
      </c>
      <c r="B190" t="inlineStr">
        <is>
          <t>900000295</t>
        </is>
      </c>
      <c r="C190" t="inlineStr">
        <is>
          <t>DW70</t>
        </is>
      </c>
      <c r="D190" t="inlineStr">
        <is>
          <t>D085</t>
        </is>
      </c>
      <c r="E190" t="inlineStr">
        <is>
          <t>1</t>
        </is>
      </c>
      <c r="F190" t="inlineStr">
        <is>
          <t>10277513</t>
        </is>
      </c>
      <c r="H190" t="inlineStr"/>
      <c r="J190" t="n">
        <v>139.51</v>
      </c>
      <c r="K190" t="inlineStr"/>
      <c r="M190" t="inlineStr">
        <is>
          <t>TN</t>
        </is>
      </c>
      <c r="N190" t="inlineStr"/>
      <c r="P190" t="inlineStr">
        <is>
          <t>20260525</t>
        </is>
      </c>
      <c r="Q190" t="inlineStr">
        <is>
          <t>99991231</t>
        </is>
      </c>
    </row>
    <row r="191">
      <c r="A191" t="inlineStr">
        <is>
          <t>900000295DW70D08610000160</t>
        </is>
      </c>
      <c r="B191" t="inlineStr">
        <is>
          <t>900000295</t>
        </is>
      </c>
      <c r="C191" t="inlineStr">
        <is>
          <t>DW70</t>
        </is>
      </c>
      <c r="D191" t="inlineStr">
        <is>
          <t>D086</t>
        </is>
      </c>
      <c r="E191" t="inlineStr">
        <is>
          <t>1</t>
        </is>
      </c>
      <c r="F191" t="inlineStr">
        <is>
          <t>10000160</t>
        </is>
      </c>
      <c r="H191" t="inlineStr"/>
      <c r="J191" t="n">
        <v>105.73</v>
      </c>
      <c r="K191" t="inlineStr"/>
      <c r="M191" t="inlineStr">
        <is>
          <t>TN</t>
        </is>
      </c>
      <c r="N191" t="inlineStr"/>
      <c r="P191" t="inlineStr">
        <is>
          <t>20220331</t>
        </is>
      </c>
      <c r="Q191" t="inlineStr">
        <is>
          <t>20250131</t>
        </is>
      </c>
    </row>
    <row r="192">
      <c r="A192" t="inlineStr">
        <is>
          <t>900000295DW70D08610264162</t>
        </is>
      </c>
      <c r="B192" t="inlineStr">
        <is>
          <t>900000295</t>
        </is>
      </c>
      <c r="C192" t="inlineStr">
        <is>
          <t>DW70</t>
        </is>
      </c>
      <c r="D192" t="inlineStr">
        <is>
          <t>D086</t>
        </is>
      </c>
      <c r="E192" t="inlineStr">
        <is>
          <t>1</t>
        </is>
      </c>
      <c r="F192" t="inlineStr">
        <is>
          <t>10264162</t>
        </is>
      </c>
      <c r="H192" t="inlineStr"/>
      <c r="J192" t="n">
        <v>154.08</v>
      </c>
      <c r="K192" t="inlineStr"/>
      <c r="M192" t="inlineStr">
        <is>
          <t>TN</t>
        </is>
      </c>
      <c r="N192" t="inlineStr"/>
      <c r="P192" t="inlineStr">
        <is>
          <t>20260430</t>
        </is>
      </c>
      <c r="Q192" t="inlineStr">
        <is>
          <t>99991231</t>
        </is>
      </c>
    </row>
    <row r="193">
      <c r="A193" t="inlineStr">
        <is>
          <t>900000295DW70D08610274754</t>
        </is>
      </c>
      <c r="B193" t="inlineStr">
        <is>
          <t>900000295</t>
        </is>
      </c>
      <c r="C193" t="inlineStr">
        <is>
          <t>DW70</t>
        </is>
      </c>
      <c r="D193" t="inlineStr">
        <is>
          <t>D086</t>
        </is>
      </c>
      <c r="E193" t="inlineStr">
        <is>
          <t>1</t>
        </is>
      </c>
      <c r="F193" t="inlineStr">
        <is>
          <t>10274754</t>
        </is>
      </c>
      <c r="H193" t="inlineStr"/>
      <c r="J193" t="n">
        <v>149.34</v>
      </c>
      <c r="K193" t="inlineStr"/>
      <c r="M193" t="inlineStr">
        <is>
          <t>TN</t>
        </is>
      </c>
      <c r="N193" t="inlineStr"/>
      <c r="P193" t="inlineStr">
        <is>
          <t>20260430</t>
        </is>
      </c>
      <c r="Q193" t="inlineStr">
        <is>
          <t>99991231</t>
        </is>
      </c>
    </row>
    <row r="194">
      <c r="A194" t="inlineStr">
        <is>
          <t>900000295DW70D08610277513</t>
        </is>
      </c>
      <c r="B194" t="inlineStr">
        <is>
          <t>900000295</t>
        </is>
      </c>
      <c r="C194" t="inlineStr">
        <is>
          <t>DW70</t>
        </is>
      </c>
      <c r="D194" t="inlineStr">
        <is>
          <t>D086</t>
        </is>
      </c>
      <c r="E194" t="inlineStr">
        <is>
          <t>1</t>
        </is>
      </c>
      <c r="F194" t="inlineStr">
        <is>
          <t>10277513</t>
        </is>
      </c>
      <c r="H194" t="inlineStr"/>
      <c r="J194" t="n">
        <v>149.23</v>
      </c>
      <c r="K194" t="inlineStr"/>
      <c r="M194" t="inlineStr">
        <is>
          <t>TN</t>
        </is>
      </c>
      <c r="N194" t="inlineStr"/>
      <c r="P194" t="inlineStr">
        <is>
          <t>20260525</t>
        </is>
      </c>
      <c r="Q194" t="inlineStr">
        <is>
          <t>99991231</t>
        </is>
      </c>
    </row>
    <row r="195">
      <c r="A195" t="inlineStr">
        <is>
          <t>900000295DW70D08810000160</t>
        </is>
      </c>
      <c r="B195" t="inlineStr">
        <is>
          <t>900000295</t>
        </is>
      </c>
      <c r="C195" t="inlineStr">
        <is>
          <t>DW70</t>
        </is>
      </c>
      <c r="D195" t="inlineStr">
        <is>
          <t>D088</t>
        </is>
      </c>
      <c r="E195" t="inlineStr">
        <is>
          <t>1</t>
        </is>
      </c>
      <c r="F195" t="inlineStr">
        <is>
          <t>10000160</t>
        </is>
      </c>
      <c r="H195" t="inlineStr"/>
      <c r="J195" t="n">
        <v>135.78</v>
      </c>
      <c r="K195" t="inlineStr"/>
      <c r="M195" t="inlineStr">
        <is>
          <t>TN</t>
        </is>
      </c>
      <c r="N195" t="inlineStr"/>
      <c r="P195" t="inlineStr">
        <is>
          <t>20220331</t>
        </is>
      </c>
      <c r="Q195" t="inlineStr">
        <is>
          <t>20250131</t>
        </is>
      </c>
    </row>
    <row r="196">
      <c r="A196" t="inlineStr">
        <is>
          <t>900000295DW70D08910000160</t>
        </is>
      </c>
      <c r="B196" t="inlineStr">
        <is>
          <t>900000295</t>
        </is>
      </c>
      <c r="C196" t="inlineStr">
        <is>
          <t>DW70</t>
        </is>
      </c>
      <c r="D196" t="inlineStr">
        <is>
          <t>D089</t>
        </is>
      </c>
      <c r="E196" t="inlineStr">
        <is>
          <t>1</t>
        </is>
      </c>
      <c r="F196" t="inlineStr">
        <is>
          <t>10000160</t>
        </is>
      </c>
      <c r="H196" t="inlineStr"/>
      <c r="J196" t="n">
        <v>185.02</v>
      </c>
      <c r="K196" t="inlineStr"/>
      <c r="M196" t="inlineStr">
        <is>
          <t>TN</t>
        </is>
      </c>
      <c r="N196" t="inlineStr"/>
      <c r="P196" t="inlineStr">
        <is>
          <t>20220331</t>
        </is>
      </c>
      <c r="Q196" t="inlineStr">
        <is>
          <t>20250131</t>
        </is>
      </c>
    </row>
    <row r="197">
      <c r="A197" t="inlineStr">
        <is>
          <t>900000295DW70D09310000160</t>
        </is>
      </c>
      <c r="B197" t="inlineStr">
        <is>
          <t>900000295</t>
        </is>
      </c>
      <c r="C197" t="inlineStr">
        <is>
          <t>DW70</t>
        </is>
      </c>
      <c r="D197" t="inlineStr">
        <is>
          <t>D093</t>
        </is>
      </c>
      <c r="E197" t="inlineStr">
        <is>
          <t>1</t>
        </is>
      </c>
      <c r="F197" t="inlineStr">
        <is>
          <t>10000160</t>
        </is>
      </c>
      <c r="H197" t="inlineStr"/>
      <c r="J197" t="n">
        <v>110.28</v>
      </c>
      <c r="K197" t="inlineStr"/>
      <c r="M197" t="inlineStr">
        <is>
          <t>TN</t>
        </is>
      </c>
      <c r="N197" t="inlineStr"/>
      <c r="P197" t="inlineStr">
        <is>
          <t>20220331</t>
        </is>
      </c>
      <c r="Q197" t="inlineStr">
        <is>
          <t>20250131</t>
        </is>
      </c>
    </row>
    <row r="198">
      <c r="A198" t="inlineStr">
        <is>
          <t>900000295DW70D09310264162</t>
        </is>
      </c>
      <c r="B198" t="inlineStr">
        <is>
          <t>900000295</t>
        </is>
      </c>
      <c r="C198" t="inlineStr">
        <is>
          <t>DW70</t>
        </is>
      </c>
      <c r="D198" t="inlineStr">
        <is>
          <t>D093</t>
        </is>
      </c>
      <c r="E198" t="inlineStr">
        <is>
          <t>1</t>
        </is>
      </c>
      <c r="F198" t="inlineStr">
        <is>
          <t>10264162</t>
        </is>
      </c>
      <c r="H198" t="inlineStr"/>
      <c r="J198" t="n">
        <v>241.17</v>
      </c>
      <c r="K198" t="inlineStr"/>
      <c r="M198" t="inlineStr">
        <is>
          <t>TN</t>
        </is>
      </c>
      <c r="N198" t="inlineStr"/>
      <c r="P198" t="inlineStr">
        <is>
          <t>20260430</t>
        </is>
      </c>
      <c r="Q198" t="inlineStr">
        <is>
          <t>99991231</t>
        </is>
      </c>
    </row>
    <row r="199">
      <c r="A199" t="inlineStr">
        <is>
          <t>900000295DW70D09310274754</t>
        </is>
      </c>
      <c r="B199" t="inlineStr">
        <is>
          <t>900000295</t>
        </is>
      </c>
      <c r="C199" t="inlineStr">
        <is>
          <t>DW70</t>
        </is>
      </c>
      <c r="D199" t="inlineStr">
        <is>
          <t>D093</t>
        </is>
      </c>
      <c r="E199" t="inlineStr">
        <is>
          <t>1</t>
        </is>
      </c>
      <c r="F199" t="inlineStr">
        <is>
          <t>10274754</t>
        </is>
      </c>
      <c r="H199" t="inlineStr"/>
      <c r="J199" t="n">
        <v>233.74</v>
      </c>
      <c r="K199" t="inlineStr"/>
      <c r="M199" t="inlineStr">
        <is>
          <t>TN</t>
        </is>
      </c>
      <c r="N199" t="inlineStr"/>
      <c r="P199" t="inlineStr">
        <is>
          <t>20260430</t>
        </is>
      </c>
      <c r="Q199" t="inlineStr">
        <is>
          <t>99991231</t>
        </is>
      </c>
    </row>
    <row r="200">
      <c r="A200" t="inlineStr">
        <is>
          <t>900000295DW70D09310277513</t>
        </is>
      </c>
      <c r="B200" t="inlineStr">
        <is>
          <t>900000295</t>
        </is>
      </c>
      <c r="C200" t="inlineStr">
        <is>
          <t>DW70</t>
        </is>
      </c>
      <c r="D200" t="inlineStr">
        <is>
          <t>D093</t>
        </is>
      </c>
      <c r="E200" t="inlineStr">
        <is>
          <t>1</t>
        </is>
      </c>
      <c r="F200" t="inlineStr">
        <is>
          <t>10277513</t>
        </is>
      </c>
      <c r="H200" t="inlineStr"/>
      <c r="J200" t="n">
        <v>233.58</v>
      </c>
      <c r="K200" t="inlineStr"/>
      <c r="M200" t="inlineStr">
        <is>
          <t>TN</t>
        </is>
      </c>
      <c r="N200" t="inlineStr"/>
      <c r="P200" t="inlineStr">
        <is>
          <t>20260525</t>
        </is>
      </c>
      <c r="Q200" t="inlineStr">
        <is>
          <t>99991231</t>
        </is>
      </c>
    </row>
    <row r="201">
      <c r="A201" t="inlineStr">
        <is>
          <t>900000295DW70D09810000160</t>
        </is>
      </c>
      <c r="B201" t="inlineStr">
        <is>
          <t>900000295</t>
        </is>
      </c>
      <c r="C201" t="inlineStr">
        <is>
          <t>DW70</t>
        </is>
      </c>
      <c r="D201" t="inlineStr">
        <is>
          <t>D098</t>
        </is>
      </c>
      <c r="E201" t="inlineStr">
        <is>
          <t>1</t>
        </is>
      </c>
      <c r="F201" t="inlineStr">
        <is>
          <t>10000160</t>
        </is>
      </c>
      <c r="H201" t="inlineStr"/>
      <c r="J201" t="n">
        <v>121.59</v>
      </c>
      <c r="K201" t="inlineStr"/>
      <c r="M201" t="inlineStr">
        <is>
          <t>TN</t>
        </is>
      </c>
      <c r="N201" t="inlineStr"/>
      <c r="P201" t="inlineStr">
        <is>
          <t>20220331</t>
        </is>
      </c>
      <c r="Q201" t="inlineStr">
        <is>
          <t>20250131</t>
        </is>
      </c>
    </row>
    <row r="202">
      <c r="A202" t="inlineStr">
        <is>
          <t>900000295DW70D09810264162</t>
        </is>
      </c>
      <c r="B202" t="inlineStr">
        <is>
          <t>900000295</t>
        </is>
      </c>
      <c r="C202" t="inlineStr">
        <is>
          <t>DW70</t>
        </is>
      </c>
      <c r="D202" t="inlineStr">
        <is>
          <t>D098</t>
        </is>
      </c>
      <c r="E202" t="inlineStr">
        <is>
          <t>1</t>
        </is>
      </c>
      <c r="F202" t="inlineStr">
        <is>
          <t>10264162</t>
        </is>
      </c>
      <c r="H202" t="inlineStr"/>
      <c r="J202" t="n">
        <v>214.37</v>
      </c>
      <c r="K202" t="inlineStr"/>
      <c r="M202" t="inlineStr">
        <is>
          <t>TN</t>
        </is>
      </c>
      <c r="N202" t="inlineStr"/>
      <c r="P202" t="inlineStr">
        <is>
          <t>20260430</t>
        </is>
      </c>
      <c r="Q202" t="inlineStr">
        <is>
          <t>99991231</t>
        </is>
      </c>
    </row>
    <row r="203">
      <c r="A203" t="inlineStr">
        <is>
          <t>900000295DW70D09810274754</t>
        </is>
      </c>
      <c r="B203" t="inlineStr">
        <is>
          <t>900000295</t>
        </is>
      </c>
      <c r="C203" t="inlineStr">
        <is>
          <t>DW70</t>
        </is>
      </c>
      <c r="D203" t="inlineStr">
        <is>
          <t>D098</t>
        </is>
      </c>
      <c r="E203" t="inlineStr">
        <is>
          <t>1</t>
        </is>
      </c>
      <c r="F203" t="inlineStr">
        <is>
          <t>10274754</t>
        </is>
      </c>
      <c r="H203" t="inlineStr"/>
      <c r="J203" t="n">
        <v>207.77</v>
      </c>
      <c r="K203" t="inlineStr"/>
      <c r="M203" t="inlineStr">
        <is>
          <t>TN</t>
        </is>
      </c>
      <c r="N203" t="inlineStr"/>
      <c r="P203" t="inlineStr">
        <is>
          <t>20260430</t>
        </is>
      </c>
      <c r="Q203" t="inlineStr">
        <is>
          <t>99991231</t>
        </is>
      </c>
    </row>
    <row r="204">
      <c r="A204" t="inlineStr">
        <is>
          <t>900000295DW70D09810277513</t>
        </is>
      </c>
      <c r="B204" t="inlineStr">
        <is>
          <t>900000295</t>
        </is>
      </c>
      <c r="C204" t="inlineStr">
        <is>
          <t>DW70</t>
        </is>
      </c>
      <c r="D204" t="inlineStr">
        <is>
          <t>D098</t>
        </is>
      </c>
      <c r="E204" t="inlineStr">
        <is>
          <t>1</t>
        </is>
      </c>
      <c r="F204" t="inlineStr">
        <is>
          <t>10277513</t>
        </is>
      </c>
      <c r="H204" t="inlineStr"/>
      <c r="J204" t="n">
        <v>207.62</v>
      </c>
      <c r="K204" t="inlineStr"/>
      <c r="M204" t="inlineStr">
        <is>
          <t>TN</t>
        </is>
      </c>
      <c r="N204" t="inlineStr"/>
      <c r="P204" t="inlineStr">
        <is>
          <t>20260525</t>
        </is>
      </c>
      <c r="Q204" t="inlineStr">
        <is>
          <t>99991231</t>
        </is>
      </c>
    </row>
    <row r="205">
      <c r="A205" t="inlineStr">
        <is>
          <t>900000295DW70D10510000160</t>
        </is>
      </c>
      <c r="B205" t="inlineStr">
        <is>
          <t>900000295</t>
        </is>
      </c>
      <c r="C205" t="inlineStr">
        <is>
          <t>DW70</t>
        </is>
      </c>
      <c r="D205" t="inlineStr">
        <is>
          <t>D105</t>
        </is>
      </c>
      <c r="E205" t="inlineStr">
        <is>
          <t>1</t>
        </is>
      </c>
      <c r="F205" t="inlineStr">
        <is>
          <t>10000160</t>
        </is>
      </c>
      <c r="H205" t="inlineStr"/>
      <c r="J205" t="n">
        <v>123.35</v>
      </c>
      <c r="K205" t="inlineStr"/>
      <c r="M205" t="inlineStr">
        <is>
          <t>TN</t>
        </is>
      </c>
      <c r="N205" t="inlineStr"/>
      <c r="P205" t="inlineStr">
        <is>
          <t>20220331</t>
        </is>
      </c>
      <c r="Q205" t="inlineStr">
        <is>
          <t>20250131</t>
        </is>
      </c>
    </row>
    <row r="206">
      <c r="A206" t="inlineStr">
        <is>
          <t>900000295DW70D10510264162</t>
        </is>
      </c>
      <c r="B206" t="inlineStr">
        <is>
          <t>900000295</t>
        </is>
      </c>
      <c r="C206" t="inlineStr">
        <is>
          <t>DW70</t>
        </is>
      </c>
      <c r="D206" t="inlineStr">
        <is>
          <t>D105</t>
        </is>
      </c>
      <c r="E206" t="inlineStr">
        <is>
          <t>1</t>
        </is>
      </c>
      <c r="F206" t="inlineStr">
        <is>
          <t>10264162</t>
        </is>
      </c>
      <c r="H206" t="inlineStr"/>
      <c r="J206" t="n">
        <v>211.03</v>
      </c>
      <c r="K206" t="inlineStr"/>
      <c r="M206" t="inlineStr">
        <is>
          <t>TN</t>
        </is>
      </c>
      <c r="N206" t="inlineStr"/>
      <c r="P206" t="inlineStr">
        <is>
          <t>20260430</t>
        </is>
      </c>
      <c r="Q206" t="inlineStr">
        <is>
          <t>99991231</t>
        </is>
      </c>
    </row>
    <row r="207">
      <c r="A207" t="inlineStr">
        <is>
          <t>900000295DW70D10510274754</t>
        </is>
      </c>
      <c r="B207" t="inlineStr">
        <is>
          <t>900000295</t>
        </is>
      </c>
      <c r="C207" t="inlineStr">
        <is>
          <t>DW70</t>
        </is>
      </c>
      <c r="D207" t="inlineStr">
        <is>
          <t>D105</t>
        </is>
      </c>
      <c r="E207" t="inlineStr">
        <is>
          <t>1</t>
        </is>
      </c>
      <c r="F207" t="inlineStr">
        <is>
          <t>10274754</t>
        </is>
      </c>
      <c r="H207" t="inlineStr"/>
      <c r="J207" t="n">
        <v>204.53</v>
      </c>
      <c r="K207" t="inlineStr"/>
      <c r="M207" t="inlineStr">
        <is>
          <t>TN</t>
        </is>
      </c>
      <c r="N207" t="inlineStr"/>
      <c r="P207" t="inlineStr">
        <is>
          <t>20260430</t>
        </is>
      </c>
      <c r="Q207" t="inlineStr">
        <is>
          <t>99991231</t>
        </is>
      </c>
    </row>
    <row r="208">
      <c r="A208" t="inlineStr">
        <is>
          <t>900000295DW70D10510277513</t>
        </is>
      </c>
      <c r="B208" t="inlineStr">
        <is>
          <t>900000295</t>
        </is>
      </c>
      <c r="C208" t="inlineStr">
        <is>
          <t>DW70</t>
        </is>
      </c>
      <c r="D208" t="inlineStr">
        <is>
          <t>D105</t>
        </is>
      </c>
      <c r="E208" t="inlineStr">
        <is>
          <t>1</t>
        </is>
      </c>
      <c r="F208" t="inlineStr">
        <is>
          <t>10277513</t>
        </is>
      </c>
      <c r="H208" t="inlineStr"/>
      <c r="J208" t="n">
        <v>204.39</v>
      </c>
      <c r="K208" t="inlineStr"/>
      <c r="M208" t="inlineStr">
        <is>
          <t>TN</t>
        </is>
      </c>
      <c r="N208" t="inlineStr"/>
      <c r="P208" t="inlineStr">
        <is>
          <t>20260525</t>
        </is>
      </c>
      <c r="Q208" t="inlineStr">
        <is>
          <t>99991231</t>
        </is>
      </c>
    </row>
    <row r="209">
      <c r="A209" t="inlineStr">
        <is>
          <t>900000295DW70D13610000160</t>
        </is>
      </c>
      <c r="B209" t="inlineStr">
        <is>
          <t>900000295</t>
        </is>
      </c>
      <c r="C209" t="inlineStr">
        <is>
          <t>DW70</t>
        </is>
      </c>
      <c r="D209" t="inlineStr">
        <is>
          <t>D136</t>
        </is>
      </c>
      <c r="E209" t="inlineStr">
        <is>
          <t>1</t>
        </is>
      </c>
      <c r="F209" t="inlineStr">
        <is>
          <t>10000160</t>
        </is>
      </c>
      <c r="H209" t="inlineStr"/>
      <c r="J209" t="n">
        <v>117.77</v>
      </c>
      <c r="K209" t="inlineStr"/>
      <c r="M209" t="inlineStr">
        <is>
          <t>TN</t>
        </is>
      </c>
      <c r="N209" t="inlineStr"/>
      <c r="P209" t="inlineStr">
        <is>
          <t>20220331</t>
        </is>
      </c>
      <c r="Q209" t="inlineStr">
        <is>
          <t>20250131</t>
        </is>
      </c>
    </row>
    <row r="210">
      <c r="A210" t="inlineStr">
        <is>
          <t>900000295DW70D13610264162</t>
        </is>
      </c>
      <c r="B210" t="inlineStr">
        <is>
          <t>900000295</t>
        </is>
      </c>
      <c r="C210" t="inlineStr">
        <is>
          <t>DW70</t>
        </is>
      </c>
      <c r="D210" t="inlineStr">
        <is>
          <t>D136</t>
        </is>
      </c>
      <c r="E210" t="inlineStr">
        <is>
          <t>1</t>
        </is>
      </c>
      <c r="F210" t="inlineStr">
        <is>
          <t>10264162</t>
        </is>
      </c>
      <c r="H210" t="inlineStr"/>
      <c r="J210" t="n">
        <v>257.92</v>
      </c>
      <c r="K210" t="inlineStr"/>
      <c r="M210" t="inlineStr">
        <is>
          <t>TN</t>
        </is>
      </c>
      <c r="N210" t="inlineStr"/>
      <c r="P210" t="inlineStr">
        <is>
          <t>20260430</t>
        </is>
      </c>
      <c r="Q210" t="inlineStr">
        <is>
          <t>99991231</t>
        </is>
      </c>
    </row>
    <row r="211">
      <c r="A211" t="inlineStr">
        <is>
          <t>900000295DW70D13610274754</t>
        </is>
      </c>
      <c r="B211" t="inlineStr">
        <is>
          <t>900000295</t>
        </is>
      </c>
      <c r="C211" t="inlineStr">
        <is>
          <t>DW70</t>
        </is>
      </c>
      <c r="D211" t="inlineStr">
        <is>
          <t>D136</t>
        </is>
      </c>
      <c r="E211" t="inlineStr">
        <is>
          <t>1</t>
        </is>
      </c>
      <c r="F211" t="inlineStr">
        <is>
          <t>10274754</t>
        </is>
      </c>
      <c r="H211" t="inlineStr"/>
      <c r="J211" t="n">
        <v>249.99</v>
      </c>
      <c r="K211" t="inlineStr"/>
      <c r="M211" t="inlineStr">
        <is>
          <t>TN</t>
        </is>
      </c>
      <c r="N211" t="inlineStr"/>
      <c r="P211" t="inlineStr">
        <is>
          <t>20260430</t>
        </is>
      </c>
      <c r="Q211" t="inlineStr">
        <is>
          <t>99991231</t>
        </is>
      </c>
    </row>
    <row r="212">
      <c r="A212" t="inlineStr">
        <is>
          <t>900000295DW70D13610277513</t>
        </is>
      </c>
      <c r="B212" t="inlineStr">
        <is>
          <t>900000295</t>
        </is>
      </c>
      <c r="C212" t="inlineStr">
        <is>
          <t>DW70</t>
        </is>
      </c>
      <c r="D212" t="inlineStr">
        <is>
          <t>D136</t>
        </is>
      </c>
      <c r="E212" t="inlineStr">
        <is>
          <t>1</t>
        </is>
      </c>
      <c r="F212" t="inlineStr">
        <is>
          <t>10277513</t>
        </is>
      </c>
      <c r="H212" t="inlineStr"/>
      <c r="J212" t="n">
        <v>249.8</v>
      </c>
      <c r="K212" t="inlineStr"/>
      <c r="M212" t="inlineStr">
        <is>
          <t>TN</t>
        </is>
      </c>
      <c r="N212" t="inlineStr"/>
      <c r="P212" t="inlineStr">
        <is>
          <t>20260525</t>
        </is>
      </c>
      <c r="Q212" t="inlineStr">
        <is>
          <t>99991231</t>
        </is>
      </c>
    </row>
    <row r="213">
      <c r="A213" t="inlineStr">
        <is>
          <t>900000295DW70D14510000160</t>
        </is>
      </c>
      <c r="B213" t="inlineStr">
        <is>
          <t>900000295</t>
        </is>
      </c>
      <c r="C213" t="inlineStr">
        <is>
          <t>DW70</t>
        </is>
      </c>
      <c r="D213" t="inlineStr">
        <is>
          <t>D145</t>
        </is>
      </c>
      <c r="E213" t="inlineStr">
        <is>
          <t>1</t>
        </is>
      </c>
      <c r="F213" t="inlineStr">
        <is>
          <t>10000160</t>
        </is>
      </c>
      <c r="H213" t="inlineStr"/>
      <c r="J213" t="n">
        <v>74.01000000000001</v>
      </c>
      <c r="K213" t="inlineStr"/>
      <c r="M213" t="inlineStr">
        <is>
          <t>TN</t>
        </is>
      </c>
      <c r="N213" t="inlineStr"/>
      <c r="P213" t="inlineStr">
        <is>
          <t>20220331</t>
        </is>
      </c>
      <c r="Q213" t="inlineStr">
        <is>
          <t>20250131</t>
        </is>
      </c>
    </row>
    <row r="214">
      <c r="A214" t="inlineStr">
        <is>
          <t>900000295DW70D14510264162</t>
        </is>
      </c>
      <c r="B214" t="inlineStr">
        <is>
          <t>900000295</t>
        </is>
      </c>
      <c r="C214" t="inlineStr">
        <is>
          <t>DW70</t>
        </is>
      </c>
      <c r="D214" t="inlineStr">
        <is>
          <t>D145</t>
        </is>
      </c>
      <c r="E214" t="inlineStr">
        <is>
          <t>1</t>
        </is>
      </c>
      <c r="F214" t="inlineStr">
        <is>
          <t>10264162</t>
        </is>
      </c>
      <c r="H214" t="inlineStr"/>
      <c r="J214" t="n">
        <v>120.58</v>
      </c>
      <c r="K214" t="inlineStr"/>
      <c r="M214" t="inlineStr">
        <is>
          <t>TN</t>
        </is>
      </c>
      <c r="N214" t="inlineStr"/>
      <c r="P214" t="inlineStr">
        <is>
          <t>20260430</t>
        </is>
      </c>
      <c r="Q214" t="inlineStr">
        <is>
          <t>99991231</t>
        </is>
      </c>
    </row>
    <row r="215">
      <c r="A215" t="inlineStr">
        <is>
          <t>900000295DW70D14510274754</t>
        </is>
      </c>
      <c r="B215" t="inlineStr">
        <is>
          <t>900000295</t>
        </is>
      </c>
      <c r="C215" t="inlineStr">
        <is>
          <t>DW70</t>
        </is>
      </c>
      <c r="D215" t="inlineStr">
        <is>
          <t>D145</t>
        </is>
      </c>
      <c r="E215" t="inlineStr">
        <is>
          <t>1</t>
        </is>
      </c>
      <c r="F215" t="inlineStr">
        <is>
          <t>10274754</t>
        </is>
      </c>
      <c r="H215" t="inlineStr"/>
      <c r="J215" t="n">
        <v>116.87</v>
      </c>
      <c r="K215" t="inlineStr"/>
      <c r="M215" t="inlineStr">
        <is>
          <t>TN</t>
        </is>
      </c>
      <c r="N215" t="inlineStr"/>
      <c r="P215" t="inlineStr">
        <is>
          <t>20260430</t>
        </is>
      </c>
      <c r="Q215" t="inlineStr">
        <is>
          <t>99991231</t>
        </is>
      </c>
    </row>
    <row r="216">
      <c r="A216" t="inlineStr">
        <is>
          <t>900000295DW70D14510277513</t>
        </is>
      </c>
      <c r="B216" t="inlineStr">
        <is>
          <t>900000295</t>
        </is>
      </c>
      <c r="C216" t="inlineStr">
        <is>
          <t>DW70</t>
        </is>
      </c>
      <c r="D216" t="inlineStr">
        <is>
          <t>D145</t>
        </is>
      </c>
      <c r="E216" t="inlineStr">
        <is>
          <t>1</t>
        </is>
      </c>
      <c r="F216" t="inlineStr">
        <is>
          <t>10277513</t>
        </is>
      </c>
      <c r="H216" t="inlineStr"/>
      <c r="J216" t="n">
        <v>116.78</v>
      </c>
      <c r="K216" t="inlineStr"/>
      <c r="M216" t="inlineStr">
        <is>
          <t>TN</t>
        </is>
      </c>
      <c r="N216" t="inlineStr"/>
      <c r="P216" t="inlineStr">
        <is>
          <t>20260525</t>
        </is>
      </c>
      <c r="Q216" t="inlineStr">
        <is>
          <t>99991231</t>
        </is>
      </c>
    </row>
    <row r="217">
      <c r="A217" t="inlineStr">
        <is>
          <t>900000295DW70D68110264162</t>
        </is>
      </c>
      <c r="B217" t="inlineStr">
        <is>
          <t>900000295</t>
        </is>
      </c>
      <c r="C217" t="inlineStr">
        <is>
          <t>DW70</t>
        </is>
      </c>
      <c r="D217" t="inlineStr">
        <is>
          <t>D681</t>
        </is>
      </c>
      <c r="E217" t="inlineStr">
        <is>
          <t>1</t>
        </is>
      </c>
      <c r="F217" t="inlineStr">
        <is>
          <t>10264162</t>
        </is>
      </c>
      <c r="H217" t="inlineStr"/>
      <c r="J217" t="n">
        <v>164.14</v>
      </c>
      <c r="K217" t="inlineStr"/>
      <c r="M217" t="inlineStr">
        <is>
          <t>TN</t>
        </is>
      </c>
      <c r="N217" t="inlineStr"/>
      <c r="P217" t="inlineStr">
        <is>
          <t>20260430</t>
        </is>
      </c>
      <c r="Q217" t="inlineStr">
        <is>
          <t>99991231</t>
        </is>
      </c>
    </row>
    <row r="218">
      <c r="A218" t="inlineStr">
        <is>
          <t>900000295DW70D68110274754</t>
        </is>
      </c>
      <c r="B218" t="inlineStr">
        <is>
          <t>900000295</t>
        </is>
      </c>
      <c r="C218" t="inlineStr">
        <is>
          <t>DW70</t>
        </is>
      </c>
      <c r="D218" t="inlineStr">
        <is>
          <t>D681</t>
        </is>
      </c>
      <c r="E218" t="inlineStr">
        <is>
          <t>1</t>
        </is>
      </c>
      <c r="F218" t="inlineStr">
        <is>
          <t>10274754</t>
        </is>
      </c>
      <c r="H218" t="inlineStr"/>
      <c r="J218" t="n">
        <v>159.08</v>
      </c>
      <c r="K218" t="inlineStr"/>
      <c r="M218" t="inlineStr">
        <is>
          <t>TN</t>
        </is>
      </c>
      <c r="N218" t="inlineStr"/>
      <c r="P218" t="inlineStr">
        <is>
          <t>20260430</t>
        </is>
      </c>
      <c r="Q218" t="inlineStr">
        <is>
          <t>99991231</t>
        </is>
      </c>
    </row>
    <row r="219">
      <c r="A219" t="inlineStr">
        <is>
          <t>900000295DW70D68110277513</t>
        </is>
      </c>
      <c r="B219" t="inlineStr">
        <is>
          <t>900000295</t>
        </is>
      </c>
      <c r="C219" t="inlineStr">
        <is>
          <t>DW70</t>
        </is>
      </c>
      <c r="D219" t="inlineStr">
        <is>
          <t>D681</t>
        </is>
      </c>
      <c r="E219" t="inlineStr">
        <is>
          <t>1</t>
        </is>
      </c>
      <c r="F219" t="inlineStr">
        <is>
          <t>10277513</t>
        </is>
      </c>
      <c r="H219" t="inlineStr"/>
      <c r="J219" t="n">
        <v>158.97</v>
      </c>
      <c r="K219" t="inlineStr"/>
      <c r="M219" t="inlineStr">
        <is>
          <t>TN</t>
        </is>
      </c>
      <c r="N219" t="inlineStr"/>
      <c r="P219" t="inlineStr">
        <is>
          <t>20260525</t>
        </is>
      </c>
      <c r="Q219" t="inlineStr">
        <is>
          <t>99991231</t>
        </is>
      </c>
    </row>
    <row r="220">
      <c r="A220" t="inlineStr">
        <is>
          <t>900000472DW70D07210000175</t>
        </is>
      </c>
      <c r="B220" t="inlineStr">
        <is>
          <t>900000472</t>
        </is>
      </c>
      <c r="C220" t="inlineStr">
        <is>
          <t>DW70</t>
        </is>
      </c>
      <c r="D220" t="inlineStr">
        <is>
          <t>D072</t>
        </is>
      </c>
      <c r="E220" t="inlineStr">
        <is>
          <t>4</t>
        </is>
      </c>
      <c r="F220" t="inlineStr">
        <is>
          <t>10000175</t>
        </is>
      </c>
      <c r="H220" t="inlineStr"/>
      <c r="J220" t="n">
        <v>585</v>
      </c>
      <c r="K220" t="inlineStr"/>
      <c r="M220" t="inlineStr">
        <is>
          <t>TN</t>
        </is>
      </c>
      <c r="N220" t="inlineStr"/>
      <c r="P220" t="inlineStr">
        <is>
          <t>20250401</t>
        </is>
      </c>
      <c r="Q220" t="inlineStr">
        <is>
          <t>20251031</t>
        </is>
      </c>
    </row>
    <row r="221">
      <c r="A221" t="inlineStr">
        <is>
          <t>900000472DW70D07310000635</t>
        </is>
      </c>
      <c r="B221" t="inlineStr">
        <is>
          <t>900000472</t>
        </is>
      </c>
      <c r="C221" t="inlineStr">
        <is>
          <t>DW70</t>
        </is>
      </c>
      <c r="D221" t="inlineStr">
        <is>
          <t>D073</t>
        </is>
      </c>
      <c r="E221" t="inlineStr">
        <is>
          <t>4</t>
        </is>
      </c>
      <c r="F221" t="inlineStr">
        <is>
          <t>10000635</t>
        </is>
      </c>
      <c r="H221" t="inlineStr"/>
      <c r="J221" t="n">
        <v>485.11</v>
      </c>
      <c r="K221" t="inlineStr"/>
      <c r="M221" t="inlineStr">
        <is>
          <t>TN</t>
        </is>
      </c>
      <c r="N221" t="inlineStr"/>
      <c r="P221" t="inlineStr">
        <is>
          <t>20220331</t>
        </is>
      </c>
      <c r="Q221" t="inlineStr">
        <is>
          <t>20250131</t>
        </is>
      </c>
    </row>
    <row r="222">
      <c r="A222" t="inlineStr">
        <is>
          <t>900000472DW70D07310000643</t>
        </is>
      </c>
      <c r="B222" t="inlineStr">
        <is>
          <t>900000472</t>
        </is>
      </c>
      <c r="C222" t="inlineStr">
        <is>
          <t>DW70</t>
        </is>
      </c>
      <c r="D222" t="inlineStr">
        <is>
          <t>D073</t>
        </is>
      </c>
      <c r="E222" t="inlineStr">
        <is>
          <t>4</t>
        </is>
      </c>
      <c r="F222" t="inlineStr">
        <is>
          <t>10000643</t>
        </is>
      </c>
      <c r="H222" t="inlineStr"/>
      <c r="J222" t="n">
        <v>485.11</v>
      </c>
      <c r="K222" t="inlineStr"/>
      <c r="M222" t="inlineStr">
        <is>
          <t>TN</t>
        </is>
      </c>
      <c r="N222" t="inlineStr"/>
      <c r="P222" t="inlineStr">
        <is>
          <t>20220331</t>
        </is>
      </c>
      <c r="Q222" t="inlineStr">
        <is>
          <t>20250131</t>
        </is>
      </c>
    </row>
    <row r="223">
      <c r="A223" t="inlineStr">
        <is>
          <t>900000472DW70D07310000655</t>
        </is>
      </c>
      <c r="B223" t="inlineStr">
        <is>
          <t>900000472</t>
        </is>
      </c>
      <c r="C223" t="inlineStr">
        <is>
          <t>DW70</t>
        </is>
      </c>
      <c r="D223" t="inlineStr">
        <is>
          <t>D073</t>
        </is>
      </c>
      <c r="E223" t="inlineStr">
        <is>
          <t>4</t>
        </is>
      </c>
      <c r="F223" t="inlineStr">
        <is>
          <t>10000655</t>
        </is>
      </c>
      <c r="H223" t="inlineStr"/>
      <c r="J223" t="n">
        <v>485.11</v>
      </c>
      <c r="K223" t="inlineStr"/>
      <c r="M223" t="inlineStr">
        <is>
          <t>TN</t>
        </is>
      </c>
      <c r="N223" t="inlineStr"/>
      <c r="P223" t="inlineStr">
        <is>
          <t>20220331</t>
        </is>
      </c>
      <c r="Q223" t="inlineStr">
        <is>
          <t>20250131</t>
        </is>
      </c>
    </row>
    <row r="224">
      <c r="A224" t="inlineStr">
        <is>
          <t>900000472DW70D07410000635</t>
        </is>
      </c>
      <c r="B224" t="inlineStr">
        <is>
          <t>900000472</t>
        </is>
      </c>
      <c r="C224" t="inlineStr">
        <is>
          <t>DW70</t>
        </is>
      </c>
      <c r="D224" t="inlineStr">
        <is>
          <t>D074</t>
        </is>
      </c>
      <c r="E224" t="inlineStr">
        <is>
          <t>4</t>
        </is>
      </c>
      <c r="F224" t="inlineStr">
        <is>
          <t>10000635</t>
        </is>
      </c>
      <c r="H224" t="inlineStr"/>
      <c r="J224" t="n">
        <v>485.11</v>
      </c>
      <c r="K224" t="inlineStr"/>
      <c r="M224" t="inlineStr">
        <is>
          <t>TN</t>
        </is>
      </c>
      <c r="N224" t="inlineStr"/>
      <c r="P224" t="inlineStr">
        <is>
          <t>20220331</t>
        </is>
      </c>
      <c r="Q224" t="inlineStr">
        <is>
          <t>20250131</t>
        </is>
      </c>
    </row>
    <row r="225">
      <c r="A225" t="inlineStr">
        <is>
          <t>900000472DW70D07410000643</t>
        </is>
      </c>
      <c r="B225" t="inlineStr">
        <is>
          <t>900000472</t>
        </is>
      </c>
      <c r="C225" t="inlineStr">
        <is>
          <t>DW70</t>
        </is>
      </c>
      <c r="D225" t="inlineStr">
        <is>
          <t>D074</t>
        </is>
      </c>
      <c r="E225" t="inlineStr">
        <is>
          <t>4</t>
        </is>
      </c>
      <c r="F225" t="inlineStr">
        <is>
          <t>10000643</t>
        </is>
      </c>
      <c r="H225" t="inlineStr"/>
      <c r="J225" t="n">
        <v>485.11</v>
      </c>
      <c r="K225" t="inlineStr"/>
      <c r="M225" t="inlineStr">
        <is>
          <t>TN</t>
        </is>
      </c>
      <c r="N225" t="inlineStr"/>
      <c r="P225" t="inlineStr">
        <is>
          <t>20220331</t>
        </is>
      </c>
      <c r="Q225" t="inlineStr">
        <is>
          <t>20250131</t>
        </is>
      </c>
    </row>
    <row r="226">
      <c r="A226" t="inlineStr">
        <is>
          <t>900000472DW70D07410000655</t>
        </is>
      </c>
      <c r="B226" t="inlineStr">
        <is>
          <t>900000472</t>
        </is>
      </c>
      <c r="C226" t="inlineStr">
        <is>
          <t>DW70</t>
        </is>
      </c>
      <c r="D226" t="inlineStr">
        <is>
          <t>D074</t>
        </is>
      </c>
      <c r="E226" t="inlineStr">
        <is>
          <t>4</t>
        </is>
      </c>
      <c r="F226" t="inlineStr">
        <is>
          <t>10000655</t>
        </is>
      </c>
      <c r="H226" t="inlineStr"/>
      <c r="J226" t="n">
        <v>485.11</v>
      </c>
      <c r="K226" t="inlineStr"/>
      <c r="M226" t="inlineStr">
        <is>
          <t>TN</t>
        </is>
      </c>
      <c r="N226" t="inlineStr"/>
      <c r="P226" t="inlineStr">
        <is>
          <t>20220331</t>
        </is>
      </c>
      <c r="Q226" t="inlineStr">
        <is>
          <t>20250131</t>
        </is>
      </c>
    </row>
    <row r="227">
      <c r="A227" t="inlineStr">
        <is>
          <t>900000472DW70D07410004432</t>
        </is>
      </c>
      <c r="B227" t="inlineStr">
        <is>
          <t>900000472</t>
        </is>
      </c>
      <c r="C227" t="inlineStr">
        <is>
          <t>DW70</t>
        </is>
      </c>
      <c r="D227" t="inlineStr">
        <is>
          <t>D074</t>
        </is>
      </c>
      <c r="E227" t="inlineStr">
        <is>
          <t>4</t>
        </is>
      </c>
      <c r="F227" t="inlineStr">
        <is>
          <t>10004432</t>
        </is>
      </c>
      <c r="H227" t="inlineStr"/>
      <c r="J227" t="n">
        <v>2600</v>
      </c>
      <c r="K227" t="inlineStr"/>
      <c r="M227" t="inlineStr">
        <is>
          <t>TN</t>
        </is>
      </c>
      <c r="N227" t="inlineStr"/>
      <c r="P227" t="inlineStr">
        <is>
          <t>20220331</t>
        </is>
      </c>
      <c r="Q227" t="inlineStr">
        <is>
          <t>20250131</t>
        </is>
      </c>
    </row>
    <row r="228">
      <c r="A228" t="inlineStr">
        <is>
          <t>900000472DW70D07410188219</t>
        </is>
      </c>
      <c r="B228" t="inlineStr">
        <is>
          <t>900000472</t>
        </is>
      </c>
      <c r="C228" t="inlineStr">
        <is>
          <t>DW70</t>
        </is>
      </c>
      <c r="D228" t="inlineStr">
        <is>
          <t>D074</t>
        </is>
      </c>
      <c r="E228" t="inlineStr">
        <is>
          <t>4</t>
        </is>
      </c>
      <c r="F228" t="inlineStr">
        <is>
          <t>10188219</t>
        </is>
      </c>
      <c r="H228" t="inlineStr"/>
      <c r="J228" t="n">
        <v>650</v>
      </c>
      <c r="K228" t="inlineStr"/>
      <c r="M228" t="inlineStr">
        <is>
          <t>TN</t>
        </is>
      </c>
      <c r="N228" t="inlineStr"/>
      <c r="P228" t="inlineStr">
        <is>
          <t>20220331</t>
        </is>
      </c>
      <c r="Q228" t="inlineStr">
        <is>
          <t>20250131</t>
        </is>
      </c>
    </row>
    <row r="229">
      <c r="A229" t="inlineStr">
        <is>
          <t>900000472DW70D07410189170</t>
        </is>
      </c>
      <c r="B229" t="inlineStr">
        <is>
          <t>900000472</t>
        </is>
      </c>
      <c r="C229" t="inlineStr">
        <is>
          <t>DW70</t>
        </is>
      </c>
      <c r="D229" t="inlineStr">
        <is>
          <t>D074</t>
        </is>
      </c>
      <c r="E229" t="inlineStr">
        <is>
          <t>4</t>
        </is>
      </c>
      <c r="F229" t="inlineStr">
        <is>
          <t>10189170</t>
        </is>
      </c>
      <c r="H229" t="inlineStr"/>
      <c r="J229" t="n">
        <v>650</v>
      </c>
      <c r="K229" t="inlineStr"/>
      <c r="M229" t="inlineStr">
        <is>
          <t>TN</t>
        </is>
      </c>
      <c r="N229" t="inlineStr"/>
      <c r="P229" t="inlineStr">
        <is>
          <t>20220331</t>
        </is>
      </c>
      <c r="Q229" t="inlineStr">
        <is>
          <t>20250131</t>
        </is>
      </c>
    </row>
    <row r="230">
      <c r="A230" t="inlineStr">
        <is>
          <t>900000472DW70D07410190932</t>
        </is>
      </c>
      <c r="B230" t="inlineStr">
        <is>
          <t>900000472</t>
        </is>
      </c>
      <c r="C230" t="inlineStr">
        <is>
          <t>DW70</t>
        </is>
      </c>
      <c r="D230" t="inlineStr">
        <is>
          <t>D074</t>
        </is>
      </c>
      <c r="E230" t="inlineStr">
        <is>
          <t>4</t>
        </is>
      </c>
      <c r="F230" t="inlineStr">
        <is>
          <t>10190932</t>
        </is>
      </c>
      <c r="H230" t="inlineStr"/>
      <c r="J230" t="n">
        <v>650</v>
      </c>
      <c r="K230" t="inlineStr"/>
      <c r="M230" t="inlineStr">
        <is>
          <t>TN</t>
        </is>
      </c>
      <c r="N230" t="inlineStr"/>
      <c r="P230" t="inlineStr">
        <is>
          <t>20220331</t>
        </is>
      </c>
      <c r="Q230" t="inlineStr">
        <is>
          <t>20250131</t>
        </is>
      </c>
    </row>
    <row r="231">
      <c r="A231" t="inlineStr">
        <is>
          <t>900000472DW70D07510000635</t>
        </is>
      </c>
      <c r="B231" t="inlineStr">
        <is>
          <t>900000472</t>
        </is>
      </c>
      <c r="C231" t="inlineStr">
        <is>
          <t>DW70</t>
        </is>
      </c>
      <c r="D231" t="inlineStr">
        <is>
          <t>D075</t>
        </is>
      </c>
      <c r="E231" t="inlineStr">
        <is>
          <t>4</t>
        </is>
      </c>
      <c r="F231" t="inlineStr">
        <is>
          <t>10000635</t>
        </is>
      </c>
      <c r="H231" t="inlineStr"/>
      <c r="J231" t="n">
        <v>485.11</v>
      </c>
      <c r="K231" t="inlineStr"/>
      <c r="M231" t="inlineStr">
        <is>
          <t>TN</t>
        </is>
      </c>
      <c r="N231" t="inlineStr"/>
      <c r="P231" t="inlineStr">
        <is>
          <t>20220331</t>
        </is>
      </c>
      <c r="Q231" t="inlineStr">
        <is>
          <t>20250131</t>
        </is>
      </c>
    </row>
    <row r="232">
      <c r="A232" t="inlineStr">
        <is>
          <t>900000472DW70D07510000643</t>
        </is>
      </c>
      <c r="B232" t="inlineStr">
        <is>
          <t>900000472</t>
        </is>
      </c>
      <c r="C232" t="inlineStr">
        <is>
          <t>DW70</t>
        </is>
      </c>
      <c r="D232" t="inlineStr">
        <is>
          <t>D075</t>
        </is>
      </c>
      <c r="E232" t="inlineStr">
        <is>
          <t>4</t>
        </is>
      </c>
      <c r="F232" t="inlineStr">
        <is>
          <t>10000643</t>
        </is>
      </c>
      <c r="H232" t="inlineStr"/>
      <c r="J232" t="n">
        <v>485.11</v>
      </c>
      <c r="K232" t="inlineStr"/>
      <c r="M232" t="inlineStr">
        <is>
          <t>TN</t>
        </is>
      </c>
      <c r="N232" t="inlineStr"/>
      <c r="P232" t="inlineStr">
        <is>
          <t>20220331</t>
        </is>
      </c>
      <c r="Q232" t="inlineStr">
        <is>
          <t>20250131</t>
        </is>
      </c>
    </row>
    <row r="233">
      <c r="A233" t="inlineStr">
        <is>
          <t>900000472DW70D07510000655</t>
        </is>
      </c>
      <c r="B233" t="inlineStr">
        <is>
          <t>900000472</t>
        </is>
      </c>
      <c r="C233" t="inlineStr">
        <is>
          <t>DW70</t>
        </is>
      </c>
      <c r="D233" t="inlineStr">
        <is>
          <t>D075</t>
        </is>
      </c>
      <c r="E233" t="inlineStr">
        <is>
          <t>4</t>
        </is>
      </c>
      <c r="F233" t="inlineStr">
        <is>
          <t>10000655</t>
        </is>
      </c>
      <c r="H233" t="inlineStr"/>
      <c r="J233" t="n">
        <v>485.11</v>
      </c>
      <c r="K233" t="inlineStr"/>
      <c r="M233" t="inlineStr">
        <is>
          <t>TN</t>
        </is>
      </c>
      <c r="N233" t="inlineStr"/>
      <c r="P233" t="inlineStr">
        <is>
          <t>20220331</t>
        </is>
      </c>
      <c r="Q233" t="inlineStr">
        <is>
          <t>20250131</t>
        </is>
      </c>
    </row>
    <row r="234">
      <c r="A234" t="inlineStr">
        <is>
          <t>900000472DW70D07510188219</t>
        </is>
      </c>
      <c r="B234" t="inlineStr">
        <is>
          <t>900000472</t>
        </is>
      </c>
      <c r="C234" t="inlineStr">
        <is>
          <t>DW70</t>
        </is>
      </c>
      <c r="D234" t="inlineStr">
        <is>
          <t>D075</t>
        </is>
      </c>
      <c r="E234" t="inlineStr">
        <is>
          <t>4</t>
        </is>
      </c>
      <c r="F234" t="inlineStr">
        <is>
          <t>10188219</t>
        </is>
      </c>
      <c r="H234" t="inlineStr"/>
      <c r="J234" t="n">
        <v>650</v>
      </c>
      <c r="K234" t="inlineStr"/>
      <c r="M234" t="inlineStr">
        <is>
          <t>TN</t>
        </is>
      </c>
      <c r="N234" t="inlineStr"/>
      <c r="P234" t="inlineStr">
        <is>
          <t>20220331</t>
        </is>
      </c>
      <c r="Q234" t="inlineStr">
        <is>
          <t>20250131</t>
        </is>
      </c>
    </row>
    <row r="235">
      <c r="A235" t="inlineStr">
        <is>
          <t>900000472DW70D07510189170</t>
        </is>
      </c>
      <c r="B235" t="inlineStr">
        <is>
          <t>900000472</t>
        </is>
      </c>
      <c r="C235" t="inlineStr">
        <is>
          <t>DW70</t>
        </is>
      </c>
      <c r="D235" t="inlineStr">
        <is>
          <t>D075</t>
        </is>
      </c>
      <c r="E235" t="inlineStr">
        <is>
          <t>4</t>
        </is>
      </c>
      <c r="F235" t="inlineStr">
        <is>
          <t>10189170</t>
        </is>
      </c>
      <c r="H235" t="inlineStr"/>
      <c r="J235" t="n">
        <v>650</v>
      </c>
      <c r="K235" t="inlineStr"/>
      <c r="M235" t="inlineStr">
        <is>
          <t>TN</t>
        </is>
      </c>
      <c r="N235" t="inlineStr"/>
      <c r="P235" t="inlineStr">
        <is>
          <t>20220331</t>
        </is>
      </c>
      <c r="Q235" t="inlineStr">
        <is>
          <t>20250131</t>
        </is>
      </c>
    </row>
    <row r="236">
      <c r="A236" t="inlineStr">
        <is>
          <t>900000472DW70D07510190932</t>
        </is>
      </c>
      <c r="B236" t="inlineStr">
        <is>
          <t>900000472</t>
        </is>
      </c>
      <c r="C236" t="inlineStr">
        <is>
          <t>DW70</t>
        </is>
      </c>
      <c r="D236" t="inlineStr">
        <is>
          <t>D075</t>
        </is>
      </c>
      <c r="E236" t="inlineStr">
        <is>
          <t>4</t>
        </is>
      </c>
      <c r="F236" t="inlineStr">
        <is>
          <t>10190932</t>
        </is>
      </c>
      <c r="H236" t="inlineStr"/>
      <c r="J236" t="n">
        <v>650</v>
      </c>
      <c r="K236" t="inlineStr"/>
      <c r="M236" t="inlineStr">
        <is>
          <t>TN</t>
        </is>
      </c>
      <c r="N236" t="inlineStr"/>
      <c r="P236" t="inlineStr">
        <is>
          <t>20220331</t>
        </is>
      </c>
      <c r="Q236" t="inlineStr">
        <is>
          <t>20250131</t>
        </is>
      </c>
    </row>
    <row r="237">
      <c r="A237" t="inlineStr">
        <is>
          <t>900000472DW70D07710000635</t>
        </is>
      </c>
      <c r="B237" t="inlineStr">
        <is>
          <t>900000472</t>
        </is>
      </c>
      <c r="C237" t="inlineStr">
        <is>
          <t>DW70</t>
        </is>
      </c>
      <c r="D237" t="inlineStr">
        <is>
          <t>D077</t>
        </is>
      </c>
      <c r="E237" t="inlineStr">
        <is>
          <t>4</t>
        </is>
      </c>
      <c r="F237" t="inlineStr">
        <is>
          <t>10000635</t>
        </is>
      </c>
      <c r="H237" t="inlineStr"/>
      <c r="J237" t="n">
        <v>485.11</v>
      </c>
      <c r="K237" t="inlineStr"/>
      <c r="M237" t="inlineStr">
        <is>
          <t>TN</t>
        </is>
      </c>
      <c r="N237" t="inlineStr"/>
      <c r="P237" t="inlineStr">
        <is>
          <t>20220331</t>
        </is>
      </c>
      <c r="Q237" t="inlineStr">
        <is>
          <t>20250131</t>
        </is>
      </c>
    </row>
    <row r="238">
      <c r="A238" t="inlineStr">
        <is>
          <t>900000472DW70D07710000643</t>
        </is>
      </c>
      <c r="B238" t="inlineStr">
        <is>
          <t>900000472</t>
        </is>
      </c>
      <c r="C238" t="inlineStr">
        <is>
          <t>DW70</t>
        </is>
      </c>
      <c r="D238" t="inlineStr">
        <is>
          <t>D077</t>
        </is>
      </c>
      <c r="E238" t="inlineStr">
        <is>
          <t>4</t>
        </is>
      </c>
      <c r="F238" t="inlineStr">
        <is>
          <t>10000643</t>
        </is>
      </c>
      <c r="H238" t="inlineStr"/>
      <c r="J238" t="n">
        <v>485.11</v>
      </c>
      <c r="K238" t="inlineStr"/>
      <c r="M238" t="inlineStr">
        <is>
          <t>TN</t>
        </is>
      </c>
      <c r="N238" t="inlineStr"/>
      <c r="P238" t="inlineStr">
        <is>
          <t>20220331</t>
        </is>
      </c>
      <c r="Q238" t="inlineStr">
        <is>
          <t>20250131</t>
        </is>
      </c>
    </row>
    <row r="239">
      <c r="A239" t="inlineStr">
        <is>
          <t>900000472DW70D07710000655</t>
        </is>
      </c>
      <c r="B239" t="inlineStr">
        <is>
          <t>900000472</t>
        </is>
      </c>
      <c r="C239" t="inlineStr">
        <is>
          <t>DW70</t>
        </is>
      </c>
      <c r="D239" t="inlineStr">
        <is>
          <t>D077</t>
        </is>
      </c>
      <c r="E239" t="inlineStr">
        <is>
          <t>4</t>
        </is>
      </c>
      <c r="F239" t="inlineStr">
        <is>
          <t>10000655</t>
        </is>
      </c>
      <c r="H239" t="inlineStr"/>
      <c r="J239" t="n">
        <v>485.11</v>
      </c>
      <c r="K239" t="inlineStr"/>
      <c r="M239" t="inlineStr">
        <is>
          <t>TN</t>
        </is>
      </c>
      <c r="N239" t="inlineStr"/>
      <c r="P239" t="inlineStr">
        <is>
          <t>20220331</t>
        </is>
      </c>
      <c r="Q239" t="inlineStr">
        <is>
          <t>20250131</t>
        </is>
      </c>
    </row>
    <row r="240">
      <c r="A240" t="inlineStr">
        <is>
          <t>900000472DW70D07710188219</t>
        </is>
      </c>
      <c r="B240" t="inlineStr">
        <is>
          <t>900000472</t>
        </is>
      </c>
      <c r="C240" t="inlineStr">
        <is>
          <t>DW70</t>
        </is>
      </c>
      <c r="D240" t="inlineStr">
        <is>
          <t>D077</t>
        </is>
      </c>
      <c r="E240" t="inlineStr">
        <is>
          <t>4</t>
        </is>
      </c>
      <c r="F240" t="inlineStr">
        <is>
          <t>10188219</t>
        </is>
      </c>
      <c r="H240" t="inlineStr"/>
      <c r="J240" t="n">
        <v>650</v>
      </c>
      <c r="K240" t="inlineStr"/>
      <c r="M240" t="inlineStr">
        <is>
          <t>TN</t>
        </is>
      </c>
      <c r="N240" t="inlineStr"/>
      <c r="P240" t="inlineStr">
        <is>
          <t>20220331</t>
        </is>
      </c>
      <c r="Q240" t="inlineStr">
        <is>
          <t>20250131</t>
        </is>
      </c>
    </row>
    <row r="241">
      <c r="A241" t="inlineStr">
        <is>
          <t>900000472DW70D07710189170</t>
        </is>
      </c>
      <c r="B241" t="inlineStr">
        <is>
          <t>900000472</t>
        </is>
      </c>
      <c r="C241" t="inlineStr">
        <is>
          <t>DW70</t>
        </is>
      </c>
      <c r="D241" t="inlineStr">
        <is>
          <t>D077</t>
        </is>
      </c>
      <c r="E241" t="inlineStr">
        <is>
          <t>4</t>
        </is>
      </c>
      <c r="F241" t="inlineStr">
        <is>
          <t>10189170</t>
        </is>
      </c>
      <c r="H241" t="inlineStr"/>
      <c r="J241" t="n">
        <v>650</v>
      </c>
      <c r="K241" t="inlineStr"/>
      <c r="M241" t="inlineStr">
        <is>
          <t>TN</t>
        </is>
      </c>
      <c r="N241" t="inlineStr"/>
      <c r="P241" t="inlineStr">
        <is>
          <t>20220331</t>
        </is>
      </c>
      <c r="Q241" t="inlineStr">
        <is>
          <t>20250131</t>
        </is>
      </c>
    </row>
    <row r="242">
      <c r="A242" t="inlineStr">
        <is>
          <t>900000472DW70D07710190932</t>
        </is>
      </c>
      <c r="B242" t="inlineStr">
        <is>
          <t>900000472</t>
        </is>
      </c>
      <c r="C242" t="inlineStr">
        <is>
          <t>DW70</t>
        </is>
      </c>
      <c r="D242" t="inlineStr">
        <is>
          <t>D077</t>
        </is>
      </c>
      <c r="E242" t="inlineStr">
        <is>
          <t>4</t>
        </is>
      </c>
      <c r="F242" t="inlineStr">
        <is>
          <t>10190932</t>
        </is>
      </c>
      <c r="H242" t="inlineStr"/>
      <c r="J242" t="n">
        <v>650</v>
      </c>
      <c r="K242" t="inlineStr"/>
      <c r="M242" t="inlineStr">
        <is>
          <t>TN</t>
        </is>
      </c>
      <c r="N242" t="inlineStr"/>
      <c r="P242" t="inlineStr">
        <is>
          <t>20220331</t>
        </is>
      </c>
      <c r="Q242" t="inlineStr">
        <is>
          <t>20250131</t>
        </is>
      </c>
    </row>
    <row r="243">
      <c r="A243" t="inlineStr">
        <is>
          <t>900000472DW70D07910000635</t>
        </is>
      </c>
      <c r="B243" t="inlineStr">
        <is>
          <t>900000472</t>
        </is>
      </c>
      <c r="C243" t="inlineStr">
        <is>
          <t>DW70</t>
        </is>
      </c>
      <c r="D243" t="inlineStr">
        <is>
          <t>D079</t>
        </is>
      </c>
      <c r="E243" t="inlineStr">
        <is>
          <t>4</t>
        </is>
      </c>
      <c r="F243" t="inlineStr">
        <is>
          <t>10000635</t>
        </is>
      </c>
      <c r="H243" t="inlineStr"/>
      <c r="J243" t="n">
        <v>368.42</v>
      </c>
      <c r="K243" t="inlineStr"/>
      <c r="M243" t="inlineStr">
        <is>
          <t>TN</t>
        </is>
      </c>
      <c r="N243" t="inlineStr"/>
      <c r="P243" t="inlineStr">
        <is>
          <t>20220331</t>
        </is>
      </c>
      <c r="Q243" t="inlineStr">
        <is>
          <t>20250131</t>
        </is>
      </c>
    </row>
    <row r="244">
      <c r="A244" t="inlineStr">
        <is>
          <t>900000472DW70D07910000643</t>
        </is>
      </c>
      <c r="B244" t="inlineStr">
        <is>
          <t>900000472</t>
        </is>
      </c>
      <c r="C244" t="inlineStr">
        <is>
          <t>DW70</t>
        </is>
      </c>
      <c r="D244" t="inlineStr">
        <is>
          <t>D079</t>
        </is>
      </c>
      <c r="E244" t="inlineStr">
        <is>
          <t>4</t>
        </is>
      </c>
      <c r="F244" t="inlineStr">
        <is>
          <t>10000643</t>
        </is>
      </c>
      <c r="H244" t="inlineStr"/>
      <c r="J244" t="n">
        <v>368.42</v>
      </c>
      <c r="K244" t="inlineStr"/>
      <c r="M244" t="inlineStr">
        <is>
          <t>TN</t>
        </is>
      </c>
      <c r="N244" t="inlineStr"/>
      <c r="P244" t="inlineStr">
        <is>
          <t>20220331</t>
        </is>
      </c>
      <c r="Q244" t="inlineStr">
        <is>
          <t>20250131</t>
        </is>
      </c>
    </row>
    <row r="245">
      <c r="A245" t="inlineStr">
        <is>
          <t>900000472DW70D07910000655</t>
        </is>
      </c>
      <c r="B245" t="inlineStr">
        <is>
          <t>900000472</t>
        </is>
      </c>
      <c r="C245" t="inlineStr">
        <is>
          <t>DW70</t>
        </is>
      </c>
      <c r="D245" t="inlineStr">
        <is>
          <t>D079</t>
        </is>
      </c>
      <c r="E245" t="inlineStr">
        <is>
          <t>4</t>
        </is>
      </c>
      <c r="F245" t="inlineStr">
        <is>
          <t>10000655</t>
        </is>
      </c>
      <c r="H245" t="inlineStr"/>
      <c r="J245" t="n">
        <v>368.42</v>
      </c>
      <c r="K245" t="inlineStr"/>
      <c r="M245" t="inlineStr">
        <is>
          <t>TN</t>
        </is>
      </c>
      <c r="N245" t="inlineStr"/>
      <c r="P245" t="inlineStr">
        <is>
          <t>20220331</t>
        </is>
      </c>
      <c r="Q245" t="inlineStr">
        <is>
          <t>20250131</t>
        </is>
      </c>
    </row>
    <row r="246">
      <c r="A246" t="inlineStr">
        <is>
          <t>900000472DW70D07910001456</t>
        </is>
      </c>
      <c r="B246" t="inlineStr">
        <is>
          <t>900000472</t>
        </is>
      </c>
      <c r="C246" t="inlineStr">
        <is>
          <t>DW70</t>
        </is>
      </c>
      <c r="D246" t="inlineStr">
        <is>
          <t>D079</t>
        </is>
      </c>
      <c r="E246" t="inlineStr">
        <is>
          <t>4</t>
        </is>
      </c>
      <c r="F246" t="inlineStr">
        <is>
          <t>10001456</t>
        </is>
      </c>
      <c r="H246" t="inlineStr"/>
      <c r="J246" t="n">
        <v>73.91</v>
      </c>
      <c r="K246" t="inlineStr"/>
      <c r="M246" t="inlineStr">
        <is>
          <t>TN</t>
        </is>
      </c>
      <c r="N246" t="inlineStr"/>
      <c r="P246" t="inlineStr">
        <is>
          <t>20220331</t>
        </is>
      </c>
      <c r="Q246" t="inlineStr">
        <is>
          <t>20250131</t>
        </is>
      </c>
    </row>
    <row r="247">
      <c r="A247" t="inlineStr">
        <is>
          <t>900000472DW70D07910188219</t>
        </is>
      </c>
      <c r="B247" t="inlineStr">
        <is>
          <t>900000472</t>
        </is>
      </c>
      <c r="C247" t="inlineStr">
        <is>
          <t>DW70</t>
        </is>
      </c>
      <c r="D247" t="inlineStr">
        <is>
          <t>D079</t>
        </is>
      </c>
      <c r="E247" t="inlineStr">
        <is>
          <t>4</t>
        </is>
      </c>
      <c r="F247" t="inlineStr">
        <is>
          <t>10188219</t>
        </is>
      </c>
      <c r="H247" t="inlineStr"/>
      <c r="J247" t="n">
        <v>650</v>
      </c>
      <c r="K247" t="inlineStr"/>
      <c r="M247" t="inlineStr">
        <is>
          <t>TN</t>
        </is>
      </c>
      <c r="N247" t="inlineStr"/>
      <c r="P247" t="inlineStr">
        <is>
          <t>20220331</t>
        </is>
      </c>
      <c r="Q247" t="inlineStr">
        <is>
          <t>20250131</t>
        </is>
      </c>
    </row>
    <row r="248">
      <c r="A248" t="inlineStr">
        <is>
          <t>900000472DW70D07910189170</t>
        </is>
      </c>
      <c r="B248" t="inlineStr">
        <is>
          <t>900000472</t>
        </is>
      </c>
      <c r="C248" t="inlineStr">
        <is>
          <t>DW70</t>
        </is>
      </c>
      <c r="D248" t="inlineStr">
        <is>
          <t>D079</t>
        </is>
      </c>
      <c r="E248" t="inlineStr">
        <is>
          <t>4</t>
        </is>
      </c>
      <c r="F248" t="inlineStr">
        <is>
          <t>10189170</t>
        </is>
      </c>
      <c r="H248" t="inlineStr"/>
      <c r="J248" t="n">
        <v>650</v>
      </c>
      <c r="K248" t="inlineStr"/>
      <c r="M248" t="inlineStr">
        <is>
          <t>TN</t>
        </is>
      </c>
      <c r="N248" t="inlineStr"/>
      <c r="P248" t="inlineStr">
        <is>
          <t>20220331</t>
        </is>
      </c>
      <c r="Q248" t="inlineStr">
        <is>
          <t>20250131</t>
        </is>
      </c>
    </row>
    <row r="249">
      <c r="A249" t="inlineStr">
        <is>
          <t>900000472DW70D07910190932</t>
        </is>
      </c>
      <c r="B249" t="inlineStr">
        <is>
          <t>900000472</t>
        </is>
      </c>
      <c r="C249" t="inlineStr">
        <is>
          <t>DW70</t>
        </is>
      </c>
      <c r="D249" t="inlineStr">
        <is>
          <t>D079</t>
        </is>
      </c>
      <c r="E249" t="inlineStr">
        <is>
          <t>4</t>
        </is>
      </c>
      <c r="F249" t="inlineStr">
        <is>
          <t>10190932</t>
        </is>
      </c>
      <c r="H249" t="inlineStr"/>
      <c r="J249" t="n">
        <v>650</v>
      </c>
      <c r="K249" t="inlineStr"/>
      <c r="M249" t="inlineStr">
        <is>
          <t>TN</t>
        </is>
      </c>
      <c r="N249" t="inlineStr"/>
      <c r="P249" t="inlineStr">
        <is>
          <t>20220331</t>
        </is>
      </c>
      <c r="Q249" t="inlineStr">
        <is>
          <t>20250131</t>
        </is>
      </c>
    </row>
    <row r="250">
      <c r="A250" t="inlineStr">
        <is>
          <t>900000472DW70D08010000635</t>
        </is>
      </c>
      <c r="B250" t="inlineStr">
        <is>
          <t>900000472</t>
        </is>
      </c>
      <c r="C250" t="inlineStr">
        <is>
          <t>DW70</t>
        </is>
      </c>
      <c r="D250" t="inlineStr">
        <is>
          <t>D080</t>
        </is>
      </c>
      <c r="E250" t="inlineStr">
        <is>
          <t>4</t>
        </is>
      </c>
      <c r="F250" t="inlineStr">
        <is>
          <t>10000635</t>
        </is>
      </c>
      <c r="H250" t="inlineStr"/>
      <c r="J250" t="n">
        <v>485.11</v>
      </c>
      <c r="K250" t="inlineStr"/>
      <c r="M250" t="inlineStr">
        <is>
          <t>TN</t>
        </is>
      </c>
      <c r="N250" t="inlineStr"/>
      <c r="P250" t="inlineStr">
        <is>
          <t>20220331</t>
        </is>
      </c>
      <c r="Q250" t="inlineStr">
        <is>
          <t>20250131</t>
        </is>
      </c>
    </row>
    <row r="251">
      <c r="A251" t="inlineStr">
        <is>
          <t>900000472DW70D08010000643</t>
        </is>
      </c>
      <c r="B251" t="inlineStr">
        <is>
          <t>900000472</t>
        </is>
      </c>
      <c r="C251" t="inlineStr">
        <is>
          <t>DW70</t>
        </is>
      </c>
      <c r="D251" t="inlineStr">
        <is>
          <t>D080</t>
        </is>
      </c>
      <c r="E251" t="inlineStr">
        <is>
          <t>4</t>
        </is>
      </c>
      <c r="F251" t="inlineStr">
        <is>
          <t>10000643</t>
        </is>
      </c>
      <c r="H251" t="inlineStr"/>
      <c r="J251" t="n">
        <v>485.11</v>
      </c>
      <c r="K251" t="inlineStr"/>
      <c r="M251" t="inlineStr">
        <is>
          <t>TN</t>
        </is>
      </c>
      <c r="N251" t="inlineStr"/>
      <c r="P251" t="inlineStr">
        <is>
          <t>20220331</t>
        </is>
      </c>
      <c r="Q251" t="inlineStr">
        <is>
          <t>20250131</t>
        </is>
      </c>
    </row>
    <row r="252">
      <c r="A252" t="inlineStr">
        <is>
          <t>900000472DW70D08010000655</t>
        </is>
      </c>
      <c r="B252" t="inlineStr">
        <is>
          <t>900000472</t>
        </is>
      </c>
      <c r="C252" t="inlineStr">
        <is>
          <t>DW70</t>
        </is>
      </c>
      <c r="D252" t="inlineStr">
        <is>
          <t>D080</t>
        </is>
      </c>
      <c r="E252" t="inlineStr">
        <is>
          <t>4</t>
        </is>
      </c>
      <c r="F252" t="inlineStr">
        <is>
          <t>10000655</t>
        </is>
      </c>
      <c r="H252" t="inlineStr"/>
      <c r="J252" t="n">
        <v>485.11</v>
      </c>
      <c r="K252" t="inlineStr"/>
      <c r="M252" t="inlineStr">
        <is>
          <t>TN</t>
        </is>
      </c>
      <c r="N252" t="inlineStr"/>
      <c r="P252" t="inlineStr">
        <is>
          <t>20220331</t>
        </is>
      </c>
      <c r="Q252" t="inlineStr">
        <is>
          <t>20250131</t>
        </is>
      </c>
    </row>
    <row r="253">
      <c r="A253" t="inlineStr">
        <is>
          <t>900000472DW70D08010004432</t>
        </is>
      </c>
      <c r="B253" t="inlineStr">
        <is>
          <t>900000472</t>
        </is>
      </c>
      <c r="C253" t="inlineStr">
        <is>
          <t>DW70</t>
        </is>
      </c>
      <c r="D253" t="inlineStr">
        <is>
          <t>D080</t>
        </is>
      </c>
      <c r="E253" t="inlineStr">
        <is>
          <t>4</t>
        </is>
      </c>
      <c r="F253" t="inlineStr">
        <is>
          <t>10004432</t>
        </is>
      </c>
      <c r="H253" t="inlineStr"/>
      <c r="J253" t="n">
        <v>2600</v>
      </c>
      <c r="K253" t="inlineStr"/>
      <c r="M253" t="inlineStr">
        <is>
          <t>TN</t>
        </is>
      </c>
      <c r="N253" t="inlineStr"/>
      <c r="P253" t="inlineStr">
        <is>
          <t>20220331</t>
        </is>
      </c>
      <c r="Q253" t="inlineStr">
        <is>
          <t>20250131</t>
        </is>
      </c>
    </row>
    <row r="254">
      <c r="A254" t="inlineStr">
        <is>
          <t>900000472DW70D08010188219</t>
        </is>
      </c>
      <c r="B254" t="inlineStr">
        <is>
          <t>900000472</t>
        </is>
      </c>
      <c r="C254" t="inlineStr">
        <is>
          <t>DW70</t>
        </is>
      </c>
      <c r="D254" t="inlineStr">
        <is>
          <t>D080</t>
        </is>
      </c>
      <c r="E254" t="inlineStr">
        <is>
          <t>4</t>
        </is>
      </c>
      <c r="F254" t="inlineStr">
        <is>
          <t>10188219</t>
        </is>
      </c>
      <c r="H254" t="inlineStr"/>
      <c r="J254" t="n">
        <v>650</v>
      </c>
      <c r="K254" t="inlineStr"/>
      <c r="M254" t="inlineStr">
        <is>
          <t>TN</t>
        </is>
      </c>
      <c r="N254" t="inlineStr"/>
      <c r="P254" t="inlineStr">
        <is>
          <t>20220331</t>
        </is>
      </c>
      <c r="Q254" t="inlineStr">
        <is>
          <t>20250131</t>
        </is>
      </c>
    </row>
    <row r="255">
      <c r="A255" t="inlineStr">
        <is>
          <t>900000472DW70D08010189170</t>
        </is>
      </c>
      <c r="B255" t="inlineStr">
        <is>
          <t>900000472</t>
        </is>
      </c>
      <c r="C255" t="inlineStr">
        <is>
          <t>DW70</t>
        </is>
      </c>
      <c r="D255" t="inlineStr">
        <is>
          <t>D080</t>
        </is>
      </c>
      <c r="E255" t="inlineStr">
        <is>
          <t>4</t>
        </is>
      </c>
      <c r="F255" t="inlineStr">
        <is>
          <t>10189170</t>
        </is>
      </c>
      <c r="H255" t="inlineStr"/>
      <c r="J255" t="n">
        <v>650</v>
      </c>
      <c r="K255" t="inlineStr"/>
      <c r="M255" t="inlineStr">
        <is>
          <t>TN</t>
        </is>
      </c>
      <c r="N255" t="inlineStr"/>
      <c r="P255" t="inlineStr">
        <is>
          <t>20220331</t>
        </is>
      </c>
      <c r="Q255" t="inlineStr">
        <is>
          <t>20250131</t>
        </is>
      </c>
    </row>
    <row r="256">
      <c r="A256" t="inlineStr">
        <is>
          <t>900000472DW70D08010190932</t>
        </is>
      </c>
      <c r="B256" t="inlineStr">
        <is>
          <t>900000472</t>
        </is>
      </c>
      <c r="C256" t="inlineStr">
        <is>
          <t>DW70</t>
        </is>
      </c>
      <c r="D256" t="inlineStr">
        <is>
          <t>D080</t>
        </is>
      </c>
      <c r="E256" t="inlineStr">
        <is>
          <t>4</t>
        </is>
      </c>
      <c r="F256" t="inlineStr">
        <is>
          <t>10190932</t>
        </is>
      </c>
      <c r="H256" t="inlineStr"/>
      <c r="J256" t="n">
        <v>650</v>
      </c>
      <c r="K256" t="inlineStr"/>
      <c r="M256" t="inlineStr">
        <is>
          <t>TN</t>
        </is>
      </c>
      <c r="N256" t="inlineStr"/>
      <c r="P256" t="inlineStr">
        <is>
          <t>20220331</t>
        </is>
      </c>
      <c r="Q256" t="inlineStr">
        <is>
          <t>20250131</t>
        </is>
      </c>
    </row>
    <row r="257">
      <c r="A257" t="inlineStr">
        <is>
          <t>900000472DW70D08110000635</t>
        </is>
      </c>
      <c r="B257" t="inlineStr">
        <is>
          <t>900000472</t>
        </is>
      </c>
      <c r="C257" t="inlineStr">
        <is>
          <t>DW70</t>
        </is>
      </c>
      <c r="D257" t="inlineStr">
        <is>
          <t>D081</t>
        </is>
      </c>
      <c r="E257" t="inlineStr">
        <is>
          <t>4</t>
        </is>
      </c>
      <c r="F257" t="inlineStr">
        <is>
          <t>10000635</t>
        </is>
      </c>
      <c r="H257" t="inlineStr"/>
      <c r="J257" t="n">
        <v>571.0700000000001</v>
      </c>
      <c r="K257" t="inlineStr"/>
      <c r="M257" t="inlineStr">
        <is>
          <t>TN</t>
        </is>
      </c>
      <c r="N257" t="inlineStr"/>
      <c r="P257" t="inlineStr">
        <is>
          <t>20250401</t>
        </is>
      </c>
      <c r="Q257" t="inlineStr">
        <is>
          <t>20251031</t>
        </is>
      </c>
    </row>
    <row r="258">
      <c r="A258" t="inlineStr">
        <is>
          <t>900000472DW70D08110000643</t>
        </is>
      </c>
      <c r="B258" t="inlineStr">
        <is>
          <t>900000472</t>
        </is>
      </c>
      <c r="C258" t="inlineStr">
        <is>
          <t>DW70</t>
        </is>
      </c>
      <c r="D258" t="inlineStr">
        <is>
          <t>D081</t>
        </is>
      </c>
      <c r="E258" t="inlineStr">
        <is>
          <t>4</t>
        </is>
      </c>
      <c r="F258" t="inlineStr">
        <is>
          <t>10000643</t>
        </is>
      </c>
      <c r="H258" t="inlineStr"/>
      <c r="J258" t="n">
        <v>571.0700000000001</v>
      </c>
      <c r="K258" t="inlineStr"/>
      <c r="M258" t="inlineStr">
        <is>
          <t>TN</t>
        </is>
      </c>
      <c r="N258" t="inlineStr"/>
      <c r="P258" t="inlineStr">
        <is>
          <t>20250401</t>
        </is>
      </c>
      <c r="Q258" t="inlineStr">
        <is>
          <t>20251031</t>
        </is>
      </c>
    </row>
    <row r="259">
      <c r="A259" t="inlineStr">
        <is>
          <t>900000472DW70D08110000655</t>
        </is>
      </c>
      <c r="B259" t="inlineStr">
        <is>
          <t>900000472</t>
        </is>
      </c>
      <c r="C259" t="inlineStr">
        <is>
          <t>DW70</t>
        </is>
      </c>
      <c r="D259" t="inlineStr">
        <is>
          <t>D081</t>
        </is>
      </c>
      <c r="E259" t="inlineStr">
        <is>
          <t>4</t>
        </is>
      </c>
      <c r="F259" t="inlineStr">
        <is>
          <t>10000655</t>
        </is>
      </c>
      <c r="H259" t="inlineStr"/>
      <c r="J259" t="n">
        <v>571.0700000000001</v>
      </c>
      <c r="K259" t="inlineStr"/>
      <c r="M259" t="inlineStr">
        <is>
          <t>TN</t>
        </is>
      </c>
      <c r="N259" t="inlineStr"/>
      <c r="P259" t="inlineStr">
        <is>
          <t>20250401</t>
        </is>
      </c>
      <c r="Q259" t="inlineStr">
        <is>
          <t>20251031</t>
        </is>
      </c>
    </row>
    <row r="260">
      <c r="A260" t="inlineStr">
        <is>
          <t>900000472DW70D08110004432</t>
        </is>
      </c>
      <c r="B260" t="inlineStr">
        <is>
          <t>900000472</t>
        </is>
      </c>
      <c r="C260" t="inlineStr">
        <is>
          <t>DW70</t>
        </is>
      </c>
      <c r="D260" t="inlineStr">
        <is>
          <t>D081</t>
        </is>
      </c>
      <c r="E260" t="inlineStr">
        <is>
          <t>4</t>
        </is>
      </c>
      <c r="F260" t="inlineStr">
        <is>
          <t>10004432</t>
        </is>
      </c>
      <c r="H260" t="inlineStr"/>
      <c r="J260" t="n">
        <v>2600</v>
      </c>
      <c r="K260" t="inlineStr"/>
      <c r="M260" t="inlineStr">
        <is>
          <t>TN</t>
        </is>
      </c>
      <c r="N260" t="inlineStr"/>
      <c r="P260" t="inlineStr">
        <is>
          <t>20220331</t>
        </is>
      </c>
      <c r="Q260" t="inlineStr">
        <is>
          <t>20250131</t>
        </is>
      </c>
    </row>
    <row r="261">
      <c r="A261" t="inlineStr">
        <is>
          <t>900000472DW70D08110188219</t>
        </is>
      </c>
      <c r="B261" t="inlineStr">
        <is>
          <t>900000472</t>
        </is>
      </c>
      <c r="C261" t="inlineStr">
        <is>
          <t>DW70</t>
        </is>
      </c>
      <c r="D261" t="inlineStr">
        <is>
          <t>D081</t>
        </is>
      </c>
      <c r="E261" t="inlineStr">
        <is>
          <t>4</t>
        </is>
      </c>
      <c r="F261" t="inlineStr">
        <is>
          <t>10188219</t>
        </is>
      </c>
      <c r="H261" t="inlineStr"/>
      <c r="J261" t="n">
        <v>650</v>
      </c>
      <c r="K261" t="inlineStr"/>
      <c r="M261" t="inlineStr">
        <is>
          <t>TN</t>
        </is>
      </c>
      <c r="N261" t="inlineStr"/>
      <c r="P261" t="inlineStr">
        <is>
          <t>20220331</t>
        </is>
      </c>
      <c r="Q261" t="inlineStr">
        <is>
          <t>20250131</t>
        </is>
      </c>
    </row>
    <row r="262">
      <c r="A262" t="inlineStr">
        <is>
          <t>900000472DW70D08110189170</t>
        </is>
      </c>
      <c r="B262" t="inlineStr">
        <is>
          <t>900000472</t>
        </is>
      </c>
      <c r="C262" t="inlineStr">
        <is>
          <t>DW70</t>
        </is>
      </c>
      <c r="D262" t="inlineStr">
        <is>
          <t>D081</t>
        </is>
      </c>
      <c r="E262" t="inlineStr">
        <is>
          <t>4</t>
        </is>
      </c>
      <c r="F262" t="inlineStr">
        <is>
          <t>10189170</t>
        </is>
      </c>
      <c r="H262" t="inlineStr"/>
      <c r="J262" t="n">
        <v>650</v>
      </c>
      <c r="K262" t="inlineStr"/>
      <c r="M262" t="inlineStr">
        <is>
          <t>TN</t>
        </is>
      </c>
      <c r="N262" t="inlineStr"/>
      <c r="P262" t="inlineStr">
        <is>
          <t>20220331</t>
        </is>
      </c>
      <c r="Q262" t="inlineStr">
        <is>
          <t>20250131</t>
        </is>
      </c>
    </row>
    <row r="263">
      <c r="A263" t="inlineStr">
        <is>
          <t>900000472DW70D08110190932</t>
        </is>
      </c>
      <c r="B263" t="inlineStr">
        <is>
          <t>900000472</t>
        </is>
      </c>
      <c r="C263" t="inlineStr">
        <is>
          <t>DW70</t>
        </is>
      </c>
      <c r="D263" t="inlineStr">
        <is>
          <t>D081</t>
        </is>
      </c>
      <c r="E263" t="inlineStr">
        <is>
          <t>4</t>
        </is>
      </c>
      <c r="F263" t="inlineStr">
        <is>
          <t>10190932</t>
        </is>
      </c>
      <c r="H263" t="inlineStr"/>
      <c r="J263" t="n">
        <v>650</v>
      </c>
      <c r="K263" t="inlineStr"/>
      <c r="M263" t="inlineStr">
        <is>
          <t>TN</t>
        </is>
      </c>
      <c r="N263" t="inlineStr"/>
      <c r="P263" t="inlineStr">
        <is>
          <t>20220331</t>
        </is>
      </c>
      <c r="Q263" t="inlineStr">
        <is>
          <t>20250131</t>
        </is>
      </c>
    </row>
    <row r="264">
      <c r="A264" t="inlineStr">
        <is>
          <t>900000472DW70D08310000635</t>
        </is>
      </c>
      <c r="B264" t="inlineStr">
        <is>
          <t>900000472</t>
        </is>
      </c>
      <c r="C264" t="inlineStr">
        <is>
          <t>DW70</t>
        </is>
      </c>
      <c r="D264" t="inlineStr">
        <is>
          <t>D083</t>
        </is>
      </c>
      <c r="E264" t="inlineStr">
        <is>
          <t>4</t>
        </is>
      </c>
      <c r="F264" t="inlineStr">
        <is>
          <t>10000635</t>
        </is>
      </c>
      <c r="H264" t="inlineStr"/>
      <c r="J264" t="n">
        <v>605.33</v>
      </c>
      <c r="K264" t="inlineStr"/>
      <c r="M264" t="inlineStr">
        <is>
          <t>TN</t>
        </is>
      </c>
      <c r="N264" t="inlineStr"/>
      <c r="P264" t="inlineStr">
        <is>
          <t>20260301</t>
        </is>
      </c>
      <c r="Q264" t="inlineStr">
        <is>
          <t>99991231</t>
        </is>
      </c>
    </row>
    <row r="265">
      <c r="A265" t="inlineStr">
        <is>
          <t>900000472DW70D08310000643</t>
        </is>
      </c>
      <c r="B265" t="inlineStr">
        <is>
          <t>900000472</t>
        </is>
      </c>
      <c r="C265" t="inlineStr">
        <is>
          <t>DW70</t>
        </is>
      </c>
      <c r="D265" t="inlineStr">
        <is>
          <t>D083</t>
        </is>
      </c>
      <c r="E265" t="inlineStr">
        <is>
          <t>4</t>
        </is>
      </c>
      <c r="F265" t="inlineStr">
        <is>
          <t>10000643</t>
        </is>
      </c>
      <c r="H265" t="inlineStr"/>
      <c r="J265" t="n">
        <v>605.33</v>
      </c>
      <c r="K265" t="inlineStr"/>
      <c r="M265" t="inlineStr">
        <is>
          <t>TN</t>
        </is>
      </c>
      <c r="N265" t="inlineStr"/>
      <c r="P265" t="inlineStr">
        <is>
          <t>20260301</t>
        </is>
      </c>
      <c r="Q265" t="inlineStr">
        <is>
          <t>99991231</t>
        </is>
      </c>
    </row>
    <row r="266">
      <c r="A266" t="inlineStr">
        <is>
          <t>900000472DW70D08310000655</t>
        </is>
      </c>
      <c r="B266" t="inlineStr">
        <is>
          <t>900000472</t>
        </is>
      </c>
      <c r="C266" t="inlineStr">
        <is>
          <t>DW70</t>
        </is>
      </c>
      <c r="D266" t="inlineStr">
        <is>
          <t>D083</t>
        </is>
      </c>
      <c r="E266" t="inlineStr">
        <is>
          <t>4</t>
        </is>
      </c>
      <c r="F266" t="inlineStr">
        <is>
          <t>10000655</t>
        </is>
      </c>
      <c r="H266" t="inlineStr"/>
      <c r="J266" t="n">
        <v>605.33</v>
      </c>
      <c r="K266" t="inlineStr"/>
      <c r="M266" t="inlineStr">
        <is>
          <t>TN</t>
        </is>
      </c>
      <c r="N266" t="inlineStr"/>
      <c r="P266" t="inlineStr">
        <is>
          <t>20260301</t>
        </is>
      </c>
      <c r="Q266" t="inlineStr">
        <is>
          <t>99991231</t>
        </is>
      </c>
    </row>
    <row r="267">
      <c r="A267" t="inlineStr">
        <is>
          <t>900000472DW70D08310004432</t>
        </is>
      </c>
      <c r="B267" t="inlineStr">
        <is>
          <t>900000472</t>
        </is>
      </c>
      <c r="C267" t="inlineStr">
        <is>
          <t>DW70</t>
        </is>
      </c>
      <c r="D267" t="inlineStr">
        <is>
          <t>D083</t>
        </is>
      </c>
      <c r="E267" t="inlineStr">
        <is>
          <t>4</t>
        </is>
      </c>
      <c r="F267" t="inlineStr">
        <is>
          <t>10004432</t>
        </is>
      </c>
      <c r="H267" t="inlineStr"/>
      <c r="J267" t="n">
        <v>2000</v>
      </c>
      <c r="K267" t="inlineStr"/>
      <c r="M267" t="inlineStr">
        <is>
          <t>TN</t>
        </is>
      </c>
      <c r="N267" t="inlineStr"/>
      <c r="P267" t="inlineStr">
        <is>
          <t>20250401</t>
        </is>
      </c>
      <c r="Q267" t="inlineStr">
        <is>
          <t>99991231</t>
        </is>
      </c>
    </row>
    <row r="268">
      <c r="A268" t="inlineStr">
        <is>
          <t>900000472DW70D08310188219</t>
        </is>
      </c>
      <c r="B268" t="inlineStr">
        <is>
          <t>900000472</t>
        </is>
      </c>
      <c r="C268" t="inlineStr">
        <is>
          <t>DW70</t>
        </is>
      </c>
      <c r="D268" t="inlineStr">
        <is>
          <t>D083</t>
        </is>
      </c>
      <c r="E268" t="inlineStr">
        <is>
          <t>4</t>
        </is>
      </c>
      <c r="F268" t="inlineStr">
        <is>
          <t>10188219</t>
        </is>
      </c>
      <c r="H268" t="inlineStr"/>
      <c r="J268" t="n">
        <v>650</v>
      </c>
      <c r="K268" t="inlineStr"/>
      <c r="M268" t="inlineStr">
        <is>
          <t>TN</t>
        </is>
      </c>
      <c r="N268" t="inlineStr"/>
      <c r="P268" t="inlineStr">
        <is>
          <t>20220331</t>
        </is>
      </c>
      <c r="Q268" t="inlineStr">
        <is>
          <t>20250131</t>
        </is>
      </c>
    </row>
    <row r="269">
      <c r="A269" t="inlineStr">
        <is>
          <t>900000472DW70D08310189170</t>
        </is>
      </c>
      <c r="B269" t="inlineStr">
        <is>
          <t>900000472</t>
        </is>
      </c>
      <c r="C269" t="inlineStr">
        <is>
          <t>DW70</t>
        </is>
      </c>
      <c r="D269" t="inlineStr">
        <is>
          <t>D083</t>
        </is>
      </c>
      <c r="E269" t="inlineStr">
        <is>
          <t>4</t>
        </is>
      </c>
      <c r="F269" t="inlineStr">
        <is>
          <t>10189170</t>
        </is>
      </c>
      <c r="H269" t="inlineStr"/>
      <c r="J269" t="n">
        <v>650</v>
      </c>
      <c r="K269" t="inlineStr"/>
      <c r="M269" t="inlineStr">
        <is>
          <t>TN</t>
        </is>
      </c>
      <c r="N269" t="inlineStr"/>
      <c r="P269" t="inlineStr">
        <is>
          <t>20220331</t>
        </is>
      </c>
      <c r="Q269" t="inlineStr">
        <is>
          <t>20250131</t>
        </is>
      </c>
    </row>
    <row r="270">
      <c r="A270" t="inlineStr">
        <is>
          <t>900000472DW70D08310190932</t>
        </is>
      </c>
      <c r="B270" t="inlineStr">
        <is>
          <t>900000472</t>
        </is>
      </c>
      <c r="C270" t="inlineStr">
        <is>
          <t>DW70</t>
        </is>
      </c>
      <c r="D270" t="inlineStr">
        <is>
          <t>D083</t>
        </is>
      </c>
      <c r="E270" t="inlineStr">
        <is>
          <t>4</t>
        </is>
      </c>
      <c r="F270" t="inlineStr">
        <is>
          <t>10190932</t>
        </is>
      </c>
      <c r="H270" t="inlineStr"/>
      <c r="J270" t="n">
        <v>650</v>
      </c>
      <c r="K270" t="inlineStr"/>
      <c r="M270" t="inlineStr">
        <is>
          <t>TN</t>
        </is>
      </c>
      <c r="N270" t="inlineStr"/>
      <c r="P270" t="inlineStr">
        <is>
          <t>20220331</t>
        </is>
      </c>
      <c r="Q270" t="inlineStr">
        <is>
          <t>20250131</t>
        </is>
      </c>
    </row>
    <row r="271">
      <c r="A271" t="inlineStr">
        <is>
          <t>900000472DW70D08310211427</t>
        </is>
      </c>
      <c r="B271" t="inlineStr">
        <is>
          <t>900000472</t>
        </is>
      </c>
      <c r="C271" t="inlineStr">
        <is>
          <t>DW70</t>
        </is>
      </c>
      <c r="D271" t="inlineStr">
        <is>
          <t>D083</t>
        </is>
      </c>
      <c r="E271" t="inlineStr">
        <is>
          <t>4</t>
        </is>
      </c>
      <c r="F271" t="inlineStr">
        <is>
          <t>10211427</t>
        </is>
      </c>
      <c r="H271" t="inlineStr"/>
      <c r="J271" t="n">
        <v>2000</v>
      </c>
      <c r="K271" t="inlineStr"/>
      <c r="M271" t="inlineStr">
        <is>
          <t>TN</t>
        </is>
      </c>
      <c r="N271" t="inlineStr"/>
      <c r="P271" t="inlineStr">
        <is>
          <t>20250401</t>
        </is>
      </c>
      <c r="Q271" t="inlineStr">
        <is>
          <t>99991231</t>
        </is>
      </c>
    </row>
    <row r="272">
      <c r="A272" t="inlineStr">
        <is>
          <t>900000472DW70D08410000635</t>
        </is>
      </c>
      <c r="B272" t="inlineStr">
        <is>
          <t>900000472</t>
        </is>
      </c>
      <c r="C272" t="inlineStr">
        <is>
          <t>DW70</t>
        </is>
      </c>
      <c r="D272" t="inlineStr">
        <is>
          <t>D084</t>
        </is>
      </c>
      <c r="E272" t="inlineStr">
        <is>
          <t>4</t>
        </is>
      </c>
      <c r="F272" t="inlineStr">
        <is>
          <t>10000635</t>
        </is>
      </c>
      <c r="H272" t="inlineStr"/>
      <c r="J272" t="n">
        <v>528.77</v>
      </c>
      <c r="K272" t="inlineStr"/>
      <c r="M272" t="inlineStr">
        <is>
          <t>TN</t>
        </is>
      </c>
      <c r="N272" t="inlineStr"/>
      <c r="P272" t="inlineStr">
        <is>
          <t>20250401</t>
        </is>
      </c>
      <c r="Q272" t="inlineStr">
        <is>
          <t>20251031</t>
        </is>
      </c>
    </row>
    <row r="273">
      <c r="A273" t="inlineStr">
        <is>
          <t>900000472DW70D08410000643</t>
        </is>
      </c>
      <c r="B273" t="inlineStr">
        <is>
          <t>900000472</t>
        </is>
      </c>
      <c r="C273" t="inlineStr">
        <is>
          <t>DW70</t>
        </is>
      </c>
      <c r="D273" t="inlineStr">
        <is>
          <t>D084</t>
        </is>
      </c>
      <c r="E273" t="inlineStr">
        <is>
          <t>4</t>
        </is>
      </c>
      <c r="F273" t="inlineStr">
        <is>
          <t>10000643</t>
        </is>
      </c>
      <c r="H273" t="inlineStr"/>
      <c r="J273" t="n">
        <v>528.77</v>
      </c>
      <c r="K273" t="inlineStr"/>
      <c r="M273" t="inlineStr">
        <is>
          <t>TN</t>
        </is>
      </c>
      <c r="N273" t="inlineStr"/>
      <c r="P273" t="inlineStr">
        <is>
          <t>20250401</t>
        </is>
      </c>
      <c r="Q273" t="inlineStr">
        <is>
          <t>20251031</t>
        </is>
      </c>
    </row>
    <row r="274">
      <c r="A274" t="inlineStr">
        <is>
          <t>900000472DW70D08410000655</t>
        </is>
      </c>
      <c r="B274" t="inlineStr">
        <is>
          <t>900000472</t>
        </is>
      </c>
      <c r="C274" t="inlineStr">
        <is>
          <t>DW70</t>
        </is>
      </c>
      <c r="D274" t="inlineStr">
        <is>
          <t>D084</t>
        </is>
      </c>
      <c r="E274" t="inlineStr">
        <is>
          <t>4</t>
        </is>
      </c>
      <c r="F274" t="inlineStr">
        <is>
          <t>10000655</t>
        </is>
      </c>
      <c r="H274" t="inlineStr"/>
      <c r="J274" t="n">
        <v>485.11</v>
      </c>
      <c r="K274" t="inlineStr"/>
      <c r="M274" t="inlineStr">
        <is>
          <t>TN</t>
        </is>
      </c>
      <c r="N274" t="inlineStr"/>
      <c r="P274" t="inlineStr">
        <is>
          <t>20220331</t>
        </is>
      </c>
      <c r="Q274" t="inlineStr">
        <is>
          <t>20250131</t>
        </is>
      </c>
    </row>
    <row r="275">
      <c r="A275" t="inlineStr">
        <is>
          <t>900000472DW70D08410165790</t>
        </is>
      </c>
      <c r="B275" t="inlineStr">
        <is>
          <t>900000472</t>
        </is>
      </c>
      <c r="C275" t="inlineStr">
        <is>
          <t>DW70</t>
        </is>
      </c>
      <c r="D275" t="inlineStr">
        <is>
          <t>D084</t>
        </is>
      </c>
      <c r="E275" t="inlineStr">
        <is>
          <t>4</t>
        </is>
      </c>
      <c r="F275" t="inlineStr">
        <is>
          <t>10165790</t>
        </is>
      </c>
      <c r="H275" t="inlineStr"/>
      <c r="J275" t="n">
        <v>385</v>
      </c>
      <c r="K275" t="inlineStr"/>
      <c r="M275" t="inlineStr">
        <is>
          <t>TN</t>
        </is>
      </c>
      <c r="N275" t="inlineStr"/>
      <c r="P275" t="inlineStr">
        <is>
          <t>20220331</t>
        </is>
      </c>
      <c r="Q275" t="inlineStr">
        <is>
          <t>20250131</t>
        </is>
      </c>
    </row>
    <row r="276">
      <c r="A276" t="inlineStr">
        <is>
          <t>900000472DW70D08410188219</t>
        </is>
      </c>
      <c r="B276" t="inlineStr">
        <is>
          <t>900000472</t>
        </is>
      </c>
      <c r="C276" t="inlineStr">
        <is>
          <t>DW70</t>
        </is>
      </c>
      <c r="D276" t="inlineStr">
        <is>
          <t>D084</t>
        </is>
      </c>
      <c r="E276" t="inlineStr">
        <is>
          <t>4</t>
        </is>
      </c>
      <c r="F276" t="inlineStr">
        <is>
          <t>10188219</t>
        </is>
      </c>
      <c r="H276" t="inlineStr"/>
      <c r="J276" t="n">
        <v>650</v>
      </c>
      <c r="K276" t="inlineStr"/>
      <c r="M276" t="inlineStr">
        <is>
          <t>TN</t>
        </is>
      </c>
      <c r="N276" t="inlineStr"/>
      <c r="P276" t="inlineStr">
        <is>
          <t>20220331</t>
        </is>
      </c>
      <c r="Q276" t="inlineStr">
        <is>
          <t>20250131</t>
        </is>
      </c>
    </row>
    <row r="277">
      <c r="A277" t="inlineStr">
        <is>
          <t>900000472DW70D08410189170</t>
        </is>
      </c>
      <c r="B277" t="inlineStr">
        <is>
          <t>900000472</t>
        </is>
      </c>
      <c r="C277" t="inlineStr">
        <is>
          <t>DW70</t>
        </is>
      </c>
      <c r="D277" t="inlineStr">
        <is>
          <t>D084</t>
        </is>
      </c>
      <c r="E277" t="inlineStr">
        <is>
          <t>4</t>
        </is>
      </c>
      <c r="F277" t="inlineStr">
        <is>
          <t>10189170</t>
        </is>
      </c>
      <c r="H277" t="inlineStr"/>
      <c r="J277" t="n">
        <v>650</v>
      </c>
      <c r="K277" t="inlineStr"/>
      <c r="M277" t="inlineStr">
        <is>
          <t>TN</t>
        </is>
      </c>
      <c r="N277" t="inlineStr"/>
      <c r="P277" t="inlineStr">
        <is>
          <t>20220331</t>
        </is>
      </c>
      <c r="Q277" t="inlineStr">
        <is>
          <t>20250131</t>
        </is>
      </c>
    </row>
    <row r="278">
      <c r="A278" t="inlineStr">
        <is>
          <t>900000472DW70D08410190932</t>
        </is>
      </c>
      <c r="B278" t="inlineStr">
        <is>
          <t>900000472</t>
        </is>
      </c>
      <c r="C278" t="inlineStr">
        <is>
          <t>DW70</t>
        </is>
      </c>
      <c r="D278" t="inlineStr">
        <is>
          <t>D084</t>
        </is>
      </c>
      <c r="E278" t="inlineStr">
        <is>
          <t>4</t>
        </is>
      </c>
      <c r="F278" t="inlineStr">
        <is>
          <t>10190932</t>
        </is>
      </c>
      <c r="H278" t="inlineStr"/>
      <c r="J278" t="n">
        <v>650</v>
      </c>
      <c r="K278" t="inlineStr"/>
      <c r="M278" t="inlineStr">
        <is>
          <t>TN</t>
        </is>
      </c>
      <c r="N278" t="inlineStr"/>
      <c r="P278" t="inlineStr">
        <is>
          <t>20220331</t>
        </is>
      </c>
      <c r="Q278" t="inlineStr">
        <is>
          <t>20250131</t>
        </is>
      </c>
    </row>
    <row r="279">
      <c r="A279" t="inlineStr">
        <is>
          <t>900000472DW70D08510000635</t>
        </is>
      </c>
      <c r="B279" t="inlineStr">
        <is>
          <t>900000472</t>
        </is>
      </c>
      <c r="C279" t="inlineStr">
        <is>
          <t>DW70</t>
        </is>
      </c>
      <c r="D279" t="inlineStr">
        <is>
          <t>D085</t>
        </is>
      </c>
      <c r="E279" t="inlineStr">
        <is>
          <t>4</t>
        </is>
      </c>
      <c r="F279" t="inlineStr">
        <is>
          <t>10000635</t>
        </is>
      </c>
      <c r="H279" t="inlineStr"/>
      <c r="J279" t="n">
        <v>485.11</v>
      </c>
      <c r="K279" t="inlineStr"/>
      <c r="M279" t="inlineStr">
        <is>
          <t>TN</t>
        </is>
      </c>
      <c r="N279" t="inlineStr"/>
      <c r="P279" t="inlineStr">
        <is>
          <t>20220331</t>
        </is>
      </c>
      <c r="Q279" t="inlineStr">
        <is>
          <t>20250131</t>
        </is>
      </c>
    </row>
    <row r="280">
      <c r="A280" t="inlineStr">
        <is>
          <t>900000472DW70D08510000643</t>
        </is>
      </c>
      <c r="B280" t="inlineStr">
        <is>
          <t>900000472</t>
        </is>
      </c>
      <c r="C280" t="inlineStr">
        <is>
          <t>DW70</t>
        </is>
      </c>
      <c r="D280" t="inlineStr">
        <is>
          <t>D085</t>
        </is>
      </c>
      <c r="E280" t="inlineStr">
        <is>
          <t>4</t>
        </is>
      </c>
      <c r="F280" t="inlineStr">
        <is>
          <t>10000643</t>
        </is>
      </c>
      <c r="H280" t="inlineStr"/>
      <c r="J280" t="n">
        <v>485.11</v>
      </c>
      <c r="K280" t="inlineStr"/>
      <c r="M280" t="inlineStr">
        <is>
          <t>TN</t>
        </is>
      </c>
      <c r="N280" t="inlineStr"/>
      <c r="P280" t="inlineStr">
        <is>
          <t>20220331</t>
        </is>
      </c>
      <c r="Q280" t="inlineStr">
        <is>
          <t>20250131</t>
        </is>
      </c>
    </row>
    <row r="281">
      <c r="A281" t="inlineStr">
        <is>
          <t>900000472DW70D08510188219</t>
        </is>
      </c>
      <c r="B281" t="inlineStr">
        <is>
          <t>900000472</t>
        </is>
      </c>
      <c r="C281" t="inlineStr">
        <is>
          <t>DW70</t>
        </is>
      </c>
      <c r="D281" t="inlineStr">
        <is>
          <t>D085</t>
        </is>
      </c>
      <c r="E281" t="inlineStr">
        <is>
          <t>4</t>
        </is>
      </c>
      <c r="F281" t="inlineStr">
        <is>
          <t>10188219</t>
        </is>
      </c>
      <c r="H281" t="inlineStr"/>
      <c r="J281" t="n">
        <v>650</v>
      </c>
      <c r="K281" t="inlineStr"/>
      <c r="M281" t="inlineStr">
        <is>
          <t>TN</t>
        </is>
      </c>
      <c r="N281" t="inlineStr"/>
      <c r="P281" t="inlineStr">
        <is>
          <t>20220331</t>
        </is>
      </c>
      <c r="Q281" t="inlineStr">
        <is>
          <t>20250131</t>
        </is>
      </c>
    </row>
    <row r="282">
      <c r="A282" t="inlineStr">
        <is>
          <t>900000472DW70D08510189170</t>
        </is>
      </c>
      <c r="B282" t="inlineStr">
        <is>
          <t>900000472</t>
        </is>
      </c>
      <c r="C282" t="inlineStr">
        <is>
          <t>DW70</t>
        </is>
      </c>
      <c r="D282" t="inlineStr">
        <is>
          <t>D085</t>
        </is>
      </c>
      <c r="E282" t="inlineStr">
        <is>
          <t>4</t>
        </is>
      </c>
      <c r="F282" t="inlineStr">
        <is>
          <t>10189170</t>
        </is>
      </c>
      <c r="H282" t="inlineStr"/>
      <c r="J282" t="n">
        <v>650</v>
      </c>
      <c r="K282" t="inlineStr"/>
      <c r="M282" t="inlineStr">
        <is>
          <t>TN</t>
        </is>
      </c>
      <c r="N282" t="inlineStr"/>
      <c r="P282" t="inlineStr">
        <is>
          <t>20220331</t>
        </is>
      </c>
      <c r="Q282" t="inlineStr">
        <is>
          <t>20250131</t>
        </is>
      </c>
    </row>
    <row r="283">
      <c r="A283" t="inlineStr">
        <is>
          <t>900000472DW70D08510190932</t>
        </is>
      </c>
      <c r="B283" t="inlineStr">
        <is>
          <t>900000472</t>
        </is>
      </c>
      <c r="C283" t="inlineStr">
        <is>
          <t>DW70</t>
        </is>
      </c>
      <c r="D283" t="inlineStr">
        <is>
          <t>D085</t>
        </is>
      </c>
      <c r="E283" t="inlineStr">
        <is>
          <t>4</t>
        </is>
      </c>
      <c r="F283" t="inlineStr">
        <is>
          <t>10190932</t>
        </is>
      </c>
      <c r="H283" t="inlineStr"/>
      <c r="J283" t="n">
        <v>650</v>
      </c>
      <c r="K283" t="inlineStr"/>
      <c r="M283" t="inlineStr">
        <is>
          <t>TN</t>
        </is>
      </c>
      <c r="N283" t="inlineStr"/>
      <c r="P283" t="inlineStr">
        <is>
          <t>20220331</t>
        </is>
      </c>
      <c r="Q283" t="inlineStr">
        <is>
          <t>20250131</t>
        </is>
      </c>
    </row>
    <row r="284">
      <c r="A284" t="inlineStr">
        <is>
          <t>900000472DW70D08610000635</t>
        </is>
      </c>
      <c r="B284" t="inlineStr">
        <is>
          <t>900000472</t>
        </is>
      </c>
      <c r="C284" t="inlineStr">
        <is>
          <t>DW70</t>
        </is>
      </c>
      <c r="D284" t="inlineStr">
        <is>
          <t>D086</t>
        </is>
      </c>
      <c r="E284" t="inlineStr">
        <is>
          <t>4</t>
        </is>
      </c>
      <c r="F284" t="inlineStr">
        <is>
          <t>10000635</t>
        </is>
      </c>
      <c r="H284" t="inlineStr"/>
      <c r="J284" t="n">
        <v>485.11</v>
      </c>
      <c r="K284" t="inlineStr"/>
      <c r="M284" t="inlineStr">
        <is>
          <t>TN</t>
        </is>
      </c>
      <c r="N284" t="inlineStr"/>
      <c r="P284" t="inlineStr">
        <is>
          <t>20220331</t>
        </is>
      </c>
      <c r="Q284" t="inlineStr">
        <is>
          <t>20250131</t>
        </is>
      </c>
    </row>
    <row r="285">
      <c r="A285" t="inlineStr">
        <is>
          <t>900000472DW70D08610000643</t>
        </is>
      </c>
      <c r="B285" t="inlineStr">
        <is>
          <t>900000472</t>
        </is>
      </c>
      <c r="C285" t="inlineStr">
        <is>
          <t>DW70</t>
        </is>
      </c>
      <c r="D285" t="inlineStr">
        <is>
          <t>D086</t>
        </is>
      </c>
      <c r="E285" t="inlineStr">
        <is>
          <t>4</t>
        </is>
      </c>
      <c r="F285" t="inlineStr">
        <is>
          <t>10000643</t>
        </is>
      </c>
      <c r="H285" t="inlineStr"/>
      <c r="J285" t="n">
        <v>485.11</v>
      </c>
      <c r="K285" t="inlineStr"/>
      <c r="M285" t="inlineStr">
        <is>
          <t>TN</t>
        </is>
      </c>
      <c r="N285" t="inlineStr"/>
      <c r="P285" t="inlineStr">
        <is>
          <t>20220331</t>
        </is>
      </c>
      <c r="Q285" t="inlineStr">
        <is>
          <t>20250131</t>
        </is>
      </c>
    </row>
    <row r="286">
      <c r="A286" t="inlineStr">
        <is>
          <t>900000472DW70D08610000655</t>
        </is>
      </c>
      <c r="B286" t="inlineStr">
        <is>
          <t>900000472</t>
        </is>
      </c>
      <c r="C286" t="inlineStr">
        <is>
          <t>DW70</t>
        </is>
      </c>
      <c r="D286" t="inlineStr">
        <is>
          <t>D086</t>
        </is>
      </c>
      <c r="E286" t="inlineStr">
        <is>
          <t>4</t>
        </is>
      </c>
      <c r="F286" t="inlineStr">
        <is>
          <t>10000655</t>
        </is>
      </c>
      <c r="H286" t="inlineStr"/>
      <c r="J286" t="n">
        <v>485.11</v>
      </c>
      <c r="K286" t="inlineStr"/>
      <c r="M286" t="inlineStr">
        <is>
          <t>TN</t>
        </is>
      </c>
      <c r="N286" t="inlineStr"/>
      <c r="P286" t="inlineStr">
        <is>
          <t>20220331</t>
        </is>
      </c>
      <c r="Q286" t="inlineStr">
        <is>
          <t>20250131</t>
        </is>
      </c>
    </row>
    <row r="287">
      <c r="A287" t="inlineStr">
        <is>
          <t>900000472DW70D08610004432</t>
        </is>
      </c>
      <c r="B287" t="inlineStr">
        <is>
          <t>900000472</t>
        </is>
      </c>
      <c r="C287" t="inlineStr">
        <is>
          <t>DW70</t>
        </is>
      </c>
      <c r="D287" t="inlineStr">
        <is>
          <t>D086</t>
        </is>
      </c>
      <c r="E287" t="inlineStr">
        <is>
          <t>4</t>
        </is>
      </c>
      <c r="F287" t="inlineStr">
        <is>
          <t>10004432</t>
        </is>
      </c>
      <c r="H287" t="inlineStr"/>
      <c r="J287" t="n">
        <v>600</v>
      </c>
      <c r="K287" t="inlineStr"/>
      <c r="M287" t="inlineStr">
        <is>
          <t>TN</t>
        </is>
      </c>
      <c r="N287" t="inlineStr"/>
      <c r="P287" t="inlineStr">
        <is>
          <t>20220331</t>
        </is>
      </c>
      <c r="Q287" t="inlineStr">
        <is>
          <t>20250131</t>
        </is>
      </c>
    </row>
    <row r="288">
      <c r="A288" t="inlineStr">
        <is>
          <t>900000472DW70D08610188219</t>
        </is>
      </c>
      <c r="B288" t="inlineStr">
        <is>
          <t>900000472</t>
        </is>
      </c>
      <c r="C288" t="inlineStr">
        <is>
          <t>DW70</t>
        </is>
      </c>
      <c r="D288" t="inlineStr">
        <is>
          <t>D086</t>
        </is>
      </c>
      <c r="E288" t="inlineStr">
        <is>
          <t>4</t>
        </is>
      </c>
      <c r="F288" t="inlineStr">
        <is>
          <t>10188219</t>
        </is>
      </c>
      <c r="H288" t="inlineStr"/>
      <c r="J288" t="n">
        <v>650</v>
      </c>
      <c r="K288" t="inlineStr"/>
      <c r="M288" t="inlineStr">
        <is>
          <t>TN</t>
        </is>
      </c>
      <c r="N288" t="inlineStr"/>
      <c r="P288" t="inlineStr">
        <is>
          <t>20220331</t>
        </is>
      </c>
      <c r="Q288" t="inlineStr">
        <is>
          <t>20250131</t>
        </is>
      </c>
    </row>
    <row r="289">
      <c r="A289" t="inlineStr">
        <is>
          <t>900000472DW70D08610189170</t>
        </is>
      </c>
      <c r="B289" t="inlineStr">
        <is>
          <t>900000472</t>
        </is>
      </c>
      <c r="C289" t="inlineStr">
        <is>
          <t>DW70</t>
        </is>
      </c>
      <c r="D289" t="inlineStr">
        <is>
          <t>D086</t>
        </is>
      </c>
      <c r="E289" t="inlineStr">
        <is>
          <t>4</t>
        </is>
      </c>
      <c r="F289" t="inlineStr">
        <is>
          <t>10189170</t>
        </is>
      </c>
      <c r="H289" t="inlineStr"/>
      <c r="J289" t="n">
        <v>650</v>
      </c>
      <c r="K289" t="inlineStr"/>
      <c r="M289" t="inlineStr">
        <is>
          <t>TN</t>
        </is>
      </c>
      <c r="N289" t="inlineStr"/>
      <c r="P289" t="inlineStr">
        <is>
          <t>20220331</t>
        </is>
      </c>
      <c r="Q289" t="inlineStr">
        <is>
          <t>20250131</t>
        </is>
      </c>
    </row>
    <row r="290">
      <c r="A290" t="inlineStr">
        <is>
          <t>900000472DW70D08610190932</t>
        </is>
      </c>
      <c r="B290" t="inlineStr">
        <is>
          <t>900000472</t>
        </is>
      </c>
      <c r="C290" t="inlineStr">
        <is>
          <t>DW70</t>
        </is>
      </c>
      <c r="D290" t="inlineStr">
        <is>
          <t>D086</t>
        </is>
      </c>
      <c r="E290" t="inlineStr">
        <is>
          <t>4</t>
        </is>
      </c>
      <c r="F290" t="inlineStr">
        <is>
          <t>10190932</t>
        </is>
      </c>
      <c r="H290" t="inlineStr"/>
      <c r="J290" t="n">
        <v>650</v>
      </c>
      <c r="K290" t="inlineStr"/>
      <c r="M290" t="inlineStr">
        <is>
          <t>TN</t>
        </is>
      </c>
      <c r="N290" t="inlineStr"/>
      <c r="P290" t="inlineStr">
        <is>
          <t>20220331</t>
        </is>
      </c>
      <c r="Q290" t="inlineStr">
        <is>
          <t>20250131</t>
        </is>
      </c>
    </row>
    <row r="291">
      <c r="A291" t="inlineStr">
        <is>
          <t>900000472DW70D08710000635</t>
        </is>
      </c>
      <c r="B291" t="inlineStr">
        <is>
          <t>900000472</t>
        </is>
      </c>
      <c r="C291" t="inlineStr">
        <is>
          <t>DW70</t>
        </is>
      </c>
      <c r="D291" t="inlineStr">
        <is>
          <t>D087</t>
        </is>
      </c>
      <c r="E291" t="inlineStr">
        <is>
          <t>4</t>
        </is>
      </c>
      <c r="F291" t="inlineStr">
        <is>
          <t>10000635</t>
        </is>
      </c>
      <c r="H291" t="inlineStr"/>
      <c r="J291" t="n">
        <v>485.11</v>
      </c>
      <c r="K291" t="inlineStr"/>
      <c r="M291" t="inlineStr">
        <is>
          <t>TN</t>
        </is>
      </c>
      <c r="N291" t="inlineStr"/>
      <c r="P291" t="inlineStr">
        <is>
          <t>20220331</t>
        </is>
      </c>
      <c r="Q291" t="inlineStr">
        <is>
          <t>20250131</t>
        </is>
      </c>
    </row>
    <row r="292">
      <c r="A292" t="inlineStr">
        <is>
          <t>900000472DW70D08710000643</t>
        </is>
      </c>
      <c r="B292" t="inlineStr">
        <is>
          <t>900000472</t>
        </is>
      </c>
      <c r="C292" t="inlineStr">
        <is>
          <t>DW70</t>
        </is>
      </c>
      <c r="D292" t="inlineStr">
        <is>
          <t>D087</t>
        </is>
      </c>
      <c r="E292" t="inlineStr">
        <is>
          <t>4</t>
        </is>
      </c>
      <c r="F292" t="inlineStr">
        <is>
          <t>10000643</t>
        </is>
      </c>
      <c r="H292" t="inlineStr"/>
      <c r="J292" t="n">
        <v>485.11</v>
      </c>
      <c r="K292" t="inlineStr"/>
      <c r="M292" t="inlineStr">
        <is>
          <t>TN</t>
        </is>
      </c>
      <c r="N292" t="inlineStr"/>
      <c r="P292" t="inlineStr">
        <is>
          <t>20220331</t>
        </is>
      </c>
      <c r="Q292" t="inlineStr">
        <is>
          <t>20250131</t>
        </is>
      </c>
    </row>
    <row r="293">
      <c r="A293" t="inlineStr">
        <is>
          <t>900000472DW70D08710000655</t>
        </is>
      </c>
      <c r="B293" t="inlineStr">
        <is>
          <t>900000472</t>
        </is>
      </c>
      <c r="C293" t="inlineStr">
        <is>
          <t>DW70</t>
        </is>
      </c>
      <c r="D293" t="inlineStr">
        <is>
          <t>D087</t>
        </is>
      </c>
      <c r="E293" t="inlineStr">
        <is>
          <t>4</t>
        </is>
      </c>
      <c r="F293" t="inlineStr">
        <is>
          <t>10000655</t>
        </is>
      </c>
      <c r="H293" t="inlineStr"/>
      <c r="J293" t="n">
        <v>485.11</v>
      </c>
      <c r="K293" t="inlineStr"/>
      <c r="M293" t="inlineStr">
        <is>
          <t>TN</t>
        </is>
      </c>
      <c r="N293" t="inlineStr"/>
      <c r="P293" t="inlineStr">
        <is>
          <t>20220331</t>
        </is>
      </c>
      <c r="Q293" t="inlineStr">
        <is>
          <t>20250131</t>
        </is>
      </c>
    </row>
    <row r="294">
      <c r="A294" t="inlineStr">
        <is>
          <t>900000472DW70D08810000635</t>
        </is>
      </c>
      <c r="B294" t="inlineStr">
        <is>
          <t>900000472</t>
        </is>
      </c>
      <c r="C294" t="inlineStr">
        <is>
          <t>DW70</t>
        </is>
      </c>
      <c r="D294" t="inlineStr">
        <is>
          <t>D088</t>
        </is>
      </c>
      <c r="E294" t="inlineStr">
        <is>
          <t>4</t>
        </is>
      </c>
      <c r="F294" t="inlineStr">
        <is>
          <t>10000635</t>
        </is>
      </c>
      <c r="H294" t="inlineStr"/>
      <c r="J294" t="n">
        <v>485.11</v>
      </c>
      <c r="K294" t="inlineStr"/>
      <c r="M294" t="inlineStr">
        <is>
          <t>TN</t>
        </is>
      </c>
      <c r="N294" t="inlineStr"/>
      <c r="P294" t="inlineStr">
        <is>
          <t>20220331</t>
        </is>
      </c>
      <c r="Q294" t="inlineStr">
        <is>
          <t>20250131</t>
        </is>
      </c>
    </row>
    <row r="295">
      <c r="A295" t="inlineStr">
        <is>
          <t>900000472DW70D08810000643</t>
        </is>
      </c>
      <c r="B295" t="inlineStr">
        <is>
          <t>900000472</t>
        </is>
      </c>
      <c r="C295" t="inlineStr">
        <is>
          <t>DW70</t>
        </is>
      </c>
      <c r="D295" t="inlineStr">
        <is>
          <t>D088</t>
        </is>
      </c>
      <c r="E295" t="inlineStr">
        <is>
          <t>4</t>
        </is>
      </c>
      <c r="F295" t="inlineStr">
        <is>
          <t>10000643</t>
        </is>
      </c>
      <c r="H295" t="inlineStr"/>
      <c r="J295" t="n">
        <v>485.11</v>
      </c>
      <c r="K295" t="inlineStr"/>
      <c r="M295" t="inlineStr">
        <is>
          <t>TN</t>
        </is>
      </c>
      <c r="N295" t="inlineStr"/>
      <c r="P295" t="inlineStr">
        <is>
          <t>20220331</t>
        </is>
      </c>
      <c r="Q295" t="inlineStr">
        <is>
          <t>20250131</t>
        </is>
      </c>
    </row>
    <row r="296">
      <c r="A296" t="inlineStr">
        <is>
          <t>900000472DW70D08810000655</t>
        </is>
      </c>
      <c r="B296" t="inlineStr">
        <is>
          <t>900000472</t>
        </is>
      </c>
      <c r="C296" t="inlineStr">
        <is>
          <t>DW70</t>
        </is>
      </c>
      <c r="D296" t="inlineStr">
        <is>
          <t>D088</t>
        </is>
      </c>
      <c r="E296" t="inlineStr">
        <is>
          <t>4</t>
        </is>
      </c>
      <c r="F296" t="inlineStr">
        <is>
          <t>10000655</t>
        </is>
      </c>
      <c r="H296" t="inlineStr"/>
      <c r="J296" t="n">
        <v>485.11</v>
      </c>
      <c r="K296" t="inlineStr"/>
      <c r="M296" t="inlineStr">
        <is>
          <t>TN</t>
        </is>
      </c>
      <c r="N296" t="inlineStr"/>
      <c r="P296" t="inlineStr">
        <is>
          <t>20220331</t>
        </is>
      </c>
      <c r="Q296" t="inlineStr">
        <is>
          <t>20250131</t>
        </is>
      </c>
    </row>
    <row r="297">
      <c r="A297" t="inlineStr">
        <is>
          <t>900000472DW70D08810188219</t>
        </is>
      </c>
      <c r="B297" t="inlineStr">
        <is>
          <t>900000472</t>
        </is>
      </c>
      <c r="C297" t="inlineStr">
        <is>
          <t>DW70</t>
        </is>
      </c>
      <c r="D297" t="inlineStr">
        <is>
          <t>D088</t>
        </is>
      </c>
      <c r="E297" t="inlineStr">
        <is>
          <t>4</t>
        </is>
      </c>
      <c r="F297" t="inlineStr">
        <is>
          <t>10188219</t>
        </is>
      </c>
      <c r="H297" t="inlineStr"/>
      <c r="J297" t="n">
        <v>650</v>
      </c>
      <c r="K297" t="inlineStr"/>
      <c r="M297" t="inlineStr">
        <is>
          <t>TN</t>
        </is>
      </c>
      <c r="N297" t="inlineStr"/>
      <c r="P297" t="inlineStr">
        <is>
          <t>20220331</t>
        </is>
      </c>
      <c r="Q297" t="inlineStr">
        <is>
          <t>20250131</t>
        </is>
      </c>
    </row>
    <row r="298">
      <c r="A298" t="inlineStr">
        <is>
          <t>900000472DW70D08810189170</t>
        </is>
      </c>
      <c r="B298" t="inlineStr">
        <is>
          <t>900000472</t>
        </is>
      </c>
      <c r="C298" t="inlineStr">
        <is>
          <t>DW70</t>
        </is>
      </c>
      <c r="D298" t="inlineStr">
        <is>
          <t>D088</t>
        </is>
      </c>
      <c r="E298" t="inlineStr">
        <is>
          <t>4</t>
        </is>
      </c>
      <c r="F298" t="inlineStr">
        <is>
          <t>10189170</t>
        </is>
      </c>
      <c r="H298" t="inlineStr"/>
      <c r="J298" t="n">
        <v>650</v>
      </c>
      <c r="K298" t="inlineStr"/>
      <c r="M298" t="inlineStr">
        <is>
          <t>TN</t>
        </is>
      </c>
      <c r="N298" t="inlineStr"/>
      <c r="P298" t="inlineStr">
        <is>
          <t>20220331</t>
        </is>
      </c>
      <c r="Q298" t="inlineStr">
        <is>
          <t>20250131</t>
        </is>
      </c>
    </row>
    <row r="299">
      <c r="A299" t="inlineStr">
        <is>
          <t>900000472DW70D08810190932</t>
        </is>
      </c>
      <c r="B299" t="inlineStr">
        <is>
          <t>900000472</t>
        </is>
      </c>
      <c r="C299" t="inlineStr">
        <is>
          <t>DW70</t>
        </is>
      </c>
      <c r="D299" t="inlineStr">
        <is>
          <t>D088</t>
        </is>
      </c>
      <c r="E299" t="inlineStr">
        <is>
          <t>4</t>
        </is>
      </c>
      <c r="F299" t="inlineStr">
        <is>
          <t>10190932</t>
        </is>
      </c>
      <c r="H299" t="inlineStr"/>
      <c r="J299" t="n">
        <v>650</v>
      </c>
      <c r="K299" t="inlineStr"/>
      <c r="M299" t="inlineStr">
        <is>
          <t>TN</t>
        </is>
      </c>
      <c r="N299" t="inlineStr"/>
      <c r="P299" t="inlineStr">
        <is>
          <t>20220331</t>
        </is>
      </c>
      <c r="Q299" t="inlineStr">
        <is>
          <t>20250131</t>
        </is>
      </c>
    </row>
    <row r="300">
      <c r="A300" t="inlineStr">
        <is>
          <t>900000472DW70D08910000635</t>
        </is>
      </c>
      <c r="B300" t="inlineStr">
        <is>
          <t>900000472</t>
        </is>
      </c>
      <c r="C300" t="inlineStr">
        <is>
          <t>DW70</t>
        </is>
      </c>
      <c r="D300" t="inlineStr">
        <is>
          <t>D089</t>
        </is>
      </c>
      <c r="E300" t="inlineStr">
        <is>
          <t>4</t>
        </is>
      </c>
      <c r="F300" t="inlineStr">
        <is>
          <t>10000635</t>
        </is>
      </c>
      <c r="H300" t="inlineStr"/>
      <c r="J300" t="n">
        <v>485.11</v>
      </c>
      <c r="K300" t="inlineStr"/>
      <c r="M300" t="inlineStr">
        <is>
          <t>TN</t>
        </is>
      </c>
      <c r="N300" t="inlineStr"/>
      <c r="P300" t="inlineStr">
        <is>
          <t>20220331</t>
        </is>
      </c>
      <c r="Q300" t="inlineStr">
        <is>
          <t>20250131</t>
        </is>
      </c>
    </row>
    <row r="301">
      <c r="A301" t="inlineStr">
        <is>
          <t>900000472DW70D08910000643</t>
        </is>
      </c>
      <c r="B301" t="inlineStr">
        <is>
          <t>900000472</t>
        </is>
      </c>
      <c r="C301" t="inlineStr">
        <is>
          <t>DW70</t>
        </is>
      </c>
      <c r="D301" t="inlineStr">
        <is>
          <t>D089</t>
        </is>
      </c>
      <c r="E301" t="inlineStr">
        <is>
          <t>4</t>
        </is>
      </c>
      <c r="F301" t="inlineStr">
        <is>
          <t>10000643</t>
        </is>
      </c>
      <c r="H301" t="inlineStr"/>
      <c r="J301" t="n">
        <v>485.11</v>
      </c>
      <c r="K301" t="inlineStr"/>
      <c r="M301" t="inlineStr">
        <is>
          <t>TN</t>
        </is>
      </c>
      <c r="N301" t="inlineStr"/>
      <c r="P301" t="inlineStr">
        <is>
          <t>20220331</t>
        </is>
      </c>
      <c r="Q301" t="inlineStr">
        <is>
          <t>20250131</t>
        </is>
      </c>
    </row>
    <row r="302">
      <c r="A302" t="inlineStr">
        <is>
          <t>900000472DW70D08910000655</t>
        </is>
      </c>
      <c r="B302" t="inlineStr">
        <is>
          <t>900000472</t>
        </is>
      </c>
      <c r="C302" t="inlineStr">
        <is>
          <t>DW70</t>
        </is>
      </c>
      <c r="D302" t="inlineStr">
        <is>
          <t>D089</t>
        </is>
      </c>
      <c r="E302" t="inlineStr">
        <is>
          <t>4</t>
        </is>
      </c>
      <c r="F302" t="inlineStr">
        <is>
          <t>10000655</t>
        </is>
      </c>
      <c r="H302" t="inlineStr"/>
      <c r="J302" t="n">
        <v>485.11</v>
      </c>
      <c r="K302" t="inlineStr"/>
      <c r="M302" t="inlineStr">
        <is>
          <t>TN</t>
        </is>
      </c>
      <c r="N302" t="inlineStr"/>
      <c r="P302" t="inlineStr">
        <is>
          <t>20220331</t>
        </is>
      </c>
      <c r="Q302" t="inlineStr">
        <is>
          <t>20250131</t>
        </is>
      </c>
    </row>
    <row r="303">
      <c r="A303" t="inlineStr">
        <is>
          <t>900000472DW70D09310000635</t>
        </is>
      </c>
      <c r="B303" t="inlineStr">
        <is>
          <t>900000472</t>
        </is>
      </c>
      <c r="C303" t="inlineStr">
        <is>
          <t>DW70</t>
        </is>
      </c>
      <c r="D303" t="inlineStr">
        <is>
          <t>D093</t>
        </is>
      </c>
      <c r="E303" t="inlineStr">
        <is>
          <t>4</t>
        </is>
      </c>
      <c r="F303" t="inlineStr">
        <is>
          <t>10000635</t>
        </is>
      </c>
      <c r="H303" t="inlineStr"/>
      <c r="J303" t="n">
        <v>485.11</v>
      </c>
      <c r="K303" t="inlineStr"/>
      <c r="M303" t="inlineStr">
        <is>
          <t>TN</t>
        </is>
      </c>
      <c r="N303" t="inlineStr"/>
      <c r="P303" t="inlineStr">
        <is>
          <t>20220331</t>
        </is>
      </c>
      <c r="Q303" t="inlineStr">
        <is>
          <t>20250131</t>
        </is>
      </c>
    </row>
    <row r="304">
      <c r="A304" t="inlineStr">
        <is>
          <t>900000472DW70D09310000643</t>
        </is>
      </c>
      <c r="B304" t="inlineStr">
        <is>
          <t>900000472</t>
        </is>
      </c>
      <c r="C304" t="inlineStr">
        <is>
          <t>DW70</t>
        </is>
      </c>
      <c r="D304" t="inlineStr">
        <is>
          <t>D093</t>
        </is>
      </c>
      <c r="E304" t="inlineStr">
        <is>
          <t>4</t>
        </is>
      </c>
      <c r="F304" t="inlineStr">
        <is>
          <t>10000643</t>
        </is>
      </c>
      <c r="H304" t="inlineStr"/>
      <c r="J304" t="n">
        <v>485.11</v>
      </c>
      <c r="K304" t="inlineStr"/>
      <c r="M304" t="inlineStr">
        <is>
          <t>TN</t>
        </is>
      </c>
      <c r="N304" t="inlineStr"/>
      <c r="P304" t="inlineStr">
        <is>
          <t>20220331</t>
        </is>
      </c>
      <c r="Q304" t="inlineStr">
        <is>
          <t>20250131</t>
        </is>
      </c>
    </row>
    <row r="305">
      <c r="A305" t="inlineStr">
        <is>
          <t>900000472DW70D09310000655</t>
        </is>
      </c>
      <c r="B305" t="inlineStr">
        <is>
          <t>900000472</t>
        </is>
      </c>
      <c r="C305" t="inlineStr">
        <is>
          <t>DW70</t>
        </is>
      </c>
      <c r="D305" t="inlineStr">
        <is>
          <t>D093</t>
        </is>
      </c>
      <c r="E305" t="inlineStr">
        <is>
          <t>4</t>
        </is>
      </c>
      <c r="F305" t="inlineStr">
        <is>
          <t>10000655</t>
        </is>
      </c>
      <c r="H305" t="inlineStr"/>
      <c r="J305" t="n">
        <v>485.11</v>
      </c>
      <c r="K305" t="inlineStr"/>
      <c r="M305" t="inlineStr">
        <is>
          <t>TN</t>
        </is>
      </c>
      <c r="N305" t="inlineStr"/>
      <c r="P305" t="inlineStr">
        <is>
          <t>20220331</t>
        </is>
      </c>
      <c r="Q305" t="inlineStr">
        <is>
          <t>20250131</t>
        </is>
      </c>
    </row>
    <row r="306">
      <c r="A306" t="inlineStr">
        <is>
          <t>900000472DW70D09310188219</t>
        </is>
      </c>
      <c r="B306" t="inlineStr">
        <is>
          <t>900000472</t>
        </is>
      </c>
      <c r="C306" t="inlineStr">
        <is>
          <t>DW70</t>
        </is>
      </c>
      <c r="D306" t="inlineStr">
        <is>
          <t>D093</t>
        </is>
      </c>
      <c r="E306" t="inlineStr">
        <is>
          <t>4</t>
        </is>
      </c>
      <c r="F306" t="inlineStr">
        <is>
          <t>10188219</t>
        </is>
      </c>
      <c r="H306" t="inlineStr"/>
      <c r="J306" t="n">
        <v>650</v>
      </c>
      <c r="K306" t="inlineStr"/>
      <c r="M306" t="inlineStr">
        <is>
          <t>TN</t>
        </is>
      </c>
      <c r="N306" t="inlineStr"/>
      <c r="P306" t="inlineStr">
        <is>
          <t>20220331</t>
        </is>
      </c>
      <c r="Q306" t="inlineStr">
        <is>
          <t>20250131</t>
        </is>
      </c>
    </row>
    <row r="307">
      <c r="A307" t="inlineStr">
        <is>
          <t>900000472DW70D09310189170</t>
        </is>
      </c>
      <c r="B307" t="inlineStr">
        <is>
          <t>900000472</t>
        </is>
      </c>
      <c r="C307" t="inlineStr">
        <is>
          <t>DW70</t>
        </is>
      </c>
      <c r="D307" t="inlineStr">
        <is>
          <t>D093</t>
        </is>
      </c>
      <c r="E307" t="inlineStr">
        <is>
          <t>4</t>
        </is>
      </c>
      <c r="F307" t="inlineStr">
        <is>
          <t>10189170</t>
        </is>
      </c>
      <c r="H307" t="inlineStr"/>
      <c r="J307" t="n">
        <v>650</v>
      </c>
      <c r="K307" t="inlineStr"/>
      <c r="M307" t="inlineStr">
        <is>
          <t>TN</t>
        </is>
      </c>
      <c r="N307" t="inlineStr"/>
      <c r="P307" t="inlineStr">
        <is>
          <t>20220331</t>
        </is>
      </c>
      <c r="Q307" t="inlineStr">
        <is>
          <t>20250131</t>
        </is>
      </c>
    </row>
    <row r="308">
      <c r="A308" t="inlineStr">
        <is>
          <t>900000472DW70D09310190932</t>
        </is>
      </c>
      <c r="B308" t="inlineStr">
        <is>
          <t>900000472</t>
        </is>
      </c>
      <c r="C308" t="inlineStr">
        <is>
          <t>DW70</t>
        </is>
      </c>
      <c r="D308" t="inlineStr">
        <is>
          <t>D093</t>
        </is>
      </c>
      <c r="E308" t="inlineStr">
        <is>
          <t>4</t>
        </is>
      </c>
      <c r="F308" t="inlineStr">
        <is>
          <t>10190932</t>
        </is>
      </c>
      <c r="H308" t="inlineStr"/>
      <c r="J308" t="n">
        <v>650</v>
      </c>
      <c r="K308" t="inlineStr"/>
      <c r="M308" t="inlineStr">
        <is>
          <t>TN</t>
        </is>
      </c>
      <c r="N308" t="inlineStr"/>
      <c r="P308" t="inlineStr">
        <is>
          <t>20220331</t>
        </is>
      </c>
      <c r="Q308" t="inlineStr">
        <is>
          <t>20250131</t>
        </is>
      </c>
    </row>
    <row r="309">
      <c r="A309" t="inlineStr">
        <is>
          <t>900000472DW70D09810000635</t>
        </is>
      </c>
      <c r="B309" t="inlineStr">
        <is>
          <t>900000472</t>
        </is>
      </c>
      <c r="C309" t="inlineStr">
        <is>
          <t>DW70</t>
        </is>
      </c>
      <c r="D309" t="inlineStr">
        <is>
          <t>D098</t>
        </is>
      </c>
      <c r="E309" t="inlineStr">
        <is>
          <t>4</t>
        </is>
      </c>
      <c r="F309" t="inlineStr">
        <is>
          <t>10000635</t>
        </is>
      </c>
      <c r="H309" t="inlineStr"/>
      <c r="J309" t="n">
        <v>485.11</v>
      </c>
      <c r="K309" t="inlineStr"/>
      <c r="M309" t="inlineStr">
        <is>
          <t>TN</t>
        </is>
      </c>
      <c r="N309" t="inlineStr"/>
      <c r="P309" t="inlineStr">
        <is>
          <t>20220331</t>
        </is>
      </c>
      <c r="Q309" t="inlineStr">
        <is>
          <t>20250131</t>
        </is>
      </c>
    </row>
    <row r="310">
      <c r="A310" t="inlineStr">
        <is>
          <t>900000472DW70D09810000643</t>
        </is>
      </c>
      <c r="B310" t="inlineStr">
        <is>
          <t>900000472</t>
        </is>
      </c>
      <c r="C310" t="inlineStr">
        <is>
          <t>DW70</t>
        </is>
      </c>
      <c r="D310" t="inlineStr">
        <is>
          <t>D098</t>
        </is>
      </c>
      <c r="E310" t="inlineStr">
        <is>
          <t>4</t>
        </is>
      </c>
      <c r="F310" t="inlineStr">
        <is>
          <t>10000643</t>
        </is>
      </c>
      <c r="H310" t="inlineStr"/>
      <c r="J310" t="n">
        <v>485.11</v>
      </c>
      <c r="K310" t="inlineStr"/>
      <c r="M310" t="inlineStr">
        <is>
          <t>TN</t>
        </is>
      </c>
      <c r="N310" t="inlineStr"/>
      <c r="P310" t="inlineStr">
        <is>
          <t>20220331</t>
        </is>
      </c>
      <c r="Q310" t="inlineStr">
        <is>
          <t>20250131</t>
        </is>
      </c>
    </row>
    <row r="311">
      <c r="A311" t="inlineStr">
        <is>
          <t>900000472DW70D09810000655</t>
        </is>
      </c>
      <c r="B311" t="inlineStr">
        <is>
          <t>900000472</t>
        </is>
      </c>
      <c r="C311" t="inlineStr">
        <is>
          <t>DW70</t>
        </is>
      </c>
      <c r="D311" t="inlineStr">
        <is>
          <t>D098</t>
        </is>
      </c>
      <c r="E311" t="inlineStr">
        <is>
          <t>4</t>
        </is>
      </c>
      <c r="F311" t="inlineStr">
        <is>
          <t>10000655</t>
        </is>
      </c>
      <c r="H311" t="inlineStr"/>
      <c r="J311" t="n">
        <v>485.11</v>
      </c>
      <c r="K311" t="inlineStr"/>
      <c r="M311" t="inlineStr">
        <is>
          <t>TN</t>
        </is>
      </c>
      <c r="N311" t="inlineStr"/>
      <c r="P311" t="inlineStr">
        <is>
          <t>20220331</t>
        </is>
      </c>
      <c r="Q311" t="inlineStr">
        <is>
          <t>20250131</t>
        </is>
      </c>
    </row>
    <row r="312">
      <c r="A312" t="inlineStr">
        <is>
          <t>900000472DW70D09810188219</t>
        </is>
      </c>
      <c r="B312" t="inlineStr">
        <is>
          <t>900000472</t>
        </is>
      </c>
      <c r="C312" t="inlineStr">
        <is>
          <t>DW70</t>
        </is>
      </c>
      <c r="D312" t="inlineStr">
        <is>
          <t>D098</t>
        </is>
      </c>
      <c r="E312" t="inlineStr">
        <is>
          <t>4</t>
        </is>
      </c>
      <c r="F312" t="inlineStr">
        <is>
          <t>10188219</t>
        </is>
      </c>
      <c r="H312" t="inlineStr"/>
      <c r="J312" t="n">
        <v>650</v>
      </c>
      <c r="K312" t="inlineStr"/>
      <c r="M312" t="inlineStr">
        <is>
          <t>TN</t>
        </is>
      </c>
      <c r="N312" t="inlineStr"/>
      <c r="P312" t="inlineStr">
        <is>
          <t>20220331</t>
        </is>
      </c>
      <c r="Q312" t="inlineStr">
        <is>
          <t>20250131</t>
        </is>
      </c>
    </row>
    <row r="313">
      <c r="A313" t="inlineStr">
        <is>
          <t>900000472DW70D09810189170</t>
        </is>
      </c>
      <c r="B313" t="inlineStr">
        <is>
          <t>900000472</t>
        </is>
      </c>
      <c r="C313" t="inlineStr">
        <is>
          <t>DW70</t>
        </is>
      </c>
      <c r="D313" t="inlineStr">
        <is>
          <t>D098</t>
        </is>
      </c>
      <c r="E313" t="inlineStr">
        <is>
          <t>4</t>
        </is>
      </c>
      <c r="F313" t="inlineStr">
        <is>
          <t>10189170</t>
        </is>
      </c>
      <c r="H313" t="inlineStr"/>
      <c r="J313" t="n">
        <v>650</v>
      </c>
      <c r="K313" t="inlineStr"/>
      <c r="M313" t="inlineStr">
        <is>
          <t>TN</t>
        </is>
      </c>
      <c r="N313" t="inlineStr"/>
      <c r="P313" t="inlineStr">
        <is>
          <t>20220331</t>
        </is>
      </c>
      <c r="Q313" t="inlineStr">
        <is>
          <t>20250131</t>
        </is>
      </c>
    </row>
    <row r="314">
      <c r="A314" t="inlineStr">
        <is>
          <t>900000472DW70D09810190932</t>
        </is>
      </c>
      <c r="B314" t="inlineStr">
        <is>
          <t>900000472</t>
        </is>
      </c>
      <c r="C314" t="inlineStr">
        <is>
          <t>DW70</t>
        </is>
      </c>
      <c r="D314" t="inlineStr">
        <is>
          <t>D098</t>
        </is>
      </c>
      <c r="E314" t="inlineStr">
        <is>
          <t>4</t>
        </is>
      </c>
      <c r="F314" t="inlineStr">
        <is>
          <t>10190932</t>
        </is>
      </c>
      <c r="H314" t="inlineStr"/>
      <c r="J314" t="n">
        <v>650</v>
      </c>
      <c r="K314" t="inlineStr"/>
      <c r="M314" t="inlineStr">
        <is>
          <t>TN</t>
        </is>
      </c>
      <c r="N314" t="inlineStr"/>
      <c r="P314" t="inlineStr">
        <is>
          <t>20220331</t>
        </is>
      </c>
      <c r="Q314" t="inlineStr">
        <is>
          <t>20250131</t>
        </is>
      </c>
    </row>
    <row r="315">
      <c r="A315" t="inlineStr">
        <is>
          <t>900000472DW70D10510000635</t>
        </is>
      </c>
      <c r="B315" t="inlineStr">
        <is>
          <t>900000472</t>
        </is>
      </c>
      <c r="C315" t="inlineStr">
        <is>
          <t>DW70</t>
        </is>
      </c>
      <c r="D315" t="inlineStr">
        <is>
          <t>D105</t>
        </is>
      </c>
      <c r="E315" t="inlineStr">
        <is>
          <t>4</t>
        </is>
      </c>
      <c r="F315" t="inlineStr">
        <is>
          <t>10000635</t>
        </is>
      </c>
      <c r="H315" t="inlineStr"/>
      <c r="J315" t="n">
        <v>485.11</v>
      </c>
      <c r="K315" t="inlineStr"/>
      <c r="M315" t="inlineStr">
        <is>
          <t>TN</t>
        </is>
      </c>
      <c r="N315" t="inlineStr"/>
      <c r="P315" t="inlineStr">
        <is>
          <t>20220331</t>
        </is>
      </c>
      <c r="Q315" t="inlineStr">
        <is>
          <t>20250131</t>
        </is>
      </c>
    </row>
    <row r="316">
      <c r="A316" t="inlineStr">
        <is>
          <t>900000472DW70D10510000643</t>
        </is>
      </c>
      <c r="B316" t="inlineStr">
        <is>
          <t>900000472</t>
        </is>
      </c>
      <c r="C316" t="inlineStr">
        <is>
          <t>DW70</t>
        </is>
      </c>
      <c r="D316" t="inlineStr">
        <is>
          <t>D105</t>
        </is>
      </c>
      <c r="E316" t="inlineStr">
        <is>
          <t>4</t>
        </is>
      </c>
      <c r="F316" t="inlineStr">
        <is>
          <t>10000643</t>
        </is>
      </c>
      <c r="H316" t="inlineStr"/>
      <c r="J316" t="n">
        <v>485.11</v>
      </c>
      <c r="K316" t="inlineStr"/>
      <c r="M316" t="inlineStr">
        <is>
          <t>TN</t>
        </is>
      </c>
      <c r="N316" t="inlineStr"/>
      <c r="P316" t="inlineStr">
        <is>
          <t>20220331</t>
        </is>
      </c>
      <c r="Q316" t="inlineStr">
        <is>
          <t>20250131</t>
        </is>
      </c>
    </row>
    <row r="317">
      <c r="A317" t="inlineStr">
        <is>
          <t>900000472DW70D10510000655</t>
        </is>
      </c>
      <c r="B317" t="inlineStr">
        <is>
          <t>900000472</t>
        </is>
      </c>
      <c r="C317" t="inlineStr">
        <is>
          <t>DW70</t>
        </is>
      </c>
      <c r="D317" t="inlineStr">
        <is>
          <t>D105</t>
        </is>
      </c>
      <c r="E317" t="inlineStr">
        <is>
          <t>4</t>
        </is>
      </c>
      <c r="F317" t="inlineStr">
        <is>
          <t>10000655</t>
        </is>
      </c>
      <c r="H317" t="inlineStr"/>
      <c r="J317" t="n">
        <v>485.11</v>
      </c>
      <c r="K317" t="inlineStr"/>
      <c r="M317" t="inlineStr">
        <is>
          <t>TN</t>
        </is>
      </c>
      <c r="N317" t="inlineStr"/>
      <c r="P317" t="inlineStr">
        <is>
          <t>20220331</t>
        </is>
      </c>
      <c r="Q317" t="inlineStr">
        <is>
          <t>20250131</t>
        </is>
      </c>
    </row>
    <row r="318">
      <c r="A318" t="inlineStr">
        <is>
          <t>900000472DW70D10510004432</t>
        </is>
      </c>
      <c r="B318" t="inlineStr">
        <is>
          <t>900000472</t>
        </is>
      </c>
      <c r="C318" t="inlineStr">
        <is>
          <t>DW70</t>
        </is>
      </c>
      <c r="D318" t="inlineStr">
        <is>
          <t>D105</t>
        </is>
      </c>
      <c r="E318" t="inlineStr">
        <is>
          <t>4</t>
        </is>
      </c>
      <c r="F318" t="inlineStr">
        <is>
          <t>10004432</t>
        </is>
      </c>
      <c r="H318" t="inlineStr"/>
      <c r="J318" t="n">
        <v>2600</v>
      </c>
      <c r="K318" t="inlineStr"/>
      <c r="M318" t="inlineStr">
        <is>
          <t>TN</t>
        </is>
      </c>
      <c r="N318" t="inlineStr"/>
      <c r="P318" t="inlineStr">
        <is>
          <t>20220331</t>
        </is>
      </c>
      <c r="Q318" t="inlineStr">
        <is>
          <t>20250131</t>
        </is>
      </c>
    </row>
    <row r="319">
      <c r="A319" t="inlineStr">
        <is>
          <t>900000472DW70D10510188219</t>
        </is>
      </c>
      <c r="B319" t="inlineStr">
        <is>
          <t>900000472</t>
        </is>
      </c>
      <c r="C319" t="inlineStr">
        <is>
          <t>DW70</t>
        </is>
      </c>
      <c r="D319" t="inlineStr">
        <is>
          <t>D105</t>
        </is>
      </c>
      <c r="E319" t="inlineStr">
        <is>
          <t>4</t>
        </is>
      </c>
      <c r="F319" t="inlineStr">
        <is>
          <t>10188219</t>
        </is>
      </c>
      <c r="H319" t="inlineStr"/>
      <c r="J319" t="n">
        <v>650</v>
      </c>
      <c r="K319" t="inlineStr"/>
      <c r="M319" t="inlineStr">
        <is>
          <t>TN</t>
        </is>
      </c>
      <c r="N319" t="inlineStr"/>
      <c r="P319" t="inlineStr">
        <is>
          <t>20220331</t>
        </is>
      </c>
      <c r="Q319" t="inlineStr">
        <is>
          <t>20250131</t>
        </is>
      </c>
    </row>
    <row r="320">
      <c r="A320" t="inlineStr">
        <is>
          <t>900000472DW70D10510189170</t>
        </is>
      </c>
      <c r="B320" t="inlineStr">
        <is>
          <t>900000472</t>
        </is>
      </c>
      <c r="C320" t="inlineStr">
        <is>
          <t>DW70</t>
        </is>
      </c>
      <c r="D320" t="inlineStr">
        <is>
          <t>D105</t>
        </is>
      </c>
      <c r="E320" t="inlineStr">
        <is>
          <t>4</t>
        </is>
      </c>
      <c r="F320" t="inlineStr">
        <is>
          <t>10189170</t>
        </is>
      </c>
      <c r="H320" t="inlineStr"/>
      <c r="J320" t="n">
        <v>650</v>
      </c>
      <c r="K320" t="inlineStr"/>
      <c r="M320" t="inlineStr">
        <is>
          <t>TN</t>
        </is>
      </c>
      <c r="N320" t="inlineStr"/>
      <c r="P320" t="inlineStr">
        <is>
          <t>20220331</t>
        </is>
      </c>
      <c r="Q320" t="inlineStr">
        <is>
          <t>20250131</t>
        </is>
      </c>
    </row>
    <row r="321">
      <c r="A321" t="inlineStr">
        <is>
          <t>900000472DW70D10510190932</t>
        </is>
      </c>
      <c r="B321" t="inlineStr">
        <is>
          <t>900000472</t>
        </is>
      </c>
      <c r="C321" t="inlineStr">
        <is>
          <t>DW70</t>
        </is>
      </c>
      <c r="D321" t="inlineStr">
        <is>
          <t>D105</t>
        </is>
      </c>
      <c r="E321" t="inlineStr">
        <is>
          <t>4</t>
        </is>
      </c>
      <c r="F321" t="inlineStr">
        <is>
          <t>10190932</t>
        </is>
      </c>
      <c r="H321" t="inlineStr"/>
      <c r="J321" t="n">
        <v>650</v>
      </c>
      <c r="K321" t="inlineStr"/>
      <c r="M321" t="inlineStr">
        <is>
          <t>TN</t>
        </is>
      </c>
      <c r="N321" t="inlineStr"/>
      <c r="P321" t="inlineStr">
        <is>
          <t>20220331</t>
        </is>
      </c>
      <c r="Q321" t="inlineStr">
        <is>
          <t>20250131</t>
        </is>
      </c>
    </row>
    <row r="322">
      <c r="A322" t="inlineStr">
        <is>
          <t>900000472DW70D10510211427</t>
        </is>
      </c>
      <c r="B322" t="inlineStr">
        <is>
          <t>900000472</t>
        </is>
      </c>
      <c r="C322" t="inlineStr">
        <is>
          <t>DW70</t>
        </is>
      </c>
      <c r="D322" t="inlineStr">
        <is>
          <t>D105</t>
        </is>
      </c>
      <c r="E322" t="inlineStr">
        <is>
          <t>4</t>
        </is>
      </c>
      <c r="F322" t="inlineStr">
        <is>
          <t>10211427</t>
        </is>
      </c>
      <c r="H322" t="inlineStr"/>
      <c r="J322" t="n">
        <v>2210.53</v>
      </c>
      <c r="K322" t="inlineStr"/>
      <c r="M322" t="inlineStr">
        <is>
          <t>TN</t>
        </is>
      </c>
      <c r="N322" t="inlineStr"/>
      <c r="P322" t="inlineStr">
        <is>
          <t>20220331</t>
        </is>
      </c>
      <c r="Q322" t="inlineStr">
        <is>
          <t>20250131</t>
        </is>
      </c>
    </row>
    <row r="323">
      <c r="A323" t="inlineStr">
        <is>
          <t>900000472DW70D13610000175</t>
        </is>
      </c>
      <c r="B323" t="inlineStr">
        <is>
          <t>900000472</t>
        </is>
      </c>
      <c r="C323" t="inlineStr">
        <is>
          <t>DW70</t>
        </is>
      </c>
      <c r="D323" t="inlineStr">
        <is>
          <t>D136</t>
        </is>
      </c>
      <c r="E323" t="inlineStr">
        <is>
          <t>4</t>
        </is>
      </c>
      <c r="F323" t="inlineStr">
        <is>
          <t>10000175</t>
        </is>
      </c>
      <c r="H323" t="inlineStr"/>
      <c r="J323" t="n">
        <v>440.86</v>
      </c>
      <c r="K323" t="inlineStr"/>
      <c r="M323" t="inlineStr">
        <is>
          <t>TN</t>
        </is>
      </c>
      <c r="N323" t="inlineStr"/>
      <c r="P323" t="inlineStr">
        <is>
          <t>20260605</t>
        </is>
      </c>
      <c r="Q323" t="inlineStr">
        <is>
          <t>99991231</t>
        </is>
      </c>
    </row>
    <row r="324">
      <c r="A324" t="inlineStr">
        <is>
          <t>900000472DW70D13610000635</t>
        </is>
      </c>
      <c r="B324" t="inlineStr">
        <is>
          <t>900000472</t>
        </is>
      </c>
      <c r="C324" t="inlineStr">
        <is>
          <t>DW70</t>
        </is>
      </c>
      <c r="D324" t="inlineStr">
        <is>
          <t>D136</t>
        </is>
      </c>
      <c r="E324" t="inlineStr">
        <is>
          <t>4</t>
        </is>
      </c>
      <c r="F324" t="inlineStr">
        <is>
          <t>10000635</t>
        </is>
      </c>
      <c r="H324" t="inlineStr"/>
      <c r="J324" t="n">
        <v>605.33</v>
      </c>
      <c r="K324" t="inlineStr"/>
      <c r="M324" t="inlineStr">
        <is>
          <t>TN</t>
        </is>
      </c>
      <c r="N324" t="inlineStr"/>
      <c r="P324" t="inlineStr">
        <is>
          <t>20260301</t>
        </is>
      </c>
      <c r="Q324" t="inlineStr">
        <is>
          <t>99991231</t>
        </is>
      </c>
    </row>
    <row r="325">
      <c r="A325" t="inlineStr">
        <is>
          <t>900000472DW70D13610000643</t>
        </is>
      </c>
      <c r="B325" t="inlineStr">
        <is>
          <t>900000472</t>
        </is>
      </c>
      <c r="C325" t="inlineStr">
        <is>
          <t>DW70</t>
        </is>
      </c>
      <c r="D325" t="inlineStr">
        <is>
          <t>D136</t>
        </is>
      </c>
      <c r="E325" t="inlineStr">
        <is>
          <t>4</t>
        </is>
      </c>
      <c r="F325" t="inlineStr">
        <is>
          <t>10000643</t>
        </is>
      </c>
      <c r="H325" t="inlineStr"/>
      <c r="J325" t="n">
        <v>605.33</v>
      </c>
      <c r="K325" t="inlineStr"/>
      <c r="M325" t="inlineStr">
        <is>
          <t>TN</t>
        </is>
      </c>
      <c r="N325" t="inlineStr"/>
      <c r="P325" t="inlineStr">
        <is>
          <t>20260301</t>
        </is>
      </c>
      <c r="Q325" t="inlineStr">
        <is>
          <t>99991231</t>
        </is>
      </c>
    </row>
    <row r="326">
      <c r="A326" t="inlineStr">
        <is>
          <t>900000472DW70D13610000655</t>
        </is>
      </c>
      <c r="B326" t="inlineStr">
        <is>
          <t>900000472</t>
        </is>
      </c>
      <c r="C326" t="inlineStr">
        <is>
          <t>DW70</t>
        </is>
      </c>
      <c r="D326" t="inlineStr">
        <is>
          <t>D136</t>
        </is>
      </c>
      <c r="E326" t="inlineStr">
        <is>
          <t>4</t>
        </is>
      </c>
      <c r="F326" t="inlineStr">
        <is>
          <t>10000655</t>
        </is>
      </c>
      <c r="H326" t="inlineStr"/>
      <c r="J326" t="n">
        <v>571.0700000000001</v>
      </c>
      <c r="K326" t="inlineStr"/>
      <c r="M326" t="inlineStr">
        <is>
          <t>TN</t>
        </is>
      </c>
      <c r="N326" t="inlineStr"/>
      <c r="P326" t="inlineStr">
        <is>
          <t>20250401</t>
        </is>
      </c>
      <c r="Q326" t="inlineStr">
        <is>
          <t>20251031</t>
        </is>
      </c>
    </row>
    <row r="327">
      <c r="A327" t="inlineStr">
        <is>
          <t>900000472DW70D13610190932</t>
        </is>
      </c>
      <c r="B327" t="inlineStr">
        <is>
          <t>900000472</t>
        </is>
      </c>
      <c r="C327" t="inlineStr">
        <is>
          <t>DW70</t>
        </is>
      </c>
      <c r="D327" t="inlineStr">
        <is>
          <t>D136</t>
        </is>
      </c>
      <c r="E327" t="inlineStr">
        <is>
          <t>4</t>
        </is>
      </c>
      <c r="F327" t="inlineStr">
        <is>
          <t>10190932</t>
        </is>
      </c>
      <c r="H327" t="inlineStr"/>
      <c r="J327" t="n">
        <v>650</v>
      </c>
      <c r="K327" t="inlineStr"/>
      <c r="M327" t="inlineStr">
        <is>
          <t>TN</t>
        </is>
      </c>
      <c r="N327" t="inlineStr"/>
      <c r="P327" t="inlineStr">
        <is>
          <t>20220331</t>
        </is>
      </c>
      <c r="Q327" t="inlineStr">
        <is>
          <t>20250131</t>
        </is>
      </c>
    </row>
    <row r="328">
      <c r="A328" t="inlineStr">
        <is>
          <t>900000472DW70D14510000635</t>
        </is>
      </c>
      <c r="B328" t="inlineStr">
        <is>
          <t>900000472</t>
        </is>
      </c>
      <c r="C328" t="inlineStr">
        <is>
          <t>DW70</t>
        </is>
      </c>
      <c r="D328" t="inlineStr">
        <is>
          <t>D145</t>
        </is>
      </c>
      <c r="E328" t="inlineStr">
        <is>
          <t>4</t>
        </is>
      </c>
      <c r="F328" t="inlineStr">
        <is>
          <t>10000635</t>
        </is>
      </c>
      <c r="H328" t="inlineStr"/>
      <c r="J328" t="n">
        <v>485.11</v>
      </c>
      <c r="K328" t="inlineStr"/>
      <c r="M328" t="inlineStr">
        <is>
          <t>TN</t>
        </is>
      </c>
      <c r="N328" t="inlineStr"/>
      <c r="P328" t="inlineStr">
        <is>
          <t>20220331</t>
        </is>
      </c>
      <c r="Q328" t="inlineStr">
        <is>
          <t>20250131</t>
        </is>
      </c>
    </row>
    <row r="329">
      <c r="A329" t="inlineStr">
        <is>
          <t>900000472DW70D14510000643</t>
        </is>
      </c>
      <c r="B329" t="inlineStr">
        <is>
          <t>900000472</t>
        </is>
      </c>
      <c r="C329" t="inlineStr">
        <is>
          <t>DW70</t>
        </is>
      </c>
      <c r="D329" t="inlineStr">
        <is>
          <t>D145</t>
        </is>
      </c>
      <c r="E329" t="inlineStr">
        <is>
          <t>4</t>
        </is>
      </c>
      <c r="F329" t="inlineStr">
        <is>
          <t>10000643</t>
        </is>
      </c>
      <c r="H329" t="inlineStr"/>
      <c r="J329" t="n">
        <v>485.11</v>
      </c>
      <c r="K329" t="inlineStr"/>
      <c r="M329" t="inlineStr">
        <is>
          <t>TN</t>
        </is>
      </c>
      <c r="N329" t="inlineStr"/>
      <c r="P329" t="inlineStr">
        <is>
          <t>20220331</t>
        </is>
      </c>
      <c r="Q329" t="inlineStr">
        <is>
          <t>20250131</t>
        </is>
      </c>
    </row>
    <row r="330">
      <c r="A330" t="inlineStr">
        <is>
          <t>900000472DW70D14510000655</t>
        </is>
      </c>
      <c r="B330" t="inlineStr">
        <is>
          <t>900000472</t>
        </is>
      </c>
      <c r="C330" t="inlineStr">
        <is>
          <t>DW70</t>
        </is>
      </c>
      <c r="D330" t="inlineStr">
        <is>
          <t>D145</t>
        </is>
      </c>
      <c r="E330" t="inlineStr">
        <is>
          <t>4</t>
        </is>
      </c>
      <c r="F330" t="inlineStr">
        <is>
          <t>10000655</t>
        </is>
      </c>
      <c r="H330" t="inlineStr"/>
      <c r="J330" t="n">
        <v>485.11</v>
      </c>
      <c r="K330" t="inlineStr"/>
      <c r="M330" t="inlineStr">
        <is>
          <t>TN</t>
        </is>
      </c>
      <c r="N330" t="inlineStr"/>
      <c r="P330" t="inlineStr">
        <is>
          <t>20220331</t>
        </is>
      </c>
      <c r="Q330" t="inlineStr">
        <is>
          <t>20250131</t>
        </is>
      </c>
    </row>
    <row r="331">
      <c r="A331" t="inlineStr">
        <is>
          <t>900000472DW70D14510188219</t>
        </is>
      </c>
      <c r="B331" t="inlineStr">
        <is>
          <t>900000472</t>
        </is>
      </c>
      <c r="C331" t="inlineStr">
        <is>
          <t>DW70</t>
        </is>
      </c>
      <c r="D331" t="inlineStr">
        <is>
          <t>D145</t>
        </is>
      </c>
      <c r="E331" t="inlineStr">
        <is>
          <t>4</t>
        </is>
      </c>
      <c r="F331" t="inlineStr">
        <is>
          <t>10188219</t>
        </is>
      </c>
      <c r="H331" t="inlineStr"/>
      <c r="J331" t="n">
        <v>650</v>
      </c>
      <c r="K331" t="inlineStr"/>
      <c r="M331" t="inlineStr">
        <is>
          <t>TN</t>
        </is>
      </c>
      <c r="N331" t="inlineStr"/>
      <c r="P331" t="inlineStr">
        <is>
          <t>20220331</t>
        </is>
      </c>
      <c r="Q331" t="inlineStr">
        <is>
          <t>20250131</t>
        </is>
      </c>
    </row>
    <row r="332">
      <c r="A332" t="inlineStr">
        <is>
          <t>900000472DW70D14510189170</t>
        </is>
      </c>
      <c r="B332" t="inlineStr">
        <is>
          <t>900000472</t>
        </is>
      </c>
      <c r="C332" t="inlineStr">
        <is>
          <t>DW70</t>
        </is>
      </c>
      <c r="D332" t="inlineStr">
        <is>
          <t>D145</t>
        </is>
      </c>
      <c r="E332" t="inlineStr">
        <is>
          <t>4</t>
        </is>
      </c>
      <c r="F332" t="inlineStr">
        <is>
          <t>10189170</t>
        </is>
      </c>
      <c r="H332" t="inlineStr"/>
      <c r="J332" t="n">
        <v>650</v>
      </c>
      <c r="K332" t="inlineStr"/>
      <c r="M332" t="inlineStr">
        <is>
          <t>TN</t>
        </is>
      </c>
      <c r="N332" t="inlineStr"/>
      <c r="P332" t="inlineStr">
        <is>
          <t>20220331</t>
        </is>
      </c>
      <c r="Q332" t="inlineStr">
        <is>
          <t>20250131</t>
        </is>
      </c>
    </row>
    <row r="333">
      <c r="A333" t="inlineStr">
        <is>
          <t>900000472DW70D14510190932</t>
        </is>
      </c>
      <c r="B333" t="inlineStr">
        <is>
          <t>900000472</t>
        </is>
      </c>
      <c r="C333" t="inlineStr">
        <is>
          <t>DW70</t>
        </is>
      </c>
      <c r="D333" t="inlineStr">
        <is>
          <t>D145</t>
        </is>
      </c>
      <c r="E333" t="inlineStr">
        <is>
          <t>4</t>
        </is>
      </c>
      <c r="F333" t="inlineStr">
        <is>
          <t>10190932</t>
        </is>
      </c>
      <c r="H333" t="inlineStr"/>
      <c r="J333" t="n">
        <v>650</v>
      </c>
      <c r="K333" t="inlineStr"/>
      <c r="M333" t="inlineStr">
        <is>
          <t>TN</t>
        </is>
      </c>
      <c r="N333" t="inlineStr"/>
      <c r="P333" t="inlineStr">
        <is>
          <t>20220331</t>
        </is>
      </c>
      <c r="Q333" t="inlineStr">
        <is>
          <t>20250131</t>
        </is>
      </c>
    </row>
    <row r="334">
      <c r="A334" t="inlineStr">
        <is>
          <t>900000555DW70D09310001353</t>
        </is>
      </c>
      <c r="B334" t="inlineStr">
        <is>
          <t>900000555</t>
        </is>
      </c>
      <c r="C334" t="inlineStr">
        <is>
          <t>DW70</t>
        </is>
      </c>
      <c r="D334" t="inlineStr">
        <is>
          <t>D093</t>
        </is>
      </c>
      <c r="E334" t="inlineStr">
        <is>
          <t>1</t>
        </is>
      </c>
      <c r="F334" t="inlineStr">
        <is>
          <t>10001353</t>
        </is>
      </c>
      <c r="H334" t="inlineStr"/>
      <c r="J334" t="n">
        <v>137.76</v>
      </c>
      <c r="K334" t="inlineStr"/>
      <c r="M334" t="inlineStr">
        <is>
          <t>TN</t>
        </is>
      </c>
      <c r="N334" t="inlineStr"/>
      <c r="P334" t="inlineStr">
        <is>
          <t>20220331</t>
        </is>
      </c>
      <c r="Q334" t="inlineStr">
        <is>
          <t>20250131</t>
        </is>
      </c>
    </row>
    <row r="335">
      <c r="A335" t="inlineStr">
        <is>
          <t>900000555DW70D09310001354</t>
        </is>
      </c>
      <c r="B335" t="inlineStr">
        <is>
          <t>900000555</t>
        </is>
      </c>
      <c r="C335" t="inlineStr">
        <is>
          <t>DW70</t>
        </is>
      </c>
      <c r="D335" t="inlineStr">
        <is>
          <t>D093</t>
        </is>
      </c>
      <c r="E335" t="inlineStr">
        <is>
          <t>1</t>
        </is>
      </c>
      <c r="F335" t="inlineStr">
        <is>
          <t>10001354</t>
        </is>
      </c>
      <c r="H335" t="inlineStr"/>
      <c r="J335" t="n">
        <v>159.11</v>
      </c>
      <c r="K335" t="inlineStr"/>
      <c r="M335" t="inlineStr">
        <is>
          <t>TN</t>
        </is>
      </c>
      <c r="N335" t="inlineStr"/>
      <c r="P335" t="inlineStr">
        <is>
          <t>20220331</t>
        </is>
      </c>
      <c r="Q335" t="inlineStr">
        <is>
          <t>20250131</t>
        </is>
      </c>
    </row>
    <row r="336">
      <c r="A336" t="inlineStr">
        <is>
          <t>900000555DW70D09310001436</t>
        </is>
      </c>
      <c r="B336" t="inlineStr">
        <is>
          <t>900000555</t>
        </is>
      </c>
      <c r="C336" t="inlineStr">
        <is>
          <t>DW70</t>
        </is>
      </c>
      <c r="D336" t="inlineStr">
        <is>
          <t>D093</t>
        </is>
      </c>
      <c r="E336" t="inlineStr">
        <is>
          <t>1</t>
        </is>
      </c>
      <c r="F336" t="inlineStr">
        <is>
          <t>10001436</t>
        </is>
      </c>
      <c r="H336" t="inlineStr"/>
      <c r="J336" t="n">
        <v>162.64</v>
      </c>
      <c r="K336" t="inlineStr"/>
      <c r="M336" t="inlineStr">
        <is>
          <t>TN</t>
        </is>
      </c>
      <c r="N336" t="inlineStr"/>
      <c r="P336" t="inlineStr">
        <is>
          <t>20220331</t>
        </is>
      </c>
      <c r="Q336" t="inlineStr">
        <is>
          <t>20250131</t>
        </is>
      </c>
    </row>
    <row r="337">
      <c r="A337" t="inlineStr">
        <is>
          <t>900000575DW70D07410059180</t>
        </is>
      </c>
      <c r="B337" t="inlineStr">
        <is>
          <t>900000575</t>
        </is>
      </c>
      <c r="C337" t="inlineStr">
        <is>
          <t>DW70</t>
        </is>
      </c>
      <c r="D337" t="inlineStr">
        <is>
          <t>D074</t>
        </is>
      </c>
      <c r="E337" t="inlineStr">
        <is>
          <t>4</t>
        </is>
      </c>
      <c r="F337" t="inlineStr">
        <is>
          <t>10059180</t>
        </is>
      </c>
      <c r="H337" t="inlineStr"/>
      <c r="J337" t="n">
        <v>103.05</v>
      </c>
      <c r="K337" t="inlineStr"/>
      <c r="M337" t="inlineStr">
        <is>
          <t>TN</t>
        </is>
      </c>
      <c r="N337" t="inlineStr"/>
      <c r="P337" t="inlineStr">
        <is>
          <t>20220331</t>
        </is>
      </c>
      <c r="Q337" t="inlineStr">
        <is>
          <t>20250131</t>
        </is>
      </c>
    </row>
    <row r="338">
      <c r="A338" t="inlineStr">
        <is>
          <t>900000575DW70D07510059180</t>
        </is>
      </c>
      <c r="B338" t="inlineStr">
        <is>
          <t>900000575</t>
        </is>
      </c>
      <c r="C338" t="inlineStr">
        <is>
          <t>DW70</t>
        </is>
      </c>
      <c r="D338" t="inlineStr">
        <is>
          <t>D075</t>
        </is>
      </c>
      <c r="E338" t="inlineStr">
        <is>
          <t>4</t>
        </is>
      </c>
      <c r="F338" t="inlineStr">
        <is>
          <t>10059180</t>
        </is>
      </c>
      <c r="H338" t="inlineStr"/>
      <c r="J338" t="n">
        <v>90.48999999999999</v>
      </c>
      <c r="K338" t="inlineStr"/>
      <c r="M338" t="inlineStr">
        <is>
          <t>TN</t>
        </is>
      </c>
      <c r="N338" t="inlineStr"/>
      <c r="P338" t="inlineStr">
        <is>
          <t>20220331</t>
        </is>
      </c>
      <c r="Q338" t="inlineStr">
        <is>
          <t>20250131</t>
        </is>
      </c>
    </row>
    <row r="339">
      <c r="A339" t="inlineStr">
        <is>
          <t>900000575DW70D07710059180</t>
        </is>
      </c>
      <c r="B339" t="inlineStr">
        <is>
          <t>900000575</t>
        </is>
      </c>
      <c r="C339" t="inlineStr">
        <is>
          <t>DW70</t>
        </is>
      </c>
      <c r="D339" t="inlineStr">
        <is>
          <t>D077</t>
        </is>
      </c>
      <c r="E339" t="inlineStr">
        <is>
          <t>4</t>
        </is>
      </c>
      <c r="F339" t="inlineStr">
        <is>
          <t>10059180</t>
        </is>
      </c>
      <c r="H339" t="inlineStr"/>
      <c r="J339" t="n">
        <v>135.72</v>
      </c>
      <c r="K339" t="inlineStr"/>
      <c r="M339" t="inlineStr">
        <is>
          <t>TN</t>
        </is>
      </c>
      <c r="N339" t="inlineStr"/>
      <c r="P339" t="inlineStr">
        <is>
          <t>20220331</t>
        </is>
      </c>
      <c r="Q339" t="inlineStr">
        <is>
          <t>20250131</t>
        </is>
      </c>
    </row>
    <row r="340">
      <c r="A340" t="inlineStr">
        <is>
          <t>900000575DW70D07910059180</t>
        </is>
      </c>
      <c r="B340" t="inlineStr">
        <is>
          <t>900000575</t>
        </is>
      </c>
      <c r="C340" t="inlineStr">
        <is>
          <t>DW70</t>
        </is>
      </c>
      <c r="D340" t="inlineStr">
        <is>
          <t>D079</t>
        </is>
      </c>
      <c r="E340" t="inlineStr">
        <is>
          <t>4</t>
        </is>
      </c>
      <c r="F340" t="inlineStr">
        <is>
          <t>10059180</t>
        </is>
      </c>
      <c r="H340" t="inlineStr"/>
      <c r="J340" t="n">
        <v>134.46</v>
      </c>
      <c r="K340" t="inlineStr"/>
      <c r="M340" t="inlineStr">
        <is>
          <t>TN</t>
        </is>
      </c>
      <c r="N340" t="inlineStr"/>
      <c r="P340" t="inlineStr">
        <is>
          <t>20220331</t>
        </is>
      </c>
      <c r="Q340" t="inlineStr">
        <is>
          <t>20250131</t>
        </is>
      </c>
    </row>
    <row r="341">
      <c r="A341" t="inlineStr">
        <is>
          <t>900000575DW70D08010059180</t>
        </is>
      </c>
      <c r="B341" t="inlineStr">
        <is>
          <t>900000575</t>
        </is>
      </c>
      <c r="C341" t="inlineStr">
        <is>
          <t>DW70</t>
        </is>
      </c>
      <c r="D341" t="inlineStr">
        <is>
          <t>D080</t>
        </is>
      </c>
      <c r="E341" t="inlineStr">
        <is>
          <t>4</t>
        </is>
      </c>
      <c r="F341" t="inlineStr">
        <is>
          <t>10059180</t>
        </is>
      </c>
      <c r="H341" t="inlineStr"/>
      <c r="J341" t="n">
        <v>90.48999999999999</v>
      </c>
      <c r="K341" t="inlineStr"/>
      <c r="M341" t="inlineStr">
        <is>
          <t>TN</t>
        </is>
      </c>
      <c r="N341" t="inlineStr"/>
      <c r="P341" t="inlineStr">
        <is>
          <t>20220331</t>
        </is>
      </c>
      <c r="Q341" t="inlineStr">
        <is>
          <t>20250131</t>
        </is>
      </c>
    </row>
    <row r="342">
      <c r="A342" t="inlineStr">
        <is>
          <t>900000575DW70D08110059180</t>
        </is>
      </c>
      <c r="B342" t="inlineStr">
        <is>
          <t>900000575</t>
        </is>
      </c>
      <c r="C342" t="inlineStr">
        <is>
          <t>DW70</t>
        </is>
      </c>
      <c r="D342" t="inlineStr">
        <is>
          <t>D081</t>
        </is>
      </c>
      <c r="E342" t="inlineStr">
        <is>
          <t>4</t>
        </is>
      </c>
      <c r="F342" t="inlineStr">
        <is>
          <t>10059180</t>
        </is>
      </c>
      <c r="H342" t="inlineStr"/>
      <c r="J342" t="n">
        <v>84.2</v>
      </c>
      <c r="K342" t="inlineStr"/>
      <c r="M342" t="inlineStr">
        <is>
          <t>TN</t>
        </is>
      </c>
      <c r="N342" t="inlineStr"/>
      <c r="P342" t="inlineStr">
        <is>
          <t>20220331</t>
        </is>
      </c>
      <c r="Q342" t="inlineStr">
        <is>
          <t>20250131</t>
        </is>
      </c>
    </row>
    <row r="343">
      <c r="A343" t="inlineStr">
        <is>
          <t>900000575DW70D08310059180</t>
        </is>
      </c>
      <c r="B343" t="inlineStr">
        <is>
          <t>900000575</t>
        </is>
      </c>
      <c r="C343" t="inlineStr">
        <is>
          <t>DW70</t>
        </is>
      </c>
      <c r="D343" t="inlineStr">
        <is>
          <t>D083</t>
        </is>
      </c>
      <c r="E343" t="inlineStr">
        <is>
          <t>4</t>
        </is>
      </c>
      <c r="F343" t="inlineStr">
        <is>
          <t>10059180</t>
        </is>
      </c>
      <c r="H343" t="inlineStr"/>
      <c r="J343" t="n">
        <v>103.05</v>
      </c>
      <c r="K343" t="inlineStr"/>
      <c r="M343" t="inlineStr">
        <is>
          <t>TN</t>
        </is>
      </c>
      <c r="N343" t="inlineStr"/>
      <c r="P343" t="inlineStr">
        <is>
          <t>20220331</t>
        </is>
      </c>
      <c r="Q343" t="inlineStr">
        <is>
          <t>20250131</t>
        </is>
      </c>
    </row>
    <row r="344">
      <c r="A344" t="inlineStr">
        <is>
          <t>900000575DW70D08410059180</t>
        </is>
      </c>
      <c r="B344" t="inlineStr">
        <is>
          <t>900000575</t>
        </is>
      </c>
      <c r="C344" t="inlineStr">
        <is>
          <t>DW70</t>
        </is>
      </c>
      <c r="D344" t="inlineStr">
        <is>
          <t>D084</t>
        </is>
      </c>
      <c r="E344" t="inlineStr">
        <is>
          <t>4</t>
        </is>
      </c>
      <c r="F344" t="inlineStr">
        <is>
          <t>10059180</t>
        </is>
      </c>
      <c r="H344" t="inlineStr"/>
      <c r="J344" t="n">
        <v>126.92</v>
      </c>
      <c r="K344" t="inlineStr"/>
      <c r="M344" t="inlineStr">
        <is>
          <t>TN</t>
        </is>
      </c>
      <c r="N344" t="inlineStr"/>
      <c r="P344" t="inlineStr">
        <is>
          <t>20220331</t>
        </is>
      </c>
      <c r="Q344" t="inlineStr">
        <is>
          <t>20250131</t>
        </is>
      </c>
    </row>
    <row r="345">
      <c r="A345" t="inlineStr">
        <is>
          <t>900000575DW70D08510000623</t>
        </is>
      </c>
      <c r="B345" t="inlineStr">
        <is>
          <t>900000575</t>
        </is>
      </c>
      <c r="C345" t="inlineStr">
        <is>
          <t>DW70</t>
        </is>
      </c>
      <c r="D345" t="inlineStr">
        <is>
          <t>D085</t>
        </is>
      </c>
      <c r="E345" t="inlineStr">
        <is>
          <t>4</t>
        </is>
      </c>
      <c r="F345" t="inlineStr">
        <is>
          <t>10000623</t>
        </is>
      </c>
      <c r="H345" t="inlineStr"/>
      <c r="J345" t="n">
        <v>138.03</v>
      </c>
      <c r="K345" t="inlineStr"/>
      <c r="M345" t="inlineStr">
        <is>
          <t>TN</t>
        </is>
      </c>
      <c r="N345" t="inlineStr"/>
      <c r="P345" t="inlineStr">
        <is>
          <t>20220331</t>
        </is>
      </c>
      <c r="Q345" t="inlineStr">
        <is>
          <t>20250131</t>
        </is>
      </c>
    </row>
    <row r="346">
      <c r="A346" t="inlineStr">
        <is>
          <t>900000575DW70D08510059180</t>
        </is>
      </c>
      <c r="B346" t="inlineStr">
        <is>
          <t>900000575</t>
        </is>
      </c>
      <c r="C346" t="inlineStr">
        <is>
          <t>DW70</t>
        </is>
      </c>
      <c r="D346" t="inlineStr">
        <is>
          <t>D085</t>
        </is>
      </c>
      <c r="E346" t="inlineStr">
        <is>
          <t>4</t>
        </is>
      </c>
      <c r="F346" t="inlineStr">
        <is>
          <t>10059180</t>
        </is>
      </c>
      <c r="H346" t="inlineStr"/>
      <c r="J346" t="n">
        <v>123.15</v>
      </c>
      <c r="K346" t="inlineStr"/>
      <c r="M346" t="inlineStr">
        <is>
          <t>TN</t>
        </is>
      </c>
      <c r="N346" t="inlineStr"/>
      <c r="P346" t="inlineStr">
        <is>
          <t>20220331</t>
        </is>
      </c>
      <c r="Q346" t="inlineStr">
        <is>
          <t>20250131</t>
        </is>
      </c>
    </row>
    <row r="347">
      <c r="A347" t="inlineStr">
        <is>
          <t>900000575DW70D08610059180</t>
        </is>
      </c>
      <c r="B347" t="inlineStr">
        <is>
          <t>900000575</t>
        </is>
      </c>
      <c r="C347" t="inlineStr">
        <is>
          <t>DW70</t>
        </is>
      </c>
      <c r="D347" t="inlineStr">
        <is>
          <t>D086</t>
        </is>
      </c>
      <c r="E347" t="inlineStr">
        <is>
          <t>4</t>
        </is>
      </c>
      <c r="F347" t="inlineStr">
        <is>
          <t>10059180</t>
        </is>
      </c>
      <c r="H347" t="inlineStr"/>
      <c r="J347" t="n">
        <v>105.57</v>
      </c>
      <c r="K347" t="inlineStr"/>
      <c r="M347" t="inlineStr">
        <is>
          <t>TN</t>
        </is>
      </c>
      <c r="N347" t="inlineStr"/>
      <c r="P347" t="inlineStr">
        <is>
          <t>20220331</t>
        </is>
      </c>
      <c r="Q347" t="inlineStr">
        <is>
          <t>20250131</t>
        </is>
      </c>
    </row>
    <row r="348">
      <c r="A348" t="inlineStr">
        <is>
          <t>900000575DW70D08810059180</t>
        </is>
      </c>
      <c r="B348" t="inlineStr">
        <is>
          <t>900000575</t>
        </is>
      </c>
      <c r="C348" t="inlineStr">
        <is>
          <t>DW70</t>
        </is>
      </c>
      <c r="D348" t="inlineStr">
        <is>
          <t>D088</t>
        </is>
      </c>
      <c r="E348" t="inlineStr">
        <is>
          <t>4</t>
        </is>
      </c>
      <c r="F348" t="inlineStr">
        <is>
          <t>10059180</t>
        </is>
      </c>
      <c r="H348" t="inlineStr"/>
      <c r="J348" t="n">
        <v>23.89</v>
      </c>
      <c r="K348" t="inlineStr"/>
      <c r="M348" t="inlineStr">
        <is>
          <t>TN</t>
        </is>
      </c>
      <c r="N348" t="inlineStr"/>
      <c r="P348" t="inlineStr">
        <is>
          <t>20220331</t>
        </is>
      </c>
      <c r="Q348" t="inlineStr">
        <is>
          <t>20250131</t>
        </is>
      </c>
    </row>
    <row r="349">
      <c r="A349" t="inlineStr">
        <is>
          <t>900000575DW70D08910059180</t>
        </is>
      </c>
      <c r="B349" t="inlineStr">
        <is>
          <t>900000575</t>
        </is>
      </c>
      <c r="C349" t="inlineStr">
        <is>
          <t>DW70</t>
        </is>
      </c>
      <c r="D349" t="inlineStr">
        <is>
          <t>D089</t>
        </is>
      </c>
      <c r="E349" t="inlineStr">
        <is>
          <t>4</t>
        </is>
      </c>
      <c r="F349" t="inlineStr">
        <is>
          <t>10059180</t>
        </is>
      </c>
      <c r="H349" t="inlineStr"/>
      <c r="J349" t="n">
        <v>25.47</v>
      </c>
      <c r="K349" t="inlineStr"/>
      <c r="M349" t="inlineStr">
        <is>
          <t>TN</t>
        </is>
      </c>
      <c r="N349" t="inlineStr"/>
      <c r="P349" t="inlineStr">
        <is>
          <t>20220331</t>
        </is>
      </c>
      <c r="Q349" t="inlineStr">
        <is>
          <t>20250131</t>
        </is>
      </c>
    </row>
    <row r="350">
      <c r="A350" t="inlineStr">
        <is>
          <t>900000575DW70D09810059180</t>
        </is>
      </c>
      <c r="B350" t="inlineStr">
        <is>
          <t>900000575</t>
        </is>
      </c>
      <c r="C350" t="inlineStr">
        <is>
          <t>DW70</t>
        </is>
      </c>
      <c r="D350" t="inlineStr">
        <is>
          <t>D098</t>
        </is>
      </c>
      <c r="E350" t="inlineStr">
        <is>
          <t>4</t>
        </is>
      </c>
      <c r="F350" t="inlineStr">
        <is>
          <t>10059180</t>
        </is>
      </c>
      <c r="H350" t="inlineStr"/>
      <c r="J350" t="n">
        <v>49.01</v>
      </c>
      <c r="K350" t="inlineStr"/>
      <c r="M350" t="inlineStr">
        <is>
          <t>TN</t>
        </is>
      </c>
      <c r="N350" t="inlineStr"/>
      <c r="P350" t="inlineStr">
        <is>
          <t>20220331</t>
        </is>
      </c>
      <c r="Q350" t="inlineStr">
        <is>
          <t>20250131</t>
        </is>
      </c>
    </row>
    <row r="351">
      <c r="A351" t="inlineStr">
        <is>
          <t>900000575DW70D10510059180</t>
        </is>
      </c>
      <c r="B351" t="inlineStr">
        <is>
          <t>900000575</t>
        </is>
      </c>
      <c r="C351" t="inlineStr">
        <is>
          <t>DW70</t>
        </is>
      </c>
      <c r="D351" t="inlineStr">
        <is>
          <t>D105</t>
        </is>
      </c>
      <c r="E351" t="inlineStr">
        <is>
          <t>4</t>
        </is>
      </c>
      <c r="F351" t="inlineStr">
        <is>
          <t>10059180</t>
        </is>
      </c>
      <c r="H351" t="inlineStr"/>
      <c r="J351" t="n">
        <v>86.72</v>
      </c>
      <c r="K351" t="inlineStr"/>
      <c r="M351" t="inlineStr">
        <is>
          <t>TN</t>
        </is>
      </c>
      <c r="N351" t="inlineStr"/>
      <c r="P351" t="inlineStr">
        <is>
          <t>20220331</t>
        </is>
      </c>
      <c r="Q351" t="inlineStr">
        <is>
          <t>20250131</t>
        </is>
      </c>
    </row>
    <row r="352">
      <c r="A352" t="inlineStr">
        <is>
          <t>900000575DW70D13610000623</t>
        </is>
      </c>
      <c r="B352" t="inlineStr">
        <is>
          <t>900000575</t>
        </is>
      </c>
      <c r="C352" t="inlineStr">
        <is>
          <t>DW70</t>
        </is>
      </c>
      <c r="D352" t="inlineStr">
        <is>
          <t>D136</t>
        </is>
      </c>
      <c r="E352" t="inlineStr">
        <is>
          <t>4</t>
        </is>
      </c>
      <c r="F352" t="inlineStr">
        <is>
          <t>10000623</t>
        </is>
      </c>
      <c r="H352" t="inlineStr"/>
      <c r="J352" t="n">
        <v>121.67</v>
      </c>
      <c r="K352" t="inlineStr"/>
      <c r="M352" t="inlineStr">
        <is>
          <t>TN</t>
        </is>
      </c>
      <c r="N352" t="inlineStr"/>
      <c r="P352" t="inlineStr">
        <is>
          <t>20220331</t>
        </is>
      </c>
      <c r="Q352" t="inlineStr">
        <is>
          <t>20250131</t>
        </is>
      </c>
    </row>
    <row r="353">
      <c r="A353" t="inlineStr">
        <is>
          <t>900000575DW70D13610059180</t>
        </is>
      </c>
      <c r="B353" t="inlineStr">
        <is>
          <t>900000575</t>
        </is>
      </c>
      <c r="C353" t="inlineStr">
        <is>
          <t>DW70</t>
        </is>
      </c>
      <c r="D353" t="inlineStr">
        <is>
          <t>D136</t>
        </is>
      </c>
      <c r="E353" t="inlineStr">
        <is>
          <t>4</t>
        </is>
      </c>
      <c r="F353" t="inlineStr">
        <is>
          <t>10059180</t>
        </is>
      </c>
      <c r="H353" t="inlineStr"/>
      <c r="J353" t="n">
        <v>106.82</v>
      </c>
      <c r="K353" t="inlineStr"/>
      <c r="M353" t="inlineStr">
        <is>
          <t>TN</t>
        </is>
      </c>
      <c r="N353" t="inlineStr"/>
      <c r="P353" t="inlineStr">
        <is>
          <t>20220331</t>
        </is>
      </c>
      <c r="Q353" t="inlineStr">
        <is>
          <t>20250131</t>
        </is>
      </c>
    </row>
    <row r="354">
      <c r="A354" t="inlineStr">
        <is>
          <t>900000575DW70D14510000623</t>
        </is>
      </c>
      <c r="B354" t="inlineStr">
        <is>
          <t>900000575</t>
        </is>
      </c>
      <c r="C354" t="inlineStr">
        <is>
          <t>DW70</t>
        </is>
      </c>
      <c r="D354" t="inlineStr">
        <is>
          <t>D145</t>
        </is>
      </c>
      <c r="E354" t="inlineStr">
        <is>
          <t>4</t>
        </is>
      </c>
      <c r="F354" t="inlineStr">
        <is>
          <t>10000623</t>
        </is>
      </c>
      <c r="H354" t="inlineStr"/>
      <c r="J354" t="n">
        <v>90.20999999999999</v>
      </c>
      <c r="K354" t="inlineStr"/>
      <c r="M354" t="inlineStr">
        <is>
          <t>TN</t>
        </is>
      </c>
      <c r="N354" t="inlineStr"/>
      <c r="P354" t="inlineStr">
        <is>
          <t>20220331</t>
        </is>
      </c>
      <c r="Q354" t="inlineStr">
        <is>
          <t>20250131</t>
        </is>
      </c>
    </row>
    <row r="355">
      <c r="A355" t="inlineStr">
        <is>
          <t>900000575DW70D14510059180</t>
        </is>
      </c>
      <c r="B355" t="inlineStr">
        <is>
          <t>900000575</t>
        </is>
      </c>
      <c r="C355" t="inlineStr">
        <is>
          <t>DW70</t>
        </is>
      </c>
      <c r="D355" t="inlineStr">
        <is>
          <t>D145</t>
        </is>
      </c>
      <c r="E355" t="inlineStr">
        <is>
          <t>4</t>
        </is>
      </c>
      <c r="F355" t="inlineStr">
        <is>
          <t>10059180</t>
        </is>
      </c>
      <c r="H355" t="inlineStr"/>
      <c r="J355" t="n">
        <v>75.41</v>
      </c>
      <c r="K355" t="inlineStr"/>
      <c r="M355" t="inlineStr">
        <is>
          <t>TN</t>
        </is>
      </c>
      <c r="N355" t="inlineStr"/>
      <c r="P355" t="inlineStr">
        <is>
          <t>20220331</t>
        </is>
      </c>
      <c r="Q355" t="inlineStr">
        <is>
          <t>20250131</t>
        </is>
      </c>
    </row>
    <row r="356">
      <c r="A356" t="inlineStr">
        <is>
          <t>900000668DW70D11110146897</t>
        </is>
      </c>
      <c r="B356" t="inlineStr">
        <is>
          <t>900000668</t>
        </is>
      </c>
      <c r="C356" t="inlineStr">
        <is>
          <t>DW70</t>
        </is>
      </c>
      <c r="D356" t="inlineStr">
        <is>
          <t>D111</t>
        </is>
      </c>
      <c r="E356" t="inlineStr">
        <is>
          <t>1</t>
        </is>
      </c>
      <c r="F356" t="inlineStr">
        <is>
          <t>10146897</t>
        </is>
      </c>
      <c r="H356" t="inlineStr"/>
      <c r="J356" t="n">
        <v>83.70999999999999</v>
      </c>
      <c r="K356" t="inlineStr"/>
      <c r="M356" t="inlineStr">
        <is>
          <t>TN</t>
        </is>
      </c>
      <c r="N356" t="inlineStr"/>
      <c r="P356" t="inlineStr">
        <is>
          <t>20220331</t>
        </is>
      </c>
      <c r="Q356" t="inlineStr">
        <is>
          <t>20250131</t>
        </is>
      </c>
    </row>
    <row r="357">
      <c r="A357" t="inlineStr">
        <is>
          <t>900001367DW70D11110000811</t>
        </is>
      </c>
      <c r="B357" t="inlineStr">
        <is>
          <t>900001367</t>
        </is>
      </c>
      <c r="C357" t="inlineStr">
        <is>
          <t>DW70</t>
        </is>
      </c>
      <c r="D357" t="inlineStr">
        <is>
          <t>D111</t>
        </is>
      </c>
      <c r="E357" t="inlineStr">
        <is>
          <t>4</t>
        </is>
      </c>
      <c r="F357" t="inlineStr">
        <is>
          <t>10000811</t>
        </is>
      </c>
      <c r="H357" t="inlineStr"/>
      <c r="J357" t="n">
        <v>103.66</v>
      </c>
      <c r="K357" t="inlineStr"/>
      <c r="M357" t="inlineStr">
        <is>
          <t>TN</t>
        </is>
      </c>
      <c r="N357" t="inlineStr"/>
      <c r="P357" t="inlineStr">
        <is>
          <t>20220331</t>
        </is>
      </c>
      <c r="Q357" t="inlineStr">
        <is>
          <t>20250131</t>
        </is>
      </c>
    </row>
    <row r="358">
      <c r="A358" t="inlineStr">
        <is>
          <t>900001367DW70D11110161492</t>
        </is>
      </c>
      <c r="B358" t="inlineStr">
        <is>
          <t>900001367</t>
        </is>
      </c>
      <c r="C358" t="inlineStr">
        <is>
          <t>DW70</t>
        </is>
      </c>
      <c r="D358" t="inlineStr">
        <is>
          <t>D111</t>
        </is>
      </c>
      <c r="E358" t="inlineStr">
        <is>
          <t>4</t>
        </is>
      </c>
      <c r="F358" t="inlineStr">
        <is>
          <t>10161492</t>
        </is>
      </c>
      <c r="H358" t="inlineStr"/>
      <c r="J358" t="n">
        <v>89.67</v>
      </c>
      <c r="K358" t="inlineStr"/>
      <c r="M358" t="inlineStr">
        <is>
          <t>TN</t>
        </is>
      </c>
      <c r="N358" t="inlineStr"/>
      <c r="P358" t="inlineStr">
        <is>
          <t>20220331</t>
        </is>
      </c>
      <c r="Q358" t="inlineStr">
        <is>
          <t>20250131</t>
        </is>
      </c>
    </row>
    <row r="359">
      <c r="A359" t="inlineStr">
        <is>
          <t>900001367DW70D11110165760</t>
        </is>
      </c>
      <c r="B359" t="inlineStr">
        <is>
          <t>900001367</t>
        </is>
      </c>
      <c r="C359" t="inlineStr">
        <is>
          <t>DW70</t>
        </is>
      </c>
      <c r="D359" t="inlineStr">
        <is>
          <t>D111</t>
        </is>
      </c>
      <c r="E359" t="inlineStr">
        <is>
          <t>4</t>
        </is>
      </c>
      <c r="F359" t="inlineStr">
        <is>
          <t>10165760</t>
        </is>
      </c>
      <c r="H359" t="inlineStr"/>
      <c r="J359" t="n">
        <v>109.09</v>
      </c>
      <c r="K359" t="inlineStr"/>
      <c r="M359" t="inlineStr">
        <is>
          <t>TN</t>
        </is>
      </c>
      <c r="N359" t="inlineStr"/>
      <c r="P359" t="inlineStr">
        <is>
          <t>20220331</t>
        </is>
      </c>
      <c r="Q359" t="inlineStr">
        <is>
          <t>20250131</t>
        </is>
      </c>
    </row>
    <row r="360">
      <c r="A360" t="inlineStr">
        <is>
          <t>900001367DW70D11110165990</t>
        </is>
      </c>
      <c r="B360" t="inlineStr">
        <is>
          <t>900001367</t>
        </is>
      </c>
      <c r="C360" t="inlineStr">
        <is>
          <t>DW70</t>
        </is>
      </c>
      <c r="D360" t="inlineStr">
        <is>
          <t>D111</t>
        </is>
      </c>
      <c r="E360" t="inlineStr">
        <is>
          <t>4</t>
        </is>
      </c>
      <c r="F360" t="inlineStr">
        <is>
          <t>10165990</t>
        </is>
      </c>
      <c r="H360" t="inlineStr"/>
      <c r="J360" t="n">
        <v>163.64</v>
      </c>
      <c r="K360" t="inlineStr"/>
      <c r="M360" t="inlineStr">
        <is>
          <t>TN</t>
        </is>
      </c>
      <c r="N360" t="inlineStr"/>
      <c r="P360" t="inlineStr">
        <is>
          <t>20220331</t>
        </is>
      </c>
      <c r="Q360" t="inlineStr">
        <is>
          <t>20250131</t>
        </is>
      </c>
    </row>
    <row r="361">
      <c r="A361" t="inlineStr">
        <is>
          <t>900001750DW70D07410002802</t>
        </is>
      </c>
      <c r="B361" t="inlineStr">
        <is>
          <t>900001750</t>
        </is>
      </c>
      <c r="C361" t="inlineStr">
        <is>
          <t>DW70</t>
        </is>
      </c>
      <c r="D361" t="inlineStr">
        <is>
          <t>D074</t>
        </is>
      </c>
      <c r="E361" t="inlineStr">
        <is>
          <t>4</t>
        </is>
      </c>
      <c r="F361" t="inlineStr">
        <is>
          <t>10002802</t>
        </is>
      </c>
      <c r="H361" t="inlineStr"/>
      <c r="J361" t="n">
        <v>101.37</v>
      </c>
      <c r="K361" t="inlineStr"/>
      <c r="M361" t="inlineStr">
        <is>
          <t>TN</t>
        </is>
      </c>
      <c r="N361" t="inlineStr"/>
      <c r="P361" t="inlineStr">
        <is>
          <t>20220331</t>
        </is>
      </c>
      <c r="Q361" t="inlineStr">
        <is>
          <t>20250131</t>
        </is>
      </c>
    </row>
    <row r="362">
      <c r="A362" t="inlineStr">
        <is>
          <t>900001750DW70D07510002802</t>
        </is>
      </c>
      <c r="B362" t="inlineStr">
        <is>
          <t>900001750</t>
        </is>
      </c>
      <c r="C362" t="inlineStr">
        <is>
          <t>DW70</t>
        </is>
      </c>
      <c r="D362" t="inlineStr">
        <is>
          <t>D075</t>
        </is>
      </c>
      <c r="E362" t="inlineStr">
        <is>
          <t>4</t>
        </is>
      </c>
      <c r="F362" t="inlineStr">
        <is>
          <t>10002802</t>
        </is>
      </c>
      <c r="H362" t="inlineStr"/>
      <c r="J362" t="n">
        <v>113.43</v>
      </c>
      <c r="K362" t="inlineStr"/>
      <c r="M362" t="inlineStr">
        <is>
          <t>TN</t>
        </is>
      </c>
      <c r="N362" t="inlineStr"/>
      <c r="P362" t="inlineStr">
        <is>
          <t>20220331</t>
        </is>
      </c>
      <c r="Q362" t="inlineStr">
        <is>
          <t>20250131</t>
        </is>
      </c>
    </row>
    <row r="363">
      <c r="A363" t="inlineStr">
        <is>
          <t>900001750DW70D07710002802</t>
        </is>
      </c>
      <c r="B363" t="inlineStr">
        <is>
          <t>900001750</t>
        </is>
      </c>
      <c r="C363" t="inlineStr">
        <is>
          <t>DW70</t>
        </is>
      </c>
      <c r="D363" t="inlineStr">
        <is>
          <t>D077</t>
        </is>
      </c>
      <c r="E363" t="inlineStr">
        <is>
          <t>4</t>
        </is>
      </c>
      <c r="F363" t="inlineStr">
        <is>
          <t>10002802</t>
        </is>
      </c>
      <c r="H363" t="inlineStr"/>
      <c r="J363" t="n">
        <v>59.89</v>
      </c>
      <c r="K363" t="inlineStr"/>
      <c r="M363" t="inlineStr">
        <is>
          <t>TN</t>
        </is>
      </c>
      <c r="N363" t="inlineStr"/>
      <c r="P363" t="inlineStr">
        <is>
          <t>20220331</t>
        </is>
      </c>
      <c r="Q363" t="inlineStr">
        <is>
          <t>20250131</t>
        </is>
      </c>
    </row>
    <row r="364">
      <c r="A364" t="inlineStr">
        <is>
          <t>900001750DW70D07910002802</t>
        </is>
      </c>
      <c r="B364" t="inlineStr">
        <is>
          <t>900001750</t>
        </is>
      </c>
      <c r="C364" t="inlineStr">
        <is>
          <t>DW70</t>
        </is>
      </c>
      <c r="D364" t="inlineStr">
        <is>
          <t>D079</t>
        </is>
      </c>
      <c r="E364" t="inlineStr">
        <is>
          <t>4</t>
        </is>
      </c>
      <c r="F364" t="inlineStr">
        <is>
          <t>10002802</t>
        </is>
      </c>
      <c r="H364" t="inlineStr"/>
      <c r="J364" t="n">
        <v>101.37</v>
      </c>
      <c r="K364" t="inlineStr"/>
      <c r="M364" t="inlineStr">
        <is>
          <t>TN</t>
        </is>
      </c>
      <c r="N364" t="inlineStr"/>
      <c r="P364" t="inlineStr">
        <is>
          <t>20220331</t>
        </is>
      </c>
      <c r="Q364" t="inlineStr">
        <is>
          <t>20250131</t>
        </is>
      </c>
    </row>
    <row r="365">
      <c r="A365" t="inlineStr">
        <is>
          <t>900001750DW70D08010002802</t>
        </is>
      </c>
      <c r="B365" t="inlineStr">
        <is>
          <t>900001750</t>
        </is>
      </c>
      <c r="C365" t="inlineStr">
        <is>
          <t>DW70</t>
        </is>
      </c>
      <c r="D365" t="inlineStr">
        <is>
          <t>D080</t>
        </is>
      </c>
      <c r="E365" t="inlineStr">
        <is>
          <t>4</t>
        </is>
      </c>
      <c r="F365" t="inlineStr">
        <is>
          <t>10002802</t>
        </is>
      </c>
      <c r="H365" t="inlineStr"/>
      <c r="J365" t="n">
        <v>104.33</v>
      </c>
      <c r="K365" t="inlineStr"/>
      <c r="M365" t="inlineStr">
        <is>
          <t>TN</t>
        </is>
      </c>
      <c r="N365" t="inlineStr"/>
      <c r="P365" t="inlineStr">
        <is>
          <t>20220331</t>
        </is>
      </c>
      <c r="Q365" t="inlineStr">
        <is>
          <t>20250131</t>
        </is>
      </c>
    </row>
    <row r="366">
      <c r="A366" t="inlineStr">
        <is>
          <t>900001750DW70D08110002802</t>
        </is>
      </c>
      <c r="B366" t="inlineStr">
        <is>
          <t>900001750</t>
        </is>
      </c>
      <c r="C366" t="inlineStr">
        <is>
          <t>DW70</t>
        </is>
      </c>
      <c r="D366" t="inlineStr">
        <is>
          <t>D081</t>
        </is>
      </c>
      <c r="E366" t="inlineStr">
        <is>
          <t>4</t>
        </is>
      </c>
      <c r="F366" t="inlineStr">
        <is>
          <t>10002802</t>
        </is>
      </c>
      <c r="H366" t="inlineStr"/>
      <c r="J366" t="n">
        <v>111.74</v>
      </c>
      <c r="K366" t="inlineStr"/>
      <c r="M366" t="inlineStr">
        <is>
          <t>TN</t>
        </is>
      </c>
      <c r="N366" t="inlineStr"/>
      <c r="P366" t="inlineStr">
        <is>
          <t>20220331</t>
        </is>
      </c>
      <c r="Q366" t="inlineStr">
        <is>
          <t>20250131</t>
        </is>
      </c>
    </row>
    <row r="367">
      <c r="A367" t="inlineStr">
        <is>
          <t>900001750DW70D08310002802</t>
        </is>
      </c>
      <c r="B367" t="inlineStr">
        <is>
          <t>900001750</t>
        </is>
      </c>
      <c r="C367" t="inlineStr">
        <is>
          <t>DW70</t>
        </is>
      </c>
      <c r="D367" t="inlineStr">
        <is>
          <t>D083</t>
        </is>
      </c>
      <c r="E367" t="inlineStr">
        <is>
          <t>4</t>
        </is>
      </c>
      <c r="F367" t="inlineStr">
        <is>
          <t>10002802</t>
        </is>
      </c>
      <c r="H367" t="inlineStr"/>
      <c r="J367" t="n">
        <v>102.85</v>
      </c>
      <c r="K367" t="inlineStr"/>
      <c r="M367" t="inlineStr">
        <is>
          <t>TN</t>
        </is>
      </c>
      <c r="N367" t="inlineStr"/>
      <c r="P367" t="inlineStr">
        <is>
          <t>20220331</t>
        </is>
      </c>
      <c r="Q367" t="inlineStr">
        <is>
          <t>20250131</t>
        </is>
      </c>
    </row>
    <row r="368">
      <c r="A368" t="inlineStr">
        <is>
          <t>900001750DW70D08410002802</t>
        </is>
      </c>
      <c r="B368" t="inlineStr">
        <is>
          <t>900001750</t>
        </is>
      </c>
      <c r="C368" t="inlineStr">
        <is>
          <t>DW70</t>
        </is>
      </c>
      <c r="D368" t="inlineStr">
        <is>
          <t>D084</t>
        </is>
      </c>
      <c r="E368" t="inlineStr">
        <is>
          <t>4</t>
        </is>
      </c>
      <c r="F368" t="inlineStr">
        <is>
          <t>10002802</t>
        </is>
      </c>
      <c r="H368" t="inlineStr"/>
      <c r="J368" t="n">
        <v>80.63</v>
      </c>
      <c r="K368" t="inlineStr"/>
      <c r="M368" t="inlineStr">
        <is>
          <t>TN</t>
        </is>
      </c>
      <c r="N368" t="inlineStr"/>
      <c r="P368" t="inlineStr">
        <is>
          <t>20220331</t>
        </is>
      </c>
      <c r="Q368" t="inlineStr">
        <is>
          <t>20250131</t>
        </is>
      </c>
    </row>
    <row r="369">
      <c r="A369" t="inlineStr">
        <is>
          <t>900001750DW70D08510002802</t>
        </is>
      </c>
      <c r="B369" t="inlineStr">
        <is>
          <t>900001750</t>
        </is>
      </c>
      <c r="C369" t="inlineStr">
        <is>
          <t>DW70</t>
        </is>
      </c>
      <c r="D369" t="inlineStr">
        <is>
          <t>D085</t>
        </is>
      </c>
      <c r="E369" t="inlineStr">
        <is>
          <t>4</t>
        </is>
      </c>
      <c r="F369" t="inlineStr">
        <is>
          <t>10002802</t>
        </is>
      </c>
      <c r="H369" t="inlineStr"/>
      <c r="J369" t="n">
        <v>85.06999999999999</v>
      </c>
      <c r="K369" t="inlineStr"/>
      <c r="M369" t="inlineStr">
        <is>
          <t>TN</t>
        </is>
      </c>
      <c r="N369" t="inlineStr"/>
      <c r="P369" t="inlineStr">
        <is>
          <t>20220331</t>
        </is>
      </c>
      <c r="Q369" t="inlineStr">
        <is>
          <t>20250131</t>
        </is>
      </c>
    </row>
    <row r="370">
      <c r="A370" t="inlineStr">
        <is>
          <t>900001750DW70D08610002802</t>
        </is>
      </c>
      <c r="B370" t="inlineStr">
        <is>
          <t>900001750</t>
        </is>
      </c>
      <c r="C370" t="inlineStr">
        <is>
          <t>DW70</t>
        </is>
      </c>
      <c r="D370" t="inlineStr">
        <is>
          <t>D086</t>
        </is>
      </c>
      <c r="E370" t="inlineStr">
        <is>
          <t>4</t>
        </is>
      </c>
      <c r="F370" t="inlineStr">
        <is>
          <t>10002802</t>
        </is>
      </c>
      <c r="H370" t="inlineStr"/>
      <c r="J370" t="n">
        <v>74.92</v>
      </c>
      <c r="K370" t="inlineStr"/>
      <c r="M370" t="inlineStr">
        <is>
          <t>TN</t>
        </is>
      </c>
      <c r="N370" t="inlineStr"/>
      <c r="P370" t="inlineStr">
        <is>
          <t>20220331</t>
        </is>
      </c>
      <c r="Q370" t="inlineStr">
        <is>
          <t>20250131</t>
        </is>
      </c>
    </row>
    <row r="371">
      <c r="A371" t="inlineStr">
        <is>
          <t>900001750DW70D08910002802</t>
        </is>
      </c>
      <c r="B371" t="inlineStr">
        <is>
          <t>900001750</t>
        </is>
      </c>
      <c r="C371" t="inlineStr">
        <is>
          <t>DW70</t>
        </is>
      </c>
      <c r="D371" t="inlineStr">
        <is>
          <t>D089</t>
        </is>
      </c>
      <c r="E371" t="inlineStr">
        <is>
          <t>4</t>
        </is>
      </c>
      <c r="F371" t="inlineStr">
        <is>
          <t>10002802</t>
        </is>
      </c>
      <c r="H371" t="inlineStr"/>
      <c r="J371" t="n">
        <v>178.4</v>
      </c>
      <c r="K371" t="inlineStr"/>
      <c r="M371" t="inlineStr">
        <is>
          <t>TN</t>
        </is>
      </c>
      <c r="N371" t="inlineStr"/>
      <c r="P371" t="inlineStr">
        <is>
          <t>20220331</t>
        </is>
      </c>
      <c r="Q371" t="inlineStr">
        <is>
          <t>20250131</t>
        </is>
      </c>
    </row>
    <row r="372">
      <c r="A372" t="inlineStr">
        <is>
          <t>900001750DW70D09810002802</t>
        </is>
      </c>
      <c r="B372" t="inlineStr">
        <is>
          <t>900001750</t>
        </is>
      </c>
      <c r="C372" t="inlineStr">
        <is>
          <t>DW70</t>
        </is>
      </c>
      <c r="D372" t="inlineStr">
        <is>
          <t>D098</t>
        </is>
      </c>
      <c r="E372" t="inlineStr">
        <is>
          <t>4</t>
        </is>
      </c>
      <c r="F372" t="inlineStr">
        <is>
          <t>10002802</t>
        </is>
      </c>
      <c r="H372" t="inlineStr"/>
      <c r="J372" t="n">
        <v>97.56999999999999</v>
      </c>
      <c r="K372" t="inlineStr"/>
      <c r="M372" t="inlineStr">
        <is>
          <t>TN</t>
        </is>
      </c>
      <c r="N372" t="inlineStr"/>
      <c r="P372" t="inlineStr">
        <is>
          <t>20220331</t>
        </is>
      </c>
      <c r="Q372" t="inlineStr">
        <is>
          <t>20250131</t>
        </is>
      </c>
    </row>
    <row r="373">
      <c r="A373" t="inlineStr">
        <is>
          <t>900001750DW70D10510002802</t>
        </is>
      </c>
      <c r="B373" t="inlineStr">
        <is>
          <t>900001750</t>
        </is>
      </c>
      <c r="C373" t="inlineStr">
        <is>
          <t>DW70</t>
        </is>
      </c>
      <c r="D373" t="inlineStr">
        <is>
          <t>D105</t>
        </is>
      </c>
      <c r="E373" t="inlineStr">
        <is>
          <t>4</t>
        </is>
      </c>
      <c r="F373" t="inlineStr">
        <is>
          <t>10002802</t>
        </is>
      </c>
      <c r="H373" t="inlineStr"/>
      <c r="J373" t="n">
        <v>119.14</v>
      </c>
      <c r="K373" t="inlineStr"/>
      <c r="M373" t="inlineStr">
        <is>
          <t>TN</t>
        </is>
      </c>
      <c r="N373" t="inlineStr"/>
      <c r="P373" t="inlineStr">
        <is>
          <t>20220331</t>
        </is>
      </c>
      <c r="Q373" t="inlineStr">
        <is>
          <t>20250131</t>
        </is>
      </c>
    </row>
    <row r="374">
      <c r="A374" t="inlineStr">
        <is>
          <t>900001750DW70D11010002802</t>
        </is>
      </c>
      <c r="B374" t="inlineStr">
        <is>
          <t>900001750</t>
        </is>
      </c>
      <c r="C374" t="inlineStr">
        <is>
          <t>DW70</t>
        </is>
      </c>
      <c r="D374" t="inlineStr">
        <is>
          <t>D110</t>
        </is>
      </c>
      <c r="E374" t="inlineStr">
        <is>
          <t>4</t>
        </is>
      </c>
      <c r="F374" t="inlineStr">
        <is>
          <t>10002802</t>
        </is>
      </c>
      <c r="H374" t="inlineStr"/>
      <c r="J374" t="n">
        <v>123.03</v>
      </c>
      <c r="K374" t="inlineStr"/>
      <c r="M374" t="inlineStr">
        <is>
          <t>TN</t>
        </is>
      </c>
      <c r="N374" t="inlineStr"/>
      <c r="P374" t="inlineStr">
        <is>
          <t>20220331</t>
        </is>
      </c>
      <c r="Q374" t="inlineStr">
        <is>
          <t>20250131</t>
        </is>
      </c>
    </row>
    <row r="375">
      <c r="A375" t="inlineStr">
        <is>
          <t>900001750DW70D13210002802</t>
        </is>
      </c>
      <c r="B375" t="inlineStr">
        <is>
          <t>900001750</t>
        </is>
      </c>
      <c r="C375" t="inlineStr">
        <is>
          <t>DW70</t>
        </is>
      </c>
      <c r="D375" t="inlineStr">
        <is>
          <t>D132</t>
        </is>
      </c>
      <c r="E375" t="inlineStr">
        <is>
          <t>4</t>
        </is>
      </c>
      <c r="F375" t="inlineStr">
        <is>
          <t>10002802</t>
        </is>
      </c>
      <c r="H375" t="inlineStr"/>
      <c r="J375" t="n">
        <v>98.41</v>
      </c>
      <c r="K375" t="inlineStr"/>
      <c r="M375" t="inlineStr">
        <is>
          <t>TN</t>
        </is>
      </c>
      <c r="N375" t="inlineStr"/>
      <c r="P375" t="inlineStr">
        <is>
          <t>20220331</t>
        </is>
      </c>
      <c r="Q375" t="inlineStr">
        <is>
          <t>20250131</t>
        </is>
      </c>
    </row>
    <row r="376">
      <c r="A376" t="inlineStr">
        <is>
          <t>900001750DW70D13610002802</t>
        </is>
      </c>
      <c r="B376" t="inlineStr">
        <is>
          <t>900001750</t>
        </is>
      </c>
      <c r="C376" t="inlineStr">
        <is>
          <t>DW70</t>
        </is>
      </c>
      <c r="D376" t="inlineStr">
        <is>
          <t>D136</t>
        </is>
      </c>
      <c r="E376" t="inlineStr">
        <is>
          <t>4</t>
        </is>
      </c>
      <c r="F376" t="inlineStr">
        <is>
          <t>10002802</t>
        </is>
      </c>
      <c r="H376" t="inlineStr"/>
      <c r="J376" t="n">
        <v>133.84</v>
      </c>
      <c r="K376" t="inlineStr"/>
      <c r="M376" t="inlineStr">
        <is>
          <t>TN</t>
        </is>
      </c>
      <c r="N376" t="inlineStr"/>
      <c r="P376" t="inlineStr">
        <is>
          <t>20220331</t>
        </is>
      </c>
      <c r="Q376" t="inlineStr">
        <is>
          <t>20250131</t>
        </is>
      </c>
    </row>
    <row r="377">
      <c r="A377" t="inlineStr">
        <is>
          <t>900001750DW70D14510002802</t>
        </is>
      </c>
      <c r="B377" t="inlineStr">
        <is>
          <t>900001750</t>
        </is>
      </c>
      <c r="C377" t="inlineStr">
        <is>
          <t>DW70</t>
        </is>
      </c>
      <c r="D377" t="inlineStr">
        <is>
          <t>D145</t>
        </is>
      </c>
      <c r="E377" t="inlineStr">
        <is>
          <t>4</t>
        </is>
      </c>
      <c r="F377" t="inlineStr">
        <is>
          <t>10002802</t>
        </is>
      </c>
      <c r="H377" t="inlineStr"/>
      <c r="J377" t="n">
        <v>94.05</v>
      </c>
      <c r="K377" t="inlineStr"/>
      <c r="M377" t="inlineStr">
        <is>
          <t>TN</t>
        </is>
      </c>
      <c r="N377" t="inlineStr"/>
      <c r="P377" t="inlineStr">
        <is>
          <t>20220331</t>
        </is>
      </c>
      <c r="Q377" t="inlineStr">
        <is>
          <t>20250131</t>
        </is>
      </c>
    </row>
    <row r="378">
      <c r="A378" t="inlineStr">
        <is>
          <t>900001810DW70D07410000160</t>
        </is>
      </c>
      <c r="B378" t="inlineStr">
        <is>
          <t>900001810</t>
        </is>
      </c>
      <c r="C378" t="inlineStr">
        <is>
          <t>DW70</t>
        </is>
      </c>
      <c r="D378" t="inlineStr">
        <is>
          <t>D074</t>
        </is>
      </c>
      <c r="E378" t="inlineStr">
        <is>
          <t>1</t>
        </is>
      </c>
      <c r="F378" t="inlineStr">
        <is>
          <t>10000160</t>
        </is>
      </c>
      <c r="H378" t="inlineStr"/>
      <c r="J378" t="n">
        <v>173.51</v>
      </c>
      <c r="K378" t="inlineStr"/>
      <c r="M378" t="inlineStr">
        <is>
          <t>TN</t>
        </is>
      </c>
      <c r="N378" t="inlineStr"/>
      <c r="P378" t="inlineStr">
        <is>
          <t>20260115</t>
        </is>
      </c>
      <c r="Q378" t="inlineStr">
        <is>
          <t>20260317</t>
        </is>
      </c>
    </row>
    <row r="379">
      <c r="A379" t="inlineStr">
        <is>
          <t>900001810DW70D07410000357</t>
        </is>
      </c>
      <c r="B379" t="inlineStr">
        <is>
          <t>900001810</t>
        </is>
      </c>
      <c r="C379" t="inlineStr">
        <is>
          <t>DW70</t>
        </is>
      </c>
      <c r="D379" t="inlineStr">
        <is>
          <t>D074</t>
        </is>
      </c>
      <c r="E379" t="inlineStr">
        <is>
          <t>1</t>
        </is>
      </c>
      <c r="F379" t="inlineStr">
        <is>
          <t>10000357</t>
        </is>
      </c>
      <c r="H379" t="inlineStr"/>
      <c r="J379" t="n">
        <v>184.37</v>
      </c>
      <c r="K379" t="inlineStr"/>
      <c r="M379" t="inlineStr">
        <is>
          <t>TN</t>
        </is>
      </c>
      <c r="N379" t="inlineStr"/>
      <c r="P379" t="inlineStr">
        <is>
          <t>20260115</t>
        </is>
      </c>
      <c r="Q379" t="inlineStr">
        <is>
          <t>20260317</t>
        </is>
      </c>
    </row>
    <row r="380">
      <c r="A380" t="inlineStr">
        <is>
          <t>900001810DW70D07410000627</t>
        </is>
      </c>
      <c r="B380" t="inlineStr">
        <is>
          <t>900001810</t>
        </is>
      </c>
      <c r="C380" t="inlineStr">
        <is>
          <t>DW70</t>
        </is>
      </c>
      <c r="D380" t="inlineStr">
        <is>
          <t>D074</t>
        </is>
      </c>
      <c r="E380" t="inlineStr">
        <is>
          <t>1</t>
        </is>
      </c>
      <c r="F380" t="inlineStr">
        <is>
          <t>10000627</t>
        </is>
      </c>
      <c r="H380" t="inlineStr"/>
      <c r="J380" t="n">
        <v>197.78</v>
      </c>
      <c r="K380" t="inlineStr"/>
      <c r="M380" t="inlineStr">
        <is>
          <t>TN</t>
        </is>
      </c>
      <c r="N380" t="inlineStr"/>
      <c r="P380" t="inlineStr">
        <is>
          <t>20260430</t>
        </is>
      </c>
      <c r="Q380" t="inlineStr">
        <is>
          <t>99991231</t>
        </is>
      </c>
    </row>
    <row r="381">
      <c r="A381" t="inlineStr">
        <is>
          <t>900001810DW70D07410275116</t>
        </is>
      </c>
      <c r="B381" t="inlineStr">
        <is>
          <t>900001810</t>
        </is>
      </c>
      <c r="C381" t="inlineStr">
        <is>
          <t>DW70</t>
        </is>
      </c>
      <c r="D381" t="inlineStr">
        <is>
          <t>D074</t>
        </is>
      </c>
      <c r="E381" t="inlineStr">
        <is>
          <t>1</t>
        </is>
      </c>
      <c r="F381" t="inlineStr">
        <is>
          <t>10275116</t>
        </is>
      </c>
      <c r="H381" t="inlineStr"/>
      <c r="J381" t="n">
        <v>187.76</v>
      </c>
      <c r="K381" t="inlineStr"/>
      <c r="M381" t="inlineStr">
        <is>
          <t>TN</t>
        </is>
      </c>
      <c r="N381" t="inlineStr"/>
      <c r="P381" t="inlineStr">
        <is>
          <t>20260430</t>
        </is>
      </c>
      <c r="Q381" t="inlineStr">
        <is>
          <t>99991231</t>
        </is>
      </c>
    </row>
    <row r="382">
      <c r="A382" t="inlineStr">
        <is>
          <t>900001810DW70D07410275118</t>
        </is>
      </c>
      <c r="B382" t="inlineStr">
        <is>
          <t>900001810</t>
        </is>
      </c>
      <c r="C382" t="inlineStr">
        <is>
          <t>DW70</t>
        </is>
      </c>
      <c r="D382" t="inlineStr">
        <is>
          <t>D074</t>
        </is>
      </c>
      <c r="E382" t="inlineStr">
        <is>
          <t>1</t>
        </is>
      </c>
      <c r="F382" t="inlineStr">
        <is>
          <t>10275118</t>
        </is>
      </c>
      <c r="H382" t="inlineStr"/>
      <c r="J382" t="n">
        <v>187.76</v>
      </c>
      <c r="K382" t="inlineStr"/>
      <c r="M382" t="inlineStr">
        <is>
          <t>TN</t>
        </is>
      </c>
      <c r="N382" t="inlineStr"/>
      <c r="P382" t="inlineStr">
        <is>
          <t>20260430</t>
        </is>
      </c>
      <c r="Q382" t="inlineStr">
        <is>
          <t>99991231</t>
        </is>
      </c>
    </row>
    <row r="383">
      <c r="A383" t="inlineStr">
        <is>
          <t>900001810DW70D07510000160</t>
        </is>
      </c>
      <c r="B383" t="inlineStr">
        <is>
          <t>900001810</t>
        </is>
      </c>
      <c r="C383" t="inlineStr">
        <is>
          <t>DW70</t>
        </is>
      </c>
      <c r="D383" t="inlineStr">
        <is>
          <t>D075</t>
        </is>
      </c>
      <c r="E383" t="inlineStr">
        <is>
          <t>1</t>
        </is>
      </c>
      <c r="F383" t="inlineStr">
        <is>
          <t>10000160</t>
        </is>
      </c>
      <c r="H383" t="inlineStr"/>
      <c r="J383" t="n">
        <v>185.47</v>
      </c>
      <c r="K383" t="inlineStr"/>
      <c r="M383" t="inlineStr">
        <is>
          <t>TN</t>
        </is>
      </c>
      <c r="N383" t="inlineStr"/>
      <c r="P383" t="inlineStr">
        <is>
          <t>20260115</t>
        </is>
      </c>
      <c r="Q383" t="inlineStr">
        <is>
          <t>20260317</t>
        </is>
      </c>
    </row>
    <row r="384">
      <c r="A384" t="inlineStr">
        <is>
          <t>900001810DW70D07510000357</t>
        </is>
      </c>
      <c r="B384" t="inlineStr">
        <is>
          <t>900001810</t>
        </is>
      </c>
      <c r="C384" t="inlineStr">
        <is>
          <t>DW70</t>
        </is>
      </c>
      <c r="D384" t="inlineStr">
        <is>
          <t>D075</t>
        </is>
      </c>
      <c r="E384" t="inlineStr">
        <is>
          <t>1</t>
        </is>
      </c>
      <c r="F384" t="inlineStr">
        <is>
          <t>10000357</t>
        </is>
      </c>
      <c r="H384" t="inlineStr"/>
      <c r="J384" t="n">
        <v>197.08</v>
      </c>
      <c r="K384" t="inlineStr"/>
      <c r="M384" t="inlineStr">
        <is>
          <t>TN</t>
        </is>
      </c>
      <c r="N384" t="inlineStr"/>
      <c r="P384" t="inlineStr">
        <is>
          <t>20260115</t>
        </is>
      </c>
      <c r="Q384" t="inlineStr">
        <is>
          <t>20260317</t>
        </is>
      </c>
    </row>
    <row r="385">
      <c r="A385" t="inlineStr">
        <is>
          <t>900001810DW70D07510000627</t>
        </is>
      </c>
      <c r="B385" t="inlineStr">
        <is>
          <t>900001810</t>
        </is>
      </c>
      <c r="C385" t="inlineStr">
        <is>
          <t>DW70</t>
        </is>
      </c>
      <c r="D385" t="inlineStr">
        <is>
          <t>D075</t>
        </is>
      </c>
      <c r="E385" t="inlineStr">
        <is>
          <t>1</t>
        </is>
      </c>
      <c r="F385" t="inlineStr">
        <is>
          <t>10000627</t>
        </is>
      </c>
      <c r="H385" t="inlineStr"/>
      <c r="J385" t="n">
        <v>211.42</v>
      </c>
      <c r="K385" t="inlineStr"/>
      <c r="M385" t="inlineStr">
        <is>
          <t>TN</t>
        </is>
      </c>
      <c r="N385" t="inlineStr"/>
      <c r="P385" t="inlineStr">
        <is>
          <t>20260430</t>
        </is>
      </c>
      <c r="Q385" t="inlineStr">
        <is>
          <t>99991231</t>
        </is>
      </c>
    </row>
    <row r="386">
      <c r="A386" t="inlineStr">
        <is>
          <t>900001810DW70D07510275116</t>
        </is>
      </c>
      <c r="B386" t="inlineStr">
        <is>
          <t>900001810</t>
        </is>
      </c>
      <c r="C386" t="inlineStr">
        <is>
          <t>DW70</t>
        </is>
      </c>
      <c r="D386" t="inlineStr">
        <is>
          <t>D075</t>
        </is>
      </c>
      <c r="E386" t="inlineStr">
        <is>
          <t>1</t>
        </is>
      </c>
      <c r="F386" t="inlineStr">
        <is>
          <t>10275116</t>
        </is>
      </c>
      <c r="H386" t="inlineStr"/>
      <c r="J386" t="n">
        <v>200.71</v>
      </c>
      <c r="K386" t="inlineStr"/>
      <c r="M386" t="inlineStr">
        <is>
          <t>TN</t>
        </is>
      </c>
      <c r="N386" t="inlineStr"/>
      <c r="P386" t="inlineStr">
        <is>
          <t>20260430</t>
        </is>
      </c>
      <c r="Q386" t="inlineStr">
        <is>
          <t>99991231</t>
        </is>
      </c>
    </row>
    <row r="387">
      <c r="A387" t="inlineStr">
        <is>
          <t>900001810DW70D07510275118</t>
        </is>
      </c>
      <c r="B387" t="inlineStr">
        <is>
          <t>900001810</t>
        </is>
      </c>
      <c r="C387" t="inlineStr">
        <is>
          <t>DW70</t>
        </is>
      </c>
      <c r="D387" t="inlineStr">
        <is>
          <t>D075</t>
        </is>
      </c>
      <c r="E387" t="inlineStr">
        <is>
          <t>1</t>
        </is>
      </c>
      <c r="F387" t="inlineStr">
        <is>
          <t>10275118</t>
        </is>
      </c>
      <c r="H387" t="inlineStr"/>
      <c r="J387" t="n">
        <v>200.71</v>
      </c>
      <c r="K387" t="inlineStr"/>
      <c r="M387" t="inlineStr">
        <is>
          <t>TN</t>
        </is>
      </c>
      <c r="N387" t="inlineStr"/>
      <c r="P387" t="inlineStr">
        <is>
          <t>20260430</t>
        </is>
      </c>
      <c r="Q387" t="inlineStr">
        <is>
          <t>99991231</t>
        </is>
      </c>
    </row>
    <row r="388">
      <c r="A388" t="inlineStr">
        <is>
          <t>900001810DW70D07710000160</t>
        </is>
      </c>
      <c r="B388" t="inlineStr">
        <is>
          <t>900001810</t>
        </is>
      </c>
      <c r="C388" t="inlineStr">
        <is>
          <t>DW70</t>
        </is>
      </c>
      <c r="D388" t="inlineStr">
        <is>
          <t>D077</t>
        </is>
      </c>
      <c r="E388" t="inlineStr">
        <is>
          <t>1</t>
        </is>
      </c>
      <c r="F388" t="inlineStr">
        <is>
          <t>10000160</t>
        </is>
      </c>
      <c r="H388" t="inlineStr"/>
      <c r="J388" t="n">
        <v>83.76000000000001</v>
      </c>
      <c r="K388" t="inlineStr"/>
      <c r="M388" t="inlineStr">
        <is>
          <t>TN</t>
        </is>
      </c>
      <c r="N388" t="inlineStr"/>
      <c r="P388" t="inlineStr">
        <is>
          <t>20260115</t>
        </is>
      </c>
      <c r="Q388" t="inlineStr">
        <is>
          <t>20260317</t>
        </is>
      </c>
    </row>
    <row r="389">
      <c r="A389" t="inlineStr">
        <is>
          <t>900001810DW70D07710000357</t>
        </is>
      </c>
      <c r="B389" t="inlineStr">
        <is>
          <t>900001810</t>
        </is>
      </c>
      <c r="C389" t="inlineStr">
        <is>
          <t>DW70</t>
        </is>
      </c>
      <c r="D389" t="inlineStr">
        <is>
          <t>D077</t>
        </is>
      </c>
      <c r="E389" t="inlineStr">
        <is>
          <t>1</t>
        </is>
      </c>
      <c r="F389" t="inlineStr">
        <is>
          <t>10000357</t>
        </is>
      </c>
      <c r="H389" t="inlineStr"/>
      <c r="J389" t="n">
        <v>89</v>
      </c>
      <c r="K389" t="inlineStr"/>
      <c r="M389" t="inlineStr">
        <is>
          <t>TN</t>
        </is>
      </c>
      <c r="N389" t="inlineStr"/>
      <c r="P389" t="inlineStr">
        <is>
          <t>20260115</t>
        </is>
      </c>
      <c r="Q389" t="inlineStr">
        <is>
          <t>20260317</t>
        </is>
      </c>
    </row>
    <row r="390">
      <c r="A390" t="inlineStr">
        <is>
          <t>900001810DW70D07710000627</t>
        </is>
      </c>
      <c r="B390" t="inlineStr">
        <is>
          <t>900001810</t>
        </is>
      </c>
      <c r="C390" t="inlineStr">
        <is>
          <t>DW70</t>
        </is>
      </c>
      <c r="D390" t="inlineStr">
        <is>
          <t>D077</t>
        </is>
      </c>
      <c r="E390" t="inlineStr">
        <is>
          <t>1</t>
        </is>
      </c>
      <c r="F390" t="inlineStr">
        <is>
          <t>10000627</t>
        </is>
      </c>
      <c r="H390" t="inlineStr"/>
      <c r="J390" t="n">
        <v>95.48</v>
      </c>
      <c r="K390" t="inlineStr"/>
      <c r="M390" t="inlineStr">
        <is>
          <t>TN</t>
        </is>
      </c>
      <c r="N390" t="inlineStr"/>
      <c r="P390" t="inlineStr">
        <is>
          <t>20260430</t>
        </is>
      </c>
      <c r="Q390" t="inlineStr">
        <is>
          <t>99991231</t>
        </is>
      </c>
    </row>
    <row r="391">
      <c r="A391" t="inlineStr">
        <is>
          <t>900001810DW70D07710275116</t>
        </is>
      </c>
      <c r="B391" t="inlineStr">
        <is>
          <t>900001810</t>
        </is>
      </c>
      <c r="C391" t="inlineStr">
        <is>
          <t>DW70</t>
        </is>
      </c>
      <c r="D391" t="inlineStr">
        <is>
          <t>D077</t>
        </is>
      </c>
      <c r="E391" t="inlineStr">
        <is>
          <t>1</t>
        </is>
      </c>
      <c r="F391" t="inlineStr">
        <is>
          <t>10275116</t>
        </is>
      </c>
      <c r="H391" t="inlineStr"/>
      <c r="J391" t="n">
        <v>90.64</v>
      </c>
      <c r="K391" t="inlineStr"/>
      <c r="M391" t="inlineStr">
        <is>
          <t>TN</t>
        </is>
      </c>
      <c r="N391" t="inlineStr"/>
      <c r="P391" t="inlineStr">
        <is>
          <t>20260430</t>
        </is>
      </c>
      <c r="Q391" t="inlineStr">
        <is>
          <t>99991231</t>
        </is>
      </c>
    </row>
    <row r="392">
      <c r="A392" t="inlineStr">
        <is>
          <t>900001810DW70D07710275118</t>
        </is>
      </c>
      <c r="B392" t="inlineStr">
        <is>
          <t>900001810</t>
        </is>
      </c>
      <c r="C392" t="inlineStr">
        <is>
          <t>DW70</t>
        </is>
      </c>
      <c r="D392" t="inlineStr">
        <is>
          <t>D077</t>
        </is>
      </c>
      <c r="E392" t="inlineStr">
        <is>
          <t>1</t>
        </is>
      </c>
      <c r="F392" t="inlineStr">
        <is>
          <t>10275118</t>
        </is>
      </c>
      <c r="H392" t="inlineStr"/>
      <c r="J392" t="n">
        <v>90.64</v>
      </c>
      <c r="K392" t="inlineStr"/>
      <c r="M392" t="inlineStr">
        <is>
          <t>TN</t>
        </is>
      </c>
      <c r="N392" t="inlineStr"/>
      <c r="P392" t="inlineStr">
        <is>
          <t>20260430</t>
        </is>
      </c>
      <c r="Q392" t="inlineStr">
        <is>
          <t>99991231</t>
        </is>
      </c>
    </row>
    <row r="393">
      <c r="A393" t="inlineStr">
        <is>
          <t>900001810DW70D07910000160</t>
        </is>
      </c>
      <c r="B393" t="inlineStr">
        <is>
          <t>900001810</t>
        </is>
      </c>
      <c r="C393" t="inlineStr">
        <is>
          <t>DW70</t>
        </is>
      </c>
      <c r="D393" t="inlineStr">
        <is>
          <t>D079</t>
        </is>
      </c>
      <c r="E393" t="inlineStr">
        <is>
          <t>1</t>
        </is>
      </c>
      <c r="F393" t="inlineStr">
        <is>
          <t>10000160</t>
        </is>
      </c>
      <c r="H393" t="inlineStr"/>
      <c r="J393" t="n">
        <v>158.55</v>
      </c>
      <c r="K393" t="inlineStr"/>
      <c r="M393" t="inlineStr">
        <is>
          <t>TN</t>
        </is>
      </c>
      <c r="N393" t="inlineStr"/>
      <c r="P393" t="inlineStr">
        <is>
          <t>20260115</t>
        </is>
      </c>
      <c r="Q393" t="inlineStr">
        <is>
          <t>20260317</t>
        </is>
      </c>
    </row>
    <row r="394">
      <c r="A394" t="inlineStr">
        <is>
          <t>900001810DW70D07910000357</t>
        </is>
      </c>
      <c r="B394" t="inlineStr">
        <is>
          <t>900001810</t>
        </is>
      </c>
      <c r="C394" t="inlineStr">
        <is>
          <t>DW70</t>
        </is>
      </c>
      <c r="D394" t="inlineStr">
        <is>
          <t>D079</t>
        </is>
      </c>
      <c r="E394" t="inlineStr">
        <is>
          <t>1</t>
        </is>
      </c>
      <c r="F394" t="inlineStr">
        <is>
          <t>10000357</t>
        </is>
      </c>
      <c r="H394" t="inlineStr"/>
      <c r="J394" t="n">
        <v>168.47</v>
      </c>
      <c r="K394" t="inlineStr"/>
      <c r="M394" t="inlineStr">
        <is>
          <t>TN</t>
        </is>
      </c>
      <c r="N394" t="inlineStr"/>
      <c r="P394" t="inlineStr">
        <is>
          <t>20260115</t>
        </is>
      </c>
      <c r="Q394" t="inlineStr">
        <is>
          <t>20260317</t>
        </is>
      </c>
    </row>
    <row r="395">
      <c r="A395" t="inlineStr">
        <is>
          <t>900001810DW70D07910000627</t>
        </is>
      </c>
      <c r="B395" t="inlineStr">
        <is>
          <t>900001810</t>
        </is>
      </c>
      <c r="C395" t="inlineStr">
        <is>
          <t>DW70</t>
        </is>
      </c>
      <c r="D395" t="inlineStr">
        <is>
          <t>D079</t>
        </is>
      </c>
      <c r="E395" t="inlineStr">
        <is>
          <t>1</t>
        </is>
      </c>
      <c r="F395" t="inlineStr">
        <is>
          <t>10000627</t>
        </is>
      </c>
      <c r="H395" t="inlineStr"/>
      <c r="J395" t="n">
        <v>180.74</v>
      </c>
      <c r="K395" t="inlineStr"/>
      <c r="M395" t="inlineStr">
        <is>
          <t>TN</t>
        </is>
      </c>
      <c r="N395" t="inlineStr"/>
      <c r="P395" t="inlineStr">
        <is>
          <t>20260430</t>
        </is>
      </c>
      <c r="Q395" t="inlineStr">
        <is>
          <t>99991231</t>
        </is>
      </c>
    </row>
    <row r="396">
      <c r="A396" t="inlineStr">
        <is>
          <t>900001810DW70D07910275116</t>
        </is>
      </c>
      <c r="B396" t="inlineStr">
        <is>
          <t>900001810</t>
        </is>
      </c>
      <c r="C396" t="inlineStr">
        <is>
          <t>DW70</t>
        </is>
      </c>
      <c r="D396" t="inlineStr">
        <is>
          <t>D079</t>
        </is>
      </c>
      <c r="E396" t="inlineStr">
        <is>
          <t>1</t>
        </is>
      </c>
      <c r="F396" t="inlineStr">
        <is>
          <t>10275116</t>
        </is>
      </c>
      <c r="H396" t="inlineStr"/>
      <c r="J396" t="n">
        <v>171.58</v>
      </c>
      <c r="K396" t="inlineStr"/>
      <c r="M396" t="inlineStr">
        <is>
          <t>TN</t>
        </is>
      </c>
      <c r="N396" t="inlineStr"/>
      <c r="P396" t="inlineStr">
        <is>
          <t>20260430</t>
        </is>
      </c>
      <c r="Q396" t="inlineStr">
        <is>
          <t>99991231</t>
        </is>
      </c>
    </row>
    <row r="397">
      <c r="A397" t="inlineStr">
        <is>
          <t>900001810DW70D07910275118</t>
        </is>
      </c>
      <c r="B397" t="inlineStr">
        <is>
          <t>900001810</t>
        </is>
      </c>
      <c r="C397" t="inlineStr">
        <is>
          <t>DW70</t>
        </is>
      </c>
      <c r="D397" t="inlineStr">
        <is>
          <t>D079</t>
        </is>
      </c>
      <c r="E397" t="inlineStr">
        <is>
          <t>1</t>
        </is>
      </c>
      <c r="F397" t="inlineStr">
        <is>
          <t>10275118</t>
        </is>
      </c>
      <c r="H397" t="inlineStr"/>
      <c r="J397" t="n">
        <v>171.58</v>
      </c>
      <c r="K397" t="inlineStr"/>
      <c r="M397" t="inlineStr">
        <is>
          <t>TN</t>
        </is>
      </c>
      <c r="N397" t="inlineStr"/>
      <c r="P397" t="inlineStr">
        <is>
          <t>20260430</t>
        </is>
      </c>
      <c r="Q397" t="inlineStr">
        <is>
          <t>99991231</t>
        </is>
      </c>
    </row>
    <row r="398">
      <c r="A398" t="inlineStr">
        <is>
          <t>900001810DW70D08010000160</t>
        </is>
      </c>
      <c r="B398" t="inlineStr">
        <is>
          <t>900001810</t>
        </is>
      </c>
      <c r="C398" t="inlineStr">
        <is>
          <t>DW70</t>
        </is>
      </c>
      <c r="D398" t="inlineStr">
        <is>
          <t>D080</t>
        </is>
      </c>
      <c r="E398" t="inlineStr">
        <is>
          <t>1</t>
        </is>
      </c>
      <c r="F398" t="inlineStr">
        <is>
          <t>10000160</t>
        </is>
      </c>
      <c r="H398" t="inlineStr"/>
      <c r="J398" t="n">
        <v>182.48</v>
      </c>
      <c r="K398" t="inlineStr"/>
      <c r="M398" t="inlineStr">
        <is>
          <t>TN</t>
        </is>
      </c>
      <c r="N398" t="inlineStr"/>
      <c r="P398" t="inlineStr">
        <is>
          <t>20260115</t>
        </is>
      </c>
      <c r="Q398" t="inlineStr">
        <is>
          <t>20260317</t>
        </is>
      </c>
    </row>
    <row r="399">
      <c r="A399" t="inlineStr">
        <is>
          <t>900001810DW70D08010000357</t>
        </is>
      </c>
      <c r="B399" t="inlineStr">
        <is>
          <t>900001810</t>
        </is>
      </c>
      <c r="C399" t="inlineStr">
        <is>
          <t>DW70</t>
        </is>
      </c>
      <c r="D399" t="inlineStr">
        <is>
          <t>D080</t>
        </is>
      </c>
      <c r="E399" t="inlineStr">
        <is>
          <t>1</t>
        </is>
      </c>
      <c r="F399" t="inlineStr">
        <is>
          <t>10000357</t>
        </is>
      </c>
      <c r="H399" t="inlineStr"/>
      <c r="J399" t="n">
        <v>193.9</v>
      </c>
      <c r="K399" t="inlineStr"/>
      <c r="M399" t="inlineStr">
        <is>
          <t>TN</t>
        </is>
      </c>
      <c r="N399" t="inlineStr"/>
      <c r="P399" t="inlineStr">
        <is>
          <t>20260115</t>
        </is>
      </c>
      <c r="Q399" t="inlineStr">
        <is>
          <t>20260317</t>
        </is>
      </c>
    </row>
    <row r="400">
      <c r="A400" t="inlineStr">
        <is>
          <t>900001810DW70D08010000627</t>
        </is>
      </c>
      <c r="B400" t="inlineStr">
        <is>
          <t>900001810</t>
        </is>
      </c>
      <c r="C400" t="inlineStr">
        <is>
          <t>DW70</t>
        </is>
      </c>
      <c r="D400" t="inlineStr">
        <is>
          <t>D080</t>
        </is>
      </c>
      <c r="E400" t="inlineStr">
        <is>
          <t>1</t>
        </is>
      </c>
      <c r="F400" t="inlineStr">
        <is>
          <t>10000627</t>
        </is>
      </c>
      <c r="H400" t="inlineStr"/>
      <c r="J400" t="n">
        <v>208.02</v>
      </c>
      <c r="K400" t="inlineStr"/>
      <c r="M400" t="inlineStr">
        <is>
          <t>TN</t>
        </is>
      </c>
      <c r="N400" t="inlineStr"/>
      <c r="P400" t="inlineStr">
        <is>
          <t>20260430</t>
        </is>
      </c>
      <c r="Q400" t="inlineStr">
        <is>
          <t>99991231</t>
        </is>
      </c>
    </row>
    <row r="401">
      <c r="A401" t="inlineStr">
        <is>
          <t>900001810DW70D08010275116</t>
        </is>
      </c>
      <c r="B401" t="inlineStr">
        <is>
          <t>900001810</t>
        </is>
      </c>
      <c r="C401" t="inlineStr">
        <is>
          <t>DW70</t>
        </is>
      </c>
      <c r="D401" t="inlineStr">
        <is>
          <t>D080</t>
        </is>
      </c>
      <c r="E401" t="inlineStr">
        <is>
          <t>1</t>
        </is>
      </c>
      <c r="F401" t="inlineStr">
        <is>
          <t>10275116</t>
        </is>
      </c>
      <c r="H401" t="inlineStr"/>
      <c r="J401" t="n">
        <v>197.47</v>
      </c>
      <c r="K401" t="inlineStr"/>
      <c r="M401" t="inlineStr">
        <is>
          <t>TN</t>
        </is>
      </c>
      <c r="N401" t="inlineStr"/>
      <c r="P401" t="inlineStr">
        <is>
          <t>20260430</t>
        </is>
      </c>
      <c r="Q401" t="inlineStr">
        <is>
          <t>99991231</t>
        </is>
      </c>
    </row>
    <row r="402">
      <c r="A402" t="inlineStr">
        <is>
          <t>900001810DW70D08010275118</t>
        </is>
      </c>
      <c r="B402" t="inlineStr">
        <is>
          <t>900001810</t>
        </is>
      </c>
      <c r="C402" t="inlineStr">
        <is>
          <t>DW70</t>
        </is>
      </c>
      <c r="D402" t="inlineStr">
        <is>
          <t>D080</t>
        </is>
      </c>
      <c r="E402" t="inlineStr">
        <is>
          <t>1</t>
        </is>
      </c>
      <c r="F402" t="inlineStr">
        <is>
          <t>10275118</t>
        </is>
      </c>
      <c r="H402" t="inlineStr"/>
      <c r="J402" t="n">
        <v>197.47</v>
      </c>
      <c r="K402" t="inlineStr"/>
      <c r="M402" t="inlineStr">
        <is>
          <t>TN</t>
        </is>
      </c>
      <c r="N402" t="inlineStr"/>
      <c r="P402" t="inlineStr">
        <is>
          <t>20260430</t>
        </is>
      </c>
      <c r="Q402" t="inlineStr">
        <is>
          <t>99991231</t>
        </is>
      </c>
    </row>
    <row r="403">
      <c r="A403" t="inlineStr">
        <is>
          <t>900001810DW70D08110000160</t>
        </is>
      </c>
      <c r="B403" t="inlineStr">
        <is>
          <t>900001810</t>
        </is>
      </c>
      <c r="C403" t="inlineStr">
        <is>
          <t>DW70</t>
        </is>
      </c>
      <c r="D403" t="inlineStr">
        <is>
          <t>D081</t>
        </is>
      </c>
      <c r="E403" t="inlineStr">
        <is>
          <t>1</t>
        </is>
      </c>
      <c r="F403" t="inlineStr">
        <is>
          <t>10000160</t>
        </is>
      </c>
      <c r="H403" t="inlineStr"/>
      <c r="J403" t="n">
        <v>209.4</v>
      </c>
      <c r="K403" t="inlineStr"/>
      <c r="M403" t="inlineStr">
        <is>
          <t>TN</t>
        </is>
      </c>
      <c r="N403" t="inlineStr"/>
      <c r="P403" t="inlineStr">
        <is>
          <t>20260115</t>
        </is>
      </c>
      <c r="Q403" t="inlineStr">
        <is>
          <t>20260317</t>
        </is>
      </c>
    </row>
    <row r="404">
      <c r="A404" t="inlineStr">
        <is>
          <t>900001810DW70D08110000357</t>
        </is>
      </c>
      <c r="B404" t="inlineStr">
        <is>
          <t>900001810</t>
        </is>
      </c>
      <c r="C404" t="inlineStr">
        <is>
          <t>DW70</t>
        </is>
      </c>
      <c r="D404" t="inlineStr">
        <is>
          <t>D081</t>
        </is>
      </c>
      <c r="E404" t="inlineStr">
        <is>
          <t>1</t>
        </is>
      </c>
      <c r="F404" t="inlineStr">
        <is>
          <t>10000357</t>
        </is>
      </c>
      <c r="H404" t="inlineStr"/>
      <c r="J404" t="n">
        <v>222.51</v>
      </c>
      <c r="K404" t="inlineStr"/>
      <c r="M404" t="inlineStr">
        <is>
          <t>TN</t>
        </is>
      </c>
      <c r="N404" t="inlineStr"/>
      <c r="P404" t="inlineStr">
        <is>
          <t>20260115</t>
        </is>
      </c>
      <c r="Q404" t="inlineStr">
        <is>
          <t>20260317</t>
        </is>
      </c>
    </row>
    <row r="405">
      <c r="A405" t="inlineStr">
        <is>
          <t>900001810DW70D08110000627</t>
        </is>
      </c>
      <c r="B405" t="inlineStr">
        <is>
          <t>900001810</t>
        </is>
      </c>
      <c r="C405" t="inlineStr">
        <is>
          <t>DW70</t>
        </is>
      </c>
      <c r="D405" t="inlineStr">
        <is>
          <t>D081</t>
        </is>
      </c>
      <c r="E405" t="inlineStr">
        <is>
          <t>1</t>
        </is>
      </c>
      <c r="F405" t="inlineStr">
        <is>
          <t>10000627</t>
        </is>
      </c>
      <c r="H405" t="inlineStr"/>
      <c r="J405" t="n">
        <v>238.7</v>
      </c>
      <c r="K405" t="inlineStr"/>
      <c r="M405" t="inlineStr">
        <is>
          <t>TN</t>
        </is>
      </c>
      <c r="N405" t="inlineStr"/>
      <c r="P405" t="inlineStr">
        <is>
          <t>20260430</t>
        </is>
      </c>
      <c r="Q405" t="inlineStr">
        <is>
          <t>99991231</t>
        </is>
      </c>
    </row>
    <row r="406">
      <c r="A406" t="inlineStr">
        <is>
          <t>900001810DW70D08110275116</t>
        </is>
      </c>
      <c r="B406" t="inlineStr">
        <is>
          <t>900001810</t>
        </is>
      </c>
      <c r="C406" t="inlineStr">
        <is>
          <t>DW70</t>
        </is>
      </c>
      <c r="D406" t="inlineStr">
        <is>
          <t>D081</t>
        </is>
      </c>
      <c r="E406" t="inlineStr">
        <is>
          <t>1</t>
        </is>
      </c>
      <c r="F406" t="inlineStr">
        <is>
          <t>10275116</t>
        </is>
      </c>
      <c r="H406" t="inlineStr"/>
      <c r="J406" t="n">
        <v>226.6</v>
      </c>
      <c r="K406" t="inlineStr"/>
      <c r="M406" t="inlineStr">
        <is>
          <t>TN</t>
        </is>
      </c>
      <c r="N406" t="inlineStr"/>
      <c r="P406" t="inlineStr">
        <is>
          <t>20260430</t>
        </is>
      </c>
      <c r="Q406" t="inlineStr">
        <is>
          <t>99991231</t>
        </is>
      </c>
    </row>
    <row r="407">
      <c r="A407" t="inlineStr">
        <is>
          <t>900001810DW70D08110275118</t>
        </is>
      </c>
      <c r="B407" t="inlineStr">
        <is>
          <t>900001810</t>
        </is>
      </c>
      <c r="C407" t="inlineStr">
        <is>
          <t>DW70</t>
        </is>
      </c>
      <c r="D407" t="inlineStr">
        <is>
          <t>D081</t>
        </is>
      </c>
      <c r="E407" t="inlineStr">
        <is>
          <t>1</t>
        </is>
      </c>
      <c r="F407" t="inlineStr">
        <is>
          <t>10275118</t>
        </is>
      </c>
      <c r="H407" t="inlineStr"/>
      <c r="J407" t="n">
        <v>226.6</v>
      </c>
      <c r="K407" t="inlineStr"/>
      <c r="M407" t="inlineStr">
        <is>
          <t>TN</t>
        </is>
      </c>
      <c r="N407" t="inlineStr"/>
      <c r="P407" t="inlineStr">
        <is>
          <t>20260430</t>
        </is>
      </c>
      <c r="Q407" t="inlineStr">
        <is>
          <t>99991231</t>
        </is>
      </c>
    </row>
    <row r="408">
      <c r="A408" t="inlineStr">
        <is>
          <t>900001810DW70D08310000160</t>
        </is>
      </c>
      <c r="B408" t="inlineStr">
        <is>
          <t>900001810</t>
        </is>
      </c>
      <c r="C408" t="inlineStr">
        <is>
          <t>DW70</t>
        </is>
      </c>
      <c r="D408" t="inlineStr">
        <is>
          <t>D083</t>
        </is>
      </c>
      <c r="E408" t="inlineStr">
        <is>
          <t>1</t>
        </is>
      </c>
      <c r="F408" t="inlineStr">
        <is>
          <t>10000160</t>
        </is>
      </c>
      <c r="H408" t="inlineStr"/>
      <c r="J408" t="n">
        <v>164.53</v>
      </c>
      <c r="K408" t="inlineStr"/>
      <c r="M408" t="inlineStr">
        <is>
          <t>TN</t>
        </is>
      </c>
      <c r="N408" t="inlineStr"/>
      <c r="P408" t="inlineStr">
        <is>
          <t>20260115</t>
        </is>
      </c>
      <c r="Q408" t="inlineStr">
        <is>
          <t>20260317</t>
        </is>
      </c>
    </row>
    <row r="409">
      <c r="A409" t="inlineStr">
        <is>
          <t>900001810DW70D08310000357</t>
        </is>
      </c>
      <c r="B409" t="inlineStr">
        <is>
          <t>900001810</t>
        </is>
      </c>
      <c r="C409" t="inlineStr">
        <is>
          <t>DW70</t>
        </is>
      </c>
      <c r="D409" t="inlineStr">
        <is>
          <t>D083</t>
        </is>
      </c>
      <c r="E409" t="inlineStr">
        <is>
          <t>1</t>
        </is>
      </c>
      <c r="F409" t="inlineStr">
        <is>
          <t>10000357</t>
        </is>
      </c>
      <c r="H409" t="inlineStr"/>
      <c r="J409" t="n">
        <v>174.83</v>
      </c>
      <c r="K409" t="inlineStr"/>
      <c r="M409" t="inlineStr">
        <is>
          <t>TN</t>
        </is>
      </c>
      <c r="N409" t="inlineStr"/>
      <c r="P409" t="inlineStr">
        <is>
          <t>20260115</t>
        </is>
      </c>
      <c r="Q409" t="inlineStr">
        <is>
          <t>20260317</t>
        </is>
      </c>
    </row>
    <row r="410">
      <c r="A410" t="inlineStr">
        <is>
          <t>900001810DW70D08310000627</t>
        </is>
      </c>
      <c r="B410" t="inlineStr">
        <is>
          <t>900001810</t>
        </is>
      </c>
      <c r="C410" t="inlineStr">
        <is>
          <t>DW70</t>
        </is>
      </c>
      <c r="D410" t="inlineStr">
        <is>
          <t>D083</t>
        </is>
      </c>
      <c r="E410" t="inlineStr">
        <is>
          <t>1</t>
        </is>
      </c>
      <c r="F410" t="inlineStr">
        <is>
          <t>10000627</t>
        </is>
      </c>
      <c r="H410" t="inlineStr"/>
      <c r="J410" t="n">
        <v>187.56</v>
      </c>
      <c r="K410" t="inlineStr"/>
      <c r="M410" t="inlineStr">
        <is>
          <t>TN</t>
        </is>
      </c>
      <c r="N410" t="inlineStr"/>
      <c r="P410" t="inlineStr">
        <is>
          <t>20260430</t>
        </is>
      </c>
      <c r="Q410" t="inlineStr">
        <is>
          <t>99991231</t>
        </is>
      </c>
    </row>
    <row r="411">
      <c r="A411" t="inlineStr">
        <is>
          <t>900001810DW70D08310275116</t>
        </is>
      </c>
      <c r="B411" t="inlineStr">
        <is>
          <t>900001810</t>
        </is>
      </c>
      <c r="C411" t="inlineStr">
        <is>
          <t>DW70</t>
        </is>
      </c>
      <c r="D411" t="inlineStr">
        <is>
          <t>D083</t>
        </is>
      </c>
      <c r="E411" t="inlineStr">
        <is>
          <t>1</t>
        </is>
      </c>
      <c r="F411" t="inlineStr">
        <is>
          <t>10275116</t>
        </is>
      </c>
      <c r="H411" t="inlineStr"/>
      <c r="J411" t="n">
        <v>178.05</v>
      </c>
      <c r="K411" t="inlineStr"/>
      <c r="M411" t="inlineStr">
        <is>
          <t>TN</t>
        </is>
      </c>
      <c r="N411" t="inlineStr"/>
      <c r="P411" t="inlineStr">
        <is>
          <t>20260430</t>
        </is>
      </c>
      <c r="Q411" t="inlineStr">
        <is>
          <t>99991231</t>
        </is>
      </c>
    </row>
    <row r="412">
      <c r="A412" t="inlineStr">
        <is>
          <t>900001810DW70D08310275118</t>
        </is>
      </c>
      <c r="B412" t="inlineStr">
        <is>
          <t>900001810</t>
        </is>
      </c>
      <c r="C412" t="inlineStr">
        <is>
          <t>DW70</t>
        </is>
      </c>
      <c r="D412" t="inlineStr">
        <is>
          <t>D083</t>
        </is>
      </c>
      <c r="E412" t="inlineStr">
        <is>
          <t>1</t>
        </is>
      </c>
      <c r="F412" t="inlineStr">
        <is>
          <t>10275118</t>
        </is>
      </c>
      <c r="H412" t="inlineStr"/>
      <c r="J412" t="n">
        <v>178.05</v>
      </c>
      <c r="K412" t="inlineStr"/>
      <c r="M412" t="inlineStr">
        <is>
          <t>TN</t>
        </is>
      </c>
      <c r="N412" t="inlineStr"/>
      <c r="P412" t="inlineStr">
        <is>
          <t>20260430</t>
        </is>
      </c>
      <c r="Q412" t="inlineStr">
        <is>
          <t>99991231</t>
        </is>
      </c>
    </row>
    <row r="413">
      <c r="A413" t="inlineStr">
        <is>
          <t>900001810DW70D08410000160</t>
        </is>
      </c>
      <c r="B413" t="inlineStr">
        <is>
          <t>900001810</t>
        </is>
      </c>
      <c r="C413" t="inlineStr">
        <is>
          <t>DW70</t>
        </is>
      </c>
      <c r="D413" t="inlineStr">
        <is>
          <t>D084</t>
        </is>
      </c>
      <c r="E413" t="inlineStr">
        <is>
          <t>1</t>
        </is>
      </c>
      <c r="F413" t="inlineStr">
        <is>
          <t>10000160</t>
        </is>
      </c>
      <c r="H413" t="inlineStr"/>
      <c r="J413" t="n">
        <v>113.68</v>
      </c>
      <c r="K413" t="inlineStr"/>
      <c r="M413" t="inlineStr">
        <is>
          <t>TN</t>
        </is>
      </c>
      <c r="N413" t="inlineStr"/>
      <c r="P413" t="inlineStr">
        <is>
          <t>20260115</t>
        </is>
      </c>
      <c r="Q413" t="inlineStr">
        <is>
          <t>20260317</t>
        </is>
      </c>
    </row>
    <row r="414">
      <c r="A414" t="inlineStr">
        <is>
          <t>900001810DW70D08410000357</t>
        </is>
      </c>
      <c r="B414" t="inlineStr">
        <is>
          <t>900001810</t>
        </is>
      </c>
      <c r="C414" t="inlineStr">
        <is>
          <t>DW70</t>
        </is>
      </c>
      <c r="D414" t="inlineStr">
        <is>
          <t>D084</t>
        </is>
      </c>
      <c r="E414" t="inlineStr">
        <is>
          <t>1</t>
        </is>
      </c>
      <c r="F414" t="inlineStr">
        <is>
          <t>10000357</t>
        </is>
      </c>
      <c r="H414" t="inlineStr"/>
      <c r="J414" t="n">
        <v>120.79</v>
      </c>
      <c r="K414" t="inlineStr"/>
      <c r="M414" t="inlineStr">
        <is>
          <t>TN</t>
        </is>
      </c>
      <c r="N414" t="inlineStr"/>
      <c r="P414" t="inlineStr">
        <is>
          <t>20260115</t>
        </is>
      </c>
      <c r="Q414" t="inlineStr">
        <is>
          <t>20260317</t>
        </is>
      </c>
    </row>
    <row r="415">
      <c r="A415" t="inlineStr">
        <is>
          <t>900001810DW70D08410000627</t>
        </is>
      </c>
      <c r="B415" t="inlineStr">
        <is>
          <t>900001810</t>
        </is>
      </c>
      <c r="C415" t="inlineStr">
        <is>
          <t>DW70</t>
        </is>
      </c>
      <c r="D415" t="inlineStr">
        <is>
          <t>D084</t>
        </is>
      </c>
      <c r="E415" t="inlineStr">
        <is>
          <t>1</t>
        </is>
      </c>
      <c r="F415" t="inlineStr">
        <is>
          <t>10000627</t>
        </is>
      </c>
      <c r="H415" t="inlineStr"/>
      <c r="J415" t="n">
        <v>129.58</v>
      </c>
      <c r="K415" t="inlineStr"/>
      <c r="M415" t="inlineStr">
        <is>
          <t>TN</t>
        </is>
      </c>
      <c r="N415" t="inlineStr"/>
      <c r="P415" t="inlineStr">
        <is>
          <t>20260430</t>
        </is>
      </c>
      <c r="Q415" t="inlineStr">
        <is>
          <t>99991231</t>
        </is>
      </c>
    </row>
    <row r="416">
      <c r="A416" t="inlineStr">
        <is>
          <t>900001810DW70D08410275116</t>
        </is>
      </c>
      <c r="B416" t="inlineStr">
        <is>
          <t>900001810</t>
        </is>
      </c>
      <c r="C416" t="inlineStr">
        <is>
          <t>DW70</t>
        </is>
      </c>
      <c r="D416" t="inlineStr">
        <is>
          <t>D084</t>
        </is>
      </c>
      <c r="E416" t="inlineStr">
        <is>
          <t>1</t>
        </is>
      </c>
      <c r="F416" t="inlineStr">
        <is>
          <t>10275116</t>
        </is>
      </c>
      <c r="H416" t="inlineStr"/>
      <c r="J416" t="n">
        <v>123.01</v>
      </c>
      <c r="K416" t="inlineStr"/>
      <c r="M416" t="inlineStr">
        <is>
          <t>TN</t>
        </is>
      </c>
      <c r="N416" t="inlineStr"/>
      <c r="P416" t="inlineStr">
        <is>
          <t>20260430</t>
        </is>
      </c>
      <c r="Q416" t="inlineStr">
        <is>
          <t>99991231</t>
        </is>
      </c>
    </row>
    <row r="417">
      <c r="A417" t="inlineStr">
        <is>
          <t>900001810DW70D08410275118</t>
        </is>
      </c>
      <c r="B417" t="inlineStr">
        <is>
          <t>900001810</t>
        </is>
      </c>
      <c r="C417" t="inlineStr">
        <is>
          <t>DW70</t>
        </is>
      </c>
      <c r="D417" t="inlineStr">
        <is>
          <t>D084</t>
        </is>
      </c>
      <c r="E417" t="inlineStr">
        <is>
          <t>1</t>
        </is>
      </c>
      <c r="F417" t="inlineStr">
        <is>
          <t>10275118</t>
        </is>
      </c>
      <c r="H417" t="inlineStr"/>
      <c r="J417" t="n">
        <v>123.01</v>
      </c>
      <c r="K417" t="inlineStr"/>
      <c r="M417" t="inlineStr">
        <is>
          <t>TN</t>
        </is>
      </c>
      <c r="N417" t="inlineStr"/>
      <c r="P417" t="inlineStr">
        <is>
          <t>20260430</t>
        </is>
      </c>
      <c r="Q417" t="inlineStr">
        <is>
          <t>99991231</t>
        </is>
      </c>
    </row>
    <row r="418">
      <c r="A418" t="inlineStr">
        <is>
          <t>900001810DW70D08510000160</t>
        </is>
      </c>
      <c r="B418" t="inlineStr">
        <is>
          <t>900001810</t>
        </is>
      </c>
      <c r="C418" t="inlineStr">
        <is>
          <t>DW70</t>
        </is>
      </c>
      <c r="D418" t="inlineStr">
        <is>
          <t>D085</t>
        </is>
      </c>
      <c r="E418" t="inlineStr">
        <is>
          <t>1</t>
        </is>
      </c>
      <c r="F418" t="inlineStr">
        <is>
          <t>10000160</t>
        </is>
      </c>
      <c r="H418" t="inlineStr"/>
      <c r="J418" t="n">
        <v>122.65</v>
      </c>
      <c r="K418" t="inlineStr"/>
      <c r="M418" t="inlineStr">
        <is>
          <t>TN</t>
        </is>
      </c>
      <c r="N418" t="inlineStr"/>
      <c r="P418" t="inlineStr">
        <is>
          <t>20260115</t>
        </is>
      </c>
      <c r="Q418" t="inlineStr">
        <is>
          <t>20260317</t>
        </is>
      </c>
    </row>
    <row r="419">
      <c r="A419" t="inlineStr">
        <is>
          <t>900001810DW70D08510000357</t>
        </is>
      </c>
      <c r="B419" t="inlineStr">
        <is>
          <t>900001810</t>
        </is>
      </c>
      <c r="C419" t="inlineStr">
        <is>
          <t>DW70</t>
        </is>
      </c>
      <c r="D419" t="inlineStr">
        <is>
          <t>D085</t>
        </is>
      </c>
      <c r="E419" t="inlineStr">
        <is>
          <t>1</t>
        </is>
      </c>
      <c r="F419" t="inlineStr">
        <is>
          <t>10000357</t>
        </is>
      </c>
      <c r="H419" t="inlineStr"/>
      <c r="J419" t="n">
        <v>130.33</v>
      </c>
      <c r="K419" t="inlineStr"/>
      <c r="M419" t="inlineStr">
        <is>
          <t>TN</t>
        </is>
      </c>
      <c r="N419" t="inlineStr"/>
      <c r="P419" t="inlineStr">
        <is>
          <t>20260115</t>
        </is>
      </c>
      <c r="Q419" t="inlineStr">
        <is>
          <t>20260317</t>
        </is>
      </c>
    </row>
    <row r="420">
      <c r="A420" t="inlineStr">
        <is>
          <t>900001810DW70D08510000627</t>
        </is>
      </c>
      <c r="B420" t="inlineStr">
        <is>
          <t>900001810</t>
        </is>
      </c>
      <c r="C420" t="inlineStr">
        <is>
          <t>DW70</t>
        </is>
      </c>
      <c r="D420" t="inlineStr">
        <is>
          <t>D085</t>
        </is>
      </c>
      <c r="E420" t="inlineStr">
        <is>
          <t>1</t>
        </is>
      </c>
      <c r="F420" t="inlineStr">
        <is>
          <t>10000627</t>
        </is>
      </c>
      <c r="H420" t="inlineStr"/>
      <c r="J420" t="n">
        <v>139.81</v>
      </c>
      <c r="K420" t="inlineStr"/>
      <c r="M420" t="inlineStr">
        <is>
          <t>TN</t>
        </is>
      </c>
      <c r="N420" t="inlineStr"/>
      <c r="P420" t="inlineStr">
        <is>
          <t>20260430</t>
        </is>
      </c>
      <c r="Q420" t="inlineStr">
        <is>
          <t>99991231</t>
        </is>
      </c>
    </row>
    <row r="421">
      <c r="A421" t="inlineStr">
        <is>
          <t>900001810DW70D08510275116</t>
        </is>
      </c>
      <c r="B421" t="inlineStr">
        <is>
          <t>900001810</t>
        </is>
      </c>
      <c r="C421" t="inlineStr">
        <is>
          <t>DW70</t>
        </is>
      </c>
      <c r="D421" t="inlineStr">
        <is>
          <t>D085</t>
        </is>
      </c>
      <c r="E421" t="inlineStr">
        <is>
          <t>1</t>
        </is>
      </c>
      <c r="F421" t="inlineStr">
        <is>
          <t>10275116</t>
        </is>
      </c>
      <c r="H421" t="inlineStr"/>
      <c r="J421" t="n">
        <v>132.73</v>
      </c>
      <c r="K421" t="inlineStr"/>
      <c r="M421" t="inlineStr">
        <is>
          <t>TN</t>
        </is>
      </c>
      <c r="N421" t="inlineStr"/>
      <c r="P421" t="inlineStr">
        <is>
          <t>20260430</t>
        </is>
      </c>
      <c r="Q421" t="inlineStr">
        <is>
          <t>99991231</t>
        </is>
      </c>
    </row>
    <row r="422">
      <c r="A422" t="inlineStr">
        <is>
          <t>900001810DW70D08510275118</t>
        </is>
      </c>
      <c r="B422" t="inlineStr">
        <is>
          <t>900001810</t>
        </is>
      </c>
      <c r="C422" t="inlineStr">
        <is>
          <t>DW70</t>
        </is>
      </c>
      <c r="D422" t="inlineStr">
        <is>
          <t>D085</t>
        </is>
      </c>
      <c r="E422" t="inlineStr">
        <is>
          <t>1</t>
        </is>
      </c>
      <c r="F422" t="inlineStr">
        <is>
          <t>10275118</t>
        </is>
      </c>
      <c r="H422" t="inlineStr"/>
      <c r="J422" t="n">
        <v>132.73</v>
      </c>
      <c r="K422" t="inlineStr"/>
      <c r="M422" t="inlineStr">
        <is>
          <t>TN</t>
        </is>
      </c>
      <c r="N422" t="inlineStr"/>
      <c r="P422" t="inlineStr">
        <is>
          <t>20260430</t>
        </is>
      </c>
      <c r="Q422" t="inlineStr">
        <is>
          <t>99991231</t>
        </is>
      </c>
    </row>
    <row r="423">
      <c r="A423" t="inlineStr">
        <is>
          <t>900001810DW70D08610000160</t>
        </is>
      </c>
      <c r="B423" t="inlineStr">
        <is>
          <t>900001810</t>
        </is>
      </c>
      <c r="C423" t="inlineStr">
        <is>
          <t>DW70</t>
        </is>
      </c>
      <c r="D423" t="inlineStr">
        <is>
          <t>D086</t>
        </is>
      </c>
      <c r="E423" t="inlineStr">
        <is>
          <t>1</t>
        </is>
      </c>
      <c r="F423" t="inlineStr">
        <is>
          <t>10000160</t>
        </is>
      </c>
      <c r="H423" t="inlineStr"/>
      <c r="J423" t="n">
        <v>191.45</v>
      </c>
      <c r="K423" t="inlineStr"/>
      <c r="M423" t="inlineStr">
        <is>
          <t>TN</t>
        </is>
      </c>
      <c r="N423" t="inlineStr"/>
      <c r="P423" t="inlineStr">
        <is>
          <t>20260115</t>
        </is>
      </c>
      <c r="Q423" t="inlineStr">
        <is>
          <t>20260317</t>
        </is>
      </c>
    </row>
    <row r="424">
      <c r="A424" t="inlineStr">
        <is>
          <t>900001810DW70D08610000357</t>
        </is>
      </c>
      <c r="B424" t="inlineStr">
        <is>
          <t>900001810</t>
        </is>
      </c>
      <c r="C424" t="inlineStr">
        <is>
          <t>DW70</t>
        </is>
      </c>
      <c r="D424" t="inlineStr">
        <is>
          <t>D086</t>
        </is>
      </c>
      <c r="E424" t="inlineStr">
        <is>
          <t>1</t>
        </is>
      </c>
      <c r="F424" t="inlineStr">
        <is>
          <t>10000357</t>
        </is>
      </c>
      <c r="H424" t="inlineStr"/>
      <c r="J424" t="n">
        <v>203.44</v>
      </c>
      <c r="K424" t="inlineStr"/>
      <c r="M424" t="inlineStr">
        <is>
          <t>TN</t>
        </is>
      </c>
      <c r="N424" t="inlineStr"/>
      <c r="P424" t="inlineStr">
        <is>
          <t>20260115</t>
        </is>
      </c>
      <c r="Q424" t="inlineStr">
        <is>
          <t>20260317</t>
        </is>
      </c>
    </row>
    <row r="425">
      <c r="A425" t="inlineStr">
        <is>
          <t>900001810DW70D08610000627</t>
        </is>
      </c>
      <c r="B425" t="inlineStr">
        <is>
          <t>900001810</t>
        </is>
      </c>
      <c r="C425" t="inlineStr">
        <is>
          <t>DW70</t>
        </is>
      </c>
      <c r="D425" t="inlineStr">
        <is>
          <t>D086</t>
        </is>
      </c>
      <c r="E425" t="inlineStr">
        <is>
          <t>1</t>
        </is>
      </c>
      <c r="F425" t="inlineStr">
        <is>
          <t>10000627</t>
        </is>
      </c>
      <c r="H425" t="inlineStr"/>
      <c r="J425" t="n">
        <v>218.24</v>
      </c>
      <c r="K425" t="inlineStr"/>
      <c r="M425" t="inlineStr">
        <is>
          <t>TN</t>
        </is>
      </c>
      <c r="N425" t="inlineStr"/>
      <c r="P425" t="inlineStr">
        <is>
          <t>20260430</t>
        </is>
      </c>
      <c r="Q425" t="inlineStr">
        <is>
          <t>99991231</t>
        </is>
      </c>
    </row>
    <row r="426">
      <c r="A426" t="inlineStr">
        <is>
          <t>900001810DW70D08610275116</t>
        </is>
      </c>
      <c r="B426" t="inlineStr">
        <is>
          <t>900001810</t>
        </is>
      </c>
      <c r="C426" t="inlineStr">
        <is>
          <t>DW70</t>
        </is>
      </c>
      <c r="D426" t="inlineStr">
        <is>
          <t>D086</t>
        </is>
      </c>
      <c r="E426" t="inlineStr">
        <is>
          <t>1</t>
        </is>
      </c>
      <c r="F426" t="inlineStr">
        <is>
          <t>10275116</t>
        </is>
      </c>
      <c r="H426" t="inlineStr"/>
      <c r="J426" t="n">
        <v>207.18</v>
      </c>
      <c r="K426" t="inlineStr"/>
      <c r="M426" t="inlineStr">
        <is>
          <t>TN</t>
        </is>
      </c>
      <c r="N426" t="inlineStr"/>
      <c r="P426" t="inlineStr">
        <is>
          <t>20260430</t>
        </is>
      </c>
      <c r="Q426" t="inlineStr">
        <is>
          <t>99991231</t>
        </is>
      </c>
    </row>
    <row r="427">
      <c r="A427" t="inlineStr">
        <is>
          <t>900001810DW70D08610275118</t>
        </is>
      </c>
      <c r="B427" t="inlineStr">
        <is>
          <t>900001810</t>
        </is>
      </c>
      <c r="C427" t="inlineStr">
        <is>
          <t>DW70</t>
        </is>
      </c>
      <c r="D427" t="inlineStr">
        <is>
          <t>D086</t>
        </is>
      </c>
      <c r="E427" t="inlineStr">
        <is>
          <t>1</t>
        </is>
      </c>
      <c r="F427" t="inlineStr">
        <is>
          <t>10275118</t>
        </is>
      </c>
      <c r="H427" t="inlineStr"/>
      <c r="J427" t="n">
        <v>207.18</v>
      </c>
      <c r="K427" t="inlineStr"/>
      <c r="M427" t="inlineStr">
        <is>
          <t>TN</t>
        </is>
      </c>
      <c r="N427" t="inlineStr"/>
      <c r="P427" t="inlineStr">
        <is>
          <t>20260430</t>
        </is>
      </c>
      <c r="Q427" t="inlineStr">
        <is>
          <t>99991231</t>
        </is>
      </c>
    </row>
    <row r="428">
      <c r="A428" t="inlineStr">
        <is>
          <t>900001810DW70D08810000160</t>
        </is>
      </c>
      <c r="B428" t="inlineStr">
        <is>
          <t>900001810</t>
        </is>
      </c>
      <c r="C428" t="inlineStr">
        <is>
          <t>DW70</t>
        </is>
      </c>
      <c r="D428" t="inlineStr">
        <is>
          <t>D088</t>
        </is>
      </c>
      <c r="E428" t="inlineStr">
        <is>
          <t>1</t>
        </is>
      </c>
      <c r="F428" t="inlineStr">
        <is>
          <t>10000160</t>
        </is>
      </c>
      <c r="H428" t="inlineStr"/>
      <c r="J428" t="n">
        <v>213.24</v>
      </c>
      <c r="K428" t="inlineStr"/>
      <c r="M428" t="inlineStr">
        <is>
          <t>TN</t>
        </is>
      </c>
      <c r="N428" t="inlineStr"/>
      <c r="P428" t="inlineStr">
        <is>
          <t>20250401</t>
        </is>
      </c>
      <c r="Q428" t="inlineStr">
        <is>
          <t>20251031</t>
        </is>
      </c>
    </row>
    <row r="429">
      <c r="A429" t="inlineStr">
        <is>
          <t>900001810DW70D08810000357</t>
        </is>
      </c>
      <c r="B429" t="inlineStr">
        <is>
          <t>900001810</t>
        </is>
      </c>
      <c r="C429" t="inlineStr">
        <is>
          <t>DW70</t>
        </is>
      </c>
      <c r="D429" t="inlineStr">
        <is>
          <t>D088</t>
        </is>
      </c>
      <c r="E429" t="inlineStr">
        <is>
          <t>1</t>
        </is>
      </c>
      <c r="F429" t="inlineStr">
        <is>
          <t>10000357</t>
        </is>
      </c>
      <c r="H429" t="inlineStr"/>
      <c r="J429" t="n">
        <v>226.58</v>
      </c>
      <c r="K429" t="inlineStr"/>
      <c r="M429" t="inlineStr">
        <is>
          <t>TN</t>
        </is>
      </c>
      <c r="N429" t="inlineStr"/>
      <c r="P429" t="inlineStr">
        <is>
          <t>20250401</t>
        </is>
      </c>
      <c r="Q429" t="inlineStr">
        <is>
          <t>20251031</t>
        </is>
      </c>
    </row>
    <row r="430">
      <c r="A430" t="inlineStr">
        <is>
          <t>900001810DW70D08810000627</t>
        </is>
      </c>
      <c r="B430" t="inlineStr">
        <is>
          <t>900001810</t>
        </is>
      </c>
      <c r="C430" t="inlineStr">
        <is>
          <t>DW70</t>
        </is>
      </c>
      <c r="D430" t="inlineStr">
        <is>
          <t>D088</t>
        </is>
      </c>
      <c r="E430" t="inlineStr">
        <is>
          <t>1</t>
        </is>
      </c>
      <c r="F430" t="inlineStr">
        <is>
          <t>10000627</t>
        </is>
      </c>
      <c r="H430" t="inlineStr"/>
      <c r="J430" t="n">
        <v>225.9</v>
      </c>
      <c r="K430" t="inlineStr"/>
      <c r="M430" t="inlineStr">
        <is>
          <t>TN</t>
        </is>
      </c>
      <c r="N430" t="inlineStr"/>
      <c r="P430" t="inlineStr">
        <is>
          <t>20250401</t>
        </is>
      </c>
      <c r="Q430" t="inlineStr">
        <is>
          <t>20251031</t>
        </is>
      </c>
    </row>
    <row r="431">
      <c r="A431" t="inlineStr">
        <is>
          <t>900001810DW70D09310000160</t>
        </is>
      </c>
      <c r="B431" t="inlineStr">
        <is>
          <t>900001810</t>
        </is>
      </c>
      <c r="C431" t="inlineStr">
        <is>
          <t>DW70</t>
        </is>
      </c>
      <c r="D431" t="inlineStr">
        <is>
          <t>D093</t>
        </is>
      </c>
      <c r="E431" t="inlineStr">
        <is>
          <t>1</t>
        </is>
      </c>
      <c r="F431" t="inlineStr">
        <is>
          <t>10000160</t>
        </is>
      </c>
      <c r="H431" t="inlineStr"/>
      <c r="J431" t="n">
        <v>293.17</v>
      </c>
      <c r="K431" t="inlineStr"/>
      <c r="M431" t="inlineStr">
        <is>
          <t>TN</t>
        </is>
      </c>
      <c r="N431" t="inlineStr"/>
      <c r="P431" t="inlineStr">
        <is>
          <t>20260115</t>
        </is>
      </c>
      <c r="Q431" t="inlineStr">
        <is>
          <t>20260317</t>
        </is>
      </c>
    </row>
    <row r="432">
      <c r="A432" t="inlineStr">
        <is>
          <t>900001810DW70D09310000357</t>
        </is>
      </c>
      <c r="B432" t="inlineStr">
        <is>
          <t>900001810</t>
        </is>
      </c>
      <c r="C432" t="inlineStr">
        <is>
          <t>DW70</t>
        </is>
      </c>
      <c r="D432" t="inlineStr">
        <is>
          <t>D093</t>
        </is>
      </c>
      <c r="E432" t="inlineStr">
        <is>
          <t>1</t>
        </is>
      </c>
      <c r="F432" t="inlineStr">
        <is>
          <t>10000357</t>
        </is>
      </c>
      <c r="H432" t="inlineStr"/>
      <c r="J432" t="n">
        <v>311.52</v>
      </c>
      <c r="K432" t="inlineStr"/>
      <c r="M432" t="inlineStr">
        <is>
          <t>TN</t>
        </is>
      </c>
      <c r="N432" t="inlineStr"/>
      <c r="P432" t="inlineStr">
        <is>
          <t>20260115</t>
        </is>
      </c>
      <c r="Q432" t="inlineStr">
        <is>
          <t>20260317</t>
        </is>
      </c>
    </row>
    <row r="433">
      <c r="A433" t="inlineStr">
        <is>
          <t>900001810DW70D09310000627</t>
        </is>
      </c>
      <c r="B433" t="inlineStr">
        <is>
          <t>900001810</t>
        </is>
      </c>
      <c r="C433" t="inlineStr">
        <is>
          <t>DW70</t>
        </is>
      </c>
      <c r="D433" t="inlineStr">
        <is>
          <t>D093</t>
        </is>
      </c>
      <c r="E433" t="inlineStr">
        <is>
          <t>1</t>
        </is>
      </c>
      <c r="F433" t="inlineStr">
        <is>
          <t>10000627</t>
        </is>
      </c>
      <c r="H433" t="inlineStr"/>
      <c r="J433" t="n">
        <v>334.18</v>
      </c>
      <c r="K433" t="inlineStr"/>
      <c r="M433" t="inlineStr">
        <is>
          <t>TN</t>
        </is>
      </c>
      <c r="N433" t="inlineStr"/>
      <c r="P433" t="inlineStr">
        <is>
          <t>20260430</t>
        </is>
      </c>
      <c r="Q433" t="inlineStr">
        <is>
          <t>99991231</t>
        </is>
      </c>
    </row>
    <row r="434">
      <c r="A434" t="inlineStr">
        <is>
          <t>900001810DW70D09310275116</t>
        </is>
      </c>
      <c r="B434" t="inlineStr">
        <is>
          <t>900001810</t>
        </is>
      </c>
      <c r="C434" t="inlineStr">
        <is>
          <t>DW70</t>
        </is>
      </c>
      <c r="D434" t="inlineStr">
        <is>
          <t>D093</t>
        </is>
      </c>
      <c r="E434" t="inlineStr">
        <is>
          <t>1</t>
        </is>
      </c>
      <c r="F434" t="inlineStr">
        <is>
          <t>10275116</t>
        </is>
      </c>
      <c r="H434" t="inlineStr"/>
      <c r="J434" t="n">
        <v>317.24</v>
      </c>
      <c r="K434" t="inlineStr"/>
      <c r="M434" t="inlineStr">
        <is>
          <t>TN</t>
        </is>
      </c>
      <c r="N434" t="inlineStr"/>
      <c r="P434" t="inlineStr">
        <is>
          <t>20260430</t>
        </is>
      </c>
      <c r="Q434" t="inlineStr">
        <is>
          <t>99991231</t>
        </is>
      </c>
    </row>
    <row r="435">
      <c r="A435" t="inlineStr">
        <is>
          <t>900001810DW70D09310275118</t>
        </is>
      </c>
      <c r="B435" t="inlineStr">
        <is>
          <t>900001810</t>
        </is>
      </c>
      <c r="C435" t="inlineStr">
        <is>
          <t>DW70</t>
        </is>
      </c>
      <c r="D435" t="inlineStr">
        <is>
          <t>D093</t>
        </is>
      </c>
      <c r="E435" t="inlineStr">
        <is>
          <t>1</t>
        </is>
      </c>
      <c r="F435" t="inlineStr">
        <is>
          <t>10275118</t>
        </is>
      </c>
      <c r="H435" t="inlineStr"/>
      <c r="J435" t="n">
        <v>317.24</v>
      </c>
      <c r="K435" t="inlineStr"/>
      <c r="M435" t="inlineStr">
        <is>
          <t>TN</t>
        </is>
      </c>
      <c r="N435" t="inlineStr"/>
      <c r="P435" t="inlineStr">
        <is>
          <t>20260430</t>
        </is>
      </c>
      <c r="Q435" t="inlineStr">
        <is>
          <t>99991231</t>
        </is>
      </c>
    </row>
    <row r="436">
      <c r="A436" t="inlineStr">
        <is>
          <t>900001810DW70D09810000160</t>
        </is>
      </c>
      <c r="B436" t="inlineStr">
        <is>
          <t>900001810</t>
        </is>
      </c>
      <c r="C436" t="inlineStr">
        <is>
          <t>DW70</t>
        </is>
      </c>
      <c r="D436" t="inlineStr">
        <is>
          <t>D098</t>
        </is>
      </c>
      <c r="E436" t="inlineStr">
        <is>
          <t>1</t>
        </is>
      </c>
      <c r="F436" t="inlineStr">
        <is>
          <t>10000160</t>
        </is>
      </c>
      <c r="H436" t="inlineStr"/>
      <c r="J436" t="n">
        <v>269.23</v>
      </c>
      <c r="K436" t="inlineStr"/>
      <c r="M436" t="inlineStr">
        <is>
          <t>TN</t>
        </is>
      </c>
      <c r="N436" t="inlineStr"/>
      <c r="P436" t="inlineStr">
        <is>
          <t>20260115</t>
        </is>
      </c>
      <c r="Q436" t="inlineStr">
        <is>
          <t>20260317</t>
        </is>
      </c>
    </row>
    <row r="437">
      <c r="A437" t="inlineStr">
        <is>
          <t>900001810DW70D09810000357</t>
        </is>
      </c>
      <c r="B437" t="inlineStr">
        <is>
          <t>900001810</t>
        </is>
      </c>
      <c r="C437" t="inlineStr">
        <is>
          <t>DW70</t>
        </is>
      </c>
      <c r="D437" t="inlineStr">
        <is>
          <t>D098</t>
        </is>
      </c>
      <c r="E437" t="inlineStr">
        <is>
          <t>1</t>
        </is>
      </c>
      <c r="F437" t="inlineStr">
        <is>
          <t>10000357</t>
        </is>
      </c>
      <c r="H437" t="inlineStr"/>
      <c r="J437" t="n">
        <v>286.09</v>
      </c>
      <c r="K437" t="inlineStr"/>
      <c r="M437" t="inlineStr">
        <is>
          <t>TN</t>
        </is>
      </c>
      <c r="N437" t="inlineStr"/>
      <c r="P437" t="inlineStr">
        <is>
          <t>20260115</t>
        </is>
      </c>
      <c r="Q437" t="inlineStr">
        <is>
          <t>20260317</t>
        </is>
      </c>
    </row>
    <row r="438">
      <c r="A438" t="inlineStr">
        <is>
          <t>900001810DW70D09810000627</t>
        </is>
      </c>
      <c r="B438" t="inlineStr">
        <is>
          <t>900001810</t>
        </is>
      </c>
      <c r="C438" t="inlineStr">
        <is>
          <t>DW70</t>
        </is>
      </c>
      <c r="D438" t="inlineStr">
        <is>
          <t>D098</t>
        </is>
      </c>
      <c r="E438" t="inlineStr">
        <is>
          <t>1</t>
        </is>
      </c>
      <c r="F438" t="inlineStr">
        <is>
          <t>10000627</t>
        </is>
      </c>
      <c r="H438" t="inlineStr"/>
      <c r="J438" t="n">
        <v>306.9</v>
      </c>
      <c r="K438" t="inlineStr"/>
      <c r="M438" t="inlineStr">
        <is>
          <t>TN</t>
        </is>
      </c>
      <c r="N438" t="inlineStr"/>
      <c r="P438" t="inlineStr">
        <is>
          <t>20260430</t>
        </is>
      </c>
      <c r="Q438" t="inlineStr">
        <is>
          <t>99991231</t>
        </is>
      </c>
    </row>
    <row r="439">
      <c r="A439" t="inlineStr">
        <is>
          <t>900001810DW70D09810275116</t>
        </is>
      </c>
      <c r="B439" t="inlineStr">
        <is>
          <t>900001810</t>
        </is>
      </c>
      <c r="C439" t="inlineStr">
        <is>
          <t>DW70</t>
        </is>
      </c>
      <c r="D439" t="inlineStr">
        <is>
          <t>D098</t>
        </is>
      </c>
      <c r="E439" t="inlineStr">
        <is>
          <t>1</t>
        </is>
      </c>
      <c r="F439" t="inlineStr">
        <is>
          <t>10275116</t>
        </is>
      </c>
      <c r="H439" t="inlineStr"/>
      <c r="J439" t="n">
        <v>291.35</v>
      </c>
      <c r="K439" t="inlineStr"/>
      <c r="M439" t="inlineStr">
        <is>
          <t>TN</t>
        </is>
      </c>
      <c r="N439" t="inlineStr"/>
      <c r="P439" t="inlineStr">
        <is>
          <t>20260430</t>
        </is>
      </c>
      <c r="Q439" t="inlineStr">
        <is>
          <t>99991231</t>
        </is>
      </c>
    </row>
    <row r="440">
      <c r="A440" t="inlineStr">
        <is>
          <t>900001810DW70D09810275118</t>
        </is>
      </c>
      <c r="B440" t="inlineStr">
        <is>
          <t>900001810</t>
        </is>
      </c>
      <c r="C440" t="inlineStr">
        <is>
          <t>DW70</t>
        </is>
      </c>
      <c r="D440" t="inlineStr">
        <is>
          <t>D098</t>
        </is>
      </c>
      <c r="E440" t="inlineStr">
        <is>
          <t>1</t>
        </is>
      </c>
      <c r="F440" t="inlineStr">
        <is>
          <t>10275118</t>
        </is>
      </c>
      <c r="H440" t="inlineStr"/>
      <c r="J440" t="n">
        <v>291.35</v>
      </c>
      <c r="K440" t="inlineStr"/>
      <c r="M440" t="inlineStr">
        <is>
          <t>TN</t>
        </is>
      </c>
      <c r="N440" t="inlineStr"/>
      <c r="P440" t="inlineStr">
        <is>
          <t>20260430</t>
        </is>
      </c>
      <c r="Q440" t="inlineStr">
        <is>
          <t>99991231</t>
        </is>
      </c>
    </row>
    <row r="441">
      <c r="A441" t="inlineStr">
        <is>
          <t>900001810DW70D10510000160</t>
        </is>
      </c>
      <c r="B441" t="inlineStr">
        <is>
          <t>900001810</t>
        </is>
      </c>
      <c r="C441" t="inlineStr">
        <is>
          <t>DW70</t>
        </is>
      </c>
      <c r="D441" t="inlineStr">
        <is>
          <t>D105</t>
        </is>
      </c>
      <c r="E441" t="inlineStr">
        <is>
          <t>1</t>
        </is>
      </c>
      <c r="F441" t="inlineStr">
        <is>
          <t>10000160</t>
        </is>
      </c>
      <c r="H441" t="inlineStr"/>
      <c r="J441" t="n">
        <v>212.4</v>
      </c>
      <c r="K441" t="inlineStr"/>
      <c r="M441" t="inlineStr">
        <is>
          <t>TN</t>
        </is>
      </c>
      <c r="N441" t="inlineStr"/>
      <c r="P441" t="inlineStr">
        <is>
          <t>20260115</t>
        </is>
      </c>
      <c r="Q441" t="inlineStr">
        <is>
          <t>20260317</t>
        </is>
      </c>
    </row>
    <row r="442">
      <c r="A442" t="inlineStr">
        <is>
          <t>900001810DW70D10510000357</t>
        </is>
      </c>
      <c r="B442" t="inlineStr">
        <is>
          <t>900001810</t>
        </is>
      </c>
      <c r="C442" t="inlineStr">
        <is>
          <t>DW70</t>
        </is>
      </c>
      <c r="D442" t="inlineStr">
        <is>
          <t>D105</t>
        </is>
      </c>
      <c r="E442" t="inlineStr">
        <is>
          <t>1</t>
        </is>
      </c>
      <c r="F442" t="inlineStr">
        <is>
          <t>10000357</t>
        </is>
      </c>
      <c r="H442" t="inlineStr"/>
      <c r="J442" t="n">
        <v>225.69</v>
      </c>
      <c r="K442" t="inlineStr"/>
      <c r="M442" t="inlineStr">
        <is>
          <t>TN</t>
        </is>
      </c>
      <c r="N442" t="inlineStr"/>
      <c r="P442" t="inlineStr">
        <is>
          <t>20260115</t>
        </is>
      </c>
      <c r="Q442" t="inlineStr">
        <is>
          <t>20260317</t>
        </is>
      </c>
    </row>
    <row r="443">
      <c r="A443" t="inlineStr">
        <is>
          <t>900001810DW70D10510000627</t>
        </is>
      </c>
      <c r="B443" t="inlineStr">
        <is>
          <t>900001810</t>
        </is>
      </c>
      <c r="C443" t="inlineStr">
        <is>
          <t>DW70</t>
        </is>
      </c>
      <c r="D443" t="inlineStr">
        <is>
          <t>D105</t>
        </is>
      </c>
      <c r="E443" t="inlineStr">
        <is>
          <t>1</t>
        </is>
      </c>
      <c r="F443" t="inlineStr">
        <is>
          <t>10000627</t>
        </is>
      </c>
      <c r="H443" t="inlineStr"/>
      <c r="J443" t="n">
        <v>242.11</v>
      </c>
      <c r="K443" t="inlineStr"/>
      <c r="M443" t="inlineStr">
        <is>
          <t>TN</t>
        </is>
      </c>
      <c r="N443" t="inlineStr"/>
      <c r="P443" t="inlineStr">
        <is>
          <t>20260430</t>
        </is>
      </c>
      <c r="Q443" t="inlineStr">
        <is>
          <t>99991231</t>
        </is>
      </c>
    </row>
    <row r="444">
      <c r="A444" t="inlineStr">
        <is>
          <t>900001810DW70D10510275116</t>
        </is>
      </c>
      <c r="B444" t="inlineStr">
        <is>
          <t>900001810</t>
        </is>
      </c>
      <c r="C444" t="inlineStr">
        <is>
          <t>DW70</t>
        </is>
      </c>
      <c r="D444" t="inlineStr">
        <is>
          <t>D105</t>
        </is>
      </c>
      <c r="E444" t="inlineStr">
        <is>
          <t>1</t>
        </is>
      </c>
      <c r="F444" t="inlineStr">
        <is>
          <t>10275116</t>
        </is>
      </c>
      <c r="H444" t="inlineStr"/>
      <c r="J444" t="n">
        <v>229.84</v>
      </c>
      <c r="K444" t="inlineStr"/>
      <c r="M444" t="inlineStr">
        <is>
          <t>TN</t>
        </is>
      </c>
      <c r="N444" t="inlineStr"/>
      <c r="P444" t="inlineStr">
        <is>
          <t>20260430</t>
        </is>
      </c>
      <c r="Q444" t="inlineStr">
        <is>
          <t>99991231</t>
        </is>
      </c>
    </row>
    <row r="445">
      <c r="A445" t="inlineStr">
        <is>
          <t>900001810DW70D10510275118</t>
        </is>
      </c>
      <c r="B445" t="inlineStr">
        <is>
          <t>900001810</t>
        </is>
      </c>
      <c r="C445" t="inlineStr">
        <is>
          <t>DW70</t>
        </is>
      </c>
      <c r="D445" t="inlineStr">
        <is>
          <t>D105</t>
        </is>
      </c>
      <c r="E445" t="inlineStr">
        <is>
          <t>1</t>
        </is>
      </c>
      <c r="F445" t="inlineStr">
        <is>
          <t>10275118</t>
        </is>
      </c>
      <c r="H445" t="inlineStr"/>
      <c r="J445" t="n">
        <v>229.84</v>
      </c>
      <c r="K445" t="inlineStr"/>
      <c r="M445" t="inlineStr">
        <is>
          <t>TN</t>
        </is>
      </c>
      <c r="N445" t="inlineStr"/>
      <c r="P445" t="inlineStr">
        <is>
          <t>20260430</t>
        </is>
      </c>
      <c r="Q445" t="inlineStr">
        <is>
          <t>99991231</t>
        </is>
      </c>
    </row>
    <row r="446">
      <c r="A446" t="inlineStr">
        <is>
          <t>900001810DW70D13610000160</t>
        </is>
      </c>
      <c r="B446" t="inlineStr">
        <is>
          <t>900001810</t>
        </is>
      </c>
      <c r="C446" t="inlineStr">
        <is>
          <t>DW70</t>
        </is>
      </c>
      <c r="D446" t="inlineStr">
        <is>
          <t>D136</t>
        </is>
      </c>
      <c r="E446" t="inlineStr">
        <is>
          <t>1</t>
        </is>
      </c>
      <c r="F446" t="inlineStr">
        <is>
          <t>10000160</t>
        </is>
      </c>
      <c r="H446" t="inlineStr"/>
      <c r="J446" t="n">
        <v>257.27</v>
      </c>
      <c r="K446" t="inlineStr"/>
      <c r="M446" t="inlineStr">
        <is>
          <t>TN</t>
        </is>
      </c>
      <c r="N446" t="inlineStr"/>
      <c r="P446" t="inlineStr">
        <is>
          <t>20260115</t>
        </is>
      </c>
      <c r="Q446" t="inlineStr">
        <is>
          <t>20260317</t>
        </is>
      </c>
    </row>
    <row r="447">
      <c r="A447" t="inlineStr">
        <is>
          <t>900001810DW70D13610000357</t>
        </is>
      </c>
      <c r="B447" t="inlineStr">
        <is>
          <t>900001810</t>
        </is>
      </c>
      <c r="C447" t="inlineStr">
        <is>
          <t>DW70</t>
        </is>
      </c>
      <c r="D447" t="inlineStr">
        <is>
          <t>D136</t>
        </is>
      </c>
      <c r="E447" t="inlineStr">
        <is>
          <t>1</t>
        </is>
      </c>
      <c r="F447" t="inlineStr">
        <is>
          <t>10000357</t>
        </is>
      </c>
      <c r="H447" t="inlineStr"/>
      <c r="J447" t="n">
        <v>273.37</v>
      </c>
      <c r="K447" t="inlineStr"/>
      <c r="M447" t="inlineStr">
        <is>
          <t>TN</t>
        </is>
      </c>
      <c r="N447" t="inlineStr"/>
      <c r="P447" t="inlineStr">
        <is>
          <t>20260115</t>
        </is>
      </c>
      <c r="Q447" t="inlineStr">
        <is>
          <t>20260317</t>
        </is>
      </c>
    </row>
    <row r="448">
      <c r="A448" t="inlineStr">
        <is>
          <t>900001810DW70D13610000627</t>
        </is>
      </c>
      <c r="B448" t="inlineStr">
        <is>
          <t>900001810</t>
        </is>
      </c>
      <c r="C448" t="inlineStr">
        <is>
          <t>DW70</t>
        </is>
      </c>
      <c r="D448" t="inlineStr">
        <is>
          <t>D136</t>
        </is>
      </c>
      <c r="E448" t="inlineStr">
        <is>
          <t>1</t>
        </is>
      </c>
      <c r="F448" t="inlineStr">
        <is>
          <t>10000627</t>
        </is>
      </c>
      <c r="H448" t="inlineStr"/>
      <c r="J448" t="n">
        <v>293.26</v>
      </c>
      <c r="K448" t="inlineStr"/>
      <c r="M448" t="inlineStr">
        <is>
          <t>TN</t>
        </is>
      </c>
      <c r="N448" t="inlineStr"/>
      <c r="P448" t="inlineStr">
        <is>
          <t>20260430</t>
        </is>
      </c>
      <c r="Q448" t="inlineStr">
        <is>
          <t>99991231</t>
        </is>
      </c>
    </row>
    <row r="449">
      <c r="A449" t="inlineStr">
        <is>
          <t>900001810DW70D13610275116</t>
        </is>
      </c>
      <c r="B449" t="inlineStr">
        <is>
          <t>900001810</t>
        </is>
      </c>
      <c r="C449" t="inlineStr">
        <is>
          <t>DW70</t>
        </is>
      </c>
      <c r="D449" t="inlineStr">
        <is>
          <t>D136</t>
        </is>
      </c>
      <c r="E449" t="inlineStr">
        <is>
          <t>1</t>
        </is>
      </c>
      <c r="F449" t="inlineStr">
        <is>
          <t>10275116</t>
        </is>
      </c>
      <c r="H449" t="inlineStr"/>
      <c r="J449" t="n">
        <v>278.4</v>
      </c>
      <c r="K449" t="inlineStr"/>
      <c r="M449" t="inlineStr">
        <is>
          <t>TN</t>
        </is>
      </c>
      <c r="N449" t="inlineStr"/>
      <c r="P449" t="inlineStr">
        <is>
          <t>20260430</t>
        </is>
      </c>
      <c r="Q449" t="inlineStr">
        <is>
          <t>99991231</t>
        </is>
      </c>
    </row>
    <row r="450">
      <c r="A450" t="inlineStr">
        <is>
          <t>900001810DW70D13610275118</t>
        </is>
      </c>
      <c r="B450" t="inlineStr">
        <is>
          <t>900001810</t>
        </is>
      </c>
      <c r="C450" t="inlineStr">
        <is>
          <t>DW70</t>
        </is>
      </c>
      <c r="D450" t="inlineStr">
        <is>
          <t>D136</t>
        </is>
      </c>
      <c r="E450" t="inlineStr">
        <is>
          <t>1</t>
        </is>
      </c>
      <c r="F450" t="inlineStr">
        <is>
          <t>10275118</t>
        </is>
      </c>
      <c r="H450" t="inlineStr"/>
      <c r="J450" t="n">
        <v>278.4</v>
      </c>
      <c r="K450" t="inlineStr"/>
      <c r="M450" t="inlineStr">
        <is>
          <t>TN</t>
        </is>
      </c>
      <c r="N450" t="inlineStr"/>
      <c r="P450" t="inlineStr">
        <is>
          <t>20260430</t>
        </is>
      </c>
      <c r="Q450" t="inlineStr">
        <is>
          <t>99991231</t>
        </is>
      </c>
    </row>
    <row r="451">
      <c r="A451" t="inlineStr">
        <is>
          <t>900001810DW70D14510000160</t>
        </is>
      </c>
      <c r="B451" t="inlineStr">
        <is>
          <t>900001810</t>
        </is>
      </c>
      <c r="C451" t="inlineStr">
        <is>
          <t>DW70</t>
        </is>
      </c>
      <c r="D451" t="inlineStr">
        <is>
          <t>D145</t>
        </is>
      </c>
      <c r="E451" t="inlineStr">
        <is>
          <t>1</t>
        </is>
      </c>
      <c r="F451" t="inlineStr">
        <is>
          <t>10000160</t>
        </is>
      </c>
      <c r="H451" t="inlineStr"/>
      <c r="J451" t="n">
        <v>188.46</v>
      </c>
      <c r="K451" t="inlineStr"/>
      <c r="M451" t="inlineStr">
        <is>
          <t>TN</t>
        </is>
      </c>
      <c r="N451" t="inlineStr"/>
      <c r="P451" t="inlineStr">
        <is>
          <t>20260115</t>
        </is>
      </c>
      <c r="Q451" t="inlineStr">
        <is>
          <t>20260317</t>
        </is>
      </c>
    </row>
    <row r="452">
      <c r="A452" t="inlineStr">
        <is>
          <t>900001810DW70D14510000357</t>
        </is>
      </c>
      <c r="B452" t="inlineStr">
        <is>
          <t>900001810</t>
        </is>
      </c>
      <c r="C452" t="inlineStr">
        <is>
          <t>DW70</t>
        </is>
      </c>
      <c r="D452" t="inlineStr">
        <is>
          <t>D145</t>
        </is>
      </c>
      <c r="E452" t="inlineStr">
        <is>
          <t>1</t>
        </is>
      </c>
      <c r="F452" t="inlineStr">
        <is>
          <t>10000357</t>
        </is>
      </c>
      <c r="H452" t="inlineStr"/>
      <c r="J452" t="n">
        <v>200.26</v>
      </c>
      <c r="K452" t="inlineStr"/>
      <c r="M452" t="inlineStr">
        <is>
          <t>TN</t>
        </is>
      </c>
      <c r="N452" t="inlineStr"/>
      <c r="P452" t="inlineStr">
        <is>
          <t>20260115</t>
        </is>
      </c>
      <c r="Q452" t="inlineStr">
        <is>
          <t>20260317</t>
        </is>
      </c>
    </row>
    <row r="453">
      <c r="A453" t="inlineStr">
        <is>
          <t>900001810DW70D14510000627</t>
        </is>
      </c>
      <c r="B453" t="inlineStr">
        <is>
          <t>900001810</t>
        </is>
      </c>
      <c r="C453" t="inlineStr">
        <is>
          <t>DW70</t>
        </is>
      </c>
      <c r="D453" t="inlineStr">
        <is>
          <t>D145</t>
        </is>
      </c>
      <c r="E453" t="inlineStr">
        <is>
          <t>1</t>
        </is>
      </c>
      <c r="F453" t="inlineStr">
        <is>
          <t>10000627</t>
        </is>
      </c>
      <c r="H453" t="inlineStr"/>
      <c r="J453" t="n">
        <v>214.83</v>
      </c>
      <c r="K453" t="inlineStr"/>
      <c r="M453" t="inlineStr">
        <is>
          <t>TN</t>
        </is>
      </c>
      <c r="N453" t="inlineStr"/>
      <c r="P453" t="inlineStr">
        <is>
          <t>20260430</t>
        </is>
      </c>
      <c r="Q453" t="inlineStr">
        <is>
          <t>99991231</t>
        </is>
      </c>
    </row>
    <row r="454">
      <c r="A454" t="inlineStr">
        <is>
          <t>900001810DW70D14510275116</t>
        </is>
      </c>
      <c r="B454" t="inlineStr">
        <is>
          <t>900001810</t>
        </is>
      </c>
      <c r="C454" t="inlineStr">
        <is>
          <t>DW70</t>
        </is>
      </c>
      <c r="D454" t="inlineStr">
        <is>
          <t>D145</t>
        </is>
      </c>
      <c r="E454" t="inlineStr">
        <is>
          <t>1</t>
        </is>
      </c>
      <c r="F454" t="inlineStr">
        <is>
          <t>10275116</t>
        </is>
      </c>
      <c r="H454" t="inlineStr"/>
      <c r="J454" t="n">
        <v>203.95</v>
      </c>
      <c r="K454" t="inlineStr"/>
      <c r="M454" t="inlineStr">
        <is>
          <t>TN</t>
        </is>
      </c>
      <c r="N454" t="inlineStr"/>
      <c r="P454" t="inlineStr">
        <is>
          <t>20260430</t>
        </is>
      </c>
      <c r="Q454" t="inlineStr">
        <is>
          <t>99991231</t>
        </is>
      </c>
    </row>
    <row r="455">
      <c r="A455" t="inlineStr">
        <is>
          <t>900001810DW70D14510275118</t>
        </is>
      </c>
      <c r="B455" t="inlineStr">
        <is>
          <t>900001810</t>
        </is>
      </c>
      <c r="C455" t="inlineStr">
        <is>
          <t>DW70</t>
        </is>
      </c>
      <c r="D455" t="inlineStr">
        <is>
          <t>D145</t>
        </is>
      </c>
      <c r="E455" t="inlineStr">
        <is>
          <t>1</t>
        </is>
      </c>
      <c r="F455" t="inlineStr">
        <is>
          <t>10275118</t>
        </is>
      </c>
      <c r="H455" t="inlineStr"/>
      <c r="J455" t="n">
        <v>203.95</v>
      </c>
      <c r="K455" t="inlineStr"/>
      <c r="M455" t="inlineStr">
        <is>
          <t>TN</t>
        </is>
      </c>
      <c r="N455" t="inlineStr"/>
      <c r="P455" t="inlineStr">
        <is>
          <t>20260430</t>
        </is>
      </c>
      <c r="Q455" t="inlineStr">
        <is>
          <t>99991231</t>
        </is>
      </c>
    </row>
    <row r="456">
      <c r="A456" t="inlineStr">
        <is>
          <t>900001810DW70ENDC10000160</t>
        </is>
      </c>
      <c r="B456" t="inlineStr">
        <is>
          <t>900001810</t>
        </is>
      </c>
      <c r="C456" t="inlineStr">
        <is>
          <t>DW70</t>
        </is>
      </c>
      <c r="D456" t="inlineStr">
        <is>
          <t>ENDC</t>
        </is>
      </c>
      <c r="E456" t="inlineStr">
        <is>
          <t>2</t>
        </is>
      </c>
      <c r="F456" t="inlineStr">
        <is>
          <t>10000160</t>
        </is>
      </c>
      <c r="H456" t="inlineStr"/>
      <c r="J456" t="n">
        <v>223.56</v>
      </c>
      <c r="K456" t="inlineStr"/>
      <c r="M456" t="inlineStr">
        <is>
          <t>TN</t>
        </is>
      </c>
      <c r="N456" t="inlineStr"/>
      <c r="P456" t="inlineStr">
        <is>
          <t>20250401</t>
        </is>
      </c>
      <c r="Q456" t="inlineStr">
        <is>
          <t>20251031</t>
        </is>
      </c>
    </row>
    <row r="457">
      <c r="A457" t="inlineStr">
        <is>
          <t>900001810DW70ENDC10000206</t>
        </is>
      </c>
      <c r="B457" t="inlineStr">
        <is>
          <t>900001810</t>
        </is>
      </c>
      <c r="C457" t="inlineStr">
        <is>
          <t>DW70</t>
        </is>
      </c>
      <c r="D457" t="inlineStr">
        <is>
          <t>ENDC</t>
        </is>
      </c>
      <c r="E457" t="inlineStr">
        <is>
          <t>2</t>
        </is>
      </c>
      <c r="F457" t="inlineStr">
        <is>
          <t>10000206</t>
        </is>
      </c>
      <c r="H457" t="inlineStr"/>
      <c r="J457" t="n">
        <v>168.13</v>
      </c>
      <c r="K457" t="inlineStr"/>
      <c r="M457" t="inlineStr">
        <is>
          <t>TN</t>
        </is>
      </c>
      <c r="N457" t="inlineStr"/>
      <c r="P457" t="inlineStr">
        <is>
          <t>20250401</t>
        </is>
      </c>
      <c r="Q457" t="inlineStr">
        <is>
          <t>20251031</t>
        </is>
      </c>
    </row>
    <row r="458">
      <c r="A458" t="inlineStr">
        <is>
          <t>900001810DW70ENDC10175723</t>
        </is>
      </c>
      <c r="B458" t="inlineStr">
        <is>
          <t>900001810</t>
        </is>
      </c>
      <c r="C458" t="inlineStr">
        <is>
          <t>DW70</t>
        </is>
      </c>
      <c r="D458" t="inlineStr">
        <is>
          <t>ENDC</t>
        </is>
      </c>
      <c r="E458" t="inlineStr">
        <is>
          <t>2</t>
        </is>
      </c>
      <c r="F458" t="inlineStr">
        <is>
          <t>10175723</t>
        </is>
      </c>
      <c r="H458" t="inlineStr"/>
      <c r="J458" t="n">
        <v>221.21</v>
      </c>
      <c r="K458" t="inlineStr"/>
      <c r="M458" t="inlineStr">
        <is>
          <t>TN</t>
        </is>
      </c>
      <c r="N458" t="inlineStr"/>
      <c r="P458" t="inlineStr">
        <is>
          <t>20250401</t>
        </is>
      </c>
      <c r="Q458" t="inlineStr">
        <is>
          <t>20251031</t>
        </is>
      </c>
    </row>
    <row r="459">
      <c r="A459" t="inlineStr">
        <is>
          <t>900002813DW70D07410000133</t>
        </is>
      </c>
      <c r="B459" t="inlineStr">
        <is>
          <t>900002813</t>
        </is>
      </c>
      <c r="C459" t="inlineStr">
        <is>
          <t>DW70</t>
        </is>
      </c>
      <c r="D459" t="inlineStr">
        <is>
          <t>D074</t>
        </is>
      </c>
      <c r="E459" t="inlineStr">
        <is>
          <t>1</t>
        </is>
      </c>
      <c r="F459" t="inlineStr">
        <is>
          <t>10000133</t>
        </is>
      </c>
      <c r="H459" t="inlineStr"/>
      <c r="J459" t="n">
        <v>264.05</v>
      </c>
      <c r="K459" t="inlineStr"/>
      <c r="M459" t="inlineStr">
        <is>
          <t>TN</t>
        </is>
      </c>
      <c r="N459" t="inlineStr"/>
      <c r="P459" t="inlineStr">
        <is>
          <t>20260430</t>
        </is>
      </c>
      <c r="Q459" t="inlineStr">
        <is>
          <t>99991231</t>
        </is>
      </c>
    </row>
    <row r="460">
      <c r="A460" t="inlineStr">
        <is>
          <t>900002813DW70D07410000623</t>
        </is>
      </c>
      <c r="B460" t="inlineStr">
        <is>
          <t>900002813</t>
        </is>
      </c>
      <c r="C460" t="inlineStr">
        <is>
          <t>DW70</t>
        </is>
      </c>
      <c r="D460" t="inlineStr">
        <is>
          <t>D074</t>
        </is>
      </c>
      <c r="E460" t="inlineStr">
        <is>
          <t>1</t>
        </is>
      </c>
      <c r="F460" t="inlineStr">
        <is>
          <t>10000623</t>
        </is>
      </c>
      <c r="H460" t="inlineStr"/>
      <c r="J460" t="n">
        <v>273.41</v>
      </c>
      <c r="K460" t="inlineStr"/>
      <c r="M460" t="inlineStr">
        <is>
          <t>TN</t>
        </is>
      </c>
      <c r="N460" t="inlineStr"/>
      <c r="P460" t="inlineStr">
        <is>
          <t>20260430</t>
        </is>
      </c>
      <c r="Q460" t="inlineStr">
        <is>
          <t>99991231</t>
        </is>
      </c>
    </row>
    <row r="461">
      <c r="A461" t="inlineStr">
        <is>
          <t>900002813DW70D07410000630</t>
        </is>
      </c>
      <c r="B461" t="inlineStr">
        <is>
          <t>900002813</t>
        </is>
      </c>
      <c r="C461" t="inlineStr">
        <is>
          <t>DW70</t>
        </is>
      </c>
      <c r="D461" t="inlineStr">
        <is>
          <t>D074</t>
        </is>
      </c>
      <c r="E461" t="inlineStr">
        <is>
          <t>1</t>
        </is>
      </c>
      <c r="F461" t="inlineStr">
        <is>
          <t>10000630</t>
        </is>
      </c>
      <c r="H461" t="inlineStr"/>
      <c r="J461" t="n">
        <v>172.02</v>
      </c>
      <c r="K461" t="inlineStr"/>
      <c r="M461" t="inlineStr">
        <is>
          <t>TN</t>
        </is>
      </c>
      <c r="N461" t="inlineStr"/>
      <c r="P461" t="inlineStr">
        <is>
          <t>20220331</t>
        </is>
      </c>
      <c r="Q461" t="inlineStr">
        <is>
          <t>20250131</t>
        </is>
      </c>
    </row>
    <row r="462">
      <c r="A462" t="inlineStr">
        <is>
          <t>900002813DW70D07410000722</t>
        </is>
      </c>
      <c r="B462" t="inlineStr">
        <is>
          <t>900002813</t>
        </is>
      </c>
      <c r="C462" t="inlineStr">
        <is>
          <t>DW70</t>
        </is>
      </c>
      <c r="D462" t="inlineStr">
        <is>
          <t>D074</t>
        </is>
      </c>
      <c r="E462" t="inlineStr">
        <is>
          <t>1</t>
        </is>
      </c>
      <c r="F462" t="inlineStr">
        <is>
          <t>10000722</t>
        </is>
      </c>
      <c r="H462" t="inlineStr"/>
      <c r="J462" t="n">
        <v>167.25</v>
      </c>
      <c r="K462" t="inlineStr"/>
      <c r="M462" t="inlineStr">
        <is>
          <t>TN</t>
        </is>
      </c>
      <c r="N462" t="inlineStr"/>
      <c r="P462" t="inlineStr">
        <is>
          <t>20220331</t>
        </is>
      </c>
      <c r="Q462" t="inlineStr">
        <is>
          <t>20250131</t>
        </is>
      </c>
    </row>
    <row r="463">
      <c r="A463" t="inlineStr">
        <is>
          <t>900002813DW70D07410257024</t>
        </is>
      </c>
      <c r="B463" t="inlineStr">
        <is>
          <t>900002813</t>
        </is>
      </c>
      <c r="C463" t="inlineStr">
        <is>
          <t>DW70</t>
        </is>
      </c>
      <c r="D463" t="inlineStr">
        <is>
          <t>D074</t>
        </is>
      </c>
      <c r="E463" t="inlineStr">
        <is>
          <t>1</t>
        </is>
      </c>
      <c r="F463" t="inlineStr">
        <is>
          <t>10257024</t>
        </is>
      </c>
      <c r="H463" t="inlineStr"/>
      <c r="J463" t="n">
        <v>233.78</v>
      </c>
      <c r="K463" t="inlineStr"/>
      <c r="M463" t="inlineStr">
        <is>
          <t>TN</t>
        </is>
      </c>
      <c r="N463" t="inlineStr"/>
      <c r="P463" t="inlineStr">
        <is>
          <t>20260430</t>
        </is>
      </c>
      <c r="Q463" t="inlineStr">
        <is>
          <t>99991231</t>
        </is>
      </c>
    </row>
    <row r="464">
      <c r="A464" t="inlineStr">
        <is>
          <t>900002813DW70D07510000133</t>
        </is>
      </c>
      <c r="B464" t="inlineStr">
        <is>
          <t>900002813</t>
        </is>
      </c>
      <c r="C464" t="inlineStr">
        <is>
          <t>DW70</t>
        </is>
      </c>
      <c r="D464" t="inlineStr">
        <is>
          <t>D075</t>
        </is>
      </c>
      <c r="E464" t="inlineStr">
        <is>
          <t>1</t>
        </is>
      </c>
      <c r="F464" t="inlineStr">
        <is>
          <t>10000133</t>
        </is>
      </c>
      <c r="H464" t="inlineStr"/>
      <c r="J464" t="n">
        <v>220.55</v>
      </c>
      <c r="K464" t="inlineStr"/>
      <c r="M464" t="inlineStr">
        <is>
          <t>TN</t>
        </is>
      </c>
      <c r="N464" t="inlineStr"/>
      <c r="P464" t="inlineStr">
        <is>
          <t>20260430</t>
        </is>
      </c>
      <c r="Q464" t="inlineStr">
        <is>
          <t>99991231</t>
        </is>
      </c>
    </row>
    <row r="465">
      <c r="A465" t="inlineStr">
        <is>
          <t>900002813DW70D07510000623</t>
        </is>
      </c>
      <c r="B465" t="inlineStr">
        <is>
          <t>900002813</t>
        </is>
      </c>
      <c r="C465" t="inlineStr">
        <is>
          <t>DW70</t>
        </is>
      </c>
      <c r="D465" t="inlineStr">
        <is>
          <t>D075</t>
        </is>
      </c>
      <c r="E465" t="inlineStr">
        <is>
          <t>1</t>
        </is>
      </c>
      <c r="F465" t="inlineStr">
        <is>
          <t>10000623</t>
        </is>
      </c>
      <c r="H465" t="inlineStr"/>
      <c r="J465" t="n">
        <v>228.38</v>
      </c>
      <c r="K465" t="inlineStr"/>
      <c r="M465" t="inlineStr">
        <is>
          <t>TN</t>
        </is>
      </c>
      <c r="N465" t="inlineStr"/>
      <c r="P465" t="inlineStr">
        <is>
          <t>20260430</t>
        </is>
      </c>
      <c r="Q465" t="inlineStr">
        <is>
          <t>99991231</t>
        </is>
      </c>
    </row>
    <row r="466">
      <c r="A466" t="inlineStr">
        <is>
          <t>900002813DW70D07510000630</t>
        </is>
      </c>
      <c r="B466" t="inlineStr">
        <is>
          <t>900002813</t>
        </is>
      </c>
      <c r="C466" t="inlineStr">
        <is>
          <t>DW70</t>
        </is>
      </c>
      <c r="D466" t="inlineStr">
        <is>
          <t>D075</t>
        </is>
      </c>
      <c r="E466" t="inlineStr">
        <is>
          <t>1</t>
        </is>
      </c>
      <c r="F466" t="inlineStr">
        <is>
          <t>10000630</t>
        </is>
      </c>
      <c r="H466" t="inlineStr"/>
      <c r="J466" t="n">
        <v>143.69</v>
      </c>
      <c r="K466" t="inlineStr"/>
      <c r="M466" t="inlineStr">
        <is>
          <t>TN</t>
        </is>
      </c>
      <c r="N466" t="inlineStr"/>
      <c r="P466" t="inlineStr">
        <is>
          <t>20220331</t>
        </is>
      </c>
      <c r="Q466" t="inlineStr">
        <is>
          <t>20250131</t>
        </is>
      </c>
    </row>
    <row r="467">
      <c r="A467" t="inlineStr">
        <is>
          <t>900002813DW70D07510000722</t>
        </is>
      </c>
      <c r="B467" t="inlineStr">
        <is>
          <t>900002813</t>
        </is>
      </c>
      <c r="C467" t="inlineStr">
        <is>
          <t>DW70</t>
        </is>
      </c>
      <c r="D467" t="inlineStr">
        <is>
          <t>D075</t>
        </is>
      </c>
      <c r="E467" t="inlineStr">
        <is>
          <t>1</t>
        </is>
      </c>
      <c r="F467" t="inlineStr">
        <is>
          <t>10000722</t>
        </is>
      </c>
      <c r="H467" t="inlineStr"/>
      <c r="J467" t="n">
        <v>139.7</v>
      </c>
      <c r="K467" t="inlineStr"/>
      <c r="M467" t="inlineStr">
        <is>
          <t>TN</t>
        </is>
      </c>
      <c r="N467" t="inlineStr"/>
      <c r="P467" t="inlineStr">
        <is>
          <t>20220331</t>
        </is>
      </c>
      <c r="Q467" t="inlineStr">
        <is>
          <t>20250131</t>
        </is>
      </c>
    </row>
    <row r="468">
      <c r="A468" t="inlineStr">
        <is>
          <t>900002813DW70D07510257024</t>
        </is>
      </c>
      <c r="B468" t="inlineStr">
        <is>
          <t>900002813</t>
        </is>
      </c>
      <c r="C468" t="inlineStr">
        <is>
          <t>DW70</t>
        </is>
      </c>
      <c r="D468" t="inlineStr">
        <is>
          <t>D075</t>
        </is>
      </c>
      <c r="E468" t="inlineStr">
        <is>
          <t>1</t>
        </is>
      </c>
      <c r="F468" t="inlineStr">
        <is>
          <t>10257024</t>
        </is>
      </c>
      <c r="H468" t="inlineStr"/>
      <c r="J468" t="n">
        <v>195.28</v>
      </c>
      <c r="K468" t="inlineStr"/>
      <c r="M468" t="inlineStr">
        <is>
          <t>TN</t>
        </is>
      </c>
      <c r="N468" t="inlineStr"/>
      <c r="P468" t="inlineStr">
        <is>
          <t>20260430</t>
        </is>
      </c>
      <c r="Q468" t="inlineStr">
        <is>
          <t>99991231</t>
        </is>
      </c>
    </row>
    <row r="469">
      <c r="A469" t="inlineStr">
        <is>
          <t>900002813DW70D07710000133</t>
        </is>
      </c>
      <c r="B469" t="inlineStr">
        <is>
          <t>900002813</t>
        </is>
      </c>
      <c r="C469" t="inlineStr">
        <is>
          <t>DW70</t>
        </is>
      </c>
      <c r="D469" t="inlineStr">
        <is>
          <t>D077</t>
        </is>
      </c>
      <c r="E469" t="inlineStr">
        <is>
          <t>1</t>
        </is>
      </c>
      <c r="F469" t="inlineStr">
        <is>
          <t>10000133</t>
        </is>
      </c>
      <c r="H469" t="inlineStr"/>
      <c r="J469" t="n">
        <v>332.39</v>
      </c>
      <c r="K469" t="inlineStr"/>
      <c r="M469" t="inlineStr">
        <is>
          <t>TN</t>
        </is>
      </c>
      <c r="N469" t="inlineStr"/>
      <c r="P469" t="inlineStr">
        <is>
          <t>20260430</t>
        </is>
      </c>
      <c r="Q469" t="inlineStr">
        <is>
          <t>99991231</t>
        </is>
      </c>
    </row>
    <row r="470">
      <c r="A470" t="inlineStr">
        <is>
          <t>900002813DW70D07710000623</t>
        </is>
      </c>
      <c r="B470" t="inlineStr">
        <is>
          <t>900002813</t>
        </is>
      </c>
      <c r="C470" t="inlineStr">
        <is>
          <t>DW70</t>
        </is>
      </c>
      <c r="D470" t="inlineStr">
        <is>
          <t>D077</t>
        </is>
      </c>
      <c r="E470" t="inlineStr">
        <is>
          <t>1</t>
        </is>
      </c>
      <c r="F470" t="inlineStr">
        <is>
          <t>10000623</t>
        </is>
      </c>
      <c r="H470" t="inlineStr"/>
      <c r="J470" t="n">
        <v>344.18</v>
      </c>
      <c r="K470" t="inlineStr"/>
      <c r="M470" t="inlineStr">
        <is>
          <t>TN</t>
        </is>
      </c>
      <c r="N470" t="inlineStr"/>
      <c r="P470" t="inlineStr">
        <is>
          <t>20260430</t>
        </is>
      </c>
      <c r="Q470" t="inlineStr">
        <is>
          <t>99991231</t>
        </is>
      </c>
    </row>
    <row r="471">
      <c r="A471" t="inlineStr">
        <is>
          <t>900002813DW70D07710000630</t>
        </is>
      </c>
      <c r="B471" t="inlineStr">
        <is>
          <t>900002813</t>
        </is>
      </c>
      <c r="C471" t="inlineStr">
        <is>
          <t>DW70</t>
        </is>
      </c>
      <c r="D471" t="inlineStr">
        <is>
          <t>D077</t>
        </is>
      </c>
      <c r="E471" t="inlineStr">
        <is>
          <t>1</t>
        </is>
      </c>
      <c r="F471" t="inlineStr">
        <is>
          <t>10000630</t>
        </is>
      </c>
      <c r="H471" t="inlineStr"/>
      <c r="J471" t="n">
        <v>216.55</v>
      </c>
      <c r="K471" t="inlineStr"/>
      <c r="M471" t="inlineStr">
        <is>
          <t>TN</t>
        </is>
      </c>
      <c r="N471" t="inlineStr"/>
      <c r="P471" t="inlineStr">
        <is>
          <t>20220331</t>
        </is>
      </c>
      <c r="Q471" t="inlineStr">
        <is>
          <t>20250131</t>
        </is>
      </c>
    </row>
    <row r="472">
      <c r="A472" t="inlineStr">
        <is>
          <t>900002813DW70D07710000722</t>
        </is>
      </c>
      <c r="B472" t="inlineStr">
        <is>
          <t>900002813</t>
        </is>
      </c>
      <c r="C472" t="inlineStr">
        <is>
          <t>DW70</t>
        </is>
      </c>
      <c r="D472" t="inlineStr">
        <is>
          <t>D077</t>
        </is>
      </c>
      <c r="E472" t="inlineStr">
        <is>
          <t>1</t>
        </is>
      </c>
      <c r="F472" t="inlineStr">
        <is>
          <t>10000722</t>
        </is>
      </c>
      <c r="H472" t="inlineStr"/>
      <c r="J472" t="n">
        <v>210.53</v>
      </c>
      <c r="K472" t="inlineStr"/>
      <c r="M472" t="inlineStr">
        <is>
          <t>TN</t>
        </is>
      </c>
      <c r="N472" t="inlineStr"/>
      <c r="P472" t="inlineStr">
        <is>
          <t>20220331</t>
        </is>
      </c>
      <c r="Q472" t="inlineStr">
        <is>
          <t>20250131</t>
        </is>
      </c>
    </row>
    <row r="473">
      <c r="A473" t="inlineStr">
        <is>
          <t>900002813DW70D07710257024</t>
        </is>
      </c>
      <c r="B473" t="inlineStr">
        <is>
          <t>900002813</t>
        </is>
      </c>
      <c r="C473" t="inlineStr">
        <is>
          <t>DW70</t>
        </is>
      </c>
      <c r="D473" t="inlineStr">
        <is>
          <t>D077</t>
        </is>
      </c>
      <c r="E473" t="inlineStr">
        <is>
          <t>1</t>
        </is>
      </c>
      <c r="F473" t="inlineStr">
        <is>
          <t>10257024</t>
        </is>
      </c>
      <c r="H473" t="inlineStr"/>
      <c r="J473" t="n">
        <v>294.29</v>
      </c>
      <c r="K473" t="inlineStr"/>
      <c r="M473" t="inlineStr">
        <is>
          <t>TN</t>
        </is>
      </c>
      <c r="N473" t="inlineStr"/>
      <c r="P473" t="inlineStr">
        <is>
          <t>20260430</t>
        </is>
      </c>
      <c r="Q473" t="inlineStr">
        <is>
          <t>99991231</t>
        </is>
      </c>
    </row>
    <row r="474">
      <c r="A474" t="inlineStr">
        <is>
          <t>900002813DW70D07910000133</t>
        </is>
      </c>
      <c r="B474" t="inlineStr">
        <is>
          <t>900002813</t>
        </is>
      </c>
      <c r="C474" t="inlineStr">
        <is>
          <t>DW70</t>
        </is>
      </c>
      <c r="D474" t="inlineStr">
        <is>
          <t>D079</t>
        </is>
      </c>
      <c r="E474" t="inlineStr">
        <is>
          <t>1</t>
        </is>
      </c>
      <c r="F474" t="inlineStr">
        <is>
          <t>10000133</t>
        </is>
      </c>
      <c r="H474" t="inlineStr"/>
      <c r="J474" t="n">
        <v>329.28</v>
      </c>
      <c r="K474" t="inlineStr"/>
      <c r="M474" t="inlineStr">
        <is>
          <t>TN</t>
        </is>
      </c>
      <c r="N474" t="inlineStr"/>
      <c r="P474" t="inlineStr">
        <is>
          <t>20260430</t>
        </is>
      </c>
      <c r="Q474" t="inlineStr">
        <is>
          <t>99991231</t>
        </is>
      </c>
    </row>
    <row r="475">
      <c r="A475" t="inlineStr">
        <is>
          <t>900002813DW70D07910000623</t>
        </is>
      </c>
      <c r="B475" t="inlineStr">
        <is>
          <t>900002813</t>
        </is>
      </c>
      <c r="C475" t="inlineStr">
        <is>
          <t>DW70</t>
        </is>
      </c>
      <c r="D475" t="inlineStr">
        <is>
          <t>D079</t>
        </is>
      </c>
      <c r="E475" t="inlineStr">
        <is>
          <t>1</t>
        </is>
      </c>
      <c r="F475" t="inlineStr">
        <is>
          <t>10000623</t>
        </is>
      </c>
      <c r="H475" t="inlineStr"/>
      <c r="J475" t="n">
        <v>340.96</v>
      </c>
      <c r="K475" t="inlineStr"/>
      <c r="M475" t="inlineStr">
        <is>
          <t>TN</t>
        </is>
      </c>
      <c r="N475" t="inlineStr"/>
      <c r="P475" t="inlineStr">
        <is>
          <t>20260430</t>
        </is>
      </c>
      <c r="Q475" t="inlineStr">
        <is>
          <t>99991231</t>
        </is>
      </c>
    </row>
    <row r="476">
      <c r="A476" t="inlineStr">
        <is>
          <t>900002813DW70D07910000630</t>
        </is>
      </c>
      <c r="B476" t="inlineStr">
        <is>
          <t>900002813</t>
        </is>
      </c>
      <c r="C476" t="inlineStr">
        <is>
          <t>DW70</t>
        </is>
      </c>
      <c r="D476" t="inlineStr">
        <is>
          <t>D079</t>
        </is>
      </c>
      <c r="E476" t="inlineStr">
        <is>
          <t>1</t>
        </is>
      </c>
      <c r="F476" t="inlineStr">
        <is>
          <t>10000630</t>
        </is>
      </c>
      <c r="H476" t="inlineStr"/>
      <c r="J476" t="n">
        <v>214.52</v>
      </c>
      <c r="K476" t="inlineStr"/>
      <c r="M476" t="inlineStr">
        <is>
          <t>TN</t>
        </is>
      </c>
      <c r="N476" t="inlineStr"/>
      <c r="P476" t="inlineStr">
        <is>
          <t>20220331</t>
        </is>
      </c>
      <c r="Q476" t="inlineStr">
        <is>
          <t>20250131</t>
        </is>
      </c>
    </row>
    <row r="477">
      <c r="A477" t="inlineStr">
        <is>
          <t>900002813DW70D07910000722</t>
        </is>
      </c>
      <c r="B477" t="inlineStr">
        <is>
          <t>900002813</t>
        </is>
      </c>
      <c r="C477" t="inlineStr">
        <is>
          <t>DW70</t>
        </is>
      </c>
      <c r="D477" t="inlineStr">
        <is>
          <t>D079</t>
        </is>
      </c>
      <c r="E477" t="inlineStr">
        <is>
          <t>1</t>
        </is>
      </c>
      <c r="F477" t="inlineStr">
        <is>
          <t>10000722</t>
        </is>
      </c>
      <c r="H477" t="inlineStr"/>
      <c r="J477" t="n">
        <v>208.56</v>
      </c>
      <c r="K477" t="inlineStr"/>
      <c r="M477" t="inlineStr">
        <is>
          <t>TN</t>
        </is>
      </c>
      <c r="N477" t="inlineStr"/>
      <c r="P477" t="inlineStr">
        <is>
          <t>20220331</t>
        </is>
      </c>
      <c r="Q477" t="inlineStr">
        <is>
          <t>20250131</t>
        </is>
      </c>
    </row>
    <row r="478">
      <c r="A478" t="inlineStr">
        <is>
          <t>900002813DW70D07910257024</t>
        </is>
      </c>
      <c r="B478" t="inlineStr">
        <is>
          <t>900002813</t>
        </is>
      </c>
      <c r="C478" t="inlineStr">
        <is>
          <t>DW70</t>
        </is>
      </c>
      <c r="D478" t="inlineStr">
        <is>
          <t>D079</t>
        </is>
      </c>
      <c r="E478" t="inlineStr">
        <is>
          <t>1</t>
        </is>
      </c>
      <c r="F478" t="inlineStr">
        <is>
          <t>10257024</t>
        </is>
      </c>
      <c r="H478" t="inlineStr"/>
      <c r="J478" t="n">
        <v>291.54</v>
      </c>
      <c r="K478" t="inlineStr"/>
      <c r="M478" t="inlineStr">
        <is>
          <t>TN</t>
        </is>
      </c>
      <c r="N478" t="inlineStr"/>
      <c r="P478" t="inlineStr">
        <is>
          <t>20260430</t>
        </is>
      </c>
      <c r="Q478" t="inlineStr">
        <is>
          <t>99991231</t>
        </is>
      </c>
    </row>
    <row r="479">
      <c r="A479" t="inlineStr">
        <is>
          <t>900002813DW70D08010000133</t>
        </is>
      </c>
      <c r="B479" t="inlineStr">
        <is>
          <t>900002813</t>
        </is>
      </c>
      <c r="C479" t="inlineStr">
        <is>
          <t>DW70</t>
        </is>
      </c>
      <c r="D479" t="inlineStr">
        <is>
          <t>D080</t>
        </is>
      </c>
      <c r="E479" t="inlineStr">
        <is>
          <t>1</t>
        </is>
      </c>
      <c r="F479" t="inlineStr">
        <is>
          <t>10000133</t>
        </is>
      </c>
      <c r="H479" t="inlineStr"/>
      <c r="J479" t="n">
        <v>220.55</v>
      </c>
      <c r="K479" t="inlineStr"/>
      <c r="M479" t="inlineStr">
        <is>
          <t>TN</t>
        </is>
      </c>
      <c r="N479" t="inlineStr"/>
      <c r="P479" t="inlineStr">
        <is>
          <t>20260430</t>
        </is>
      </c>
      <c r="Q479" t="inlineStr">
        <is>
          <t>99991231</t>
        </is>
      </c>
    </row>
    <row r="480">
      <c r="A480" t="inlineStr">
        <is>
          <t>900002813DW70D08010000623</t>
        </is>
      </c>
      <c r="B480" t="inlineStr">
        <is>
          <t>900002813</t>
        </is>
      </c>
      <c r="C480" t="inlineStr">
        <is>
          <t>DW70</t>
        </is>
      </c>
      <c r="D480" t="inlineStr">
        <is>
          <t>D080</t>
        </is>
      </c>
      <c r="E480" t="inlineStr">
        <is>
          <t>1</t>
        </is>
      </c>
      <c r="F480" t="inlineStr">
        <is>
          <t>10000623</t>
        </is>
      </c>
      <c r="H480" t="inlineStr"/>
      <c r="J480" t="n">
        <v>228.38</v>
      </c>
      <c r="K480" t="inlineStr"/>
      <c r="M480" t="inlineStr">
        <is>
          <t>TN</t>
        </is>
      </c>
      <c r="N480" t="inlineStr"/>
      <c r="P480" t="inlineStr">
        <is>
          <t>20260430</t>
        </is>
      </c>
      <c r="Q480" t="inlineStr">
        <is>
          <t>99991231</t>
        </is>
      </c>
    </row>
    <row r="481">
      <c r="A481" t="inlineStr">
        <is>
          <t>900002813DW70D08010000630</t>
        </is>
      </c>
      <c r="B481" t="inlineStr">
        <is>
          <t>900002813</t>
        </is>
      </c>
      <c r="C481" t="inlineStr">
        <is>
          <t>DW70</t>
        </is>
      </c>
      <c r="D481" t="inlineStr">
        <is>
          <t>D080</t>
        </is>
      </c>
      <c r="E481" t="inlineStr">
        <is>
          <t>1</t>
        </is>
      </c>
      <c r="F481" t="inlineStr">
        <is>
          <t>10000630</t>
        </is>
      </c>
      <c r="H481" t="inlineStr"/>
      <c r="J481" t="n">
        <v>143.69</v>
      </c>
      <c r="K481" t="inlineStr"/>
      <c r="M481" t="inlineStr">
        <is>
          <t>TN</t>
        </is>
      </c>
      <c r="N481" t="inlineStr"/>
      <c r="P481" t="inlineStr">
        <is>
          <t>20220331</t>
        </is>
      </c>
      <c r="Q481" t="inlineStr">
        <is>
          <t>20250131</t>
        </is>
      </c>
    </row>
    <row r="482">
      <c r="A482" t="inlineStr">
        <is>
          <t>900002813DW70D08010000722</t>
        </is>
      </c>
      <c r="B482" t="inlineStr">
        <is>
          <t>900002813</t>
        </is>
      </c>
      <c r="C482" t="inlineStr">
        <is>
          <t>DW70</t>
        </is>
      </c>
      <c r="D482" t="inlineStr">
        <is>
          <t>D080</t>
        </is>
      </c>
      <c r="E482" t="inlineStr">
        <is>
          <t>1</t>
        </is>
      </c>
      <c r="F482" t="inlineStr">
        <is>
          <t>10000722</t>
        </is>
      </c>
      <c r="H482" t="inlineStr"/>
      <c r="J482" t="n">
        <v>139.7</v>
      </c>
      <c r="K482" t="inlineStr"/>
      <c r="M482" t="inlineStr">
        <is>
          <t>TN</t>
        </is>
      </c>
      <c r="N482" t="inlineStr"/>
      <c r="P482" t="inlineStr">
        <is>
          <t>20220331</t>
        </is>
      </c>
      <c r="Q482" t="inlineStr">
        <is>
          <t>20250131</t>
        </is>
      </c>
    </row>
    <row r="483">
      <c r="A483" t="inlineStr">
        <is>
          <t>900002813DW70D08010257024</t>
        </is>
      </c>
      <c r="B483" t="inlineStr">
        <is>
          <t>900002813</t>
        </is>
      </c>
      <c r="C483" t="inlineStr">
        <is>
          <t>DW70</t>
        </is>
      </c>
      <c r="D483" t="inlineStr">
        <is>
          <t>D080</t>
        </is>
      </c>
      <c r="E483" t="inlineStr">
        <is>
          <t>1</t>
        </is>
      </c>
      <c r="F483" t="inlineStr">
        <is>
          <t>10257024</t>
        </is>
      </c>
      <c r="H483" t="inlineStr"/>
      <c r="J483" t="n">
        <v>195.28</v>
      </c>
      <c r="K483" t="inlineStr"/>
      <c r="M483" t="inlineStr">
        <is>
          <t>TN</t>
        </is>
      </c>
      <c r="N483" t="inlineStr"/>
      <c r="P483" t="inlineStr">
        <is>
          <t>20260430</t>
        </is>
      </c>
      <c r="Q483" t="inlineStr">
        <is>
          <t>99991231</t>
        </is>
      </c>
    </row>
    <row r="484">
      <c r="A484" t="inlineStr">
        <is>
          <t>900002813DW70D08110000133</t>
        </is>
      </c>
      <c r="B484" t="inlineStr">
        <is>
          <t>900002813</t>
        </is>
      </c>
      <c r="C484" t="inlineStr">
        <is>
          <t>DW70</t>
        </is>
      </c>
      <c r="D484" t="inlineStr">
        <is>
          <t>D081</t>
        </is>
      </c>
      <c r="E484" t="inlineStr">
        <is>
          <t>1</t>
        </is>
      </c>
      <c r="F484" t="inlineStr">
        <is>
          <t>10000133</t>
        </is>
      </c>
      <c r="H484" t="inlineStr"/>
      <c r="J484" t="n">
        <v>205.02</v>
      </c>
      <c r="K484" t="inlineStr"/>
      <c r="M484" t="inlineStr">
        <is>
          <t>TN</t>
        </is>
      </c>
      <c r="N484" t="inlineStr"/>
      <c r="P484" t="inlineStr">
        <is>
          <t>20260430</t>
        </is>
      </c>
      <c r="Q484" t="inlineStr">
        <is>
          <t>99991231</t>
        </is>
      </c>
    </row>
    <row r="485">
      <c r="A485" t="inlineStr">
        <is>
          <t>900002813DW70D08110000623</t>
        </is>
      </c>
      <c r="B485" t="inlineStr">
        <is>
          <t>900002813</t>
        </is>
      </c>
      <c r="C485" t="inlineStr">
        <is>
          <t>DW70</t>
        </is>
      </c>
      <c r="D485" t="inlineStr">
        <is>
          <t>D081</t>
        </is>
      </c>
      <c r="E485" t="inlineStr">
        <is>
          <t>1</t>
        </is>
      </c>
      <c r="F485" t="inlineStr">
        <is>
          <t>10000623</t>
        </is>
      </c>
      <c r="H485" t="inlineStr"/>
      <c r="J485" t="n">
        <v>212.29</v>
      </c>
      <c r="K485" t="inlineStr"/>
      <c r="M485" t="inlineStr">
        <is>
          <t>TN</t>
        </is>
      </c>
      <c r="N485" t="inlineStr"/>
      <c r="P485" t="inlineStr">
        <is>
          <t>20260430</t>
        </is>
      </c>
      <c r="Q485" t="inlineStr">
        <is>
          <t>99991231</t>
        </is>
      </c>
    </row>
    <row r="486">
      <c r="A486" t="inlineStr">
        <is>
          <t>900002813DW70D08110000630</t>
        </is>
      </c>
      <c r="B486" t="inlineStr">
        <is>
          <t>900002813</t>
        </is>
      </c>
      <c r="C486" t="inlineStr">
        <is>
          <t>DW70</t>
        </is>
      </c>
      <c r="D486" t="inlineStr">
        <is>
          <t>D081</t>
        </is>
      </c>
      <c r="E486" t="inlineStr">
        <is>
          <t>1</t>
        </is>
      </c>
      <c r="F486" t="inlineStr">
        <is>
          <t>10000630</t>
        </is>
      </c>
      <c r="H486" t="inlineStr"/>
      <c r="J486" t="n">
        <v>133.57</v>
      </c>
      <c r="K486" t="inlineStr"/>
      <c r="M486" t="inlineStr">
        <is>
          <t>TN</t>
        </is>
      </c>
      <c r="N486" t="inlineStr"/>
      <c r="P486" t="inlineStr">
        <is>
          <t>20220331</t>
        </is>
      </c>
      <c r="Q486" t="inlineStr">
        <is>
          <t>20250131</t>
        </is>
      </c>
    </row>
    <row r="487">
      <c r="A487" t="inlineStr">
        <is>
          <t>900002813DW70D08110000722</t>
        </is>
      </c>
      <c r="B487" t="inlineStr">
        <is>
          <t>900002813</t>
        </is>
      </c>
      <c r="C487" t="inlineStr">
        <is>
          <t>DW70</t>
        </is>
      </c>
      <c r="D487" t="inlineStr">
        <is>
          <t>D081</t>
        </is>
      </c>
      <c r="E487" t="inlineStr">
        <is>
          <t>1</t>
        </is>
      </c>
      <c r="F487" t="inlineStr">
        <is>
          <t>10000722</t>
        </is>
      </c>
      <c r="H487" t="inlineStr"/>
      <c r="J487" t="n">
        <v>129.86</v>
      </c>
      <c r="K487" t="inlineStr"/>
      <c r="M487" t="inlineStr">
        <is>
          <t>TN</t>
        </is>
      </c>
      <c r="N487" t="inlineStr"/>
      <c r="P487" t="inlineStr">
        <is>
          <t>20220331</t>
        </is>
      </c>
      <c r="Q487" t="inlineStr">
        <is>
          <t>20250131</t>
        </is>
      </c>
    </row>
    <row r="488">
      <c r="A488" t="inlineStr">
        <is>
          <t>900002813DW70D08110257024</t>
        </is>
      </c>
      <c r="B488" t="inlineStr">
        <is>
          <t>900002813</t>
        </is>
      </c>
      <c r="C488" t="inlineStr">
        <is>
          <t>DW70</t>
        </is>
      </c>
      <c r="D488" t="inlineStr">
        <is>
          <t>D081</t>
        </is>
      </c>
      <c r="E488" t="inlineStr">
        <is>
          <t>1</t>
        </is>
      </c>
      <c r="F488" t="inlineStr">
        <is>
          <t>10257024</t>
        </is>
      </c>
      <c r="H488" t="inlineStr"/>
      <c r="J488" t="n">
        <v>181.52</v>
      </c>
      <c r="K488" t="inlineStr"/>
      <c r="M488" t="inlineStr">
        <is>
          <t>TN</t>
        </is>
      </c>
      <c r="N488" t="inlineStr"/>
      <c r="P488" t="inlineStr">
        <is>
          <t>20260430</t>
        </is>
      </c>
      <c r="Q488" t="inlineStr">
        <is>
          <t>99991231</t>
        </is>
      </c>
    </row>
    <row r="489">
      <c r="A489" t="inlineStr">
        <is>
          <t>900002813DW70D08310000133</t>
        </is>
      </c>
      <c r="B489" t="inlineStr">
        <is>
          <t>900002813</t>
        </is>
      </c>
      <c r="C489" t="inlineStr">
        <is>
          <t>DW70</t>
        </is>
      </c>
      <c r="D489" t="inlineStr">
        <is>
          <t>D083</t>
        </is>
      </c>
      <c r="E489" t="inlineStr">
        <is>
          <t>1</t>
        </is>
      </c>
      <c r="F489" t="inlineStr">
        <is>
          <t>10000133</t>
        </is>
      </c>
      <c r="H489" t="inlineStr"/>
      <c r="J489" t="n">
        <v>251.62</v>
      </c>
      <c r="K489" t="inlineStr"/>
      <c r="M489" t="inlineStr">
        <is>
          <t>TN</t>
        </is>
      </c>
      <c r="N489" t="inlineStr"/>
      <c r="P489" t="inlineStr">
        <is>
          <t>20260430</t>
        </is>
      </c>
      <c r="Q489" t="inlineStr">
        <is>
          <t>99991231</t>
        </is>
      </c>
    </row>
    <row r="490">
      <c r="A490" t="inlineStr">
        <is>
          <t>900002813DW70D08310000623</t>
        </is>
      </c>
      <c r="B490" t="inlineStr">
        <is>
          <t>900002813</t>
        </is>
      </c>
      <c r="C490" t="inlineStr">
        <is>
          <t>DW70</t>
        </is>
      </c>
      <c r="D490" t="inlineStr">
        <is>
          <t>D083</t>
        </is>
      </c>
      <c r="E490" t="inlineStr">
        <is>
          <t>1</t>
        </is>
      </c>
      <c r="F490" t="inlineStr">
        <is>
          <t>10000623</t>
        </is>
      </c>
      <c r="H490" t="inlineStr"/>
      <c r="J490" t="n">
        <v>260.55</v>
      </c>
      <c r="K490" t="inlineStr"/>
      <c r="M490" t="inlineStr">
        <is>
          <t>TN</t>
        </is>
      </c>
      <c r="N490" t="inlineStr"/>
      <c r="P490" t="inlineStr">
        <is>
          <t>20260430</t>
        </is>
      </c>
      <c r="Q490" t="inlineStr">
        <is>
          <t>99991231</t>
        </is>
      </c>
    </row>
    <row r="491">
      <c r="A491" t="inlineStr">
        <is>
          <t>900002813DW70D08310000630</t>
        </is>
      </c>
      <c r="B491" t="inlineStr">
        <is>
          <t>900002813</t>
        </is>
      </c>
      <c r="C491" t="inlineStr">
        <is>
          <t>DW70</t>
        </is>
      </c>
      <c r="D491" t="inlineStr">
        <is>
          <t>D083</t>
        </is>
      </c>
      <c r="E491" t="inlineStr">
        <is>
          <t>1</t>
        </is>
      </c>
      <c r="F491" t="inlineStr">
        <is>
          <t>10000630</t>
        </is>
      </c>
      <c r="H491" t="inlineStr"/>
      <c r="J491" t="n">
        <v>163.93</v>
      </c>
      <c r="K491" t="inlineStr"/>
      <c r="M491" t="inlineStr">
        <is>
          <t>TN</t>
        </is>
      </c>
      <c r="N491" t="inlineStr"/>
      <c r="P491" t="inlineStr">
        <is>
          <t>20220331</t>
        </is>
      </c>
      <c r="Q491" t="inlineStr">
        <is>
          <t>20250131</t>
        </is>
      </c>
    </row>
    <row r="492">
      <c r="A492" t="inlineStr">
        <is>
          <t>900002813DW70D08310000722</t>
        </is>
      </c>
      <c r="B492" t="inlineStr">
        <is>
          <t>900002813</t>
        </is>
      </c>
      <c r="C492" t="inlineStr">
        <is>
          <t>DW70</t>
        </is>
      </c>
      <c r="D492" t="inlineStr">
        <is>
          <t>D083</t>
        </is>
      </c>
      <c r="E492" t="inlineStr">
        <is>
          <t>1</t>
        </is>
      </c>
      <c r="F492" t="inlineStr">
        <is>
          <t>10000722</t>
        </is>
      </c>
      <c r="H492" t="inlineStr"/>
      <c r="J492" t="n">
        <v>159.38</v>
      </c>
      <c r="K492" t="inlineStr"/>
      <c r="M492" t="inlineStr">
        <is>
          <t>TN</t>
        </is>
      </c>
      <c r="N492" t="inlineStr"/>
      <c r="P492" t="inlineStr">
        <is>
          <t>20220331</t>
        </is>
      </c>
      <c r="Q492" t="inlineStr">
        <is>
          <t>20250131</t>
        </is>
      </c>
    </row>
    <row r="493">
      <c r="A493" t="inlineStr">
        <is>
          <t>900002813DW70D08310257024</t>
        </is>
      </c>
      <c r="B493" t="inlineStr">
        <is>
          <t>900002813</t>
        </is>
      </c>
      <c r="C493" t="inlineStr">
        <is>
          <t>DW70</t>
        </is>
      </c>
      <c r="D493" t="inlineStr">
        <is>
          <t>D083</t>
        </is>
      </c>
      <c r="E493" t="inlineStr">
        <is>
          <t>1</t>
        </is>
      </c>
      <c r="F493" t="inlineStr">
        <is>
          <t>10257024</t>
        </is>
      </c>
      <c r="H493" t="inlineStr"/>
      <c r="J493" t="n">
        <v>222.78</v>
      </c>
      <c r="K493" t="inlineStr"/>
      <c r="M493" t="inlineStr">
        <is>
          <t>TN</t>
        </is>
      </c>
      <c r="N493" t="inlineStr"/>
      <c r="P493" t="inlineStr">
        <is>
          <t>20260430</t>
        </is>
      </c>
      <c r="Q493" t="inlineStr">
        <is>
          <t>99991231</t>
        </is>
      </c>
    </row>
    <row r="494">
      <c r="A494" t="inlineStr">
        <is>
          <t>900002813DW70D08410000133</t>
        </is>
      </c>
      <c r="B494" t="inlineStr">
        <is>
          <t>900002813</t>
        </is>
      </c>
      <c r="C494" t="inlineStr">
        <is>
          <t>DW70</t>
        </is>
      </c>
      <c r="D494" t="inlineStr">
        <is>
          <t>D084</t>
        </is>
      </c>
      <c r="E494" t="inlineStr">
        <is>
          <t>1</t>
        </is>
      </c>
      <c r="F494" t="inlineStr">
        <is>
          <t>10000133</t>
        </is>
      </c>
      <c r="H494" t="inlineStr"/>
      <c r="J494" t="n">
        <v>310.64</v>
      </c>
      <c r="K494" t="inlineStr"/>
      <c r="M494" t="inlineStr">
        <is>
          <t>TN</t>
        </is>
      </c>
      <c r="N494" t="inlineStr"/>
      <c r="P494" t="inlineStr">
        <is>
          <t>20260430</t>
        </is>
      </c>
      <c r="Q494" t="inlineStr">
        <is>
          <t>99991231</t>
        </is>
      </c>
    </row>
    <row r="495">
      <c r="A495" t="inlineStr">
        <is>
          <t>900002813DW70D08410000623</t>
        </is>
      </c>
      <c r="B495" t="inlineStr">
        <is>
          <t>900002813</t>
        </is>
      </c>
      <c r="C495" t="inlineStr">
        <is>
          <t>DW70</t>
        </is>
      </c>
      <c r="D495" t="inlineStr">
        <is>
          <t>D084</t>
        </is>
      </c>
      <c r="E495" t="inlineStr">
        <is>
          <t>1</t>
        </is>
      </c>
      <c r="F495" t="inlineStr">
        <is>
          <t>10000623</t>
        </is>
      </c>
      <c r="H495" t="inlineStr"/>
      <c r="J495" t="n">
        <v>321.65</v>
      </c>
      <c r="K495" t="inlineStr"/>
      <c r="M495" t="inlineStr">
        <is>
          <t>TN</t>
        </is>
      </c>
      <c r="N495" t="inlineStr"/>
      <c r="P495" t="inlineStr">
        <is>
          <t>20260430</t>
        </is>
      </c>
      <c r="Q495" t="inlineStr">
        <is>
          <t>99991231</t>
        </is>
      </c>
    </row>
    <row r="496">
      <c r="A496" t="inlineStr">
        <is>
          <t>900002813DW70D08410000630</t>
        </is>
      </c>
      <c r="B496" t="inlineStr">
        <is>
          <t>900002813</t>
        </is>
      </c>
      <c r="C496" t="inlineStr">
        <is>
          <t>DW70</t>
        </is>
      </c>
      <c r="D496" t="inlineStr">
        <is>
          <t>D084</t>
        </is>
      </c>
      <c r="E496" t="inlineStr">
        <is>
          <t>1</t>
        </is>
      </c>
      <c r="F496" t="inlineStr">
        <is>
          <t>10000630</t>
        </is>
      </c>
      <c r="H496" t="inlineStr"/>
      <c r="J496" t="n">
        <v>202.38</v>
      </c>
      <c r="K496" t="inlineStr"/>
      <c r="M496" t="inlineStr">
        <is>
          <t>TN</t>
        </is>
      </c>
      <c r="N496" t="inlineStr"/>
      <c r="P496" t="inlineStr">
        <is>
          <t>20220331</t>
        </is>
      </c>
      <c r="Q496" t="inlineStr">
        <is>
          <t>20250131</t>
        </is>
      </c>
    </row>
    <row r="497">
      <c r="A497" t="inlineStr">
        <is>
          <t>900002813DW70D08410000722</t>
        </is>
      </c>
      <c r="B497" t="inlineStr">
        <is>
          <t>900002813</t>
        </is>
      </c>
      <c r="C497" t="inlineStr">
        <is>
          <t>DW70</t>
        </is>
      </c>
      <c r="D497" t="inlineStr">
        <is>
          <t>D084</t>
        </is>
      </c>
      <c r="E497" t="inlineStr">
        <is>
          <t>1</t>
        </is>
      </c>
      <c r="F497" t="inlineStr">
        <is>
          <t>10000722</t>
        </is>
      </c>
      <c r="H497" t="inlineStr"/>
      <c r="J497" t="n">
        <v>196.76</v>
      </c>
      <c r="K497" t="inlineStr"/>
      <c r="M497" t="inlineStr">
        <is>
          <t>TN</t>
        </is>
      </c>
      <c r="N497" t="inlineStr"/>
      <c r="P497" t="inlineStr">
        <is>
          <t>20220331</t>
        </is>
      </c>
      <c r="Q497" t="inlineStr">
        <is>
          <t>20250131</t>
        </is>
      </c>
    </row>
    <row r="498">
      <c r="A498" t="inlineStr">
        <is>
          <t>900002813DW70D08410257024</t>
        </is>
      </c>
      <c r="B498" t="inlineStr">
        <is>
          <t>900002813</t>
        </is>
      </c>
      <c r="C498" t="inlineStr">
        <is>
          <t>DW70</t>
        </is>
      </c>
      <c r="D498" t="inlineStr">
        <is>
          <t>D084</t>
        </is>
      </c>
      <c r="E498" t="inlineStr">
        <is>
          <t>1</t>
        </is>
      </c>
      <c r="F498" t="inlineStr">
        <is>
          <t>10257024</t>
        </is>
      </c>
      <c r="H498" t="inlineStr"/>
      <c r="J498" t="n">
        <v>275.03</v>
      </c>
      <c r="K498" t="inlineStr"/>
      <c r="M498" t="inlineStr">
        <is>
          <t>TN</t>
        </is>
      </c>
      <c r="N498" t="inlineStr"/>
      <c r="P498" t="inlineStr">
        <is>
          <t>20260430</t>
        </is>
      </c>
      <c r="Q498" t="inlineStr">
        <is>
          <t>99991231</t>
        </is>
      </c>
    </row>
    <row r="499">
      <c r="A499" t="inlineStr">
        <is>
          <t>900002813DW70D08510000133</t>
        </is>
      </c>
      <c r="B499" t="inlineStr">
        <is>
          <t>900002813</t>
        </is>
      </c>
      <c r="C499" t="inlineStr">
        <is>
          <t>DW70</t>
        </is>
      </c>
      <c r="D499" t="inlineStr">
        <is>
          <t>D085</t>
        </is>
      </c>
      <c r="E499" t="inlineStr">
        <is>
          <t>1</t>
        </is>
      </c>
      <c r="F499" t="inlineStr">
        <is>
          <t>10000133</t>
        </is>
      </c>
      <c r="H499" t="inlineStr"/>
      <c r="J499" t="n">
        <v>301.32</v>
      </c>
      <c r="K499" t="inlineStr"/>
      <c r="M499" t="inlineStr">
        <is>
          <t>TN</t>
        </is>
      </c>
      <c r="N499" t="inlineStr"/>
      <c r="P499" t="inlineStr">
        <is>
          <t>20260430</t>
        </is>
      </c>
      <c r="Q499" t="inlineStr">
        <is>
          <t>99991231</t>
        </is>
      </c>
    </row>
    <row r="500">
      <c r="A500" t="inlineStr">
        <is>
          <t>900002813DW70D08510000623</t>
        </is>
      </c>
      <c r="B500" t="inlineStr">
        <is>
          <t>900002813</t>
        </is>
      </c>
      <c r="C500" t="inlineStr">
        <is>
          <t>DW70</t>
        </is>
      </c>
      <c r="D500" t="inlineStr">
        <is>
          <t>D085</t>
        </is>
      </c>
      <c r="E500" t="inlineStr">
        <is>
          <t>1</t>
        </is>
      </c>
      <c r="F500" t="inlineStr">
        <is>
          <t>10000623</t>
        </is>
      </c>
      <c r="H500" t="inlineStr"/>
      <c r="J500" t="n">
        <v>312.01</v>
      </c>
      <c r="K500" t="inlineStr"/>
      <c r="M500" t="inlineStr">
        <is>
          <t>TN</t>
        </is>
      </c>
      <c r="N500" t="inlineStr"/>
      <c r="P500" t="inlineStr">
        <is>
          <t>20260430</t>
        </is>
      </c>
      <c r="Q500" t="inlineStr">
        <is>
          <t>99991231</t>
        </is>
      </c>
    </row>
    <row r="501">
      <c r="A501" t="inlineStr">
        <is>
          <t>900002813DW70D08510000630</t>
        </is>
      </c>
      <c r="B501" t="inlineStr">
        <is>
          <t>900002813</t>
        </is>
      </c>
      <c r="C501" t="inlineStr">
        <is>
          <t>DW70</t>
        </is>
      </c>
      <c r="D501" t="inlineStr">
        <is>
          <t>D085</t>
        </is>
      </c>
      <c r="E501" t="inlineStr">
        <is>
          <t>1</t>
        </is>
      </c>
      <c r="F501" t="inlineStr">
        <is>
          <t>10000630</t>
        </is>
      </c>
      <c r="H501" t="inlineStr"/>
      <c r="J501" t="n">
        <v>196.31</v>
      </c>
      <c r="K501" t="inlineStr"/>
      <c r="M501" t="inlineStr">
        <is>
          <t>TN</t>
        </is>
      </c>
      <c r="N501" t="inlineStr"/>
      <c r="P501" t="inlineStr">
        <is>
          <t>20220331</t>
        </is>
      </c>
      <c r="Q501" t="inlineStr">
        <is>
          <t>20250131</t>
        </is>
      </c>
    </row>
    <row r="502">
      <c r="A502" t="inlineStr">
        <is>
          <t>900002813DW70D08510000722</t>
        </is>
      </c>
      <c r="B502" t="inlineStr">
        <is>
          <t>900002813</t>
        </is>
      </c>
      <c r="C502" t="inlineStr">
        <is>
          <t>DW70</t>
        </is>
      </c>
      <c r="D502" t="inlineStr">
        <is>
          <t>D085</t>
        </is>
      </c>
      <c r="E502" t="inlineStr">
        <is>
          <t>1</t>
        </is>
      </c>
      <c r="F502" t="inlineStr">
        <is>
          <t>10000722</t>
        </is>
      </c>
      <c r="H502" t="inlineStr"/>
      <c r="J502" t="n">
        <v>190.86</v>
      </c>
      <c r="K502" t="inlineStr"/>
      <c r="M502" t="inlineStr">
        <is>
          <t>TN</t>
        </is>
      </c>
      <c r="N502" t="inlineStr"/>
      <c r="P502" t="inlineStr">
        <is>
          <t>20220331</t>
        </is>
      </c>
      <c r="Q502" t="inlineStr">
        <is>
          <t>20250131</t>
        </is>
      </c>
    </row>
    <row r="503">
      <c r="A503" t="inlineStr">
        <is>
          <t>900002813DW70D08510257024</t>
        </is>
      </c>
      <c r="B503" t="inlineStr">
        <is>
          <t>900002813</t>
        </is>
      </c>
      <c r="C503" t="inlineStr">
        <is>
          <t>DW70</t>
        </is>
      </c>
      <c r="D503" t="inlineStr">
        <is>
          <t>D085</t>
        </is>
      </c>
      <c r="E503" t="inlineStr">
        <is>
          <t>1</t>
        </is>
      </c>
      <c r="F503" t="inlineStr">
        <is>
          <t>10257024</t>
        </is>
      </c>
      <c r="H503" t="inlineStr"/>
      <c r="J503" t="n">
        <v>266.79</v>
      </c>
      <c r="K503" t="inlineStr"/>
      <c r="M503" t="inlineStr">
        <is>
          <t>TN</t>
        </is>
      </c>
      <c r="N503" t="inlineStr"/>
      <c r="P503" t="inlineStr">
        <is>
          <t>20260430</t>
        </is>
      </c>
      <c r="Q503" t="inlineStr">
        <is>
          <t>99991231</t>
        </is>
      </c>
    </row>
    <row r="504">
      <c r="A504" t="inlineStr">
        <is>
          <t>900002813DW70D08610000133</t>
        </is>
      </c>
      <c r="B504" t="inlineStr">
        <is>
          <t>900002813</t>
        </is>
      </c>
      <c r="C504" t="inlineStr">
        <is>
          <t>DW70</t>
        </is>
      </c>
      <c r="D504" t="inlineStr">
        <is>
          <t>D086</t>
        </is>
      </c>
      <c r="E504" t="inlineStr">
        <is>
          <t>1</t>
        </is>
      </c>
      <c r="F504" t="inlineStr">
        <is>
          <t>10000133</t>
        </is>
      </c>
      <c r="H504" t="inlineStr"/>
      <c r="J504" t="n">
        <v>270.26</v>
      </c>
      <c r="K504" t="inlineStr"/>
      <c r="M504" t="inlineStr">
        <is>
          <t>TN</t>
        </is>
      </c>
      <c r="N504" t="inlineStr"/>
      <c r="P504" t="inlineStr">
        <is>
          <t>20260430</t>
        </is>
      </c>
      <c r="Q504" t="inlineStr">
        <is>
          <t>99991231</t>
        </is>
      </c>
    </row>
    <row r="505">
      <c r="A505" t="inlineStr">
        <is>
          <t>900002813DW70D08610000623</t>
        </is>
      </c>
      <c r="B505" t="inlineStr">
        <is>
          <t>900002813</t>
        </is>
      </c>
      <c r="C505" t="inlineStr">
        <is>
          <t>DW70</t>
        </is>
      </c>
      <c r="D505" t="inlineStr">
        <is>
          <t>D086</t>
        </is>
      </c>
      <c r="E505" t="inlineStr">
        <is>
          <t>1</t>
        </is>
      </c>
      <c r="F505" t="inlineStr">
        <is>
          <t>10000623</t>
        </is>
      </c>
      <c r="H505" t="inlineStr"/>
      <c r="J505" t="n">
        <v>279.84</v>
      </c>
      <c r="K505" t="inlineStr"/>
      <c r="M505" t="inlineStr">
        <is>
          <t>TN</t>
        </is>
      </c>
      <c r="N505" t="inlineStr"/>
      <c r="P505" t="inlineStr">
        <is>
          <t>20260430</t>
        </is>
      </c>
      <c r="Q505" t="inlineStr">
        <is>
          <t>99991231</t>
        </is>
      </c>
    </row>
    <row r="506">
      <c r="A506" t="inlineStr">
        <is>
          <t>900002813DW70D08610000630</t>
        </is>
      </c>
      <c r="B506" t="inlineStr">
        <is>
          <t>900002813</t>
        </is>
      </c>
      <c r="C506" t="inlineStr">
        <is>
          <t>DW70</t>
        </is>
      </c>
      <c r="D506" t="inlineStr">
        <is>
          <t>D086</t>
        </is>
      </c>
      <c r="E506" t="inlineStr">
        <is>
          <t>1</t>
        </is>
      </c>
      <c r="F506" t="inlineStr">
        <is>
          <t>10000630</t>
        </is>
      </c>
      <c r="H506" t="inlineStr"/>
      <c r="J506" t="n">
        <v>176.07</v>
      </c>
      <c r="K506" t="inlineStr"/>
      <c r="M506" t="inlineStr">
        <is>
          <t>TN</t>
        </is>
      </c>
      <c r="N506" t="inlineStr"/>
      <c r="P506" t="inlineStr">
        <is>
          <t>20220331</t>
        </is>
      </c>
      <c r="Q506" t="inlineStr">
        <is>
          <t>20250131</t>
        </is>
      </c>
    </row>
    <row r="507">
      <c r="A507" t="inlineStr">
        <is>
          <t>900002813DW70D08610000722</t>
        </is>
      </c>
      <c r="B507" t="inlineStr">
        <is>
          <t>900002813</t>
        </is>
      </c>
      <c r="C507" t="inlineStr">
        <is>
          <t>DW70</t>
        </is>
      </c>
      <c r="D507" t="inlineStr">
        <is>
          <t>D086</t>
        </is>
      </c>
      <c r="E507" t="inlineStr">
        <is>
          <t>1</t>
        </is>
      </c>
      <c r="F507" t="inlineStr">
        <is>
          <t>10000722</t>
        </is>
      </c>
      <c r="H507" t="inlineStr"/>
      <c r="J507" t="n">
        <v>171.18</v>
      </c>
      <c r="K507" t="inlineStr"/>
      <c r="M507" t="inlineStr">
        <is>
          <t>TN</t>
        </is>
      </c>
      <c r="N507" t="inlineStr"/>
      <c r="P507" t="inlineStr">
        <is>
          <t>20220331</t>
        </is>
      </c>
      <c r="Q507" t="inlineStr">
        <is>
          <t>20250131</t>
        </is>
      </c>
    </row>
    <row r="508">
      <c r="A508" t="inlineStr">
        <is>
          <t>900002813DW70D08610257024</t>
        </is>
      </c>
      <c r="B508" t="inlineStr">
        <is>
          <t>900002813</t>
        </is>
      </c>
      <c r="C508" t="inlineStr">
        <is>
          <t>DW70</t>
        </is>
      </c>
      <c r="D508" t="inlineStr">
        <is>
          <t>D086</t>
        </is>
      </c>
      <c r="E508" t="inlineStr">
        <is>
          <t>1</t>
        </is>
      </c>
      <c r="F508" t="inlineStr">
        <is>
          <t>10257024</t>
        </is>
      </c>
      <c r="H508" t="inlineStr"/>
      <c r="J508" t="n">
        <v>239.28</v>
      </c>
      <c r="K508" t="inlineStr"/>
      <c r="M508" t="inlineStr">
        <is>
          <t>TN</t>
        </is>
      </c>
      <c r="N508" t="inlineStr"/>
      <c r="P508" t="inlineStr">
        <is>
          <t>20260430</t>
        </is>
      </c>
      <c r="Q508" t="inlineStr">
        <is>
          <t>99991231</t>
        </is>
      </c>
    </row>
    <row r="509">
      <c r="A509" t="inlineStr">
        <is>
          <t>900002813DW70D08710000630</t>
        </is>
      </c>
      <c r="B509" t="inlineStr">
        <is>
          <t>900002813</t>
        </is>
      </c>
      <c r="C509" t="inlineStr">
        <is>
          <t>DW70</t>
        </is>
      </c>
      <c r="D509" t="inlineStr">
        <is>
          <t>D087</t>
        </is>
      </c>
      <c r="E509" t="inlineStr">
        <is>
          <t>1</t>
        </is>
      </c>
      <c r="F509" t="inlineStr">
        <is>
          <t>10000630</t>
        </is>
      </c>
      <c r="H509" t="inlineStr"/>
      <c r="J509" t="n">
        <v>127.61</v>
      </c>
      <c r="K509" t="inlineStr"/>
      <c r="M509" t="inlineStr">
        <is>
          <t>TN</t>
        </is>
      </c>
      <c r="N509" t="inlineStr"/>
      <c r="P509" t="inlineStr">
        <is>
          <t>20220331</t>
        </is>
      </c>
      <c r="Q509" t="inlineStr">
        <is>
          <t>20250131</t>
        </is>
      </c>
    </row>
    <row r="510">
      <c r="A510" t="inlineStr">
        <is>
          <t>900002813DW70D08810000630</t>
        </is>
      </c>
      <c r="B510" t="inlineStr">
        <is>
          <t>900002813</t>
        </is>
      </c>
      <c r="C510" t="inlineStr">
        <is>
          <t>DW70</t>
        </is>
      </c>
      <c r="D510" t="inlineStr">
        <is>
          <t>D088</t>
        </is>
      </c>
      <c r="E510" t="inlineStr">
        <is>
          <t>1</t>
        </is>
      </c>
      <c r="F510" t="inlineStr">
        <is>
          <t>10000630</t>
        </is>
      </c>
      <c r="H510" t="inlineStr"/>
      <c r="J510" t="n">
        <v>36.43</v>
      </c>
      <c r="K510" t="inlineStr"/>
      <c r="M510" t="inlineStr">
        <is>
          <t>TN</t>
        </is>
      </c>
      <c r="N510" t="inlineStr"/>
      <c r="P510" t="inlineStr">
        <is>
          <t>20220331</t>
        </is>
      </c>
      <c r="Q510" t="inlineStr">
        <is>
          <t>20250131</t>
        </is>
      </c>
    </row>
    <row r="511">
      <c r="A511" t="inlineStr">
        <is>
          <t>900002813DW70D08810000722</t>
        </is>
      </c>
      <c r="B511" t="inlineStr">
        <is>
          <t>900002813</t>
        </is>
      </c>
      <c r="C511" t="inlineStr">
        <is>
          <t>DW70</t>
        </is>
      </c>
      <c r="D511" t="inlineStr">
        <is>
          <t>D088</t>
        </is>
      </c>
      <c r="E511" t="inlineStr">
        <is>
          <t>1</t>
        </is>
      </c>
      <c r="F511" t="inlineStr">
        <is>
          <t>10000722</t>
        </is>
      </c>
      <c r="H511" t="inlineStr"/>
      <c r="J511" t="n">
        <v>35.42</v>
      </c>
      <c r="K511" t="inlineStr"/>
      <c r="M511" t="inlineStr">
        <is>
          <t>TN</t>
        </is>
      </c>
      <c r="N511" t="inlineStr"/>
      <c r="P511" t="inlineStr">
        <is>
          <t>20220331</t>
        </is>
      </c>
      <c r="Q511" t="inlineStr">
        <is>
          <t>20250131</t>
        </is>
      </c>
    </row>
    <row r="512">
      <c r="A512" t="inlineStr">
        <is>
          <t>900002813DW70D08910000630</t>
        </is>
      </c>
      <c r="B512" t="inlineStr">
        <is>
          <t>900002813</t>
        </is>
      </c>
      <c r="C512" t="inlineStr">
        <is>
          <t>DW70</t>
        </is>
      </c>
      <c r="D512" t="inlineStr">
        <is>
          <t>D089</t>
        </is>
      </c>
      <c r="E512" t="inlineStr">
        <is>
          <t>1</t>
        </is>
      </c>
      <c r="F512" t="inlineStr">
        <is>
          <t>10000630</t>
        </is>
      </c>
      <c r="H512" t="inlineStr"/>
      <c r="J512" t="n">
        <v>49.52</v>
      </c>
      <c r="K512" t="inlineStr"/>
      <c r="M512" t="inlineStr">
        <is>
          <t>TN</t>
        </is>
      </c>
      <c r="N512" t="inlineStr"/>
      <c r="P512" t="inlineStr">
        <is>
          <t>20220331</t>
        </is>
      </c>
      <c r="Q512" t="inlineStr">
        <is>
          <t>20250131</t>
        </is>
      </c>
    </row>
    <row r="513">
      <c r="A513" t="inlineStr">
        <is>
          <t>900002813DW70D08910000722</t>
        </is>
      </c>
      <c r="B513" t="inlineStr">
        <is>
          <t>900002813</t>
        </is>
      </c>
      <c r="C513" t="inlineStr">
        <is>
          <t>DW70</t>
        </is>
      </c>
      <c r="D513" t="inlineStr">
        <is>
          <t>D089</t>
        </is>
      </c>
      <c r="E513" t="inlineStr">
        <is>
          <t>1</t>
        </is>
      </c>
      <c r="F513" t="inlineStr">
        <is>
          <t>10000722</t>
        </is>
      </c>
      <c r="H513" t="inlineStr"/>
      <c r="J513" t="n">
        <v>48.15</v>
      </c>
      <c r="K513" t="inlineStr"/>
      <c r="M513" t="inlineStr">
        <is>
          <t>TN</t>
        </is>
      </c>
      <c r="N513" t="inlineStr"/>
      <c r="P513" t="inlineStr">
        <is>
          <t>20220331</t>
        </is>
      </c>
      <c r="Q513" t="inlineStr">
        <is>
          <t>20250131</t>
        </is>
      </c>
    </row>
    <row r="514">
      <c r="A514" t="inlineStr">
        <is>
          <t>900002813DW70D09310000133</t>
        </is>
      </c>
      <c r="B514" t="inlineStr">
        <is>
          <t>900002813</t>
        </is>
      </c>
      <c r="C514" t="inlineStr">
        <is>
          <t>DW70</t>
        </is>
      </c>
      <c r="D514" t="inlineStr">
        <is>
          <t>D093</t>
        </is>
      </c>
      <c r="E514" t="inlineStr">
        <is>
          <t>1</t>
        </is>
      </c>
      <c r="F514" t="inlineStr">
        <is>
          <t>10000133</t>
        </is>
      </c>
      <c r="H514" t="inlineStr"/>
      <c r="J514" t="n">
        <v>118.04</v>
      </c>
      <c r="K514" t="inlineStr"/>
      <c r="M514" t="inlineStr">
        <is>
          <t>TN</t>
        </is>
      </c>
      <c r="N514" t="inlineStr"/>
      <c r="P514" t="inlineStr">
        <is>
          <t>20260430</t>
        </is>
      </c>
      <c r="Q514" t="inlineStr">
        <is>
          <t>99991231</t>
        </is>
      </c>
    </row>
    <row r="515">
      <c r="A515" t="inlineStr">
        <is>
          <t>900002813DW70D09310000623</t>
        </is>
      </c>
      <c r="B515" t="inlineStr">
        <is>
          <t>900002813</t>
        </is>
      </c>
      <c r="C515" t="inlineStr">
        <is>
          <t>DW70</t>
        </is>
      </c>
      <c r="D515" t="inlineStr">
        <is>
          <t>D093</t>
        </is>
      </c>
      <c r="E515" t="inlineStr">
        <is>
          <t>1</t>
        </is>
      </c>
      <c r="F515" t="inlineStr">
        <is>
          <t>10000623</t>
        </is>
      </c>
      <c r="H515" t="inlineStr"/>
      <c r="J515" t="n">
        <v>122.23</v>
      </c>
      <c r="K515" t="inlineStr"/>
      <c r="M515" t="inlineStr">
        <is>
          <t>TN</t>
        </is>
      </c>
      <c r="N515" t="inlineStr"/>
      <c r="P515" t="inlineStr">
        <is>
          <t>20260430</t>
        </is>
      </c>
      <c r="Q515" t="inlineStr">
        <is>
          <t>99991231</t>
        </is>
      </c>
    </row>
    <row r="516">
      <c r="A516" t="inlineStr">
        <is>
          <t>900002813DW70D09310000630</t>
        </is>
      </c>
      <c r="B516" t="inlineStr">
        <is>
          <t>900002813</t>
        </is>
      </c>
      <c r="C516" t="inlineStr">
        <is>
          <t>DW70</t>
        </is>
      </c>
      <c r="D516" t="inlineStr">
        <is>
          <t>D093</t>
        </is>
      </c>
      <c r="E516" t="inlineStr">
        <is>
          <t>1</t>
        </is>
      </c>
      <c r="F516" t="inlineStr">
        <is>
          <t>10000630</t>
        </is>
      </c>
      <c r="H516" t="inlineStr"/>
      <c r="J516" t="n">
        <v>43.06</v>
      </c>
      <c r="K516" t="inlineStr"/>
      <c r="M516" t="inlineStr">
        <is>
          <t>TN</t>
        </is>
      </c>
      <c r="N516" t="inlineStr"/>
      <c r="P516" t="inlineStr">
        <is>
          <t>20220331</t>
        </is>
      </c>
      <c r="Q516" t="inlineStr">
        <is>
          <t>20250131</t>
        </is>
      </c>
    </row>
    <row r="517">
      <c r="A517" t="inlineStr">
        <is>
          <t>900002813DW70D09310257024</t>
        </is>
      </c>
      <c r="B517" t="inlineStr">
        <is>
          <t>900002813</t>
        </is>
      </c>
      <c r="C517" t="inlineStr">
        <is>
          <t>DW70</t>
        </is>
      </c>
      <c r="D517" t="inlineStr">
        <is>
          <t>D093</t>
        </is>
      </c>
      <c r="E517" t="inlineStr">
        <is>
          <t>1</t>
        </is>
      </c>
      <c r="F517" t="inlineStr">
        <is>
          <t>10257024</t>
        </is>
      </c>
      <c r="H517" t="inlineStr"/>
      <c r="J517" t="n">
        <v>104.51</v>
      </c>
      <c r="K517" t="inlineStr"/>
      <c r="M517" t="inlineStr">
        <is>
          <t>TN</t>
        </is>
      </c>
      <c r="N517" t="inlineStr"/>
      <c r="P517" t="inlineStr">
        <is>
          <t>20260430</t>
        </is>
      </c>
      <c r="Q517" t="inlineStr">
        <is>
          <t>99991231</t>
        </is>
      </c>
    </row>
    <row r="518">
      <c r="A518" t="inlineStr">
        <is>
          <t>900002813DW70D09810000133</t>
        </is>
      </c>
      <c r="B518" t="inlineStr">
        <is>
          <t>900002813</t>
        </is>
      </c>
      <c r="C518" t="inlineStr">
        <is>
          <t>DW70</t>
        </is>
      </c>
      <c r="D518" t="inlineStr">
        <is>
          <t>D098</t>
        </is>
      </c>
      <c r="E518" t="inlineStr">
        <is>
          <t>1</t>
        </is>
      </c>
      <c r="F518" t="inlineStr">
        <is>
          <t>10000133</t>
        </is>
      </c>
      <c r="H518" t="inlineStr"/>
      <c r="J518" t="n">
        <v>118.04</v>
      </c>
      <c r="K518" t="inlineStr"/>
      <c r="M518" t="inlineStr">
        <is>
          <t>TN</t>
        </is>
      </c>
      <c r="N518" t="inlineStr"/>
      <c r="P518" t="inlineStr">
        <is>
          <t>20260430</t>
        </is>
      </c>
      <c r="Q518" t="inlineStr">
        <is>
          <t>99991231</t>
        </is>
      </c>
    </row>
    <row r="519">
      <c r="A519" t="inlineStr">
        <is>
          <t>900002813DW70D09810000623</t>
        </is>
      </c>
      <c r="B519" t="inlineStr">
        <is>
          <t>900002813</t>
        </is>
      </c>
      <c r="C519" t="inlineStr">
        <is>
          <t>DW70</t>
        </is>
      </c>
      <c r="D519" t="inlineStr">
        <is>
          <t>D098</t>
        </is>
      </c>
      <c r="E519" t="inlineStr">
        <is>
          <t>1</t>
        </is>
      </c>
      <c r="F519" t="inlineStr">
        <is>
          <t>10000623</t>
        </is>
      </c>
      <c r="H519" t="inlineStr"/>
      <c r="J519" t="n">
        <v>122.23</v>
      </c>
      <c r="K519" t="inlineStr"/>
      <c r="M519" t="inlineStr">
        <is>
          <t>TN</t>
        </is>
      </c>
      <c r="N519" t="inlineStr"/>
      <c r="P519" t="inlineStr">
        <is>
          <t>20260430</t>
        </is>
      </c>
      <c r="Q519" t="inlineStr">
        <is>
          <t>99991231</t>
        </is>
      </c>
    </row>
    <row r="520">
      <c r="A520" t="inlineStr">
        <is>
          <t>900002813DW70D09810000630</t>
        </is>
      </c>
      <c r="B520" t="inlineStr">
        <is>
          <t>900002813</t>
        </is>
      </c>
      <c r="C520" t="inlineStr">
        <is>
          <t>DW70</t>
        </is>
      </c>
      <c r="D520" t="inlineStr">
        <is>
          <t>D098</t>
        </is>
      </c>
      <c r="E520" t="inlineStr">
        <is>
          <t>1</t>
        </is>
      </c>
      <c r="F520" t="inlineStr">
        <is>
          <t>10000630</t>
        </is>
      </c>
      <c r="H520" t="inlineStr"/>
      <c r="J520" t="n">
        <v>76.90000000000001</v>
      </c>
      <c r="K520" t="inlineStr"/>
      <c r="M520" t="inlineStr">
        <is>
          <t>TN</t>
        </is>
      </c>
      <c r="N520" t="inlineStr"/>
      <c r="P520" t="inlineStr">
        <is>
          <t>20220331</t>
        </is>
      </c>
      <c r="Q520" t="inlineStr">
        <is>
          <t>20250131</t>
        </is>
      </c>
    </row>
    <row r="521">
      <c r="A521" t="inlineStr">
        <is>
          <t>900002813DW70D09810000722</t>
        </is>
      </c>
      <c r="B521" t="inlineStr">
        <is>
          <t>900002813</t>
        </is>
      </c>
      <c r="C521" t="inlineStr">
        <is>
          <t>DW70</t>
        </is>
      </c>
      <c r="D521" t="inlineStr">
        <is>
          <t>D098</t>
        </is>
      </c>
      <c r="E521" t="inlineStr">
        <is>
          <t>1</t>
        </is>
      </c>
      <c r="F521" t="inlineStr">
        <is>
          <t>10000722</t>
        </is>
      </c>
      <c r="H521" t="inlineStr"/>
      <c r="J521" t="n">
        <v>74.77</v>
      </c>
      <c r="K521" t="inlineStr"/>
      <c r="M521" t="inlineStr">
        <is>
          <t>TN</t>
        </is>
      </c>
      <c r="N521" t="inlineStr"/>
      <c r="P521" t="inlineStr">
        <is>
          <t>20220331</t>
        </is>
      </c>
      <c r="Q521" t="inlineStr">
        <is>
          <t>20250131</t>
        </is>
      </c>
    </row>
    <row r="522">
      <c r="A522" t="inlineStr">
        <is>
          <t>900002813DW70D09810257024</t>
        </is>
      </c>
      <c r="B522" t="inlineStr">
        <is>
          <t>900002813</t>
        </is>
      </c>
      <c r="C522" t="inlineStr">
        <is>
          <t>DW70</t>
        </is>
      </c>
      <c r="D522" t="inlineStr">
        <is>
          <t>D098</t>
        </is>
      </c>
      <c r="E522" t="inlineStr">
        <is>
          <t>1</t>
        </is>
      </c>
      <c r="F522" t="inlineStr">
        <is>
          <t>10257024</t>
        </is>
      </c>
      <c r="H522" t="inlineStr"/>
      <c r="J522" t="n">
        <v>104.51</v>
      </c>
      <c r="K522" t="inlineStr"/>
      <c r="M522" t="inlineStr">
        <is>
          <t>TN</t>
        </is>
      </c>
      <c r="N522" t="inlineStr"/>
      <c r="P522" t="inlineStr">
        <is>
          <t>20260430</t>
        </is>
      </c>
      <c r="Q522" t="inlineStr">
        <is>
          <t>99991231</t>
        </is>
      </c>
    </row>
    <row r="523">
      <c r="A523" t="inlineStr">
        <is>
          <t>900002813DW70D10510000133</t>
        </is>
      </c>
      <c r="B523" t="inlineStr">
        <is>
          <t>900002813</t>
        </is>
      </c>
      <c r="C523" t="inlineStr">
        <is>
          <t>DW70</t>
        </is>
      </c>
      <c r="D523" t="inlineStr">
        <is>
          <t>D105</t>
        </is>
      </c>
      <c r="E523" t="inlineStr">
        <is>
          <t>1</t>
        </is>
      </c>
      <c r="F523" t="inlineStr">
        <is>
          <t>10000133</t>
        </is>
      </c>
      <c r="H523" t="inlineStr"/>
      <c r="J523" t="n">
        <v>211.23</v>
      </c>
      <c r="K523" t="inlineStr"/>
      <c r="M523" t="inlineStr">
        <is>
          <t>TN</t>
        </is>
      </c>
      <c r="N523" t="inlineStr"/>
      <c r="P523" t="inlineStr">
        <is>
          <t>20260430</t>
        </is>
      </c>
      <c r="Q523" t="inlineStr">
        <is>
          <t>99991231</t>
        </is>
      </c>
    </row>
    <row r="524">
      <c r="A524" t="inlineStr">
        <is>
          <t>900002813DW70D10510000623</t>
        </is>
      </c>
      <c r="B524" t="inlineStr">
        <is>
          <t>900002813</t>
        </is>
      </c>
      <c r="C524" t="inlineStr">
        <is>
          <t>DW70</t>
        </is>
      </c>
      <c r="D524" t="inlineStr">
        <is>
          <t>D105</t>
        </is>
      </c>
      <c r="E524" t="inlineStr">
        <is>
          <t>1</t>
        </is>
      </c>
      <c r="F524" t="inlineStr">
        <is>
          <t>10000623</t>
        </is>
      </c>
      <c r="H524" t="inlineStr"/>
      <c r="J524" t="n">
        <v>218.72</v>
      </c>
      <c r="K524" t="inlineStr"/>
      <c r="M524" t="inlineStr">
        <is>
          <t>TN</t>
        </is>
      </c>
      <c r="N524" t="inlineStr"/>
      <c r="P524" t="inlineStr">
        <is>
          <t>20260430</t>
        </is>
      </c>
      <c r="Q524" t="inlineStr">
        <is>
          <t>99991231</t>
        </is>
      </c>
    </row>
    <row r="525">
      <c r="A525" t="inlineStr">
        <is>
          <t>900002813DW70D10510000630</t>
        </is>
      </c>
      <c r="B525" t="inlineStr">
        <is>
          <t>900002813</t>
        </is>
      </c>
      <c r="C525" t="inlineStr">
        <is>
          <t>DW70</t>
        </is>
      </c>
      <c r="D525" t="inlineStr">
        <is>
          <t>D105</t>
        </is>
      </c>
      <c r="E525" t="inlineStr">
        <is>
          <t>1</t>
        </is>
      </c>
      <c r="F525" t="inlineStr">
        <is>
          <t>10000630</t>
        </is>
      </c>
      <c r="H525" t="inlineStr"/>
      <c r="J525" t="n">
        <v>137.62</v>
      </c>
      <c r="K525" t="inlineStr"/>
      <c r="M525" t="inlineStr">
        <is>
          <t>TN</t>
        </is>
      </c>
      <c r="N525" t="inlineStr"/>
      <c r="P525" t="inlineStr">
        <is>
          <t>20220331</t>
        </is>
      </c>
      <c r="Q525" t="inlineStr">
        <is>
          <t>20250131</t>
        </is>
      </c>
    </row>
    <row r="526">
      <c r="A526" t="inlineStr">
        <is>
          <t>900002813DW70D10510000722</t>
        </is>
      </c>
      <c r="B526" t="inlineStr">
        <is>
          <t>900002813</t>
        </is>
      </c>
      <c r="C526" t="inlineStr">
        <is>
          <t>DW70</t>
        </is>
      </c>
      <c r="D526" t="inlineStr">
        <is>
          <t>D105</t>
        </is>
      </c>
      <c r="E526" t="inlineStr">
        <is>
          <t>1</t>
        </is>
      </c>
      <c r="F526" t="inlineStr">
        <is>
          <t>10000722</t>
        </is>
      </c>
      <c r="H526" t="inlineStr"/>
      <c r="J526" t="n">
        <v>133.8</v>
      </c>
      <c r="K526" t="inlineStr"/>
      <c r="M526" t="inlineStr">
        <is>
          <t>TN</t>
        </is>
      </c>
      <c r="N526" t="inlineStr"/>
      <c r="P526" t="inlineStr">
        <is>
          <t>20220331</t>
        </is>
      </c>
      <c r="Q526" t="inlineStr">
        <is>
          <t>20250131</t>
        </is>
      </c>
    </row>
    <row r="527">
      <c r="A527" t="inlineStr">
        <is>
          <t>900002813DW70D10510257024</t>
        </is>
      </c>
      <c r="B527" t="inlineStr">
        <is>
          <t>900002813</t>
        </is>
      </c>
      <c r="C527" t="inlineStr">
        <is>
          <t>DW70</t>
        </is>
      </c>
      <c r="D527" t="inlineStr">
        <is>
          <t>D105</t>
        </is>
      </c>
      <c r="E527" t="inlineStr">
        <is>
          <t>1</t>
        </is>
      </c>
      <c r="F527" t="inlineStr">
        <is>
          <t>10257024</t>
        </is>
      </c>
      <c r="H527" t="inlineStr"/>
      <c r="J527" t="n">
        <v>187.02</v>
      </c>
      <c r="K527" t="inlineStr"/>
      <c r="M527" t="inlineStr">
        <is>
          <t>TN</t>
        </is>
      </c>
      <c r="N527" t="inlineStr"/>
      <c r="P527" t="inlineStr">
        <is>
          <t>20260430</t>
        </is>
      </c>
      <c r="Q527" t="inlineStr">
        <is>
          <t>99991231</t>
        </is>
      </c>
    </row>
    <row r="528">
      <c r="A528" t="inlineStr">
        <is>
          <t>900002813DW70D11010000630</t>
        </is>
      </c>
      <c r="B528" t="inlineStr">
        <is>
          <t>900002813</t>
        </is>
      </c>
      <c r="C528" t="inlineStr">
        <is>
          <t>DW70</t>
        </is>
      </c>
      <c r="D528" t="inlineStr">
        <is>
          <t>D110</t>
        </is>
      </c>
      <c r="E528" t="inlineStr">
        <is>
          <t>1</t>
        </is>
      </c>
      <c r="F528" t="inlineStr">
        <is>
          <t>10000630</t>
        </is>
      </c>
      <c r="H528" t="inlineStr"/>
      <c r="J528" t="n">
        <v>127.61</v>
      </c>
      <c r="K528" t="inlineStr"/>
      <c r="M528" t="inlineStr">
        <is>
          <t>TN</t>
        </is>
      </c>
      <c r="N528" t="inlineStr"/>
      <c r="P528" t="inlineStr">
        <is>
          <t>20220331</t>
        </is>
      </c>
      <c r="Q528" t="inlineStr">
        <is>
          <t>20250131</t>
        </is>
      </c>
    </row>
    <row r="529">
      <c r="A529" t="inlineStr">
        <is>
          <t>900002813DW70D11010000722</t>
        </is>
      </c>
      <c r="B529" t="inlineStr">
        <is>
          <t>900002813</t>
        </is>
      </c>
      <c r="C529" t="inlineStr">
        <is>
          <t>DW70</t>
        </is>
      </c>
      <c r="D529" t="inlineStr">
        <is>
          <t>D110</t>
        </is>
      </c>
      <c r="E529" t="inlineStr">
        <is>
          <t>1</t>
        </is>
      </c>
      <c r="F529" t="inlineStr">
        <is>
          <t>10000722</t>
        </is>
      </c>
      <c r="H529" t="inlineStr"/>
      <c r="J529" t="n">
        <v>105.56</v>
      </c>
      <c r="K529" t="inlineStr"/>
      <c r="M529" t="inlineStr">
        <is>
          <t>TN</t>
        </is>
      </c>
      <c r="N529" t="inlineStr"/>
      <c r="P529" t="inlineStr">
        <is>
          <t>20220331</t>
        </is>
      </c>
      <c r="Q529" t="inlineStr">
        <is>
          <t>20250131</t>
        </is>
      </c>
    </row>
    <row r="530">
      <c r="A530" t="inlineStr">
        <is>
          <t>900002813DW70D13610000133</t>
        </is>
      </c>
      <c r="B530" t="inlineStr">
        <is>
          <t>900002813</t>
        </is>
      </c>
      <c r="C530" t="inlineStr">
        <is>
          <t>DW70</t>
        </is>
      </c>
      <c r="D530" t="inlineStr">
        <is>
          <t>D136</t>
        </is>
      </c>
      <c r="E530" t="inlineStr">
        <is>
          <t>1</t>
        </is>
      </c>
      <c r="F530" t="inlineStr">
        <is>
          <t>10000133</t>
        </is>
      </c>
      <c r="H530" t="inlineStr"/>
      <c r="J530" t="n">
        <v>267.15</v>
      </c>
      <c r="K530" t="inlineStr"/>
      <c r="M530" t="inlineStr">
        <is>
          <t>TN</t>
        </is>
      </c>
      <c r="N530" t="inlineStr"/>
      <c r="P530" t="inlineStr">
        <is>
          <t>20260430</t>
        </is>
      </c>
      <c r="Q530" t="inlineStr">
        <is>
          <t>99991231</t>
        </is>
      </c>
    </row>
    <row r="531">
      <c r="A531" t="inlineStr">
        <is>
          <t>900002813DW70D13610000623</t>
        </is>
      </c>
      <c r="B531" t="inlineStr">
        <is>
          <t>900002813</t>
        </is>
      </c>
      <c r="C531" t="inlineStr">
        <is>
          <t>DW70</t>
        </is>
      </c>
      <c r="D531" t="inlineStr">
        <is>
          <t>D136</t>
        </is>
      </c>
      <c r="E531" t="inlineStr">
        <is>
          <t>1</t>
        </is>
      </c>
      <c r="F531" t="inlineStr">
        <is>
          <t>10000623</t>
        </is>
      </c>
      <c r="H531" t="inlineStr"/>
      <c r="J531" t="n">
        <v>276.62</v>
      </c>
      <c r="K531" t="inlineStr"/>
      <c r="M531" t="inlineStr">
        <is>
          <t>TN</t>
        </is>
      </c>
      <c r="N531" t="inlineStr"/>
      <c r="P531" t="inlineStr">
        <is>
          <t>20260430</t>
        </is>
      </c>
      <c r="Q531" t="inlineStr">
        <is>
          <t>99991231</t>
        </is>
      </c>
    </row>
    <row r="532">
      <c r="A532" t="inlineStr">
        <is>
          <t>900002813DW70D13610000630</t>
        </is>
      </c>
      <c r="B532" t="inlineStr">
        <is>
          <t>900002813</t>
        </is>
      </c>
      <c r="C532" t="inlineStr">
        <is>
          <t>DW70</t>
        </is>
      </c>
      <c r="D532" t="inlineStr">
        <is>
          <t>D136</t>
        </is>
      </c>
      <c r="E532" t="inlineStr">
        <is>
          <t>1</t>
        </is>
      </c>
      <c r="F532" t="inlineStr">
        <is>
          <t>10000630</t>
        </is>
      </c>
      <c r="H532" t="inlineStr"/>
      <c r="J532" t="n">
        <v>174.05</v>
      </c>
      <c r="K532" t="inlineStr"/>
      <c r="M532" t="inlineStr">
        <is>
          <t>TN</t>
        </is>
      </c>
      <c r="N532" t="inlineStr"/>
      <c r="P532" t="inlineStr">
        <is>
          <t>20220331</t>
        </is>
      </c>
      <c r="Q532" t="inlineStr">
        <is>
          <t>20250131</t>
        </is>
      </c>
    </row>
    <row r="533">
      <c r="A533" t="inlineStr">
        <is>
          <t>900002813DW70D13610000722</t>
        </is>
      </c>
      <c r="B533" t="inlineStr">
        <is>
          <t>900002813</t>
        </is>
      </c>
      <c r="C533" t="inlineStr">
        <is>
          <t>DW70</t>
        </is>
      </c>
      <c r="D533" t="inlineStr">
        <is>
          <t>D136</t>
        </is>
      </c>
      <c r="E533" t="inlineStr">
        <is>
          <t>1</t>
        </is>
      </c>
      <c r="F533" t="inlineStr">
        <is>
          <t>10000722</t>
        </is>
      </c>
      <c r="H533" t="inlineStr"/>
      <c r="J533" t="n">
        <v>169.21</v>
      </c>
      <c r="K533" t="inlineStr"/>
      <c r="M533" t="inlineStr">
        <is>
          <t>TN</t>
        </is>
      </c>
      <c r="N533" t="inlineStr"/>
      <c r="P533" t="inlineStr">
        <is>
          <t>20220331</t>
        </is>
      </c>
      <c r="Q533" t="inlineStr">
        <is>
          <t>20250131</t>
        </is>
      </c>
    </row>
    <row r="534">
      <c r="A534" t="inlineStr">
        <is>
          <t>900002813DW70D13610257024</t>
        </is>
      </c>
      <c r="B534" t="inlineStr">
        <is>
          <t>900002813</t>
        </is>
      </c>
      <c r="C534" t="inlineStr">
        <is>
          <t>DW70</t>
        </is>
      </c>
      <c r="D534" t="inlineStr">
        <is>
          <t>D136</t>
        </is>
      </c>
      <c r="E534" t="inlineStr">
        <is>
          <t>1</t>
        </is>
      </c>
      <c r="F534" t="inlineStr">
        <is>
          <t>10257024</t>
        </is>
      </c>
      <c r="H534" t="inlineStr"/>
      <c r="J534" t="n">
        <v>236.53</v>
      </c>
      <c r="K534" t="inlineStr"/>
      <c r="M534" t="inlineStr">
        <is>
          <t>TN</t>
        </is>
      </c>
      <c r="N534" t="inlineStr"/>
      <c r="P534" t="inlineStr">
        <is>
          <t>20260430</t>
        </is>
      </c>
      <c r="Q534" t="inlineStr">
        <is>
          <t>99991231</t>
        </is>
      </c>
    </row>
    <row r="535">
      <c r="A535" t="inlineStr">
        <is>
          <t>900002813DW70D14510000133</t>
        </is>
      </c>
      <c r="B535" t="inlineStr">
        <is>
          <t>900002813</t>
        </is>
      </c>
      <c r="C535" t="inlineStr">
        <is>
          <t>DW70</t>
        </is>
      </c>
      <c r="D535" t="inlineStr">
        <is>
          <t>D145</t>
        </is>
      </c>
      <c r="E535" t="inlineStr">
        <is>
          <t>1</t>
        </is>
      </c>
      <c r="F535" t="inlineStr">
        <is>
          <t>10000133</t>
        </is>
      </c>
      <c r="H535" t="inlineStr"/>
      <c r="J535" t="n">
        <v>195.71</v>
      </c>
      <c r="K535" t="inlineStr"/>
      <c r="M535" t="inlineStr">
        <is>
          <t>TN</t>
        </is>
      </c>
      <c r="N535" t="inlineStr"/>
      <c r="P535" t="inlineStr">
        <is>
          <t>20260430</t>
        </is>
      </c>
      <c r="Q535" t="inlineStr">
        <is>
          <t>99991231</t>
        </is>
      </c>
    </row>
    <row r="536">
      <c r="A536" t="inlineStr">
        <is>
          <t>900002813DW70D14510000623</t>
        </is>
      </c>
      <c r="B536" t="inlineStr">
        <is>
          <t>900002813</t>
        </is>
      </c>
      <c r="C536" t="inlineStr">
        <is>
          <t>DW70</t>
        </is>
      </c>
      <c r="D536" t="inlineStr">
        <is>
          <t>D145</t>
        </is>
      </c>
      <c r="E536" t="inlineStr">
        <is>
          <t>1</t>
        </is>
      </c>
      <c r="F536" t="inlineStr">
        <is>
          <t>10000623</t>
        </is>
      </c>
      <c r="H536" t="inlineStr"/>
      <c r="J536" t="n">
        <v>202.65</v>
      </c>
      <c r="K536" t="inlineStr"/>
      <c r="M536" t="inlineStr">
        <is>
          <t>TN</t>
        </is>
      </c>
      <c r="N536" t="inlineStr"/>
      <c r="P536" t="inlineStr">
        <is>
          <t>20260430</t>
        </is>
      </c>
      <c r="Q536" t="inlineStr">
        <is>
          <t>99991231</t>
        </is>
      </c>
    </row>
    <row r="537">
      <c r="A537" t="inlineStr">
        <is>
          <t>900002813DW70D14510000630</t>
        </is>
      </c>
      <c r="B537" t="inlineStr">
        <is>
          <t>900002813</t>
        </is>
      </c>
      <c r="C537" t="inlineStr">
        <is>
          <t>DW70</t>
        </is>
      </c>
      <c r="D537" t="inlineStr">
        <is>
          <t>D145</t>
        </is>
      </c>
      <c r="E537" t="inlineStr">
        <is>
          <t>1</t>
        </is>
      </c>
      <c r="F537" t="inlineStr">
        <is>
          <t>10000630</t>
        </is>
      </c>
      <c r="H537" t="inlineStr"/>
      <c r="J537" t="n">
        <v>127.5</v>
      </c>
      <c r="K537" t="inlineStr"/>
      <c r="M537" t="inlineStr">
        <is>
          <t>TN</t>
        </is>
      </c>
      <c r="N537" t="inlineStr"/>
      <c r="P537" t="inlineStr">
        <is>
          <t>20220331</t>
        </is>
      </c>
      <c r="Q537" t="inlineStr">
        <is>
          <t>20250131</t>
        </is>
      </c>
    </row>
    <row r="538">
      <c r="A538" t="inlineStr">
        <is>
          <t>900002813DW70D14510000722</t>
        </is>
      </c>
      <c r="B538" t="inlineStr">
        <is>
          <t>900002813</t>
        </is>
      </c>
      <c r="C538" t="inlineStr">
        <is>
          <t>DW70</t>
        </is>
      </c>
      <c r="D538" t="inlineStr">
        <is>
          <t>D145</t>
        </is>
      </c>
      <c r="E538" t="inlineStr">
        <is>
          <t>1</t>
        </is>
      </c>
      <c r="F538" t="inlineStr">
        <is>
          <t>10000722</t>
        </is>
      </c>
      <c r="H538" t="inlineStr"/>
      <c r="J538" t="n">
        <v>123.96</v>
      </c>
      <c r="K538" t="inlineStr"/>
      <c r="M538" t="inlineStr">
        <is>
          <t>TN</t>
        </is>
      </c>
      <c r="N538" t="inlineStr"/>
      <c r="P538" t="inlineStr">
        <is>
          <t>20220331</t>
        </is>
      </c>
      <c r="Q538" t="inlineStr">
        <is>
          <t>20250131</t>
        </is>
      </c>
    </row>
    <row r="539">
      <c r="A539" t="inlineStr">
        <is>
          <t>900002813DW70D14510257024</t>
        </is>
      </c>
      <c r="B539" t="inlineStr">
        <is>
          <t>900002813</t>
        </is>
      </c>
      <c r="C539" t="inlineStr">
        <is>
          <t>DW70</t>
        </is>
      </c>
      <c r="D539" t="inlineStr">
        <is>
          <t>D145</t>
        </is>
      </c>
      <c r="E539" t="inlineStr">
        <is>
          <t>1</t>
        </is>
      </c>
      <c r="F539" t="inlineStr">
        <is>
          <t>10257024</t>
        </is>
      </c>
      <c r="H539" t="inlineStr"/>
      <c r="J539" t="n">
        <v>173.27</v>
      </c>
      <c r="K539" t="inlineStr"/>
      <c r="M539" t="inlineStr">
        <is>
          <t>TN</t>
        </is>
      </c>
      <c r="N539" t="inlineStr"/>
      <c r="P539" t="inlineStr">
        <is>
          <t>20260430</t>
        </is>
      </c>
      <c r="Q539" t="inlineStr">
        <is>
          <t>99991231</t>
        </is>
      </c>
    </row>
    <row r="540">
      <c r="A540" t="inlineStr">
        <is>
          <t>900002813DW70D68110000133</t>
        </is>
      </c>
      <c r="B540" t="inlineStr">
        <is>
          <t>900002813</t>
        </is>
      </c>
      <c r="C540" t="inlineStr">
        <is>
          <t>DW70</t>
        </is>
      </c>
      <c r="D540" t="inlineStr">
        <is>
          <t>D681</t>
        </is>
      </c>
      <c r="E540" t="inlineStr">
        <is>
          <t>1</t>
        </is>
      </c>
      <c r="F540" t="inlineStr">
        <is>
          <t>10000133</t>
        </is>
      </c>
      <c r="H540" t="inlineStr"/>
      <c r="J540" t="n">
        <v>164.64</v>
      </c>
      <c r="K540" t="inlineStr"/>
      <c r="M540" t="inlineStr">
        <is>
          <t>TN</t>
        </is>
      </c>
      <c r="N540" t="inlineStr"/>
      <c r="P540" t="inlineStr">
        <is>
          <t>20260430</t>
        </is>
      </c>
      <c r="Q540" t="inlineStr">
        <is>
          <t>99991231</t>
        </is>
      </c>
    </row>
    <row r="541">
      <c r="A541" t="inlineStr">
        <is>
          <t>900002813DW70D68110000623</t>
        </is>
      </c>
      <c r="B541" t="inlineStr">
        <is>
          <t>900002813</t>
        </is>
      </c>
      <c r="C541" t="inlineStr">
        <is>
          <t>DW70</t>
        </is>
      </c>
      <c r="D541" t="inlineStr">
        <is>
          <t>D681</t>
        </is>
      </c>
      <c r="E541" t="inlineStr">
        <is>
          <t>1</t>
        </is>
      </c>
      <c r="F541" t="inlineStr">
        <is>
          <t>10000623</t>
        </is>
      </c>
      <c r="H541" t="inlineStr"/>
      <c r="J541" t="n">
        <v>170.48</v>
      </c>
      <c r="K541" t="inlineStr"/>
      <c r="M541" t="inlineStr">
        <is>
          <t>TN</t>
        </is>
      </c>
      <c r="N541" t="inlineStr"/>
      <c r="P541" t="inlineStr">
        <is>
          <t>20260430</t>
        </is>
      </c>
      <c r="Q541" t="inlineStr">
        <is>
          <t>99991231</t>
        </is>
      </c>
    </row>
    <row r="542">
      <c r="A542" t="inlineStr">
        <is>
          <t>900002813DW70D68110257024</t>
        </is>
      </c>
      <c r="B542" t="inlineStr">
        <is>
          <t>900002813</t>
        </is>
      </c>
      <c r="C542" t="inlineStr">
        <is>
          <t>DW70</t>
        </is>
      </c>
      <c r="D542" t="inlineStr">
        <is>
          <t>D681</t>
        </is>
      </c>
      <c r="E542" t="inlineStr">
        <is>
          <t>1</t>
        </is>
      </c>
      <c r="F542" t="inlineStr">
        <is>
          <t>10257024</t>
        </is>
      </c>
      <c r="H542" t="inlineStr"/>
      <c r="J542" t="n">
        <v>145.77</v>
      </c>
      <c r="K542" t="inlineStr"/>
      <c r="M542" t="inlineStr">
        <is>
          <t>TN</t>
        </is>
      </c>
      <c r="N542" t="inlineStr"/>
      <c r="P542" t="inlineStr">
        <is>
          <t>20260430</t>
        </is>
      </c>
      <c r="Q542" t="inlineStr">
        <is>
          <t>99991231</t>
        </is>
      </c>
    </row>
    <row r="543">
      <c r="A543" t="inlineStr">
        <is>
          <t>900003438DW70D07410000623</t>
        </is>
      </c>
      <c r="B543" t="inlineStr">
        <is>
          <t>900003438</t>
        </is>
      </c>
      <c r="C543" t="inlineStr">
        <is>
          <t>DW70</t>
        </is>
      </c>
      <c r="D543" t="inlineStr">
        <is>
          <t>D074</t>
        </is>
      </c>
      <c r="E543" t="inlineStr">
        <is>
          <t>4</t>
        </is>
      </c>
      <c r="F543" t="inlineStr">
        <is>
          <t>10000623</t>
        </is>
      </c>
      <c r="H543" t="inlineStr"/>
      <c r="J543" t="n">
        <v>167.96</v>
      </c>
      <c r="K543" t="inlineStr"/>
      <c r="M543" t="inlineStr">
        <is>
          <t>TN</t>
        </is>
      </c>
      <c r="N543" t="inlineStr"/>
      <c r="P543" t="inlineStr">
        <is>
          <t>20220331</t>
        </is>
      </c>
      <c r="Q543" t="inlineStr">
        <is>
          <t>20250131</t>
        </is>
      </c>
    </row>
    <row r="544">
      <c r="A544" t="inlineStr">
        <is>
          <t>900003438DW70D07410000630</t>
        </is>
      </c>
      <c r="B544" t="inlineStr">
        <is>
          <t>900003438</t>
        </is>
      </c>
      <c r="C544" t="inlineStr">
        <is>
          <t>DW70</t>
        </is>
      </c>
      <c r="D544" t="inlineStr">
        <is>
          <t>D074</t>
        </is>
      </c>
      <c r="E544" t="inlineStr">
        <is>
          <t>4</t>
        </is>
      </c>
      <c r="F544" t="inlineStr">
        <is>
          <t>10000630</t>
        </is>
      </c>
      <c r="H544" t="inlineStr"/>
      <c r="J544" t="n">
        <v>169.16</v>
      </c>
      <c r="K544" t="inlineStr"/>
      <c r="M544" t="inlineStr">
        <is>
          <t>TN</t>
        </is>
      </c>
      <c r="N544" t="inlineStr"/>
      <c r="P544" t="inlineStr">
        <is>
          <t>20220331</t>
        </is>
      </c>
      <c r="Q544" t="inlineStr">
        <is>
          <t>20250131</t>
        </is>
      </c>
    </row>
    <row r="545">
      <c r="A545" t="inlineStr">
        <is>
          <t>900003438DW70D07410000811</t>
        </is>
      </c>
      <c r="B545" t="inlineStr">
        <is>
          <t>900003438</t>
        </is>
      </c>
      <c r="C545" t="inlineStr">
        <is>
          <t>DW70</t>
        </is>
      </c>
      <c r="D545" t="inlineStr">
        <is>
          <t>D074</t>
        </is>
      </c>
      <c r="E545" t="inlineStr">
        <is>
          <t>4</t>
        </is>
      </c>
      <c r="F545" t="inlineStr">
        <is>
          <t>10000811</t>
        </is>
      </c>
      <c r="H545" t="inlineStr"/>
      <c r="J545" t="n">
        <v>166.89</v>
      </c>
      <c r="K545" t="inlineStr"/>
      <c r="M545" t="inlineStr">
        <is>
          <t>TN</t>
        </is>
      </c>
      <c r="N545" t="inlineStr"/>
      <c r="P545" t="inlineStr">
        <is>
          <t>20220331</t>
        </is>
      </c>
      <c r="Q545" t="inlineStr">
        <is>
          <t>20250131</t>
        </is>
      </c>
    </row>
    <row r="546">
      <c r="A546" t="inlineStr">
        <is>
          <t>900003438DW70D07410002802</t>
        </is>
      </c>
      <c r="B546" t="inlineStr">
        <is>
          <t>900003438</t>
        </is>
      </c>
      <c r="C546" t="inlineStr">
        <is>
          <t>DW70</t>
        </is>
      </c>
      <c r="D546" t="inlineStr">
        <is>
          <t>D074</t>
        </is>
      </c>
      <c r="E546" t="inlineStr">
        <is>
          <t>4</t>
        </is>
      </c>
      <c r="F546" t="inlineStr">
        <is>
          <t>10002802</t>
        </is>
      </c>
      <c r="H546" t="inlineStr"/>
      <c r="J546" t="n">
        <v>161.88</v>
      </c>
      <c r="K546" t="inlineStr"/>
      <c r="M546" t="inlineStr">
        <is>
          <t>TN</t>
        </is>
      </c>
      <c r="N546" t="inlineStr"/>
      <c r="P546" t="inlineStr">
        <is>
          <t>20250401</t>
        </is>
      </c>
      <c r="Q546" t="inlineStr">
        <is>
          <t>20251031</t>
        </is>
      </c>
    </row>
    <row r="547">
      <c r="A547" t="inlineStr">
        <is>
          <t>900003438DW70D07410059180</t>
        </is>
      </c>
      <c r="B547" t="inlineStr">
        <is>
          <t>900003438</t>
        </is>
      </c>
      <c r="C547" t="inlineStr">
        <is>
          <t>DW70</t>
        </is>
      </c>
      <c r="D547" t="inlineStr">
        <is>
          <t>D074</t>
        </is>
      </c>
      <c r="E547" t="inlineStr">
        <is>
          <t>4</t>
        </is>
      </c>
      <c r="F547" t="inlineStr">
        <is>
          <t>10059180</t>
        </is>
      </c>
      <c r="H547" t="inlineStr"/>
      <c r="J547" t="n">
        <v>103.05</v>
      </c>
      <c r="K547" t="inlineStr"/>
      <c r="M547" t="inlineStr">
        <is>
          <t>TN</t>
        </is>
      </c>
      <c r="N547" t="inlineStr"/>
      <c r="P547" t="inlineStr">
        <is>
          <t>20220331</t>
        </is>
      </c>
      <c r="Q547" t="inlineStr">
        <is>
          <t>20250131</t>
        </is>
      </c>
    </row>
    <row r="548">
      <c r="A548" t="inlineStr">
        <is>
          <t>900003438DW70D07510000623</t>
        </is>
      </c>
      <c r="B548" t="inlineStr">
        <is>
          <t>900003438</t>
        </is>
      </c>
      <c r="C548" t="inlineStr">
        <is>
          <t>DW70</t>
        </is>
      </c>
      <c r="D548" t="inlineStr">
        <is>
          <t>D075</t>
        </is>
      </c>
      <c r="E548" t="inlineStr">
        <is>
          <t>4</t>
        </is>
      </c>
      <c r="F548" t="inlineStr">
        <is>
          <t>10000623</t>
        </is>
      </c>
      <c r="H548" t="inlineStr"/>
      <c r="J548" t="n">
        <v>147.27</v>
      </c>
      <c r="K548" t="inlineStr"/>
      <c r="M548" t="inlineStr">
        <is>
          <t>TN</t>
        </is>
      </c>
      <c r="N548" t="inlineStr"/>
      <c r="P548" t="inlineStr">
        <is>
          <t>20220331</t>
        </is>
      </c>
      <c r="Q548" t="inlineStr">
        <is>
          <t>20250131</t>
        </is>
      </c>
    </row>
    <row r="549">
      <c r="A549" t="inlineStr">
        <is>
          <t>900003438DW70D07510000630</t>
        </is>
      </c>
      <c r="B549" t="inlineStr">
        <is>
          <t>900003438</t>
        </is>
      </c>
      <c r="C549" t="inlineStr">
        <is>
          <t>DW70</t>
        </is>
      </c>
      <c r="D549" t="inlineStr">
        <is>
          <t>D075</t>
        </is>
      </c>
      <c r="E549" t="inlineStr">
        <is>
          <t>4</t>
        </is>
      </c>
      <c r="F549" t="inlineStr">
        <is>
          <t>10000630</t>
        </is>
      </c>
      <c r="H549" t="inlineStr"/>
      <c r="J549" t="n">
        <v>148.32</v>
      </c>
      <c r="K549" t="inlineStr"/>
      <c r="M549" t="inlineStr">
        <is>
          <t>TN</t>
        </is>
      </c>
      <c r="N549" t="inlineStr"/>
      <c r="P549" t="inlineStr">
        <is>
          <t>20220331</t>
        </is>
      </c>
      <c r="Q549" t="inlineStr">
        <is>
          <t>20250131</t>
        </is>
      </c>
    </row>
    <row r="550">
      <c r="A550" t="inlineStr">
        <is>
          <t>900003438DW70D07510000811</t>
        </is>
      </c>
      <c r="B550" t="inlineStr">
        <is>
          <t>900003438</t>
        </is>
      </c>
      <c r="C550" t="inlineStr">
        <is>
          <t>DW70</t>
        </is>
      </c>
      <c r="D550" t="inlineStr">
        <is>
          <t>D075</t>
        </is>
      </c>
      <c r="E550" t="inlineStr">
        <is>
          <t>4</t>
        </is>
      </c>
      <c r="F550" t="inlineStr">
        <is>
          <t>10000811</t>
        </is>
      </c>
      <c r="H550" t="inlineStr"/>
      <c r="J550" t="n">
        <v>146.54</v>
      </c>
      <c r="K550" t="inlineStr"/>
      <c r="M550" t="inlineStr">
        <is>
          <t>TN</t>
        </is>
      </c>
      <c r="N550" t="inlineStr"/>
      <c r="P550" t="inlineStr">
        <is>
          <t>20220331</t>
        </is>
      </c>
      <c r="Q550" t="inlineStr">
        <is>
          <t>20250131</t>
        </is>
      </c>
    </row>
    <row r="551">
      <c r="A551" t="inlineStr">
        <is>
          <t>900003438DW70D07510002802</t>
        </is>
      </c>
      <c r="B551" t="inlineStr">
        <is>
          <t>900003438</t>
        </is>
      </c>
      <c r="C551" t="inlineStr">
        <is>
          <t>DW70</t>
        </is>
      </c>
      <c r="D551" t="inlineStr">
        <is>
          <t>D075</t>
        </is>
      </c>
      <c r="E551" t="inlineStr">
        <is>
          <t>4</t>
        </is>
      </c>
      <c r="F551" t="inlineStr">
        <is>
          <t>10002802</t>
        </is>
      </c>
      <c r="H551" t="inlineStr"/>
      <c r="J551" t="n">
        <v>156.88</v>
      </c>
      <c r="K551" t="inlineStr"/>
      <c r="M551" t="inlineStr">
        <is>
          <t>TN</t>
        </is>
      </c>
      <c r="N551" t="inlineStr"/>
      <c r="P551" t="inlineStr">
        <is>
          <t>20250401</t>
        </is>
      </c>
      <c r="Q551" t="inlineStr">
        <is>
          <t>99991231</t>
        </is>
      </c>
    </row>
    <row r="552">
      <c r="A552" t="inlineStr">
        <is>
          <t>900003438DW70D07510059180</t>
        </is>
      </c>
      <c r="B552" t="inlineStr">
        <is>
          <t>900003438</t>
        </is>
      </c>
      <c r="C552" t="inlineStr">
        <is>
          <t>DW70</t>
        </is>
      </c>
      <c r="D552" t="inlineStr">
        <is>
          <t>D075</t>
        </is>
      </c>
      <c r="E552" t="inlineStr">
        <is>
          <t>4</t>
        </is>
      </c>
      <c r="F552" t="inlineStr">
        <is>
          <t>10059180</t>
        </is>
      </c>
      <c r="H552" t="inlineStr"/>
      <c r="J552" t="n">
        <v>90.48999999999999</v>
      </c>
      <c r="K552" t="inlineStr"/>
      <c r="M552" t="inlineStr">
        <is>
          <t>TN</t>
        </is>
      </c>
      <c r="N552" t="inlineStr"/>
      <c r="P552" t="inlineStr">
        <is>
          <t>20220331</t>
        </is>
      </c>
      <c r="Q552" t="inlineStr">
        <is>
          <t>20250131</t>
        </is>
      </c>
    </row>
    <row r="553">
      <c r="A553" t="inlineStr">
        <is>
          <t>900003438DW70D07710000623</t>
        </is>
      </c>
      <c r="B553" t="inlineStr">
        <is>
          <t>900003438</t>
        </is>
      </c>
      <c r="C553" t="inlineStr">
        <is>
          <t>DW70</t>
        </is>
      </c>
      <c r="D553" t="inlineStr">
        <is>
          <t>D077</t>
        </is>
      </c>
      <c r="E553" t="inlineStr">
        <is>
          <t>4</t>
        </is>
      </c>
      <c r="F553" t="inlineStr">
        <is>
          <t>10000623</t>
        </is>
      </c>
      <c r="H553" t="inlineStr"/>
      <c r="J553" t="n">
        <v>221.01</v>
      </c>
      <c r="K553" t="inlineStr"/>
      <c r="M553" t="inlineStr">
        <is>
          <t>TN</t>
        </is>
      </c>
      <c r="N553" t="inlineStr"/>
      <c r="P553" t="inlineStr">
        <is>
          <t>20220331</t>
        </is>
      </c>
      <c r="Q553" t="inlineStr">
        <is>
          <t>20250131</t>
        </is>
      </c>
    </row>
    <row r="554">
      <c r="A554" t="inlineStr">
        <is>
          <t>900003438DW70D07710000630</t>
        </is>
      </c>
      <c r="B554" t="inlineStr">
        <is>
          <t>900003438</t>
        </is>
      </c>
      <c r="C554" t="inlineStr">
        <is>
          <t>DW70</t>
        </is>
      </c>
      <c r="D554" t="inlineStr">
        <is>
          <t>D077</t>
        </is>
      </c>
      <c r="E554" t="inlineStr">
        <is>
          <t>4</t>
        </is>
      </c>
      <c r="F554" t="inlineStr">
        <is>
          <t>10000630</t>
        </is>
      </c>
      <c r="H554" t="inlineStr"/>
      <c r="J554" t="n">
        <v>222.59</v>
      </c>
      <c r="K554" t="inlineStr"/>
      <c r="M554" t="inlineStr">
        <is>
          <t>TN</t>
        </is>
      </c>
      <c r="N554" t="inlineStr"/>
      <c r="P554" t="inlineStr">
        <is>
          <t>20220331</t>
        </is>
      </c>
      <c r="Q554" t="inlineStr">
        <is>
          <t>20250131</t>
        </is>
      </c>
    </row>
    <row r="555">
      <c r="A555" t="inlineStr">
        <is>
          <t>900003438DW70D07710000811</t>
        </is>
      </c>
      <c r="B555" t="inlineStr">
        <is>
          <t>900003438</t>
        </is>
      </c>
      <c r="C555" t="inlineStr">
        <is>
          <t>DW70</t>
        </is>
      </c>
      <c r="D555" t="inlineStr">
        <is>
          <t>D077</t>
        </is>
      </c>
      <c r="E555" t="inlineStr">
        <is>
          <t>4</t>
        </is>
      </c>
      <c r="F555" t="inlineStr">
        <is>
          <t>10000811</t>
        </is>
      </c>
      <c r="H555" t="inlineStr"/>
      <c r="J555" t="n">
        <v>219.81</v>
      </c>
      <c r="K555" t="inlineStr"/>
      <c r="M555" t="inlineStr">
        <is>
          <t>TN</t>
        </is>
      </c>
      <c r="N555" t="inlineStr"/>
      <c r="P555" t="inlineStr">
        <is>
          <t>20220331</t>
        </is>
      </c>
      <c r="Q555" t="inlineStr">
        <is>
          <t>20250131</t>
        </is>
      </c>
    </row>
    <row r="556">
      <c r="A556" t="inlineStr">
        <is>
          <t>900003438DW70D07710002802</t>
        </is>
      </c>
      <c r="B556" t="inlineStr">
        <is>
          <t>900003438</t>
        </is>
      </c>
      <c r="C556" t="inlineStr">
        <is>
          <t>DW70</t>
        </is>
      </c>
      <c r="D556" t="inlineStr">
        <is>
          <t>D077</t>
        </is>
      </c>
      <c r="E556" t="inlineStr">
        <is>
          <t>4</t>
        </is>
      </c>
      <c r="F556" t="inlineStr">
        <is>
          <t>10002802</t>
        </is>
      </c>
      <c r="H556" t="inlineStr"/>
      <c r="J556" t="n">
        <v>81.88</v>
      </c>
      <c r="K556" t="inlineStr"/>
      <c r="M556" t="inlineStr">
        <is>
          <t>TN</t>
        </is>
      </c>
      <c r="N556" t="inlineStr"/>
      <c r="P556" t="inlineStr">
        <is>
          <t>20250401</t>
        </is>
      </c>
      <c r="Q556" t="inlineStr">
        <is>
          <t>20251031</t>
        </is>
      </c>
    </row>
    <row r="557">
      <c r="A557" t="inlineStr">
        <is>
          <t>900003438DW70D07710059180</t>
        </is>
      </c>
      <c r="B557" t="inlineStr">
        <is>
          <t>900003438</t>
        </is>
      </c>
      <c r="C557" t="inlineStr">
        <is>
          <t>DW70</t>
        </is>
      </c>
      <c r="D557" t="inlineStr">
        <is>
          <t>D077</t>
        </is>
      </c>
      <c r="E557" t="inlineStr">
        <is>
          <t>4</t>
        </is>
      </c>
      <c r="F557" t="inlineStr">
        <is>
          <t>10059180</t>
        </is>
      </c>
      <c r="H557" t="inlineStr"/>
      <c r="J557" t="n">
        <v>135.72</v>
      </c>
      <c r="K557" t="inlineStr"/>
      <c r="M557" t="inlineStr">
        <is>
          <t>TN</t>
        </is>
      </c>
      <c r="N557" t="inlineStr"/>
      <c r="P557" t="inlineStr">
        <is>
          <t>20220331</t>
        </is>
      </c>
      <c r="Q557" t="inlineStr">
        <is>
          <t>20250131</t>
        </is>
      </c>
    </row>
    <row r="558">
      <c r="A558" t="inlineStr">
        <is>
          <t>900003438DW70D07910000623</t>
        </is>
      </c>
      <c r="B558" t="inlineStr">
        <is>
          <t>900003438</t>
        </is>
      </c>
      <c r="C558" t="inlineStr">
        <is>
          <t>DW70</t>
        </is>
      </c>
      <c r="D558" t="inlineStr">
        <is>
          <t>D079</t>
        </is>
      </c>
      <c r="E558" t="inlineStr">
        <is>
          <t>4</t>
        </is>
      </c>
      <c r="F558" t="inlineStr">
        <is>
          <t>10000623</t>
        </is>
      </c>
      <c r="H558" t="inlineStr"/>
      <c r="J558" t="n">
        <v>218.97</v>
      </c>
      <c r="K558" t="inlineStr"/>
      <c r="M558" t="inlineStr">
        <is>
          <t>TN</t>
        </is>
      </c>
      <c r="N558" t="inlineStr"/>
      <c r="P558" t="inlineStr">
        <is>
          <t>20220331</t>
        </is>
      </c>
      <c r="Q558" t="inlineStr">
        <is>
          <t>20250131</t>
        </is>
      </c>
    </row>
    <row r="559">
      <c r="A559" t="inlineStr">
        <is>
          <t>900003438DW70D07910000630</t>
        </is>
      </c>
      <c r="B559" t="inlineStr">
        <is>
          <t>900003438</t>
        </is>
      </c>
      <c r="C559" t="inlineStr">
        <is>
          <t>DW70</t>
        </is>
      </c>
      <c r="D559" t="inlineStr">
        <is>
          <t>D079</t>
        </is>
      </c>
      <c r="E559" t="inlineStr">
        <is>
          <t>4</t>
        </is>
      </c>
      <c r="F559" t="inlineStr">
        <is>
          <t>10000630</t>
        </is>
      </c>
      <c r="H559" t="inlineStr"/>
      <c r="J559" t="n">
        <v>220.53</v>
      </c>
      <c r="K559" t="inlineStr"/>
      <c r="M559" t="inlineStr">
        <is>
          <t>TN</t>
        </is>
      </c>
      <c r="N559" t="inlineStr"/>
      <c r="P559" t="inlineStr">
        <is>
          <t>20220331</t>
        </is>
      </c>
      <c r="Q559" t="inlineStr">
        <is>
          <t>20250131</t>
        </is>
      </c>
    </row>
    <row r="560">
      <c r="A560" t="inlineStr">
        <is>
          <t>900003438DW70D07910000811</t>
        </is>
      </c>
      <c r="B560" t="inlineStr">
        <is>
          <t>900003438</t>
        </is>
      </c>
      <c r="C560" t="inlineStr">
        <is>
          <t>DW70</t>
        </is>
      </c>
      <c r="D560" t="inlineStr">
        <is>
          <t>D079</t>
        </is>
      </c>
      <c r="E560" t="inlineStr">
        <is>
          <t>4</t>
        </is>
      </c>
      <c r="F560" t="inlineStr">
        <is>
          <t>10000811</t>
        </is>
      </c>
      <c r="H560" t="inlineStr"/>
      <c r="J560" t="n">
        <v>217.77</v>
      </c>
      <c r="K560" t="inlineStr"/>
      <c r="M560" t="inlineStr">
        <is>
          <t>TN</t>
        </is>
      </c>
      <c r="N560" t="inlineStr"/>
      <c r="P560" t="inlineStr">
        <is>
          <t>20220331</t>
        </is>
      </c>
      <c r="Q560" t="inlineStr">
        <is>
          <t>20250131</t>
        </is>
      </c>
    </row>
    <row r="561">
      <c r="A561" t="inlineStr">
        <is>
          <t>900003438DW70D07910002802</t>
        </is>
      </c>
      <c r="B561" t="inlineStr">
        <is>
          <t>900003438</t>
        </is>
      </c>
      <c r="C561" t="inlineStr">
        <is>
          <t>DW70</t>
        </is>
      </c>
      <c r="D561" t="inlineStr">
        <is>
          <t>D079</t>
        </is>
      </c>
      <c r="E561" t="inlineStr">
        <is>
          <t>4</t>
        </is>
      </c>
      <c r="F561" t="inlineStr">
        <is>
          <t>10002802</t>
        </is>
      </c>
      <c r="H561" t="inlineStr"/>
      <c r="J561" t="n">
        <v>164.37</v>
      </c>
      <c r="K561" t="inlineStr"/>
      <c r="M561" t="inlineStr">
        <is>
          <t>TN</t>
        </is>
      </c>
      <c r="N561" t="inlineStr"/>
      <c r="P561" t="inlineStr">
        <is>
          <t>20250401</t>
        </is>
      </c>
      <c r="Q561" t="inlineStr">
        <is>
          <t>20251031</t>
        </is>
      </c>
    </row>
    <row r="562">
      <c r="A562" t="inlineStr">
        <is>
          <t>900003438DW70D07910059180</t>
        </is>
      </c>
      <c r="B562" t="inlineStr">
        <is>
          <t>900003438</t>
        </is>
      </c>
      <c r="C562" t="inlineStr">
        <is>
          <t>DW70</t>
        </is>
      </c>
      <c r="D562" t="inlineStr">
        <is>
          <t>D079</t>
        </is>
      </c>
      <c r="E562" t="inlineStr">
        <is>
          <t>4</t>
        </is>
      </c>
      <c r="F562" t="inlineStr">
        <is>
          <t>10059180</t>
        </is>
      </c>
      <c r="H562" t="inlineStr"/>
      <c r="J562" t="n">
        <v>134.46</v>
      </c>
      <c r="K562" t="inlineStr"/>
      <c r="M562" t="inlineStr">
        <is>
          <t>TN</t>
        </is>
      </c>
      <c r="N562" t="inlineStr"/>
      <c r="P562" t="inlineStr">
        <is>
          <t>20220331</t>
        </is>
      </c>
      <c r="Q562" t="inlineStr">
        <is>
          <t>20250131</t>
        </is>
      </c>
    </row>
    <row r="563">
      <c r="A563" t="inlineStr">
        <is>
          <t>900003438DW70D08010000623</t>
        </is>
      </c>
      <c r="B563" t="inlineStr">
        <is>
          <t>900003438</t>
        </is>
      </c>
      <c r="C563" t="inlineStr">
        <is>
          <t>DW70</t>
        </is>
      </c>
      <c r="D563" t="inlineStr">
        <is>
          <t>D080</t>
        </is>
      </c>
      <c r="E563" t="inlineStr">
        <is>
          <t>4</t>
        </is>
      </c>
      <c r="F563" t="inlineStr">
        <is>
          <t>10000623</t>
        </is>
      </c>
      <c r="H563" t="inlineStr"/>
      <c r="J563" t="n">
        <v>147.27</v>
      </c>
      <c r="K563" t="inlineStr"/>
      <c r="M563" t="inlineStr">
        <is>
          <t>TN</t>
        </is>
      </c>
      <c r="N563" t="inlineStr"/>
      <c r="P563" t="inlineStr">
        <is>
          <t>20220331</t>
        </is>
      </c>
      <c r="Q563" t="inlineStr">
        <is>
          <t>20250131</t>
        </is>
      </c>
    </row>
    <row r="564">
      <c r="A564" t="inlineStr">
        <is>
          <t>900003438DW70D08010000630</t>
        </is>
      </c>
      <c r="B564" t="inlineStr">
        <is>
          <t>900003438</t>
        </is>
      </c>
      <c r="C564" t="inlineStr">
        <is>
          <t>DW70</t>
        </is>
      </c>
      <c r="D564" t="inlineStr">
        <is>
          <t>D080</t>
        </is>
      </c>
      <c r="E564" t="inlineStr">
        <is>
          <t>4</t>
        </is>
      </c>
      <c r="F564" t="inlineStr">
        <is>
          <t>10000630</t>
        </is>
      </c>
      <c r="H564" t="inlineStr"/>
      <c r="J564" t="n">
        <v>148.32</v>
      </c>
      <c r="K564" t="inlineStr"/>
      <c r="M564" t="inlineStr">
        <is>
          <t>TN</t>
        </is>
      </c>
      <c r="N564" t="inlineStr"/>
      <c r="P564" t="inlineStr">
        <is>
          <t>20220331</t>
        </is>
      </c>
      <c r="Q564" t="inlineStr">
        <is>
          <t>20250131</t>
        </is>
      </c>
    </row>
    <row r="565">
      <c r="A565" t="inlineStr">
        <is>
          <t>900003438DW70D08010000811</t>
        </is>
      </c>
      <c r="B565" t="inlineStr">
        <is>
          <t>900003438</t>
        </is>
      </c>
      <c r="C565" t="inlineStr">
        <is>
          <t>DW70</t>
        </is>
      </c>
      <c r="D565" t="inlineStr">
        <is>
          <t>D080</t>
        </is>
      </c>
      <c r="E565" t="inlineStr">
        <is>
          <t>4</t>
        </is>
      </c>
      <c r="F565" t="inlineStr">
        <is>
          <t>10000811</t>
        </is>
      </c>
      <c r="H565" t="inlineStr"/>
      <c r="J565" t="n">
        <v>146.54</v>
      </c>
      <c r="K565" t="inlineStr"/>
      <c r="M565" t="inlineStr">
        <is>
          <t>TN</t>
        </is>
      </c>
      <c r="N565" t="inlineStr"/>
      <c r="P565" t="inlineStr">
        <is>
          <t>20220331</t>
        </is>
      </c>
      <c r="Q565" t="inlineStr">
        <is>
          <t>20250131</t>
        </is>
      </c>
    </row>
    <row r="566">
      <c r="A566" t="inlineStr">
        <is>
          <t>900003438DW70D08010002802</t>
        </is>
      </c>
      <c r="B566" t="inlineStr">
        <is>
          <t>900003438</t>
        </is>
      </c>
      <c r="C566" t="inlineStr">
        <is>
          <t>DW70</t>
        </is>
      </c>
      <c r="D566" t="inlineStr">
        <is>
          <t>D080</t>
        </is>
      </c>
      <c r="E566" t="inlineStr">
        <is>
          <t>4</t>
        </is>
      </c>
      <c r="F566" t="inlineStr">
        <is>
          <t>10002802</t>
        </is>
      </c>
      <c r="H566" t="inlineStr"/>
      <c r="J566" t="n">
        <v>164.37</v>
      </c>
      <c r="K566" t="inlineStr"/>
      <c r="M566" t="inlineStr">
        <is>
          <t>TN</t>
        </is>
      </c>
      <c r="N566" t="inlineStr"/>
      <c r="P566" t="inlineStr">
        <is>
          <t>20250401</t>
        </is>
      </c>
      <c r="Q566" t="inlineStr">
        <is>
          <t>99991231</t>
        </is>
      </c>
    </row>
    <row r="567">
      <c r="A567" t="inlineStr">
        <is>
          <t>900003438DW70D08010059180</t>
        </is>
      </c>
      <c r="B567" t="inlineStr">
        <is>
          <t>900003438</t>
        </is>
      </c>
      <c r="C567" t="inlineStr">
        <is>
          <t>DW70</t>
        </is>
      </c>
      <c r="D567" t="inlineStr">
        <is>
          <t>D080</t>
        </is>
      </c>
      <c r="E567" t="inlineStr">
        <is>
          <t>4</t>
        </is>
      </c>
      <c r="F567" t="inlineStr">
        <is>
          <t>10059180</t>
        </is>
      </c>
      <c r="H567" t="inlineStr"/>
      <c r="J567" t="n">
        <v>90.48999999999999</v>
      </c>
      <c r="K567" t="inlineStr"/>
      <c r="M567" t="inlineStr">
        <is>
          <t>TN</t>
        </is>
      </c>
      <c r="N567" t="inlineStr"/>
      <c r="P567" t="inlineStr">
        <is>
          <t>20220331</t>
        </is>
      </c>
      <c r="Q567" t="inlineStr">
        <is>
          <t>20250131</t>
        </is>
      </c>
    </row>
    <row r="568">
      <c r="A568" t="inlineStr">
        <is>
          <t>900003438DW70D08110000104</t>
        </is>
      </c>
      <c r="B568" t="inlineStr">
        <is>
          <t>900003438</t>
        </is>
      </c>
      <c r="C568" t="inlineStr">
        <is>
          <t>DW70</t>
        </is>
      </c>
      <c r="D568" t="inlineStr">
        <is>
          <t>D081</t>
        </is>
      </c>
      <c r="E568" t="inlineStr">
        <is>
          <t>4</t>
        </is>
      </c>
      <c r="F568" t="inlineStr">
        <is>
          <t>10000104</t>
        </is>
      </c>
      <c r="H568" t="inlineStr"/>
      <c r="J568" t="n">
        <v>203.61</v>
      </c>
      <c r="K568" t="inlineStr"/>
      <c r="M568" t="inlineStr">
        <is>
          <t>TN</t>
        </is>
      </c>
      <c r="N568" t="inlineStr"/>
      <c r="P568" t="inlineStr">
        <is>
          <t>20220331</t>
        </is>
      </c>
      <c r="Q568" t="inlineStr">
        <is>
          <t>20250131</t>
        </is>
      </c>
    </row>
    <row r="569">
      <c r="A569" t="inlineStr">
        <is>
          <t>900003438DW70D08110000436</t>
        </is>
      </c>
      <c r="B569" t="inlineStr">
        <is>
          <t>900003438</t>
        </is>
      </c>
      <c r="C569" t="inlineStr">
        <is>
          <t>DW70</t>
        </is>
      </c>
      <c r="D569" t="inlineStr">
        <is>
          <t>D081</t>
        </is>
      </c>
      <c r="E569" t="inlineStr">
        <is>
          <t>4</t>
        </is>
      </c>
      <c r="F569" t="inlineStr">
        <is>
          <t>10000436</t>
        </is>
      </c>
      <c r="H569" t="inlineStr"/>
      <c r="J569" t="n">
        <v>660</v>
      </c>
      <c r="K569" t="inlineStr"/>
      <c r="M569" t="inlineStr">
        <is>
          <t>TN</t>
        </is>
      </c>
      <c r="N569" t="inlineStr"/>
      <c r="P569" t="inlineStr">
        <is>
          <t>20220331</t>
        </is>
      </c>
      <c r="Q569" t="inlineStr">
        <is>
          <t>20250131</t>
        </is>
      </c>
    </row>
    <row r="570">
      <c r="A570" t="inlineStr">
        <is>
          <t>900003438DW70D08110000623</t>
        </is>
      </c>
      <c r="B570" t="inlineStr">
        <is>
          <t>900003438</t>
        </is>
      </c>
      <c r="C570" t="inlineStr">
        <is>
          <t>DW70</t>
        </is>
      </c>
      <c r="D570" t="inlineStr">
        <is>
          <t>D081</t>
        </is>
      </c>
      <c r="E570" t="inlineStr">
        <is>
          <t>4</t>
        </is>
      </c>
      <c r="F570" t="inlineStr">
        <is>
          <t>10000623</t>
        </is>
      </c>
      <c r="H570" t="inlineStr"/>
      <c r="J570" t="n">
        <v>137.03</v>
      </c>
      <c r="K570" t="inlineStr"/>
      <c r="M570" t="inlineStr">
        <is>
          <t>TN</t>
        </is>
      </c>
      <c r="N570" t="inlineStr"/>
      <c r="P570" t="inlineStr">
        <is>
          <t>20220331</t>
        </is>
      </c>
      <c r="Q570" t="inlineStr">
        <is>
          <t>20250131</t>
        </is>
      </c>
    </row>
    <row r="571">
      <c r="A571" t="inlineStr">
        <is>
          <t>900003438DW70D08110000630</t>
        </is>
      </c>
      <c r="B571" t="inlineStr">
        <is>
          <t>900003438</t>
        </is>
      </c>
      <c r="C571" t="inlineStr">
        <is>
          <t>DW70</t>
        </is>
      </c>
      <c r="D571" t="inlineStr">
        <is>
          <t>D081</t>
        </is>
      </c>
      <c r="E571" t="inlineStr">
        <is>
          <t>4</t>
        </is>
      </c>
      <c r="F571" t="inlineStr">
        <is>
          <t>10000630</t>
        </is>
      </c>
      <c r="H571" t="inlineStr"/>
      <c r="J571" t="n">
        <v>138.01</v>
      </c>
      <c r="K571" t="inlineStr"/>
      <c r="M571" t="inlineStr">
        <is>
          <t>TN</t>
        </is>
      </c>
      <c r="N571" t="inlineStr"/>
      <c r="P571" t="inlineStr">
        <is>
          <t>20220331</t>
        </is>
      </c>
      <c r="Q571" t="inlineStr">
        <is>
          <t>20250131</t>
        </is>
      </c>
    </row>
    <row r="572">
      <c r="A572" t="inlineStr">
        <is>
          <t>900003438DW70D08110000811</t>
        </is>
      </c>
      <c r="B572" t="inlineStr">
        <is>
          <t>900003438</t>
        </is>
      </c>
      <c r="C572" t="inlineStr">
        <is>
          <t>DW70</t>
        </is>
      </c>
      <c r="D572" t="inlineStr">
        <is>
          <t>D081</t>
        </is>
      </c>
      <c r="E572" t="inlineStr">
        <is>
          <t>4</t>
        </is>
      </c>
      <c r="F572" t="inlineStr">
        <is>
          <t>10000811</t>
        </is>
      </c>
      <c r="H572" t="inlineStr"/>
      <c r="J572" t="n">
        <v>136.36</v>
      </c>
      <c r="K572" t="inlineStr"/>
      <c r="M572" t="inlineStr">
        <is>
          <t>TN</t>
        </is>
      </c>
      <c r="N572" t="inlineStr"/>
      <c r="P572" t="inlineStr">
        <is>
          <t>20220331</t>
        </is>
      </c>
      <c r="Q572" t="inlineStr">
        <is>
          <t>20250131</t>
        </is>
      </c>
    </row>
    <row r="573">
      <c r="A573" t="inlineStr">
        <is>
          <t>900003438DW70D08110002802</t>
        </is>
      </c>
      <c r="B573" t="inlineStr">
        <is>
          <t>900003438</t>
        </is>
      </c>
      <c r="C573" t="inlineStr">
        <is>
          <t>DW70</t>
        </is>
      </c>
      <c r="D573" t="inlineStr">
        <is>
          <t>D081</t>
        </is>
      </c>
      <c r="E573" t="inlineStr">
        <is>
          <t>4</t>
        </is>
      </c>
      <c r="F573" t="inlineStr">
        <is>
          <t>10002802</t>
        </is>
      </c>
      <c r="H573" t="inlineStr"/>
      <c r="J573" t="n">
        <v>152.02</v>
      </c>
      <c r="K573" t="inlineStr"/>
      <c r="M573" t="inlineStr">
        <is>
          <t>TN</t>
        </is>
      </c>
      <c r="N573" t="inlineStr"/>
      <c r="P573" t="inlineStr">
        <is>
          <t>20250401</t>
        </is>
      </c>
      <c r="Q573" t="inlineStr">
        <is>
          <t>20251031</t>
        </is>
      </c>
    </row>
    <row r="574">
      <c r="A574" t="inlineStr">
        <is>
          <t>900003438DW70D08110017387</t>
        </is>
      </c>
      <c r="B574" t="inlineStr">
        <is>
          <t>900003438</t>
        </is>
      </c>
      <c r="C574" t="inlineStr">
        <is>
          <t>DW70</t>
        </is>
      </c>
      <c r="D574" t="inlineStr">
        <is>
          <t>D081</t>
        </is>
      </c>
      <c r="E574" t="inlineStr">
        <is>
          <t>4</t>
        </is>
      </c>
      <c r="F574" t="inlineStr">
        <is>
          <t>10017387</t>
        </is>
      </c>
      <c r="H574" t="inlineStr"/>
      <c r="J574" t="n">
        <v>421.05</v>
      </c>
      <c r="K574" t="inlineStr"/>
      <c r="M574" t="inlineStr">
        <is>
          <t>TN</t>
        </is>
      </c>
      <c r="N574" t="inlineStr"/>
      <c r="P574" t="inlineStr">
        <is>
          <t>20220331</t>
        </is>
      </c>
      <c r="Q574" t="inlineStr">
        <is>
          <t>20250131</t>
        </is>
      </c>
    </row>
    <row r="575">
      <c r="A575" t="inlineStr">
        <is>
          <t>900003438DW70D08110017461</t>
        </is>
      </c>
      <c r="B575" t="inlineStr">
        <is>
          <t>900003438</t>
        </is>
      </c>
      <c r="C575" t="inlineStr">
        <is>
          <t>DW70</t>
        </is>
      </c>
      <c r="D575" t="inlineStr">
        <is>
          <t>D081</t>
        </is>
      </c>
      <c r="E575" t="inlineStr">
        <is>
          <t>4</t>
        </is>
      </c>
      <c r="F575" t="inlineStr">
        <is>
          <t>10017461</t>
        </is>
      </c>
      <c r="H575" t="inlineStr"/>
      <c r="J575" t="n">
        <v>1289.47</v>
      </c>
      <c r="K575" t="inlineStr"/>
      <c r="M575" t="inlineStr">
        <is>
          <t>TN</t>
        </is>
      </c>
      <c r="N575" t="inlineStr"/>
      <c r="P575" t="inlineStr">
        <is>
          <t>20220331</t>
        </is>
      </c>
      <c r="Q575" t="inlineStr">
        <is>
          <t>20250131</t>
        </is>
      </c>
    </row>
    <row r="576">
      <c r="A576" t="inlineStr">
        <is>
          <t>900003438DW70D08110059180</t>
        </is>
      </c>
      <c r="B576" t="inlineStr">
        <is>
          <t>900003438</t>
        </is>
      </c>
      <c r="C576" t="inlineStr">
        <is>
          <t>DW70</t>
        </is>
      </c>
      <c r="D576" t="inlineStr">
        <is>
          <t>D081</t>
        </is>
      </c>
      <c r="E576" t="inlineStr">
        <is>
          <t>4</t>
        </is>
      </c>
      <c r="F576" t="inlineStr">
        <is>
          <t>10059180</t>
        </is>
      </c>
      <c r="H576" t="inlineStr"/>
      <c r="J576" t="n">
        <v>84.2</v>
      </c>
      <c r="K576" t="inlineStr"/>
      <c r="M576" t="inlineStr">
        <is>
          <t>TN</t>
        </is>
      </c>
      <c r="N576" t="inlineStr"/>
      <c r="P576" t="inlineStr">
        <is>
          <t>20220331</t>
        </is>
      </c>
      <c r="Q576" t="inlineStr">
        <is>
          <t>20250131</t>
        </is>
      </c>
    </row>
    <row r="577">
      <c r="A577" t="inlineStr">
        <is>
          <t>900003438DW70D08310000104</t>
        </is>
      </c>
      <c r="B577" t="inlineStr">
        <is>
          <t>900003438</t>
        </is>
      </c>
      <c r="C577" t="inlineStr">
        <is>
          <t>DW70</t>
        </is>
      </c>
      <c r="D577" t="inlineStr">
        <is>
          <t>D083</t>
        </is>
      </c>
      <c r="E577" t="inlineStr">
        <is>
          <t>1</t>
        </is>
      </c>
      <c r="F577" t="inlineStr">
        <is>
          <t>10000104</t>
        </is>
      </c>
      <c r="H577" t="inlineStr"/>
      <c r="J577" t="n">
        <v>198.99</v>
      </c>
      <c r="K577" t="inlineStr"/>
      <c r="M577" t="inlineStr">
        <is>
          <t>TN</t>
        </is>
      </c>
      <c r="N577" t="inlineStr"/>
      <c r="P577" t="inlineStr">
        <is>
          <t>20220331</t>
        </is>
      </c>
      <c r="Q577" t="inlineStr">
        <is>
          <t>20250131</t>
        </is>
      </c>
    </row>
    <row r="578">
      <c r="A578" t="inlineStr">
        <is>
          <t>900003438DW70D08310000623</t>
        </is>
      </c>
      <c r="B578" t="inlineStr">
        <is>
          <t>900003438</t>
        </is>
      </c>
      <c r="C578" t="inlineStr">
        <is>
          <t>DW70</t>
        </is>
      </c>
      <c r="D578" t="inlineStr">
        <is>
          <t>D083</t>
        </is>
      </c>
      <c r="E578" t="inlineStr">
        <is>
          <t>4</t>
        </is>
      </c>
      <c r="F578" t="inlineStr">
        <is>
          <t>10000623</t>
        </is>
      </c>
      <c r="H578" t="inlineStr"/>
      <c r="J578" t="n">
        <v>167.75</v>
      </c>
      <c r="K578" t="inlineStr"/>
      <c r="M578" t="inlineStr">
        <is>
          <t>TN</t>
        </is>
      </c>
      <c r="N578" t="inlineStr"/>
      <c r="P578" t="inlineStr">
        <is>
          <t>20220331</t>
        </is>
      </c>
      <c r="Q578" t="inlineStr">
        <is>
          <t>20250131</t>
        </is>
      </c>
    </row>
    <row r="579">
      <c r="A579" t="inlineStr">
        <is>
          <t>900003438DW70D08310000630</t>
        </is>
      </c>
      <c r="B579" t="inlineStr">
        <is>
          <t>900003438</t>
        </is>
      </c>
      <c r="C579" t="inlineStr">
        <is>
          <t>DW70</t>
        </is>
      </c>
      <c r="D579" t="inlineStr">
        <is>
          <t>D083</t>
        </is>
      </c>
      <c r="E579" t="inlineStr">
        <is>
          <t>4</t>
        </is>
      </c>
      <c r="F579" t="inlineStr">
        <is>
          <t>10000630</t>
        </is>
      </c>
      <c r="H579" t="inlineStr"/>
      <c r="J579" t="n">
        <v>168.95</v>
      </c>
      <c r="K579" t="inlineStr"/>
      <c r="M579" t="inlineStr">
        <is>
          <t>TN</t>
        </is>
      </c>
      <c r="N579" t="inlineStr"/>
      <c r="P579" t="inlineStr">
        <is>
          <t>20220331</t>
        </is>
      </c>
      <c r="Q579" t="inlineStr">
        <is>
          <t>20250131</t>
        </is>
      </c>
    </row>
    <row r="580">
      <c r="A580" t="inlineStr">
        <is>
          <t>900003438DW70D08310000811</t>
        </is>
      </c>
      <c r="B580" t="inlineStr">
        <is>
          <t>900003438</t>
        </is>
      </c>
      <c r="C580" t="inlineStr">
        <is>
          <t>DW70</t>
        </is>
      </c>
      <c r="D580" t="inlineStr">
        <is>
          <t>D083</t>
        </is>
      </c>
      <c r="E580" t="inlineStr">
        <is>
          <t>4</t>
        </is>
      </c>
      <c r="F580" t="inlineStr">
        <is>
          <t>10000811</t>
        </is>
      </c>
      <c r="H580" t="inlineStr"/>
      <c r="J580" t="n">
        <v>166.89</v>
      </c>
      <c r="K580" t="inlineStr"/>
      <c r="M580" t="inlineStr">
        <is>
          <t>TN</t>
        </is>
      </c>
      <c r="N580" t="inlineStr"/>
      <c r="P580" t="inlineStr">
        <is>
          <t>20220331</t>
        </is>
      </c>
      <c r="Q580" t="inlineStr">
        <is>
          <t>20250131</t>
        </is>
      </c>
    </row>
    <row r="581">
      <c r="A581" t="inlineStr">
        <is>
          <t>900003438DW70D08310002802</t>
        </is>
      </c>
      <c r="B581" t="inlineStr">
        <is>
          <t>900003438</t>
        </is>
      </c>
      <c r="C581" t="inlineStr">
        <is>
          <t>DW70</t>
        </is>
      </c>
      <c r="D581" t="inlineStr">
        <is>
          <t>D083</t>
        </is>
      </c>
      <c r="E581" t="inlineStr">
        <is>
          <t>4</t>
        </is>
      </c>
      <c r="F581" t="inlineStr">
        <is>
          <t>10002802</t>
        </is>
      </c>
      <c r="H581" t="inlineStr"/>
      <c r="J581" t="n">
        <v>163.89</v>
      </c>
      <c r="K581" t="inlineStr"/>
      <c r="M581" t="inlineStr">
        <is>
          <t>TN</t>
        </is>
      </c>
      <c r="N581" t="inlineStr"/>
      <c r="P581" t="inlineStr">
        <is>
          <t>20220331</t>
        </is>
      </c>
      <c r="Q581" t="inlineStr">
        <is>
          <t>20250131</t>
        </is>
      </c>
    </row>
    <row r="582">
      <c r="A582" t="inlineStr">
        <is>
          <t>900003438DW70D08310059180</t>
        </is>
      </c>
      <c r="B582" t="inlineStr">
        <is>
          <t>900003438</t>
        </is>
      </c>
      <c r="C582" t="inlineStr">
        <is>
          <t>DW70</t>
        </is>
      </c>
      <c r="D582" t="inlineStr">
        <is>
          <t>D083</t>
        </is>
      </c>
      <c r="E582" t="inlineStr">
        <is>
          <t>4</t>
        </is>
      </c>
      <c r="F582" t="inlineStr">
        <is>
          <t>10059180</t>
        </is>
      </c>
      <c r="H582" t="inlineStr"/>
      <c r="J582" t="n">
        <v>103.05</v>
      </c>
      <c r="K582" t="inlineStr"/>
      <c r="M582" t="inlineStr">
        <is>
          <t>TN</t>
        </is>
      </c>
      <c r="N582" t="inlineStr"/>
      <c r="P582" t="inlineStr">
        <is>
          <t>20220331</t>
        </is>
      </c>
      <c r="Q582" t="inlineStr">
        <is>
          <t>20250131</t>
        </is>
      </c>
    </row>
    <row r="583">
      <c r="A583" t="inlineStr">
        <is>
          <t>900003438DW70D08410000623</t>
        </is>
      </c>
      <c r="B583" t="inlineStr">
        <is>
          <t>900003438</t>
        </is>
      </c>
      <c r="C583" t="inlineStr">
        <is>
          <t>DW70</t>
        </is>
      </c>
      <c r="D583" t="inlineStr">
        <is>
          <t>D084</t>
        </is>
      </c>
      <c r="E583" t="inlineStr">
        <is>
          <t>4</t>
        </is>
      </c>
      <c r="F583" t="inlineStr">
        <is>
          <t>10000623</t>
        </is>
      </c>
      <c r="H583" t="inlineStr"/>
      <c r="J583" t="n">
        <v>206.68</v>
      </c>
      <c r="K583" t="inlineStr"/>
      <c r="M583" t="inlineStr">
        <is>
          <t>TN</t>
        </is>
      </c>
      <c r="N583" t="inlineStr"/>
      <c r="P583" t="inlineStr">
        <is>
          <t>20220331</t>
        </is>
      </c>
      <c r="Q583" t="inlineStr">
        <is>
          <t>20250131</t>
        </is>
      </c>
    </row>
    <row r="584">
      <c r="A584" t="inlineStr">
        <is>
          <t>900003438DW70D08410000630</t>
        </is>
      </c>
      <c r="B584" t="inlineStr">
        <is>
          <t>900003438</t>
        </is>
      </c>
      <c r="C584" t="inlineStr">
        <is>
          <t>DW70</t>
        </is>
      </c>
      <c r="D584" t="inlineStr">
        <is>
          <t>D084</t>
        </is>
      </c>
      <c r="E584" t="inlineStr">
        <is>
          <t>4</t>
        </is>
      </c>
      <c r="F584" t="inlineStr">
        <is>
          <t>10000630</t>
        </is>
      </c>
      <c r="H584" t="inlineStr"/>
      <c r="J584" t="n">
        <v>208.15</v>
      </c>
      <c r="K584" t="inlineStr"/>
      <c r="M584" t="inlineStr">
        <is>
          <t>TN</t>
        </is>
      </c>
      <c r="N584" t="inlineStr"/>
      <c r="P584" t="inlineStr">
        <is>
          <t>20220331</t>
        </is>
      </c>
      <c r="Q584" t="inlineStr">
        <is>
          <t>20250131</t>
        </is>
      </c>
    </row>
    <row r="585">
      <c r="A585" t="inlineStr">
        <is>
          <t>900003438DW70D08410000811</t>
        </is>
      </c>
      <c r="B585" t="inlineStr">
        <is>
          <t>900003438</t>
        </is>
      </c>
      <c r="C585" t="inlineStr">
        <is>
          <t>DW70</t>
        </is>
      </c>
      <c r="D585" t="inlineStr">
        <is>
          <t>D084</t>
        </is>
      </c>
      <c r="E585" t="inlineStr">
        <is>
          <t>4</t>
        </is>
      </c>
      <c r="F585" t="inlineStr">
        <is>
          <t>10000811</t>
        </is>
      </c>
      <c r="H585" t="inlineStr"/>
      <c r="J585" t="n">
        <v>205.56</v>
      </c>
      <c r="K585" t="inlineStr"/>
      <c r="M585" t="inlineStr">
        <is>
          <t>TN</t>
        </is>
      </c>
      <c r="N585" t="inlineStr"/>
      <c r="P585" t="inlineStr">
        <is>
          <t>20220331</t>
        </is>
      </c>
      <c r="Q585" t="inlineStr">
        <is>
          <t>20250131</t>
        </is>
      </c>
    </row>
    <row r="586">
      <c r="A586" t="inlineStr">
        <is>
          <t>900003438DW70D08410002802</t>
        </is>
      </c>
      <c r="B586" t="inlineStr">
        <is>
          <t>900003438</t>
        </is>
      </c>
      <c r="C586" t="inlineStr">
        <is>
          <t>DW70</t>
        </is>
      </c>
      <c r="D586" t="inlineStr">
        <is>
          <t>D084</t>
        </is>
      </c>
      <c r="E586" t="inlineStr">
        <is>
          <t>4</t>
        </is>
      </c>
      <c r="F586" t="inlineStr">
        <is>
          <t>10002802</t>
        </is>
      </c>
      <c r="H586" t="inlineStr"/>
      <c r="J586" t="n">
        <v>129.41</v>
      </c>
      <c r="K586" t="inlineStr"/>
      <c r="M586" t="inlineStr">
        <is>
          <t>TN</t>
        </is>
      </c>
      <c r="N586" t="inlineStr"/>
      <c r="P586" t="inlineStr">
        <is>
          <t>20250401</t>
        </is>
      </c>
      <c r="Q586" t="inlineStr">
        <is>
          <t>20251031</t>
        </is>
      </c>
    </row>
    <row r="587">
      <c r="A587" t="inlineStr">
        <is>
          <t>900003438DW70D08410059180</t>
        </is>
      </c>
      <c r="B587" t="inlineStr">
        <is>
          <t>900003438</t>
        </is>
      </c>
      <c r="C587" t="inlineStr">
        <is>
          <t>DW70</t>
        </is>
      </c>
      <c r="D587" t="inlineStr">
        <is>
          <t>D084</t>
        </is>
      </c>
      <c r="E587" t="inlineStr">
        <is>
          <t>4</t>
        </is>
      </c>
      <c r="F587" t="inlineStr">
        <is>
          <t>10059180</t>
        </is>
      </c>
      <c r="H587" t="inlineStr"/>
      <c r="J587" t="n">
        <v>126.92</v>
      </c>
      <c r="K587" t="inlineStr"/>
      <c r="M587" t="inlineStr">
        <is>
          <t>TN</t>
        </is>
      </c>
      <c r="N587" t="inlineStr"/>
      <c r="P587" t="inlineStr">
        <is>
          <t>20220331</t>
        </is>
      </c>
      <c r="Q587" t="inlineStr">
        <is>
          <t>20250131</t>
        </is>
      </c>
    </row>
    <row r="588">
      <c r="A588" t="inlineStr">
        <is>
          <t>900003438DW70D08510000623</t>
        </is>
      </c>
      <c r="B588" t="inlineStr">
        <is>
          <t>900003438</t>
        </is>
      </c>
      <c r="C588" t="inlineStr">
        <is>
          <t>DW70</t>
        </is>
      </c>
      <c r="D588" t="inlineStr">
        <is>
          <t>D085</t>
        </is>
      </c>
      <c r="E588" t="inlineStr">
        <is>
          <t>4</t>
        </is>
      </c>
      <c r="F588" t="inlineStr">
        <is>
          <t>10000623</t>
        </is>
      </c>
      <c r="H588" t="inlineStr"/>
      <c r="J588" t="n">
        <v>200.53</v>
      </c>
      <c r="K588" t="inlineStr"/>
      <c r="M588" t="inlineStr">
        <is>
          <t>TN</t>
        </is>
      </c>
      <c r="N588" t="inlineStr"/>
      <c r="P588" t="inlineStr">
        <is>
          <t>20220331</t>
        </is>
      </c>
      <c r="Q588" t="inlineStr">
        <is>
          <t>20250131</t>
        </is>
      </c>
    </row>
    <row r="589">
      <c r="A589" t="inlineStr">
        <is>
          <t>900003438DW70D08510000630</t>
        </is>
      </c>
      <c r="B589" t="inlineStr">
        <is>
          <t>900003438</t>
        </is>
      </c>
      <c r="C589" t="inlineStr">
        <is>
          <t>DW70</t>
        </is>
      </c>
      <c r="D589" t="inlineStr">
        <is>
          <t>D085</t>
        </is>
      </c>
      <c r="E589" t="inlineStr">
        <is>
          <t>4</t>
        </is>
      </c>
      <c r="F589" t="inlineStr">
        <is>
          <t>10000630</t>
        </is>
      </c>
      <c r="H589" t="inlineStr"/>
      <c r="J589" t="n">
        <v>201.96</v>
      </c>
      <c r="K589" t="inlineStr"/>
      <c r="M589" t="inlineStr">
        <is>
          <t>TN</t>
        </is>
      </c>
      <c r="N589" t="inlineStr"/>
      <c r="P589" t="inlineStr">
        <is>
          <t>20220331</t>
        </is>
      </c>
      <c r="Q589" t="inlineStr">
        <is>
          <t>20250131</t>
        </is>
      </c>
    </row>
    <row r="590">
      <c r="A590" t="inlineStr">
        <is>
          <t>900003438DW70D08510000811</t>
        </is>
      </c>
      <c r="B590" t="inlineStr">
        <is>
          <t>900003438</t>
        </is>
      </c>
      <c r="C590" t="inlineStr">
        <is>
          <t>DW70</t>
        </is>
      </c>
      <c r="D590" t="inlineStr">
        <is>
          <t>D085</t>
        </is>
      </c>
      <c r="E590" t="inlineStr">
        <is>
          <t>4</t>
        </is>
      </c>
      <c r="F590" t="inlineStr">
        <is>
          <t>10000811</t>
        </is>
      </c>
      <c r="H590" t="inlineStr"/>
      <c r="J590" t="n">
        <v>199.45</v>
      </c>
      <c r="K590" t="inlineStr"/>
      <c r="M590" t="inlineStr">
        <is>
          <t>TN</t>
        </is>
      </c>
      <c r="N590" t="inlineStr"/>
      <c r="P590" t="inlineStr">
        <is>
          <t>20220331</t>
        </is>
      </c>
      <c r="Q590" t="inlineStr">
        <is>
          <t>20250131</t>
        </is>
      </c>
    </row>
    <row r="591">
      <c r="A591" t="inlineStr">
        <is>
          <t>900003438DW70D08510002802</t>
        </is>
      </c>
      <c r="B591" t="inlineStr">
        <is>
          <t>900003438</t>
        </is>
      </c>
      <c r="C591" t="inlineStr">
        <is>
          <t>DW70</t>
        </is>
      </c>
      <c r="D591" t="inlineStr">
        <is>
          <t>D085</t>
        </is>
      </c>
      <c r="E591" t="inlineStr">
        <is>
          <t>4</t>
        </is>
      </c>
      <c r="F591" t="inlineStr">
        <is>
          <t>10002802</t>
        </is>
      </c>
      <c r="H591" t="inlineStr"/>
      <c r="J591" t="n">
        <v>131.91</v>
      </c>
      <c r="K591" t="inlineStr"/>
      <c r="M591" t="inlineStr">
        <is>
          <t>TN</t>
        </is>
      </c>
      <c r="N591" t="inlineStr"/>
      <c r="P591" t="inlineStr">
        <is>
          <t>20250401</t>
        </is>
      </c>
      <c r="Q591" t="inlineStr">
        <is>
          <t>20251031</t>
        </is>
      </c>
    </row>
    <row r="592">
      <c r="A592" t="inlineStr">
        <is>
          <t>900003438DW70D08510059180</t>
        </is>
      </c>
      <c r="B592" t="inlineStr">
        <is>
          <t>900003438</t>
        </is>
      </c>
      <c r="C592" t="inlineStr">
        <is>
          <t>DW70</t>
        </is>
      </c>
      <c r="D592" t="inlineStr">
        <is>
          <t>D085</t>
        </is>
      </c>
      <c r="E592" t="inlineStr">
        <is>
          <t>4</t>
        </is>
      </c>
      <c r="F592" t="inlineStr">
        <is>
          <t>10059180</t>
        </is>
      </c>
      <c r="H592" t="inlineStr"/>
      <c r="J592" t="n">
        <v>123.15</v>
      </c>
      <c r="K592" t="inlineStr"/>
      <c r="M592" t="inlineStr">
        <is>
          <t>TN</t>
        </is>
      </c>
      <c r="N592" t="inlineStr"/>
      <c r="P592" t="inlineStr">
        <is>
          <t>20220331</t>
        </is>
      </c>
      <c r="Q592" t="inlineStr">
        <is>
          <t>20250131</t>
        </is>
      </c>
    </row>
    <row r="593">
      <c r="A593" t="inlineStr">
        <is>
          <t>900003438DW70D08610000623</t>
        </is>
      </c>
      <c r="B593" t="inlineStr">
        <is>
          <t>900003438</t>
        </is>
      </c>
      <c r="C593" t="inlineStr">
        <is>
          <t>DW70</t>
        </is>
      </c>
      <c r="D593" t="inlineStr">
        <is>
          <t>D086</t>
        </is>
      </c>
      <c r="E593" t="inlineStr">
        <is>
          <t>4</t>
        </is>
      </c>
      <c r="F593" t="inlineStr">
        <is>
          <t>10000623</t>
        </is>
      </c>
      <c r="H593" t="inlineStr"/>
      <c r="J593" t="n">
        <v>171.85</v>
      </c>
      <c r="K593" t="inlineStr"/>
      <c r="M593" t="inlineStr">
        <is>
          <t>TN</t>
        </is>
      </c>
      <c r="N593" t="inlineStr"/>
      <c r="P593" t="inlineStr">
        <is>
          <t>20220331</t>
        </is>
      </c>
      <c r="Q593" t="inlineStr">
        <is>
          <t>20250131</t>
        </is>
      </c>
    </row>
    <row r="594">
      <c r="A594" t="inlineStr">
        <is>
          <t>900003438DW70D08610000630</t>
        </is>
      </c>
      <c r="B594" t="inlineStr">
        <is>
          <t>900003438</t>
        </is>
      </c>
      <c r="C594" t="inlineStr">
        <is>
          <t>DW70</t>
        </is>
      </c>
      <c r="D594" t="inlineStr">
        <is>
          <t>D086</t>
        </is>
      </c>
      <c r="E594" t="inlineStr">
        <is>
          <t>4</t>
        </is>
      </c>
      <c r="F594" t="inlineStr">
        <is>
          <t>10000630</t>
        </is>
      </c>
      <c r="H594" t="inlineStr"/>
      <c r="J594" t="n">
        <v>173.08</v>
      </c>
      <c r="K594" t="inlineStr"/>
      <c r="M594" t="inlineStr">
        <is>
          <t>TN</t>
        </is>
      </c>
      <c r="N594" t="inlineStr"/>
      <c r="P594" t="inlineStr">
        <is>
          <t>20220331</t>
        </is>
      </c>
      <c r="Q594" t="inlineStr">
        <is>
          <t>20250131</t>
        </is>
      </c>
    </row>
    <row r="595">
      <c r="A595" t="inlineStr">
        <is>
          <t>900003438DW70D08610000811</t>
        </is>
      </c>
      <c r="B595" t="inlineStr">
        <is>
          <t>900003438</t>
        </is>
      </c>
      <c r="C595" t="inlineStr">
        <is>
          <t>DW70</t>
        </is>
      </c>
      <c r="D595" t="inlineStr">
        <is>
          <t>D086</t>
        </is>
      </c>
      <c r="E595" t="inlineStr">
        <is>
          <t>4</t>
        </is>
      </c>
      <c r="F595" t="inlineStr">
        <is>
          <t>10000811</t>
        </is>
      </c>
      <c r="H595" t="inlineStr"/>
      <c r="J595" t="n">
        <v>170.96</v>
      </c>
      <c r="K595" t="inlineStr"/>
      <c r="M595" t="inlineStr">
        <is>
          <t>TN</t>
        </is>
      </c>
      <c r="N595" t="inlineStr"/>
      <c r="P595" t="inlineStr">
        <is>
          <t>20220331</t>
        </is>
      </c>
      <c r="Q595" t="inlineStr">
        <is>
          <t>20250131</t>
        </is>
      </c>
    </row>
    <row r="596">
      <c r="A596" t="inlineStr">
        <is>
          <t>900003438DW70D08610002802</t>
        </is>
      </c>
      <c r="B596" t="inlineStr">
        <is>
          <t>900003438</t>
        </is>
      </c>
      <c r="C596" t="inlineStr">
        <is>
          <t>DW70</t>
        </is>
      </c>
      <c r="D596" t="inlineStr">
        <is>
          <t>D086</t>
        </is>
      </c>
      <c r="E596" t="inlineStr">
        <is>
          <t>4</t>
        </is>
      </c>
      <c r="F596" t="inlineStr">
        <is>
          <t>10002802</t>
        </is>
      </c>
      <c r="H596" t="inlineStr"/>
      <c r="J596" t="n">
        <v>102.21</v>
      </c>
      <c r="K596" t="inlineStr"/>
      <c r="M596" t="inlineStr">
        <is>
          <t>TN</t>
        </is>
      </c>
      <c r="N596" t="inlineStr"/>
      <c r="P596" t="inlineStr">
        <is>
          <t>20250401</t>
        </is>
      </c>
      <c r="Q596" t="inlineStr">
        <is>
          <t>20251031</t>
        </is>
      </c>
    </row>
    <row r="597">
      <c r="A597" t="inlineStr">
        <is>
          <t>900003438DW70D08610059180</t>
        </is>
      </c>
      <c r="B597" t="inlineStr">
        <is>
          <t>900003438</t>
        </is>
      </c>
      <c r="C597" t="inlineStr">
        <is>
          <t>DW70</t>
        </is>
      </c>
      <c r="D597" t="inlineStr">
        <is>
          <t>D086</t>
        </is>
      </c>
      <c r="E597" t="inlineStr">
        <is>
          <t>4</t>
        </is>
      </c>
      <c r="F597" t="inlineStr">
        <is>
          <t>10059180</t>
        </is>
      </c>
      <c r="H597" t="inlineStr"/>
      <c r="J597" t="n">
        <v>105.57</v>
      </c>
      <c r="K597" t="inlineStr"/>
      <c r="M597" t="inlineStr">
        <is>
          <t>TN</t>
        </is>
      </c>
      <c r="N597" t="inlineStr"/>
      <c r="P597" t="inlineStr">
        <is>
          <t>20220331</t>
        </is>
      </c>
      <c r="Q597" t="inlineStr">
        <is>
          <t>20250131</t>
        </is>
      </c>
    </row>
    <row r="598">
      <c r="A598" t="inlineStr">
        <is>
          <t>900003438DW70D08810000623</t>
        </is>
      </c>
      <c r="B598" t="inlineStr">
        <is>
          <t>900003438</t>
        </is>
      </c>
      <c r="C598" t="inlineStr">
        <is>
          <t>DW70</t>
        </is>
      </c>
      <c r="D598" t="inlineStr">
        <is>
          <t>D088</t>
        </is>
      </c>
      <c r="E598" t="inlineStr">
        <is>
          <t>4</t>
        </is>
      </c>
      <c r="F598" t="inlineStr">
        <is>
          <t>10000623</t>
        </is>
      </c>
      <c r="H598" t="inlineStr"/>
      <c r="J598" t="n">
        <v>43.06</v>
      </c>
      <c r="K598" t="inlineStr"/>
      <c r="M598" t="inlineStr">
        <is>
          <t>TN</t>
        </is>
      </c>
      <c r="N598" t="inlineStr"/>
      <c r="P598" t="inlineStr">
        <is>
          <t>20220331</t>
        </is>
      </c>
      <c r="Q598" t="inlineStr">
        <is>
          <t>20250131</t>
        </is>
      </c>
    </row>
    <row r="599">
      <c r="A599" t="inlineStr">
        <is>
          <t>900003438DW70D08810000630</t>
        </is>
      </c>
      <c r="B599" t="inlineStr">
        <is>
          <t>900003438</t>
        </is>
      </c>
      <c r="C599" t="inlineStr">
        <is>
          <t>DW70</t>
        </is>
      </c>
      <c r="D599" t="inlineStr">
        <is>
          <t>D088</t>
        </is>
      </c>
      <c r="E599" t="inlineStr">
        <is>
          <t>4</t>
        </is>
      </c>
      <c r="F599" t="inlineStr">
        <is>
          <t>10000630</t>
        </is>
      </c>
      <c r="H599" t="inlineStr"/>
      <c r="J599" t="n">
        <v>43.37</v>
      </c>
      <c r="K599" t="inlineStr"/>
      <c r="M599" t="inlineStr">
        <is>
          <t>TN</t>
        </is>
      </c>
      <c r="N599" t="inlineStr"/>
      <c r="P599" t="inlineStr">
        <is>
          <t>20220331</t>
        </is>
      </c>
      <c r="Q599" t="inlineStr">
        <is>
          <t>20250131</t>
        </is>
      </c>
    </row>
    <row r="600">
      <c r="A600" t="inlineStr">
        <is>
          <t>900003438DW70D08810000811</t>
        </is>
      </c>
      <c r="B600" t="inlineStr">
        <is>
          <t>900003438</t>
        </is>
      </c>
      <c r="C600" t="inlineStr">
        <is>
          <t>DW70</t>
        </is>
      </c>
      <c r="D600" t="inlineStr">
        <is>
          <t>D088</t>
        </is>
      </c>
      <c r="E600" t="inlineStr">
        <is>
          <t>4</t>
        </is>
      </c>
      <c r="F600" t="inlineStr">
        <is>
          <t>10000811</t>
        </is>
      </c>
      <c r="H600" t="inlineStr"/>
      <c r="J600" t="n">
        <v>50.88</v>
      </c>
      <c r="K600" t="inlineStr"/>
      <c r="M600" t="inlineStr">
        <is>
          <t>TN</t>
        </is>
      </c>
      <c r="N600" t="inlineStr"/>
      <c r="P600" t="inlineStr">
        <is>
          <t>20220331</t>
        </is>
      </c>
      <c r="Q600" t="inlineStr">
        <is>
          <t>20250131</t>
        </is>
      </c>
    </row>
    <row r="601">
      <c r="A601" t="inlineStr">
        <is>
          <t>900003438DW70D08810059180</t>
        </is>
      </c>
      <c r="B601" t="inlineStr">
        <is>
          <t>900003438</t>
        </is>
      </c>
      <c r="C601" t="inlineStr">
        <is>
          <t>DW70</t>
        </is>
      </c>
      <c r="D601" t="inlineStr">
        <is>
          <t>D088</t>
        </is>
      </c>
      <c r="E601" t="inlineStr">
        <is>
          <t>4</t>
        </is>
      </c>
      <c r="F601" t="inlineStr">
        <is>
          <t>10059180</t>
        </is>
      </c>
      <c r="H601" t="inlineStr"/>
      <c r="J601" t="n">
        <v>23.89</v>
      </c>
      <c r="K601" t="inlineStr"/>
      <c r="M601" t="inlineStr">
        <is>
          <t>TN</t>
        </is>
      </c>
      <c r="N601" t="inlineStr"/>
      <c r="P601" t="inlineStr">
        <is>
          <t>20220331</t>
        </is>
      </c>
      <c r="Q601" t="inlineStr">
        <is>
          <t>20250131</t>
        </is>
      </c>
    </row>
    <row r="602">
      <c r="A602" t="inlineStr">
        <is>
          <t>900003438DW70D09310000623</t>
        </is>
      </c>
      <c r="B602" t="inlineStr">
        <is>
          <t>900003438</t>
        </is>
      </c>
      <c r="C602" t="inlineStr">
        <is>
          <t>DW70</t>
        </is>
      </c>
      <c r="D602" t="inlineStr">
        <is>
          <t>D093</t>
        </is>
      </c>
      <c r="E602" t="inlineStr">
        <is>
          <t>1</t>
        </is>
      </c>
      <c r="F602" t="inlineStr">
        <is>
          <t>10000623</t>
        </is>
      </c>
      <c r="H602" t="inlineStr"/>
      <c r="J602" t="n">
        <v>90.66</v>
      </c>
      <c r="K602" t="inlineStr"/>
      <c r="M602" t="inlineStr">
        <is>
          <t>TN</t>
        </is>
      </c>
      <c r="N602" t="inlineStr"/>
      <c r="P602" t="inlineStr">
        <is>
          <t>20220331</t>
        </is>
      </c>
      <c r="Q602" t="inlineStr">
        <is>
          <t>20250131</t>
        </is>
      </c>
    </row>
    <row r="603">
      <c r="A603" t="inlineStr">
        <is>
          <t>900003438DW70D09310000623</t>
        </is>
      </c>
      <c r="B603" t="inlineStr">
        <is>
          <t>900003438</t>
        </is>
      </c>
      <c r="C603" t="inlineStr">
        <is>
          <t>DW70</t>
        </is>
      </c>
      <c r="D603" t="inlineStr">
        <is>
          <t>D093</t>
        </is>
      </c>
      <c r="E603" t="inlineStr">
        <is>
          <t>4</t>
        </is>
      </c>
      <c r="F603" t="inlineStr">
        <is>
          <t>10000623</t>
        </is>
      </c>
      <c r="H603" t="inlineStr"/>
      <c r="J603" t="n">
        <v>94.23</v>
      </c>
      <c r="K603" t="inlineStr"/>
      <c r="M603" t="inlineStr">
        <is>
          <t>TN</t>
        </is>
      </c>
      <c r="N603" t="inlineStr"/>
      <c r="P603" t="inlineStr">
        <is>
          <t>20220331</t>
        </is>
      </c>
      <c r="Q603" t="inlineStr">
        <is>
          <t>20250131</t>
        </is>
      </c>
    </row>
    <row r="604">
      <c r="A604" t="inlineStr">
        <is>
          <t>900003438DW70D09310000630</t>
        </is>
      </c>
      <c r="B604" t="inlineStr">
        <is>
          <t>900003438</t>
        </is>
      </c>
      <c r="C604" t="inlineStr">
        <is>
          <t>DW70</t>
        </is>
      </c>
      <c r="D604" t="inlineStr">
        <is>
          <t>D093</t>
        </is>
      </c>
      <c r="E604" t="inlineStr">
        <is>
          <t>4</t>
        </is>
      </c>
      <c r="F604" t="inlineStr">
        <is>
          <t>10000630</t>
        </is>
      </c>
      <c r="H604" t="inlineStr"/>
      <c r="J604" t="n">
        <v>98.81999999999999</v>
      </c>
      <c r="K604" t="inlineStr"/>
      <c r="M604" t="inlineStr">
        <is>
          <t>TN</t>
        </is>
      </c>
      <c r="N604" t="inlineStr"/>
      <c r="P604" t="inlineStr">
        <is>
          <t>20220331</t>
        </is>
      </c>
      <c r="Q604" t="inlineStr">
        <is>
          <t>20250131</t>
        </is>
      </c>
    </row>
    <row r="605">
      <c r="A605" t="inlineStr">
        <is>
          <t>900003438DW70D09310000811</t>
        </is>
      </c>
      <c r="B605" t="inlineStr">
        <is>
          <t>900003438</t>
        </is>
      </c>
      <c r="C605" t="inlineStr">
        <is>
          <t>DW70</t>
        </is>
      </c>
      <c r="D605" t="inlineStr">
        <is>
          <t>D093</t>
        </is>
      </c>
      <c r="E605" t="inlineStr">
        <is>
          <t>4</t>
        </is>
      </c>
      <c r="F605" t="inlineStr">
        <is>
          <t>10000811</t>
        </is>
      </c>
      <c r="H605" t="inlineStr"/>
      <c r="J605" t="n">
        <v>97.69</v>
      </c>
      <c r="K605" t="inlineStr"/>
      <c r="M605" t="inlineStr">
        <is>
          <t>TN</t>
        </is>
      </c>
      <c r="N605" t="inlineStr"/>
      <c r="P605" t="inlineStr">
        <is>
          <t>20220331</t>
        </is>
      </c>
      <c r="Q605" t="inlineStr">
        <is>
          <t>20250131</t>
        </is>
      </c>
    </row>
    <row r="606">
      <c r="A606" t="inlineStr">
        <is>
          <t>900003438DW70D09310002802</t>
        </is>
      </c>
      <c r="B606" t="inlineStr">
        <is>
          <t>900003438</t>
        </is>
      </c>
      <c r="C606" t="inlineStr">
        <is>
          <t>DW70</t>
        </is>
      </c>
      <c r="D606" t="inlineStr">
        <is>
          <t>D093</t>
        </is>
      </c>
      <c r="E606" t="inlineStr">
        <is>
          <t>1</t>
        </is>
      </c>
      <c r="F606" t="inlineStr">
        <is>
          <t>10002802</t>
        </is>
      </c>
      <c r="H606" t="inlineStr"/>
      <c r="J606" t="n">
        <v>146.69</v>
      </c>
      <c r="K606" t="inlineStr"/>
      <c r="M606" t="inlineStr">
        <is>
          <t>TN</t>
        </is>
      </c>
      <c r="N606" t="inlineStr"/>
      <c r="P606" t="inlineStr">
        <is>
          <t>20220331</t>
        </is>
      </c>
      <c r="Q606" t="inlineStr">
        <is>
          <t>20250131</t>
        </is>
      </c>
    </row>
    <row r="607">
      <c r="A607" t="inlineStr">
        <is>
          <t>900003438DW70D09310002802</t>
        </is>
      </c>
      <c r="B607" t="inlineStr">
        <is>
          <t>900003438</t>
        </is>
      </c>
      <c r="C607" t="inlineStr">
        <is>
          <t>DW70</t>
        </is>
      </c>
      <c r="D607" t="inlineStr">
        <is>
          <t>D093</t>
        </is>
      </c>
      <c r="E607" t="inlineStr">
        <is>
          <t>4</t>
        </is>
      </c>
      <c r="F607" t="inlineStr">
        <is>
          <t>10002802</t>
        </is>
      </c>
      <c r="H607" t="inlineStr"/>
      <c r="J607" t="n">
        <v>135.45</v>
      </c>
      <c r="K607" t="inlineStr"/>
      <c r="M607" t="inlineStr">
        <is>
          <t>TN</t>
        </is>
      </c>
      <c r="N607" t="inlineStr"/>
      <c r="P607" t="inlineStr">
        <is>
          <t>20220331</t>
        </is>
      </c>
      <c r="Q607" t="inlineStr">
        <is>
          <t>20250131</t>
        </is>
      </c>
    </row>
    <row r="608">
      <c r="A608" t="inlineStr">
        <is>
          <t>900003438DW70D09810000623</t>
        </is>
      </c>
      <c r="B608" t="inlineStr">
        <is>
          <t>900003438</t>
        </is>
      </c>
      <c r="C608" t="inlineStr">
        <is>
          <t>DW70</t>
        </is>
      </c>
      <c r="D608" t="inlineStr">
        <is>
          <t>D098</t>
        </is>
      </c>
      <c r="E608" t="inlineStr">
        <is>
          <t>4</t>
        </is>
      </c>
      <c r="F608" t="inlineStr">
        <is>
          <t>10000623</t>
        </is>
      </c>
      <c r="H608" t="inlineStr"/>
      <c r="J608" t="n">
        <v>100.16</v>
      </c>
      <c r="K608" t="inlineStr"/>
      <c r="M608" t="inlineStr">
        <is>
          <t>TN</t>
        </is>
      </c>
      <c r="N608" t="inlineStr"/>
      <c r="P608" t="inlineStr">
        <is>
          <t>20220331</t>
        </is>
      </c>
      <c r="Q608" t="inlineStr">
        <is>
          <t>20250131</t>
        </is>
      </c>
    </row>
    <row r="609">
      <c r="A609" t="inlineStr">
        <is>
          <t>900003438DW70D09810000630</t>
        </is>
      </c>
      <c r="B609" t="inlineStr">
        <is>
          <t>900003438</t>
        </is>
      </c>
      <c r="C609" t="inlineStr">
        <is>
          <t>DW70</t>
        </is>
      </c>
      <c r="D609" t="inlineStr">
        <is>
          <t>D098</t>
        </is>
      </c>
      <c r="E609" t="inlineStr">
        <is>
          <t>4</t>
        </is>
      </c>
      <c r="F609" t="inlineStr">
        <is>
          <t>10000630</t>
        </is>
      </c>
      <c r="H609" t="inlineStr"/>
      <c r="J609" t="n">
        <v>100.87</v>
      </c>
      <c r="K609" t="inlineStr"/>
      <c r="M609" t="inlineStr">
        <is>
          <t>TN</t>
        </is>
      </c>
      <c r="N609" t="inlineStr"/>
      <c r="P609" t="inlineStr">
        <is>
          <t>20220331</t>
        </is>
      </c>
      <c r="Q609" t="inlineStr">
        <is>
          <t>20250131</t>
        </is>
      </c>
    </row>
    <row r="610">
      <c r="A610" t="inlineStr">
        <is>
          <t>900003438DW70D09810000811</t>
        </is>
      </c>
      <c r="B610" t="inlineStr">
        <is>
          <t>900003438</t>
        </is>
      </c>
      <c r="C610" t="inlineStr">
        <is>
          <t>DW70</t>
        </is>
      </c>
      <c r="D610" t="inlineStr">
        <is>
          <t>D098</t>
        </is>
      </c>
      <c r="E610" t="inlineStr">
        <is>
          <t>4</t>
        </is>
      </c>
      <c r="F610" t="inlineStr">
        <is>
          <t>10000811</t>
        </is>
      </c>
      <c r="H610" t="inlineStr"/>
      <c r="J610" t="n">
        <v>99.73</v>
      </c>
      <c r="K610" t="inlineStr"/>
      <c r="M610" t="inlineStr">
        <is>
          <t>TN</t>
        </is>
      </c>
      <c r="N610" t="inlineStr"/>
      <c r="P610" t="inlineStr">
        <is>
          <t>20220331</t>
        </is>
      </c>
      <c r="Q610" t="inlineStr">
        <is>
          <t>20250131</t>
        </is>
      </c>
    </row>
    <row r="611">
      <c r="A611" t="inlineStr">
        <is>
          <t>900003438DW70D09810002802</t>
        </is>
      </c>
      <c r="B611" t="inlineStr">
        <is>
          <t>900003438</t>
        </is>
      </c>
      <c r="C611" t="inlineStr">
        <is>
          <t>DW70</t>
        </is>
      </c>
      <c r="D611" t="inlineStr">
        <is>
          <t>D098</t>
        </is>
      </c>
      <c r="E611" t="inlineStr">
        <is>
          <t>1</t>
        </is>
      </c>
      <c r="F611" t="inlineStr">
        <is>
          <t>10002802</t>
        </is>
      </c>
      <c r="H611" t="inlineStr"/>
      <c r="J611" t="n">
        <v>113.21</v>
      </c>
      <c r="K611" t="inlineStr"/>
      <c r="M611" t="inlineStr">
        <is>
          <t>TN</t>
        </is>
      </c>
      <c r="N611" t="inlineStr"/>
      <c r="P611" t="inlineStr">
        <is>
          <t>20250401</t>
        </is>
      </c>
      <c r="Q611" t="inlineStr">
        <is>
          <t>99991231</t>
        </is>
      </c>
    </row>
    <row r="612">
      <c r="A612" t="inlineStr">
        <is>
          <t>900003438DW70D09810002802</t>
        </is>
      </c>
      <c r="B612" t="inlineStr">
        <is>
          <t>900003438</t>
        </is>
      </c>
      <c r="C612" t="inlineStr">
        <is>
          <t>DW70</t>
        </is>
      </c>
      <c r="D612" t="inlineStr">
        <is>
          <t>D098</t>
        </is>
      </c>
      <c r="E612" t="inlineStr">
        <is>
          <t>4</t>
        </is>
      </c>
      <c r="F612" t="inlineStr">
        <is>
          <t>10002802</t>
        </is>
      </c>
      <c r="H612" t="inlineStr"/>
      <c r="J612" t="n">
        <v>132.83</v>
      </c>
      <c r="K612" t="inlineStr"/>
      <c r="M612" t="inlineStr">
        <is>
          <t>TN</t>
        </is>
      </c>
      <c r="N612" t="inlineStr"/>
      <c r="P612" t="inlineStr">
        <is>
          <t>20250401</t>
        </is>
      </c>
      <c r="Q612" t="inlineStr">
        <is>
          <t>20251031</t>
        </is>
      </c>
    </row>
    <row r="613">
      <c r="A613" t="inlineStr">
        <is>
          <t>900003438DW70D09810059180</t>
        </is>
      </c>
      <c r="B613" t="inlineStr">
        <is>
          <t>900003438</t>
        </is>
      </c>
      <c r="C613" t="inlineStr">
        <is>
          <t>DW70</t>
        </is>
      </c>
      <c r="D613" t="inlineStr">
        <is>
          <t>D098</t>
        </is>
      </c>
      <c r="E613" t="inlineStr">
        <is>
          <t>4</t>
        </is>
      </c>
      <c r="F613" t="inlineStr">
        <is>
          <t>10059180</t>
        </is>
      </c>
      <c r="H613" t="inlineStr"/>
      <c r="J613" t="n">
        <v>49.01</v>
      </c>
      <c r="K613" t="inlineStr"/>
      <c r="M613" t="inlineStr">
        <is>
          <t>TN</t>
        </is>
      </c>
      <c r="N613" t="inlineStr"/>
      <c r="P613" t="inlineStr">
        <is>
          <t>20220331</t>
        </is>
      </c>
      <c r="Q613" t="inlineStr">
        <is>
          <t>20250131</t>
        </is>
      </c>
    </row>
    <row r="614">
      <c r="A614" t="inlineStr">
        <is>
          <t>900003438DW70D10510000623</t>
        </is>
      </c>
      <c r="B614" t="inlineStr">
        <is>
          <t>900003438</t>
        </is>
      </c>
      <c r="C614" t="inlineStr">
        <is>
          <t>DW70</t>
        </is>
      </c>
      <c r="D614" t="inlineStr">
        <is>
          <t>D105</t>
        </is>
      </c>
      <c r="E614" t="inlineStr">
        <is>
          <t>4</t>
        </is>
      </c>
      <c r="F614" t="inlineStr">
        <is>
          <t>10000623</t>
        </is>
      </c>
      <c r="H614" t="inlineStr"/>
      <c r="J614" t="n">
        <v>166.22</v>
      </c>
      <c r="K614" t="inlineStr"/>
      <c r="M614" t="inlineStr">
        <is>
          <t>TN</t>
        </is>
      </c>
      <c r="N614" t="inlineStr"/>
      <c r="P614" t="inlineStr">
        <is>
          <t>20220331</t>
        </is>
      </c>
      <c r="Q614" t="inlineStr">
        <is>
          <t>20250131</t>
        </is>
      </c>
    </row>
    <row r="615">
      <c r="A615" t="inlineStr">
        <is>
          <t>900003438DW70D10510000630</t>
        </is>
      </c>
      <c r="B615" t="inlineStr">
        <is>
          <t>900003438</t>
        </is>
      </c>
      <c r="C615" t="inlineStr">
        <is>
          <t>DW70</t>
        </is>
      </c>
      <c r="D615" t="inlineStr">
        <is>
          <t>D105</t>
        </is>
      </c>
      <c r="E615" t="inlineStr">
        <is>
          <t>4</t>
        </is>
      </c>
      <c r="F615" t="inlineStr">
        <is>
          <t>10000630</t>
        </is>
      </c>
      <c r="H615" t="inlineStr"/>
      <c r="J615" t="n">
        <v>167.4</v>
      </c>
      <c r="K615" t="inlineStr"/>
      <c r="M615" t="inlineStr">
        <is>
          <t>TN</t>
        </is>
      </c>
      <c r="N615" t="inlineStr"/>
      <c r="P615" t="inlineStr">
        <is>
          <t>20220331</t>
        </is>
      </c>
      <c r="Q615" t="inlineStr">
        <is>
          <t>20250131</t>
        </is>
      </c>
    </row>
    <row r="616">
      <c r="A616" t="inlineStr">
        <is>
          <t>900003438DW70D10510000811</t>
        </is>
      </c>
      <c r="B616" t="inlineStr">
        <is>
          <t>900003438</t>
        </is>
      </c>
      <c r="C616" t="inlineStr">
        <is>
          <t>DW70</t>
        </is>
      </c>
      <c r="D616" t="inlineStr">
        <is>
          <t>D105</t>
        </is>
      </c>
      <c r="E616" t="inlineStr">
        <is>
          <t>4</t>
        </is>
      </c>
      <c r="F616" t="inlineStr">
        <is>
          <t>10000811</t>
        </is>
      </c>
      <c r="H616" t="inlineStr"/>
      <c r="J616" t="n">
        <v>140.44</v>
      </c>
      <c r="K616" t="inlineStr"/>
      <c r="M616" t="inlineStr">
        <is>
          <t>TN</t>
        </is>
      </c>
      <c r="N616" t="inlineStr"/>
      <c r="P616" t="inlineStr">
        <is>
          <t>20220331</t>
        </is>
      </c>
      <c r="Q616" t="inlineStr">
        <is>
          <t>20250131</t>
        </is>
      </c>
    </row>
    <row r="617">
      <c r="A617" t="inlineStr">
        <is>
          <t>900003438DW70D10510002802</t>
        </is>
      </c>
      <c r="B617" t="inlineStr">
        <is>
          <t>900003438</t>
        </is>
      </c>
      <c r="C617" t="inlineStr">
        <is>
          <t>DW70</t>
        </is>
      </c>
      <c r="D617" t="inlineStr">
        <is>
          <t>D105</t>
        </is>
      </c>
      <c r="E617" t="inlineStr">
        <is>
          <t>1</t>
        </is>
      </c>
      <c r="F617" t="inlineStr">
        <is>
          <t>10002802</t>
        </is>
      </c>
      <c r="H617" t="inlineStr"/>
      <c r="J617" t="n">
        <v>138.08</v>
      </c>
      <c r="K617" t="inlineStr"/>
      <c r="M617" t="inlineStr">
        <is>
          <t>TN</t>
        </is>
      </c>
      <c r="N617" t="inlineStr"/>
      <c r="P617" t="inlineStr">
        <is>
          <t>20220331</t>
        </is>
      </c>
      <c r="Q617" t="inlineStr">
        <is>
          <t>20250131</t>
        </is>
      </c>
    </row>
    <row r="618">
      <c r="A618" t="inlineStr">
        <is>
          <t>900003438DW70D10510002802</t>
        </is>
      </c>
      <c r="B618" t="inlineStr">
        <is>
          <t>900003438</t>
        </is>
      </c>
      <c r="C618" t="inlineStr">
        <is>
          <t>DW70</t>
        </is>
      </c>
      <c r="D618" t="inlineStr">
        <is>
          <t>D105</t>
        </is>
      </c>
      <c r="E618" t="inlineStr">
        <is>
          <t>4</t>
        </is>
      </c>
      <c r="F618" t="inlineStr">
        <is>
          <t>10002802</t>
        </is>
      </c>
      <c r="H618" t="inlineStr"/>
      <c r="J618" t="n">
        <v>162.03</v>
      </c>
      <c r="K618" t="inlineStr"/>
      <c r="M618" t="inlineStr">
        <is>
          <t>TN</t>
        </is>
      </c>
      <c r="N618" t="inlineStr"/>
      <c r="P618" t="inlineStr">
        <is>
          <t>20220331</t>
        </is>
      </c>
      <c r="Q618" t="inlineStr">
        <is>
          <t>20250131</t>
        </is>
      </c>
    </row>
    <row r="619">
      <c r="A619" t="inlineStr">
        <is>
          <t>900003438DW70D10510059180</t>
        </is>
      </c>
      <c r="B619" t="inlineStr">
        <is>
          <t>900003438</t>
        </is>
      </c>
      <c r="C619" t="inlineStr">
        <is>
          <t>DW70</t>
        </is>
      </c>
      <c r="D619" t="inlineStr">
        <is>
          <t>D105</t>
        </is>
      </c>
      <c r="E619" t="inlineStr">
        <is>
          <t>4</t>
        </is>
      </c>
      <c r="F619" t="inlineStr">
        <is>
          <t>10059180</t>
        </is>
      </c>
      <c r="H619" t="inlineStr"/>
      <c r="J619" t="n">
        <v>86.72</v>
      </c>
      <c r="K619" t="inlineStr"/>
      <c r="M619" t="inlineStr">
        <is>
          <t>TN</t>
        </is>
      </c>
      <c r="N619" t="inlineStr"/>
      <c r="P619" t="inlineStr">
        <is>
          <t>20220331</t>
        </is>
      </c>
      <c r="Q619" t="inlineStr">
        <is>
          <t>20250131</t>
        </is>
      </c>
    </row>
    <row r="620">
      <c r="A620" t="inlineStr">
        <is>
          <t>900003438DW70D11010002802</t>
        </is>
      </c>
      <c r="B620" t="inlineStr">
        <is>
          <t>900003438</t>
        </is>
      </c>
      <c r="C620" t="inlineStr">
        <is>
          <t>DW70</t>
        </is>
      </c>
      <c r="D620" t="inlineStr">
        <is>
          <t>D110</t>
        </is>
      </c>
      <c r="E620" t="inlineStr">
        <is>
          <t>1</t>
        </is>
      </c>
      <c r="F620" t="inlineStr">
        <is>
          <t>10002802</t>
        </is>
      </c>
      <c r="H620" t="inlineStr"/>
      <c r="J620" t="n">
        <v>166.19</v>
      </c>
      <c r="K620" t="inlineStr"/>
      <c r="M620" t="inlineStr">
        <is>
          <t>TN</t>
        </is>
      </c>
      <c r="N620" t="inlineStr"/>
      <c r="P620" t="inlineStr">
        <is>
          <t>20220331</t>
        </is>
      </c>
      <c r="Q620" t="inlineStr">
        <is>
          <t>20250131</t>
        </is>
      </c>
    </row>
    <row r="621">
      <c r="A621" t="inlineStr">
        <is>
          <t>900003438DW70D11110000623</t>
        </is>
      </c>
      <c r="B621" t="inlineStr">
        <is>
          <t>900003438</t>
        </is>
      </c>
      <c r="C621" t="inlineStr">
        <is>
          <t>DW70</t>
        </is>
      </c>
      <c r="D621" t="inlineStr">
        <is>
          <t>D111</t>
        </is>
      </c>
      <c r="E621" t="inlineStr">
        <is>
          <t>4</t>
        </is>
      </c>
      <c r="F621" t="inlineStr">
        <is>
          <t>10000623</t>
        </is>
      </c>
      <c r="H621" t="inlineStr"/>
      <c r="J621" t="n">
        <v>190.98</v>
      </c>
      <c r="K621" t="inlineStr"/>
      <c r="M621" t="inlineStr">
        <is>
          <t>TN</t>
        </is>
      </c>
      <c r="N621" t="inlineStr"/>
      <c r="P621" t="inlineStr">
        <is>
          <t>20220331</t>
        </is>
      </c>
      <c r="Q621" t="inlineStr">
        <is>
          <t>20250131</t>
        </is>
      </c>
    </row>
    <row r="622">
      <c r="A622" t="inlineStr">
        <is>
          <t>900003438DW70D11110000630</t>
        </is>
      </c>
      <c r="B622" t="inlineStr">
        <is>
          <t>900003438</t>
        </is>
      </c>
      <c r="C622" t="inlineStr">
        <is>
          <t>DW70</t>
        </is>
      </c>
      <c r="D622" t="inlineStr">
        <is>
          <t>D111</t>
        </is>
      </c>
      <c r="E622" t="inlineStr">
        <is>
          <t>4</t>
        </is>
      </c>
      <c r="F622" t="inlineStr">
        <is>
          <t>10000630</t>
        </is>
      </c>
      <c r="H622" t="inlineStr"/>
      <c r="J622" t="n">
        <v>192.34</v>
      </c>
      <c r="K622" t="inlineStr"/>
      <c r="M622" t="inlineStr">
        <is>
          <t>TN</t>
        </is>
      </c>
      <c r="N622" t="inlineStr"/>
      <c r="P622" t="inlineStr">
        <is>
          <t>20220331</t>
        </is>
      </c>
      <c r="Q622" t="inlineStr">
        <is>
          <t>20250131</t>
        </is>
      </c>
    </row>
    <row r="623">
      <c r="A623" t="inlineStr">
        <is>
          <t>900003438DW70D11110000811</t>
        </is>
      </c>
      <c r="B623" t="inlineStr">
        <is>
          <t>900003438</t>
        </is>
      </c>
      <c r="C623" t="inlineStr">
        <is>
          <t>DW70</t>
        </is>
      </c>
      <c r="D623" t="inlineStr">
        <is>
          <t>D111</t>
        </is>
      </c>
      <c r="E623" t="inlineStr">
        <is>
          <t>4</t>
        </is>
      </c>
      <c r="F623" t="inlineStr">
        <is>
          <t>10000811</t>
        </is>
      </c>
      <c r="H623" t="inlineStr"/>
      <c r="J623" t="n">
        <v>217.77</v>
      </c>
      <c r="K623" t="inlineStr"/>
      <c r="M623" t="inlineStr">
        <is>
          <t>TN</t>
        </is>
      </c>
      <c r="N623" t="inlineStr"/>
      <c r="P623" t="inlineStr">
        <is>
          <t>20220331</t>
        </is>
      </c>
      <c r="Q623" t="inlineStr">
        <is>
          <t>20250131</t>
        </is>
      </c>
    </row>
    <row r="624">
      <c r="A624" t="inlineStr">
        <is>
          <t>900003438DW70D11110002802</t>
        </is>
      </c>
      <c r="B624" t="inlineStr">
        <is>
          <t>900003438</t>
        </is>
      </c>
      <c r="C624" t="inlineStr">
        <is>
          <t>DW70</t>
        </is>
      </c>
      <c r="D624" t="inlineStr">
        <is>
          <t>D111</t>
        </is>
      </c>
      <c r="E624" t="inlineStr">
        <is>
          <t>4</t>
        </is>
      </c>
      <c r="F624" t="inlineStr">
        <is>
          <t>10002802</t>
        </is>
      </c>
      <c r="H624" t="inlineStr"/>
      <c r="J624" t="n">
        <v>200.96</v>
      </c>
      <c r="K624" t="inlineStr"/>
      <c r="M624" t="inlineStr">
        <is>
          <t>TN</t>
        </is>
      </c>
      <c r="N624" t="inlineStr"/>
      <c r="P624" t="inlineStr">
        <is>
          <t>20220331</t>
        </is>
      </c>
      <c r="Q624" t="inlineStr">
        <is>
          <t>20250131</t>
        </is>
      </c>
    </row>
    <row r="625">
      <c r="A625" t="inlineStr">
        <is>
          <t>900003438DW70D13610000623</t>
        </is>
      </c>
      <c r="B625" t="inlineStr">
        <is>
          <t>900003438</t>
        </is>
      </c>
      <c r="C625" t="inlineStr">
        <is>
          <t>DW70</t>
        </is>
      </c>
      <c r="D625" t="inlineStr">
        <is>
          <t>D136</t>
        </is>
      </c>
      <c r="E625" t="inlineStr">
        <is>
          <t>4</t>
        </is>
      </c>
      <c r="F625" t="inlineStr">
        <is>
          <t>10000623</t>
        </is>
      </c>
      <c r="H625" t="inlineStr"/>
      <c r="J625" t="n">
        <v>171.85</v>
      </c>
      <c r="K625" t="inlineStr"/>
      <c r="M625" t="inlineStr">
        <is>
          <t>TN</t>
        </is>
      </c>
      <c r="N625" t="inlineStr"/>
      <c r="P625" t="inlineStr">
        <is>
          <t>20220331</t>
        </is>
      </c>
      <c r="Q625" t="inlineStr">
        <is>
          <t>20250131</t>
        </is>
      </c>
    </row>
    <row r="626">
      <c r="A626" t="inlineStr">
        <is>
          <t>900003438DW70D13610000630</t>
        </is>
      </c>
      <c r="B626" t="inlineStr">
        <is>
          <t>900003438</t>
        </is>
      </c>
      <c r="C626" t="inlineStr">
        <is>
          <t>DW70</t>
        </is>
      </c>
      <c r="D626" t="inlineStr">
        <is>
          <t>D136</t>
        </is>
      </c>
      <c r="E626" t="inlineStr">
        <is>
          <t>4</t>
        </is>
      </c>
      <c r="F626" t="inlineStr">
        <is>
          <t>10000630</t>
        </is>
      </c>
      <c r="H626" t="inlineStr"/>
      <c r="J626" t="n">
        <v>173.08</v>
      </c>
      <c r="K626" t="inlineStr"/>
      <c r="M626" t="inlineStr">
        <is>
          <t>TN</t>
        </is>
      </c>
      <c r="N626" t="inlineStr"/>
      <c r="P626" t="inlineStr">
        <is>
          <t>20220331</t>
        </is>
      </c>
      <c r="Q626" t="inlineStr">
        <is>
          <t>20250131</t>
        </is>
      </c>
    </row>
    <row r="627">
      <c r="A627" t="inlineStr">
        <is>
          <t>900003438DW70D13610000811</t>
        </is>
      </c>
      <c r="B627" t="inlineStr">
        <is>
          <t>900003438</t>
        </is>
      </c>
      <c r="C627" t="inlineStr">
        <is>
          <t>DW70</t>
        </is>
      </c>
      <c r="D627" t="inlineStr">
        <is>
          <t>D136</t>
        </is>
      </c>
      <c r="E627" t="inlineStr">
        <is>
          <t>4</t>
        </is>
      </c>
      <c r="F627" t="inlineStr">
        <is>
          <t>10000811</t>
        </is>
      </c>
      <c r="H627" t="inlineStr"/>
      <c r="J627" t="n">
        <v>170.96</v>
      </c>
      <c r="K627" t="inlineStr"/>
      <c r="M627" t="inlineStr">
        <is>
          <t>TN</t>
        </is>
      </c>
      <c r="N627" t="inlineStr"/>
      <c r="P627" t="inlineStr">
        <is>
          <t>20220331</t>
        </is>
      </c>
      <c r="Q627" t="inlineStr">
        <is>
          <t>20250131</t>
        </is>
      </c>
    </row>
    <row r="628">
      <c r="A628" t="inlineStr">
        <is>
          <t>900003438DW70D13610002802</t>
        </is>
      </c>
      <c r="B628" t="inlineStr">
        <is>
          <t>900003438</t>
        </is>
      </c>
      <c r="C628" t="inlineStr">
        <is>
          <t>DW70</t>
        </is>
      </c>
      <c r="D628" t="inlineStr">
        <is>
          <t>D136</t>
        </is>
      </c>
      <c r="E628" t="inlineStr">
        <is>
          <t>1</t>
        </is>
      </c>
      <c r="F628" t="inlineStr">
        <is>
          <t>10002802</t>
        </is>
      </c>
      <c r="H628" t="inlineStr"/>
      <c r="J628" t="n">
        <v>155.04</v>
      </c>
      <c r="K628" t="inlineStr"/>
      <c r="M628" t="inlineStr">
        <is>
          <t>TN</t>
        </is>
      </c>
      <c r="N628" t="inlineStr"/>
      <c r="P628" t="inlineStr">
        <is>
          <t>20220331</t>
        </is>
      </c>
      <c r="Q628" t="inlineStr">
        <is>
          <t>20250131</t>
        </is>
      </c>
    </row>
    <row r="629">
      <c r="A629" t="inlineStr">
        <is>
          <t>900003438DW70D13610002802</t>
        </is>
      </c>
      <c r="B629" t="inlineStr">
        <is>
          <t>900003438</t>
        </is>
      </c>
      <c r="C629" t="inlineStr">
        <is>
          <t>DW70</t>
        </is>
      </c>
      <c r="D629" t="inlineStr">
        <is>
          <t>D136</t>
        </is>
      </c>
      <c r="E629" t="inlineStr">
        <is>
          <t>4</t>
        </is>
      </c>
      <c r="F629" t="inlineStr">
        <is>
          <t>10002802</t>
        </is>
      </c>
      <c r="H629" t="inlineStr"/>
      <c r="J629" t="n">
        <v>181.92</v>
      </c>
      <c r="K629" t="inlineStr"/>
      <c r="M629" t="inlineStr">
        <is>
          <t>TN</t>
        </is>
      </c>
      <c r="N629" t="inlineStr"/>
      <c r="P629" t="inlineStr">
        <is>
          <t>20220331</t>
        </is>
      </c>
      <c r="Q629" t="inlineStr">
        <is>
          <t>20250131</t>
        </is>
      </c>
    </row>
    <row r="630">
      <c r="A630" t="inlineStr">
        <is>
          <t>900003438DW70D13610059180</t>
        </is>
      </c>
      <c r="B630" t="inlineStr">
        <is>
          <t>900003438</t>
        </is>
      </c>
      <c r="C630" t="inlineStr">
        <is>
          <t>DW70</t>
        </is>
      </c>
      <c r="D630" t="inlineStr">
        <is>
          <t>D136</t>
        </is>
      </c>
      <c r="E630" t="inlineStr">
        <is>
          <t>4</t>
        </is>
      </c>
      <c r="F630" t="inlineStr">
        <is>
          <t>10059180</t>
        </is>
      </c>
      <c r="H630" t="inlineStr"/>
      <c r="J630" t="n">
        <v>106.82</v>
      </c>
      <c r="K630" t="inlineStr"/>
      <c r="M630" t="inlineStr">
        <is>
          <t>TN</t>
        </is>
      </c>
      <c r="N630" t="inlineStr"/>
      <c r="P630" t="inlineStr">
        <is>
          <t>20220331</t>
        </is>
      </c>
      <c r="Q630" t="inlineStr">
        <is>
          <t>20250131</t>
        </is>
      </c>
    </row>
    <row r="631">
      <c r="A631" t="inlineStr">
        <is>
          <t>900003438DW70D14510000623</t>
        </is>
      </c>
      <c r="B631" t="inlineStr">
        <is>
          <t>900003438</t>
        </is>
      </c>
      <c r="C631" t="inlineStr">
        <is>
          <t>DW70</t>
        </is>
      </c>
      <c r="D631" t="inlineStr">
        <is>
          <t>D145</t>
        </is>
      </c>
      <c r="E631" t="inlineStr">
        <is>
          <t>4</t>
        </is>
      </c>
      <c r="F631" t="inlineStr">
        <is>
          <t>10000623</t>
        </is>
      </c>
      <c r="H631" t="inlineStr"/>
      <c r="J631" t="n">
        <v>155.46</v>
      </c>
      <c r="K631" t="inlineStr"/>
      <c r="M631" t="inlineStr">
        <is>
          <t>TN</t>
        </is>
      </c>
      <c r="N631" t="inlineStr"/>
      <c r="P631" t="inlineStr">
        <is>
          <t>20220331</t>
        </is>
      </c>
      <c r="Q631" t="inlineStr">
        <is>
          <t>20250131</t>
        </is>
      </c>
    </row>
    <row r="632">
      <c r="A632" t="inlineStr">
        <is>
          <t>900003438DW70D14510000630</t>
        </is>
      </c>
      <c r="B632" t="inlineStr">
        <is>
          <t>900003438</t>
        </is>
      </c>
      <c r="C632" t="inlineStr">
        <is>
          <t>DW70</t>
        </is>
      </c>
      <c r="D632" t="inlineStr">
        <is>
          <t>D145</t>
        </is>
      </c>
      <c r="E632" t="inlineStr">
        <is>
          <t>4</t>
        </is>
      </c>
      <c r="F632" t="inlineStr">
        <is>
          <t>10000630</t>
        </is>
      </c>
      <c r="H632" t="inlineStr"/>
      <c r="J632" t="n">
        <v>156.57</v>
      </c>
      <c r="K632" t="inlineStr"/>
      <c r="M632" t="inlineStr">
        <is>
          <t>TN</t>
        </is>
      </c>
      <c r="N632" t="inlineStr"/>
      <c r="P632" t="inlineStr">
        <is>
          <t>20220331</t>
        </is>
      </c>
      <c r="Q632" t="inlineStr">
        <is>
          <t>20250131</t>
        </is>
      </c>
    </row>
    <row r="633">
      <c r="A633" t="inlineStr">
        <is>
          <t>900003438DW70D14510000811</t>
        </is>
      </c>
      <c r="B633" t="inlineStr">
        <is>
          <t>900003438</t>
        </is>
      </c>
      <c r="C633" t="inlineStr">
        <is>
          <t>DW70</t>
        </is>
      </c>
      <c r="D633" t="inlineStr">
        <is>
          <t>D145</t>
        </is>
      </c>
      <c r="E633" t="inlineStr">
        <is>
          <t>4</t>
        </is>
      </c>
      <c r="F633" t="inlineStr">
        <is>
          <t>10000811</t>
        </is>
      </c>
      <c r="H633" t="inlineStr"/>
      <c r="J633" t="n">
        <v>154.68</v>
      </c>
      <c r="K633" t="inlineStr"/>
      <c r="M633" t="inlineStr">
        <is>
          <t>TN</t>
        </is>
      </c>
      <c r="N633" t="inlineStr"/>
      <c r="P633" t="inlineStr">
        <is>
          <t>20220331</t>
        </is>
      </c>
      <c r="Q633" t="inlineStr">
        <is>
          <t>20250131</t>
        </is>
      </c>
    </row>
    <row r="634">
      <c r="A634" t="inlineStr">
        <is>
          <t>900003438DW70D14510002802</t>
        </is>
      </c>
      <c r="B634" t="inlineStr">
        <is>
          <t>900003438</t>
        </is>
      </c>
      <c r="C634" t="inlineStr">
        <is>
          <t>DW70</t>
        </is>
      </c>
      <c r="D634" t="inlineStr">
        <is>
          <t>D145</t>
        </is>
      </c>
      <c r="E634" t="inlineStr">
        <is>
          <t>1</t>
        </is>
      </c>
      <c r="F634" t="inlineStr">
        <is>
          <t>10002802</t>
        </is>
      </c>
      <c r="H634" t="inlineStr"/>
      <c r="J634" t="n">
        <v>114.19</v>
      </c>
      <c r="K634" t="inlineStr"/>
      <c r="M634" t="inlineStr">
        <is>
          <t>TN</t>
        </is>
      </c>
      <c r="N634" t="inlineStr"/>
      <c r="P634" t="inlineStr">
        <is>
          <t>20250401</t>
        </is>
      </c>
      <c r="Q634" t="inlineStr">
        <is>
          <t>99991231</t>
        </is>
      </c>
    </row>
    <row r="635">
      <c r="A635" t="inlineStr">
        <is>
          <t>900003438DW70D14510002802</t>
        </is>
      </c>
      <c r="B635" t="inlineStr">
        <is>
          <t>900003438</t>
        </is>
      </c>
      <c r="C635" t="inlineStr">
        <is>
          <t>DW70</t>
        </is>
      </c>
      <c r="D635" t="inlineStr">
        <is>
          <t>D145</t>
        </is>
      </c>
      <c r="E635" t="inlineStr">
        <is>
          <t>4</t>
        </is>
      </c>
      <c r="F635" t="inlineStr">
        <is>
          <t>10002802</t>
        </is>
      </c>
      <c r="H635" t="inlineStr"/>
      <c r="J635" t="n">
        <v>99.44</v>
      </c>
      <c r="K635" t="inlineStr"/>
      <c r="M635" t="inlineStr">
        <is>
          <t>TN</t>
        </is>
      </c>
      <c r="N635" t="inlineStr"/>
      <c r="P635" t="inlineStr">
        <is>
          <t>20250401</t>
        </is>
      </c>
      <c r="Q635" t="inlineStr">
        <is>
          <t>20251031</t>
        </is>
      </c>
    </row>
    <row r="636">
      <c r="A636" t="inlineStr">
        <is>
          <t>900003438DW70D14510059180</t>
        </is>
      </c>
      <c r="B636" t="inlineStr">
        <is>
          <t>900003438</t>
        </is>
      </c>
      <c r="C636" t="inlineStr">
        <is>
          <t>DW70</t>
        </is>
      </c>
      <c r="D636" t="inlineStr">
        <is>
          <t>D145</t>
        </is>
      </c>
      <c r="E636" t="inlineStr">
        <is>
          <t>4</t>
        </is>
      </c>
      <c r="F636" t="inlineStr">
        <is>
          <t>10059180</t>
        </is>
      </c>
      <c r="H636" t="inlineStr"/>
      <c r="J636" t="n">
        <v>75.41</v>
      </c>
      <c r="K636" t="inlineStr"/>
      <c r="M636" t="inlineStr">
        <is>
          <t>TN</t>
        </is>
      </c>
      <c r="N636" t="inlineStr"/>
      <c r="P636" t="inlineStr">
        <is>
          <t>20220331</t>
        </is>
      </c>
      <c r="Q636" t="inlineStr">
        <is>
          <t>20250131</t>
        </is>
      </c>
    </row>
    <row r="637">
      <c r="A637" t="inlineStr">
        <is>
          <t>900003438DW70D68110002802</t>
        </is>
      </c>
      <c r="B637" t="inlineStr">
        <is>
          <t>900003438</t>
        </is>
      </c>
      <c r="C637" t="inlineStr">
        <is>
          <t>DW70</t>
        </is>
      </c>
      <c r="D637" t="inlineStr">
        <is>
          <t>D681</t>
        </is>
      </c>
      <c r="E637" t="inlineStr">
        <is>
          <t>4</t>
        </is>
      </c>
      <c r="F637" t="inlineStr">
        <is>
          <t>10002802</t>
        </is>
      </c>
      <c r="H637" t="inlineStr"/>
      <c r="J637" t="n">
        <v>119.43</v>
      </c>
      <c r="K637" t="inlineStr"/>
      <c r="M637" t="inlineStr">
        <is>
          <t>TN</t>
        </is>
      </c>
      <c r="N637" t="inlineStr"/>
      <c r="P637" t="inlineStr">
        <is>
          <t>20250401</t>
        </is>
      </c>
      <c r="Q637" t="inlineStr">
        <is>
          <t>20251031</t>
        </is>
      </c>
    </row>
    <row r="638">
      <c r="A638" t="inlineStr">
        <is>
          <t>900003438DW70DE1610000811</t>
        </is>
      </c>
      <c r="B638" t="inlineStr">
        <is>
          <t>900003438</t>
        </is>
      </c>
      <c r="C638" t="inlineStr">
        <is>
          <t>DW70</t>
        </is>
      </c>
      <c r="D638" t="inlineStr">
        <is>
          <t>DE16</t>
        </is>
      </c>
      <c r="E638" t="inlineStr">
        <is>
          <t>4</t>
        </is>
      </c>
      <c r="F638" t="inlineStr">
        <is>
          <t>10000811</t>
        </is>
      </c>
      <c r="H638" t="inlineStr"/>
      <c r="J638" t="n">
        <v>175.67</v>
      </c>
      <c r="K638" t="inlineStr"/>
      <c r="M638" t="inlineStr">
        <is>
          <t>TN</t>
        </is>
      </c>
      <c r="N638" t="inlineStr"/>
      <c r="P638" t="inlineStr">
        <is>
          <t>20220331</t>
        </is>
      </c>
      <c r="Q638" t="inlineStr">
        <is>
          <t>20250131</t>
        </is>
      </c>
    </row>
    <row r="639">
      <c r="A639" t="inlineStr">
        <is>
          <t>900003438DW70DE1710000811</t>
        </is>
      </c>
      <c r="B639" t="inlineStr">
        <is>
          <t>900003438</t>
        </is>
      </c>
      <c r="C639" t="inlineStr">
        <is>
          <t>DW70</t>
        </is>
      </c>
      <c r="D639" t="inlineStr">
        <is>
          <t>DE17</t>
        </is>
      </c>
      <c r="E639" t="inlineStr">
        <is>
          <t>4</t>
        </is>
      </c>
      <c r="F639" t="inlineStr">
        <is>
          <t>10000811</t>
        </is>
      </c>
      <c r="H639" t="inlineStr"/>
      <c r="J639" t="n">
        <v>154.25</v>
      </c>
      <c r="K639" t="inlineStr"/>
      <c r="M639" t="inlineStr">
        <is>
          <t>TN</t>
        </is>
      </c>
      <c r="N639" t="inlineStr"/>
      <c r="P639" t="inlineStr">
        <is>
          <t>20220331</t>
        </is>
      </c>
      <c r="Q639" t="inlineStr">
        <is>
          <t>20250131</t>
        </is>
      </c>
    </row>
    <row r="640">
      <c r="A640" t="inlineStr">
        <is>
          <t>900003438DW70DE1910000811</t>
        </is>
      </c>
      <c r="B640" t="inlineStr">
        <is>
          <t>900003438</t>
        </is>
      </c>
      <c r="C640" t="inlineStr">
        <is>
          <t>DW70</t>
        </is>
      </c>
      <c r="D640" t="inlineStr">
        <is>
          <t>DE19</t>
        </is>
      </c>
      <c r="E640" t="inlineStr">
        <is>
          <t>4</t>
        </is>
      </c>
      <c r="F640" t="inlineStr">
        <is>
          <t>10000811</t>
        </is>
      </c>
      <c r="H640" t="inlineStr"/>
      <c r="J640" t="n">
        <v>231.38</v>
      </c>
      <c r="K640" t="inlineStr"/>
      <c r="M640" t="inlineStr">
        <is>
          <t>TN</t>
        </is>
      </c>
      <c r="N640" t="inlineStr"/>
      <c r="P640" t="inlineStr">
        <is>
          <t>20220331</t>
        </is>
      </c>
      <c r="Q640" t="inlineStr">
        <is>
          <t>20250131</t>
        </is>
      </c>
    </row>
    <row r="641">
      <c r="A641" t="inlineStr">
        <is>
          <t>900003438DW70DE2310000811</t>
        </is>
      </c>
      <c r="B641" t="inlineStr">
        <is>
          <t>900003438</t>
        </is>
      </c>
      <c r="C641" t="inlineStr">
        <is>
          <t>DW70</t>
        </is>
      </c>
      <c r="D641" t="inlineStr">
        <is>
          <t>DE23</t>
        </is>
      </c>
      <c r="E641" t="inlineStr">
        <is>
          <t>4</t>
        </is>
      </c>
      <c r="F641" t="inlineStr">
        <is>
          <t>10000811</t>
        </is>
      </c>
      <c r="H641" t="inlineStr"/>
      <c r="J641" t="n">
        <v>229.23</v>
      </c>
      <c r="K641" t="inlineStr"/>
      <c r="M641" t="inlineStr">
        <is>
          <t>TN</t>
        </is>
      </c>
      <c r="N641" t="inlineStr"/>
      <c r="P641" t="inlineStr">
        <is>
          <t>20220331</t>
        </is>
      </c>
      <c r="Q641" t="inlineStr">
        <is>
          <t>20250131</t>
        </is>
      </c>
    </row>
    <row r="642">
      <c r="A642" t="inlineStr">
        <is>
          <t>900003438DW70DE2610000811</t>
        </is>
      </c>
      <c r="B642" t="inlineStr">
        <is>
          <t>900003438</t>
        </is>
      </c>
      <c r="C642" t="inlineStr">
        <is>
          <t>DW70</t>
        </is>
      </c>
      <c r="D642" t="inlineStr">
        <is>
          <t>DE26</t>
        </is>
      </c>
      <c r="E642" t="inlineStr">
        <is>
          <t>4</t>
        </is>
      </c>
      <c r="F642" t="inlineStr">
        <is>
          <t>10000811</t>
        </is>
      </c>
      <c r="H642" t="inlineStr"/>
      <c r="J642" t="n">
        <v>143.54</v>
      </c>
      <c r="K642" t="inlineStr"/>
      <c r="M642" t="inlineStr">
        <is>
          <t>TN</t>
        </is>
      </c>
      <c r="N642" t="inlineStr"/>
      <c r="P642" t="inlineStr">
        <is>
          <t>20220331</t>
        </is>
      </c>
      <c r="Q642" t="inlineStr">
        <is>
          <t>20250131</t>
        </is>
      </c>
    </row>
    <row r="643">
      <c r="A643" t="inlineStr">
        <is>
          <t>900003438DW70DE2810000811</t>
        </is>
      </c>
      <c r="B643" t="inlineStr">
        <is>
          <t>900003438</t>
        </is>
      </c>
      <c r="C643" t="inlineStr">
        <is>
          <t>DW70</t>
        </is>
      </c>
      <c r="D643" t="inlineStr">
        <is>
          <t>DE28</t>
        </is>
      </c>
      <c r="E643" t="inlineStr">
        <is>
          <t>4</t>
        </is>
      </c>
      <c r="F643" t="inlineStr">
        <is>
          <t>10000811</t>
        </is>
      </c>
      <c r="H643" t="inlineStr"/>
      <c r="J643" t="n">
        <v>175.67</v>
      </c>
      <c r="K643" t="inlineStr"/>
      <c r="M643" t="inlineStr">
        <is>
          <t>TN</t>
        </is>
      </c>
      <c r="N643" t="inlineStr"/>
      <c r="P643" t="inlineStr">
        <is>
          <t>20220331</t>
        </is>
      </c>
      <c r="Q643" t="inlineStr">
        <is>
          <t>20250131</t>
        </is>
      </c>
    </row>
    <row r="644">
      <c r="A644" t="inlineStr">
        <is>
          <t>900003438DW70DE2910000811</t>
        </is>
      </c>
      <c r="B644" t="inlineStr">
        <is>
          <t>900003438</t>
        </is>
      </c>
      <c r="C644" t="inlineStr">
        <is>
          <t>DW70</t>
        </is>
      </c>
      <c r="D644" t="inlineStr">
        <is>
          <t>DE29</t>
        </is>
      </c>
      <c r="E644" t="inlineStr">
        <is>
          <t>4</t>
        </is>
      </c>
      <c r="F644" t="inlineStr">
        <is>
          <t>10000811</t>
        </is>
      </c>
      <c r="H644" t="inlineStr"/>
      <c r="J644" t="n">
        <v>216.38</v>
      </c>
      <c r="K644" t="inlineStr"/>
      <c r="M644" t="inlineStr">
        <is>
          <t>TN</t>
        </is>
      </c>
      <c r="N644" t="inlineStr"/>
      <c r="P644" t="inlineStr">
        <is>
          <t>20220331</t>
        </is>
      </c>
      <c r="Q644" t="inlineStr">
        <is>
          <t>20250131</t>
        </is>
      </c>
    </row>
    <row r="645">
      <c r="A645" t="inlineStr">
        <is>
          <t>900003438DW70DE3010000811</t>
        </is>
      </c>
      <c r="B645" t="inlineStr">
        <is>
          <t>900003438</t>
        </is>
      </c>
      <c r="C645" t="inlineStr">
        <is>
          <t>DW70</t>
        </is>
      </c>
      <c r="D645" t="inlineStr">
        <is>
          <t>DE30</t>
        </is>
      </c>
      <c r="E645" t="inlineStr">
        <is>
          <t>4</t>
        </is>
      </c>
      <c r="F645" t="inlineStr">
        <is>
          <t>10000811</t>
        </is>
      </c>
      <c r="H645" t="inlineStr"/>
      <c r="J645" t="n">
        <v>209.95</v>
      </c>
      <c r="K645" t="inlineStr"/>
      <c r="M645" t="inlineStr">
        <is>
          <t>TN</t>
        </is>
      </c>
      <c r="N645" t="inlineStr"/>
      <c r="P645" t="inlineStr">
        <is>
          <t>20220331</t>
        </is>
      </c>
      <c r="Q645" t="inlineStr">
        <is>
          <t>20250131</t>
        </is>
      </c>
    </row>
    <row r="646">
      <c r="A646" t="inlineStr">
        <is>
          <t>900003438DW70DE3110000811</t>
        </is>
      </c>
      <c r="B646" t="inlineStr">
        <is>
          <t>900003438</t>
        </is>
      </c>
      <c r="C646" t="inlineStr">
        <is>
          <t>DW70</t>
        </is>
      </c>
      <c r="D646" t="inlineStr">
        <is>
          <t>DE31</t>
        </is>
      </c>
      <c r="E646" t="inlineStr">
        <is>
          <t>4</t>
        </is>
      </c>
      <c r="F646" t="inlineStr">
        <is>
          <t>10000811</t>
        </is>
      </c>
      <c r="H646" t="inlineStr"/>
      <c r="J646" t="n">
        <v>179.96</v>
      </c>
      <c r="K646" t="inlineStr"/>
      <c r="M646" t="inlineStr">
        <is>
          <t>TN</t>
        </is>
      </c>
      <c r="N646" t="inlineStr"/>
      <c r="P646" t="inlineStr">
        <is>
          <t>20220331</t>
        </is>
      </c>
      <c r="Q646" t="inlineStr">
        <is>
          <t>20250131</t>
        </is>
      </c>
    </row>
    <row r="647">
      <c r="A647" t="inlineStr">
        <is>
          <t>900003438DW70DE3310000811</t>
        </is>
      </c>
      <c r="B647" t="inlineStr">
        <is>
          <t>900003438</t>
        </is>
      </c>
      <c r="C647" t="inlineStr">
        <is>
          <t>DW70</t>
        </is>
      </c>
      <c r="D647" t="inlineStr">
        <is>
          <t>DE33</t>
        </is>
      </c>
      <c r="E647" t="inlineStr">
        <is>
          <t>4</t>
        </is>
      </c>
      <c r="F647" t="inlineStr">
        <is>
          <t>10000811</t>
        </is>
      </c>
      <c r="H647" t="inlineStr"/>
      <c r="J647" t="n">
        <v>53.56</v>
      </c>
      <c r="K647" t="inlineStr"/>
      <c r="M647" t="inlineStr">
        <is>
          <t>TN</t>
        </is>
      </c>
      <c r="N647" t="inlineStr"/>
      <c r="P647" t="inlineStr">
        <is>
          <t>20220331</t>
        </is>
      </c>
      <c r="Q647" t="inlineStr">
        <is>
          <t>20250131</t>
        </is>
      </c>
    </row>
    <row r="648">
      <c r="A648" t="inlineStr">
        <is>
          <t>900003438DW70DE4210000811</t>
        </is>
      </c>
      <c r="B648" t="inlineStr">
        <is>
          <t>900003438</t>
        </is>
      </c>
      <c r="C648" t="inlineStr">
        <is>
          <t>DW70</t>
        </is>
      </c>
      <c r="D648" t="inlineStr">
        <is>
          <t>DE42</t>
        </is>
      </c>
      <c r="E648" t="inlineStr">
        <is>
          <t>4</t>
        </is>
      </c>
      <c r="F648" t="inlineStr">
        <is>
          <t>10000811</t>
        </is>
      </c>
      <c r="H648" t="inlineStr"/>
      <c r="J648" t="n">
        <v>104.98</v>
      </c>
      <c r="K648" t="inlineStr"/>
      <c r="M648" t="inlineStr">
        <is>
          <t>TN</t>
        </is>
      </c>
      <c r="N648" t="inlineStr"/>
      <c r="P648" t="inlineStr">
        <is>
          <t>20220331</t>
        </is>
      </c>
      <c r="Q648" t="inlineStr">
        <is>
          <t>20250131</t>
        </is>
      </c>
    </row>
    <row r="649">
      <c r="A649" t="inlineStr">
        <is>
          <t>900003438DW70DE4610000811</t>
        </is>
      </c>
      <c r="B649" t="inlineStr">
        <is>
          <t>900003438</t>
        </is>
      </c>
      <c r="C649" t="inlineStr">
        <is>
          <t>DW70</t>
        </is>
      </c>
      <c r="D649" t="inlineStr">
        <is>
          <t>DE46</t>
        </is>
      </c>
      <c r="E649" t="inlineStr">
        <is>
          <t>4</t>
        </is>
      </c>
      <c r="F649" t="inlineStr">
        <is>
          <t>10000811</t>
        </is>
      </c>
      <c r="H649" t="inlineStr"/>
      <c r="J649" t="n">
        <v>147.82</v>
      </c>
      <c r="K649" t="inlineStr"/>
      <c r="M649" t="inlineStr">
        <is>
          <t>TN</t>
        </is>
      </c>
      <c r="N649" t="inlineStr"/>
      <c r="P649" t="inlineStr">
        <is>
          <t>20220331</t>
        </is>
      </c>
      <c r="Q649" t="inlineStr">
        <is>
          <t>20250131</t>
        </is>
      </c>
    </row>
    <row r="650">
      <c r="A650" t="inlineStr">
        <is>
          <t>900003438DW70DE5010000811</t>
        </is>
      </c>
      <c r="B650" t="inlineStr">
        <is>
          <t>900003438</t>
        </is>
      </c>
      <c r="C650" t="inlineStr">
        <is>
          <t>DW70</t>
        </is>
      </c>
      <c r="D650" t="inlineStr">
        <is>
          <t>DE50</t>
        </is>
      </c>
      <c r="E650" t="inlineStr">
        <is>
          <t>4</t>
        </is>
      </c>
      <c r="F650" t="inlineStr">
        <is>
          <t>10000811</t>
        </is>
      </c>
      <c r="H650" t="inlineStr"/>
      <c r="J650" t="n">
        <v>229.23</v>
      </c>
      <c r="K650" t="inlineStr"/>
      <c r="M650" t="inlineStr">
        <is>
          <t>TN</t>
        </is>
      </c>
      <c r="N650" t="inlineStr"/>
      <c r="P650" t="inlineStr">
        <is>
          <t>20220331</t>
        </is>
      </c>
      <c r="Q650" t="inlineStr">
        <is>
          <t>20250131</t>
        </is>
      </c>
    </row>
    <row r="651">
      <c r="A651" t="inlineStr">
        <is>
          <t>900003438DW70DE7510000811</t>
        </is>
      </c>
      <c r="B651" t="inlineStr">
        <is>
          <t>900003438</t>
        </is>
      </c>
      <c r="C651" t="inlineStr">
        <is>
          <t>DW70</t>
        </is>
      </c>
      <c r="D651" t="inlineStr">
        <is>
          <t>DE75</t>
        </is>
      </c>
      <c r="E651" t="inlineStr">
        <is>
          <t>4</t>
        </is>
      </c>
      <c r="F651" t="inlineStr">
        <is>
          <t>10000811</t>
        </is>
      </c>
      <c r="H651" t="inlineStr"/>
      <c r="J651" t="n">
        <v>162.82</v>
      </c>
      <c r="K651" t="inlineStr"/>
      <c r="M651" t="inlineStr">
        <is>
          <t>TN</t>
        </is>
      </c>
      <c r="N651" t="inlineStr"/>
      <c r="P651" t="inlineStr">
        <is>
          <t>20220331</t>
        </is>
      </c>
      <c r="Q651" t="inlineStr">
        <is>
          <t>20250131</t>
        </is>
      </c>
    </row>
    <row r="652">
      <c r="A652" t="inlineStr">
        <is>
          <t>900003438DW70DE8910000811</t>
        </is>
      </c>
      <c r="B652" t="inlineStr">
        <is>
          <t>900003438</t>
        </is>
      </c>
      <c r="C652" t="inlineStr">
        <is>
          <t>DW70</t>
        </is>
      </c>
      <c r="D652" t="inlineStr">
        <is>
          <t>DE89</t>
        </is>
      </c>
      <c r="E652" t="inlineStr">
        <is>
          <t>4</t>
        </is>
      </c>
      <c r="F652" t="inlineStr">
        <is>
          <t>10000811</t>
        </is>
      </c>
      <c r="H652" t="inlineStr"/>
      <c r="J652" t="n">
        <v>179.96</v>
      </c>
      <c r="K652" t="inlineStr"/>
      <c r="M652" t="inlineStr">
        <is>
          <t>TN</t>
        </is>
      </c>
      <c r="N652" t="inlineStr"/>
      <c r="P652" t="inlineStr">
        <is>
          <t>20220331</t>
        </is>
      </c>
      <c r="Q652" t="inlineStr">
        <is>
          <t>20250131</t>
        </is>
      </c>
    </row>
    <row r="653">
      <c r="A653" t="inlineStr">
        <is>
          <t>900003438DW70DE9210000811</t>
        </is>
      </c>
      <c r="B653" t="inlineStr">
        <is>
          <t>900003438</t>
        </is>
      </c>
      <c r="C653" t="inlineStr">
        <is>
          <t>DW70</t>
        </is>
      </c>
      <c r="D653" t="inlineStr">
        <is>
          <t>DE92</t>
        </is>
      </c>
      <c r="E653" t="inlineStr">
        <is>
          <t>4</t>
        </is>
      </c>
      <c r="F653" t="inlineStr">
        <is>
          <t>10000811</t>
        </is>
      </c>
      <c r="H653" t="inlineStr"/>
      <c r="J653" t="n">
        <v>102.83</v>
      </c>
      <c r="K653" t="inlineStr"/>
      <c r="M653" t="inlineStr">
        <is>
          <t>TN</t>
        </is>
      </c>
      <c r="N653" t="inlineStr"/>
      <c r="P653" t="inlineStr">
        <is>
          <t>20220331</t>
        </is>
      </c>
      <c r="Q653" t="inlineStr">
        <is>
          <t>20250131</t>
        </is>
      </c>
    </row>
    <row r="654">
      <c r="A654" t="inlineStr">
        <is>
          <t>900003438DW70E67310000206</t>
        </is>
      </c>
      <c r="B654" t="inlineStr">
        <is>
          <t>900003438</t>
        </is>
      </c>
      <c r="C654" t="inlineStr">
        <is>
          <t>DW70</t>
        </is>
      </c>
      <c r="D654" t="inlineStr">
        <is>
          <t>E673</t>
        </is>
      </c>
      <c r="E654" t="inlineStr">
        <is>
          <t>4</t>
        </is>
      </c>
      <c r="F654" t="inlineStr">
        <is>
          <t>10000206</t>
        </is>
      </c>
      <c r="H654" t="inlineStr"/>
      <c r="J654" t="n">
        <v>104.09</v>
      </c>
      <c r="K654" t="inlineStr"/>
      <c r="M654" t="inlineStr">
        <is>
          <t>TN</t>
        </is>
      </c>
      <c r="N654" t="inlineStr"/>
      <c r="P654" t="inlineStr">
        <is>
          <t>20220331</t>
        </is>
      </c>
      <c r="Q654" t="inlineStr">
        <is>
          <t>20250131</t>
        </is>
      </c>
    </row>
    <row r="655">
      <c r="A655" t="inlineStr">
        <is>
          <t>900003438DW70E67310019515</t>
        </is>
      </c>
      <c r="B655" t="inlineStr">
        <is>
          <t>900003438</t>
        </is>
      </c>
      <c r="C655" t="inlineStr">
        <is>
          <t>DW70</t>
        </is>
      </c>
      <c r="D655" t="inlineStr">
        <is>
          <t>E673</t>
        </is>
      </c>
      <c r="E655" t="inlineStr">
        <is>
          <t>4</t>
        </is>
      </c>
      <c r="F655" t="inlineStr">
        <is>
          <t>10019515</t>
        </is>
      </c>
      <c r="H655" t="inlineStr"/>
      <c r="J655" t="n">
        <v>89.28</v>
      </c>
      <c r="K655" t="inlineStr"/>
      <c r="M655" t="inlineStr">
        <is>
          <t>TN</t>
        </is>
      </c>
      <c r="N655" t="inlineStr"/>
      <c r="P655" t="inlineStr">
        <is>
          <t>20220331</t>
        </is>
      </c>
      <c r="Q655" t="inlineStr">
        <is>
          <t>20250131</t>
        </is>
      </c>
    </row>
    <row r="656">
      <c r="A656" t="inlineStr">
        <is>
          <t>900003438DW70E67310207871</t>
        </is>
      </c>
      <c r="B656" t="inlineStr">
        <is>
          <t>900003438</t>
        </is>
      </c>
      <c r="C656" t="inlineStr">
        <is>
          <t>DW70</t>
        </is>
      </c>
      <c r="D656" t="inlineStr">
        <is>
          <t>E673</t>
        </is>
      </c>
      <c r="E656" t="inlineStr">
        <is>
          <t>4</t>
        </is>
      </c>
      <c r="F656" t="inlineStr">
        <is>
          <t>10207871</t>
        </is>
      </c>
      <c r="H656" t="inlineStr"/>
      <c r="J656" t="n">
        <v>89.28</v>
      </c>
      <c r="K656" t="inlineStr"/>
      <c r="M656" t="inlineStr">
        <is>
          <t>TN</t>
        </is>
      </c>
      <c r="N656" t="inlineStr"/>
      <c r="P656" t="inlineStr">
        <is>
          <t>20220331</t>
        </is>
      </c>
      <c r="Q656" t="inlineStr">
        <is>
          <t>20250131</t>
        </is>
      </c>
    </row>
    <row r="657">
      <c r="A657" t="inlineStr">
        <is>
          <t>900003438DW70E67310207892</t>
        </is>
      </c>
      <c r="B657" t="inlineStr">
        <is>
          <t>900003438</t>
        </is>
      </c>
      <c r="C657" t="inlineStr">
        <is>
          <t>DW70</t>
        </is>
      </c>
      <c r="D657" t="inlineStr">
        <is>
          <t>E673</t>
        </is>
      </c>
      <c r="E657" t="inlineStr">
        <is>
          <t>4</t>
        </is>
      </c>
      <c r="F657" t="inlineStr">
        <is>
          <t>10207892</t>
        </is>
      </c>
      <c r="H657" t="inlineStr"/>
      <c r="J657" t="n">
        <v>104.09</v>
      </c>
      <c r="K657" t="inlineStr"/>
      <c r="M657" t="inlineStr">
        <is>
          <t>TN</t>
        </is>
      </c>
      <c r="N657" t="inlineStr"/>
      <c r="P657" t="inlineStr">
        <is>
          <t>20220331</t>
        </is>
      </c>
      <c r="Q657" t="inlineStr">
        <is>
          <t>20250131</t>
        </is>
      </c>
    </row>
    <row r="658">
      <c r="A658" t="inlineStr">
        <is>
          <t>900003438DW70EQ7510000206</t>
        </is>
      </c>
      <c r="B658" t="inlineStr">
        <is>
          <t>900003438</t>
        </is>
      </c>
      <c r="C658" t="inlineStr">
        <is>
          <t>DW70</t>
        </is>
      </c>
      <c r="D658" t="inlineStr">
        <is>
          <t>EQ75</t>
        </is>
      </c>
      <c r="E658" t="inlineStr">
        <is>
          <t>4</t>
        </is>
      </c>
      <c r="F658" t="inlineStr">
        <is>
          <t>10000206</t>
        </is>
      </c>
      <c r="H658" t="inlineStr"/>
      <c r="J658" t="n">
        <v>104.09</v>
      </c>
      <c r="K658" t="inlineStr"/>
      <c r="M658" t="inlineStr">
        <is>
          <t>TN</t>
        </is>
      </c>
      <c r="N658" t="inlineStr"/>
      <c r="P658" t="inlineStr">
        <is>
          <t>20220331</t>
        </is>
      </c>
      <c r="Q658" t="inlineStr">
        <is>
          <t>20250131</t>
        </is>
      </c>
    </row>
    <row r="659">
      <c r="A659" t="inlineStr">
        <is>
          <t>900003438DW70EQ7510019515</t>
        </is>
      </c>
      <c r="B659" t="inlineStr">
        <is>
          <t>900003438</t>
        </is>
      </c>
      <c r="C659" t="inlineStr">
        <is>
          <t>DW70</t>
        </is>
      </c>
      <c r="D659" t="inlineStr">
        <is>
          <t>EQ75</t>
        </is>
      </c>
      <c r="E659" t="inlineStr">
        <is>
          <t>4</t>
        </is>
      </c>
      <c r="F659" t="inlineStr">
        <is>
          <t>10019515</t>
        </is>
      </c>
      <c r="H659" t="inlineStr"/>
      <c r="J659" t="n">
        <v>88.84999999999999</v>
      </c>
      <c r="K659" t="inlineStr"/>
      <c r="M659" t="inlineStr">
        <is>
          <t>TN</t>
        </is>
      </c>
      <c r="N659" t="inlineStr"/>
      <c r="P659" t="inlineStr">
        <is>
          <t>20220331</t>
        </is>
      </c>
      <c r="Q659" t="inlineStr">
        <is>
          <t>20250131</t>
        </is>
      </c>
    </row>
    <row r="660">
      <c r="A660" t="inlineStr">
        <is>
          <t>900004069DW70D07410000623</t>
        </is>
      </c>
      <c r="B660" t="inlineStr">
        <is>
          <t>900004069</t>
        </is>
      </c>
      <c r="C660" t="inlineStr">
        <is>
          <t>DW70</t>
        </is>
      </c>
      <c r="D660" t="inlineStr">
        <is>
          <t>D074</t>
        </is>
      </c>
      <c r="E660" t="inlineStr">
        <is>
          <t>4</t>
        </is>
      </c>
      <c r="F660" t="inlineStr">
        <is>
          <t>10000623</t>
        </is>
      </c>
      <c r="H660" t="inlineStr"/>
      <c r="J660" t="n">
        <v>117.89</v>
      </c>
      <c r="K660" t="inlineStr"/>
      <c r="M660" t="inlineStr">
        <is>
          <t>TN</t>
        </is>
      </c>
      <c r="N660" t="inlineStr"/>
      <c r="P660" t="inlineStr">
        <is>
          <t>20220331</t>
        </is>
      </c>
      <c r="Q660" t="inlineStr">
        <is>
          <t>20250131</t>
        </is>
      </c>
    </row>
    <row r="661">
      <c r="A661" t="inlineStr">
        <is>
          <t>900004069DW70D07410059180</t>
        </is>
      </c>
      <c r="B661" t="inlineStr">
        <is>
          <t>900004069</t>
        </is>
      </c>
      <c r="C661" t="inlineStr">
        <is>
          <t>DW70</t>
        </is>
      </c>
      <c r="D661" t="inlineStr">
        <is>
          <t>D074</t>
        </is>
      </c>
      <c r="E661" t="inlineStr">
        <is>
          <t>4</t>
        </is>
      </c>
      <c r="F661" t="inlineStr">
        <is>
          <t>10059180</t>
        </is>
      </c>
      <c r="H661" t="inlineStr"/>
      <c r="J661" t="n">
        <v>103.05</v>
      </c>
      <c r="K661" t="inlineStr"/>
      <c r="M661" t="inlineStr">
        <is>
          <t>TN</t>
        </is>
      </c>
      <c r="N661" t="inlineStr"/>
      <c r="P661" t="inlineStr">
        <is>
          <t>20220331</t>
        </is>
      </c>
      <c r="Q661" t="inlineStr">
        <is>
          <t>20250131</t>
        </is>
      </c>
    </row>
    <row r="662">
      <c r="A662" t="inlineStr">
        <is>
          <t>900004069DW70D07510000623</t>
        </is>
      </c>
      <c r="B662" t="inlineStr">
        <is>
          <t>900004069</t>
        </is>
      </c>
      <c r="C662" t="inlineStr">
        <is>
          <t>DW70</t>
        </is>
      </c>
      <c r="D662" t="inlineStr">
        <is>
          <t>D075</t>
        </is>
      </c>
      <c r="E662" t="inlineStr">
        <is>
          <t>4</t>
        </is>
      </c>
      <c r="F662" t="inlineStr">
        <is>
          <t>10000623</t>
        </is>
      </c>
      <c r="H662" t="inlineStr"/>
      <c r="J662" t="n">
        <v>105.32</v>
      </c>
      <c r="K662" t="inlineStr"/>
      <c r="M662" t="inlineStr">
        <is>
          <t>TN</t>
        </is>
      </c>
      <c r="N662" t="inlineStr"/>
      <c r="P662" t="inlineStr">
        <is>
          <t>20220331</t>
        </is>
      </c>
      <c r="Q662" t="inlineStr">
        <is>
          <t>20250131</t>
        </is>
      </c>
    </row>
    <row r="663">
      <c r="A663" t="inlineStr">
        <is>
          <t>900004069DW70D07510059180</t>
        </is>
      </c>
      <c r="B663" t="inlineStr">
        <is>
          <t>900004069</t>
        </is>
      </c>
      <c r="C663" t="inlineStr">
        <is>
          <t>DW70</t>
        </is>
      </c>
      <c r="D663" t="inlineStr">
        <is>
          <t>D075</t>
        </is>
      </c>
      <c r="E663" t="inlineStr">
        <is>
          <t>4</t>
        </is>
      </c>
      <c r="F663" t="inlineStr">
        <is>
          <t>10059180</t>
        </is>
      </c>
      <c r="H663" t="inlineStr"/>
      <c r="J663" t="n">
        <v>90.48999999999999</v>
      </c>
      <c r="K663" t="inlineStr"/>
      <c r="M663" t="inlineStr">
        <is>
          <t>TN</t>
        </is>
      </c>
      <c r="N663" t="inlineStr"/>
      <c r="P663" t="inlineStr">
        <is>
          <t>20220331</t>
        </is>
      </c>
      <c r="Q663" t="inlineStr">
        <is>
          <t>20250131</t>
        </is>
      </c>
    </row>
    <row r="664">
      <c r="A664" t="inlineStr">
        <is>
          <t>900004069DW70D07710000623</t>
        </is>
      </c>
      <c r="B664" t="inlineStr">
        <is>
          <t>900004069</t>
        </is>
      </c>
      <c r="C664" t="inlineStr">
        <is>
          <t>DW70</t>
        </is>
      </c>
      <c r="D664" t="inlineStr">
        <is>
          <t>D077</t>
        </is>
      </c>
      <c r="E664" t="inlineStr">
        <is>
          <t>4</t>
        </is>
      </c>
      <c r="F664" t="inlineStr">
        <is>
          <t>10000623</t>
        </is>
      </c>
      <c r="H664" t="inlineStr"/>
      <c r="J664" t="n">
        <v>150.62</v>
      </c>
      <c r="K664" t="inlineStr"/>
      <c r="M664" t="inlineStr">
        <is>
          <t>TN</t>
        </is>
      </c>
      <c r="N664" t="inlineStr"/>
      <c r="P664" t="inlineStr">
        <is>
          <t>20220331</t>
        </is>
      </c>
      <c r="Q664" t="inlineStr">
        <is>
          <t>20250131</t>
        </is>
      </c>
    </row>
    <row r="665">
      <c r="A665" t="inlineStr">
        <is>
          <t>900004069DW70D07710059180</t>
        </is>
      </c>
      <c r="B665" t="inlineStr">
        <is>
          <t>900004069</t>
        </is>
      </c>
      <c r="C665" t="inlineStr">
        <is>
          <t>DW70</t>
        </is>
      </c>
      <c r="D665" t="inlineStr">
        <is>
          <t>D077</t>
        </is>
      </c>
      <c r="E665" t="inlineStr">
        <is>
          <t>4</t>
        </is>
      </c>
      <c r="F665" t="inlineStr">
        <is>
          <t>10059180</t>
        </is>
      </c>
      <c r="H665" t="inlineStr"/>
      <c r="J665" t="n">
        <v>135.72</v>
      </c>
      <c r="K665" t="inlineStr"/>
      <c r="M665" t="inlineStr">
        <is>
          <t>TN</t>
        </is>
      </c>
      <c r="N665" t="inlineStr"/>
      <c r="P665" t="inlineStr">
        <is>
          <t>20220331</t>
        </is>
      </c>
      <c r="Q665" t="inlineStr">
        <is>
          <t>20250131</t>
        </is>
      </c>
    </row>
    <row r="666">
      <c r="A666" t="inlineStr">
        <is>
          <t>900004069DW70D07910000623</t>
        </is>
      </c>
      <c r="B666" t="inlineStr">
        <is>
          <t>900004069</t>
        </is>
      </c>
      <c r="C666" t="inlineStr">
        <is>
          <t>DW70</t>
        </is>
      </c>
      <c r="D666" t="inlineStr">
        <is>
          <t>D079</t>
        </is>
      </c>
      <c r="E666" t="inlineStr">
        <is>
          <t>4</t>
        </is>
      </c>
      <c r="F666" t="inlineStr">
        <is>
          <t>10000623</t>
        </is>
      </c>
      <c r="H666" t="inlineStr"/>
      <c r="J666" t="n">
        <v>149.36</v>
      </c>
      <c r="K666" t="inlineStr"/>
      <c r="M666" t="inlineStr">
        <is>
          <t>TN</t>
        </is>
      </c>
      <c r="N666" t="inlineStr"/>
      <c r="P666" t="inlineStr">
        <is>
          <t>20220331</t>
        </is>
      </c>
      <c r="Q666" t="inlineStr">
        <is>
          <t>20250131</t>
        </is>
      </c>
    </row>
    <row r="667">
      <c r="A667" t="inlineStr">
        <is>
          <t>900004069DW70D07910059180</t>
        </is>
      </c>
      <c r="B667" t="inlineStr">
        <is>
          <t>900004069</t>
        </is>
      </c>
      <c r="C667" t="inlineStr">
        <is>
          <t>DW70</t>
        </is>
      </c>
      <c r="D667" t="inlineStr">
        <is>
          <t>D079</t>
        </is>
      </c>
      <c r="E667" t="inlineStr">
        <is>
          <t>4</t>
        </is>
      </c>
      <c r="F667" t="inlineStr">
        <is>
          <t>10059180</t>
        </is>
      </c>
      <c r="H667" t="inlineStr"/>
      <c r="J667" t="n">
        <v>134.46</v>
      </c>
      <c r="K667" t="inlineStr"/>
      <c r="M667" t="inlineStr">
        <is>
          <t>TN</t>
        </is>
      </c>
      <c r="N667" t="inlineStr"/>
      <c r="P667" t="inlineStr">
        <is>
          <t>20220331</t>
        </is>
      </c>
      <c r="Q667" t="inlineStr">
        <is>
          <t>20250131</t>
        </is>
      </c>
    </row>
    <row r="668">
      <c r="A668" t="inlineStr">
        <is>
          <t>900004069DW70D08010000623</t>
        </is>
      </c>
      <c r="B668" t="inlineStr">
        <is>
          <t>900004069</t>
        </is>
      </c>
      <c r="C668" t="inlineStr">
        <is>
          <t>DW70</t>
        </is>
      </c>
      <c r="D668" t="inlineStr">
        <is>
          <t>D080</t>
        </is>
      </c>
      <c r="E668" t="inlineStr">
        <is>
          <t>4</t>
        </is>
      </c>
      <c r="F668" t="inlineStr">
        <is>
          <t>10000623</t>
        </is>
      </c>
      <c r="H668" t="inlineStr"/>
      <c r="J668" t="n">
        <v>105.32</v>
      </c>
      <c r="K668" t="inlineStr"/>
      <c r="M668" t="inlineStr">
        <is>
          <t>TN</t>
        </is>
      </c>
      <c r="N668" t="inlineStr"/>
      <c r="P668" t="inlineStr">
        <is>
          <t>20220331</t>
        </is>
      </c>
      <c r="Q668" t="inlineStr">
        <is>
          <t>20250131</t>
        </is>
      </c>
    </row>
    <row r="669">
      <c r="A669" t="inlineStr">
        <is>
          <t>900004069DW70D08010059180</t>
        </is>
      </c>
      <c r="B669" t="inlineStr">
        <is>
          <t>900004069</t>
        </is>
      </c>
      <c r="C669" t="inlineStr">
        <is>
          <t>DW70</t>
        </is>
      </c>
      <c r="D669" t="inlineStr">
        <is>
          <t>D080</t>
        </is>
      </c>
      <c r="E669" t="inlineStr">
        <is>
          <t>4</t>
        </is>
      </c>
      <c r="F669" t="inlineStr">
        <is>
          <t>10059180</t>
        </is>
      </c>
      <c r="H669" t="inlineStr"/>
      <c r="J669" t="n">
        <v>90.48999999999999</v>
      </c>
      <c r="K669" t="inlineStr"/>
      <c r="M669" t="inlineStr">
        <is>
          <t>TN</t>
        </is>
      </c>
      <c r="N669" t="inlineStr"/>
      <c r="P669" t="inlineStr">
        <is>
          <t>20220331</t>
        </is>
      </c>
      <c r="Q669" t="inlineStr">
        <is>
          <t>20250131</t>
        </is>
      </c>
    </row>
    <row r="670">
      <c r="A670" t="inlineStr">
        <is>
          <t>900004069DW70D08110000623</t>
        </is>
      </c>
      <c r="B670" t="inlineStr">
        <is>
          <t>900004069</t>
        </is>
      </c>
      <c r="C670" t="inlineStr">
        <is>
          <t>DW70</t>
        </is>
      </c>
      <c r="D670" t="inlineStr">
        <is>
          <t>D081</t>
        </is>
      </c>
      <c r="E670" t="inlineStr">
        <is>
          <t>4</t>
        </is>
      </c>
      <c r="F670" t="inlineStr">
        <is>
          <t>10000623</t>
        </is>
      </c>
      <c r="H670" t="inlineStr"/>
      <c r="J670" t="n">
        <v>99.02</v>
      </c>
      <c r="K670" t="inlineStr"/>
      <c r="M670" t="inlineStr">
        <is>
          <t>TN</t>
        </is>
      </c>
      <c r="N670" t="inlineStr"/>
      <c r="P670" t="inlineStr">
        <is>
          <t>20220331</t>
        </is>
      </c>
      <c r="Q670" t="inlineStr">
        <is>
          <t>20250131</t>
        </is>
      </c>
    </row>
    <row r="671">
      <c r="A671" t="inlineStr">
        <is>
          <t>900004069DW70D08110059180</t>
        </is>
      </c>
      <c r="B671" t="inlineStr">
        <is>
          <t>900004069</t>
        </is>
      </c>
      <c r="C671" t="inlineStr">
        <is>
          <t>DW70</t>
        </is>
      </c>
      <c r="D671" t="inlineStr">
        <is>
          <t>D081</t>
        </is>
      </c>
      <c r="E671" t="inlineStr">
        <is>
          <t>4</t>
        </is>
      </c>
      <c r="F671" t="inlineStr">
        <is>
          <t>10059180</t>
        </is>
      </c>
      <c r="H671" t="inlineStr"/>
      <c r="J671" t="n">
        <v>84.2</v>
      </c>
      <c r="K671" t="inlineStr"/>
      <c r="M671" t="inlineStr">
        <is>
          <t>TN</t>
        </is>
      </c>
      <c r="N671" t="inlineStr"/>
      <c r="P671" t="inlineStr">
        <is>
          <t>20220331</t>
        </is>
      </c>
      <c r="Q671" t="inlineStr">
        <is>
          <t>20250131</t>
        </is>
      </c>
    </row>
    <row r="672">
      <c r="A672" t="inlineStr">
        <is>
          <t>900004069DW70D08310000623</t>
        </is>
      </c>
      <c r="B672" t="inlineStr">
        <is>
          <t>900004069</t>
        </is>
      </c>
      <c r="C672" t="inlineStr">
        <is>
          <t>DW70</t>
        </is>
      </c>
      <c r="D672" t="inlineStr">
        <is>
          <t>D083</t>
        </is>
      </c>
      <c r="E672" t="inlineStr">
        <is>
          <t>4</t>
        </is>
      </c>
      <c r="F672" t="inlineStr">
        <is>
          <t>10000623</t>
        </is>
      </c>
      <c r="H672" t="inlineStr"/>
      <c r="J672" t="n">
        <v>117.89</v>
      </c>
      <c r="K672" t="inlineStr"/>
      <c r="M672" t="inlineStr">
        <is>
          <t>TN</t>
        </is>
      </c>
      <c r="N672" t="inlineStr"/>
      <c r="P672" t="inlineStr">
        <is>
          <t>20220331</t>
        </is>
      </c>
      <c r="Q672" t="inlineStr">
        <is>
          <t>20250131</t>
        </is>
      </c>
    </row>
    <row r="673">
      <c r="A673" t="inlineStr">
        <is>
          <t>900004069DW70D08310059180</t>
        </is>
      </c>
      <c r="B673" t="inlineStr">
        <is>
          <t>900004069</t>
        </is>
      </c>
      <c r="C673" t="inlineStr">
        <is>
          <t>DW70</t>
        </is>
      </c>
      <c r="D673" t="inlineStr">
        <is>
          <t>D083</t>
        </is>
      </c>
      <c r="E673" t="inlineStr">
        <is>
          <t>4</t>
        </is>
      </c>
      <c r="F673" t="inlineStr">
        <is>
          <t>10059180</t>
        </is>
      </c>
      <c r="H673" t="inlineStr"/>
      <c r="J673" t="n">
        <v>103.05</v>
      </c>
      <c r="K673" t="inlineStr"/>
      <c r="M673" t="inlineStr">
        <is>
          <t>TN</t>
        </is>
      </c>
      <c r="N673" t="inlineStr"/>
      <c r="P673" t="inlineStr">
        <is>
          <t>20220331</t>
        </is>
      </c>
      <c r="Q673" t="inlineStr">
        <is>
          <t>20250131</t>
        </is>
      </c>
    </row>
    <row r="674">
      <c r="A674" t="inlineStr">
        <is>
          <t>900004069DW70D08410000623</t>
        </is>
      </c>
      <c r="B674" t="inlineStr">
        <is>
          <t>900004069</t>
        </is>
      </c>
      <c r="C674" t="inlineStr">
        <is>
          <t>DW70</t>
        </is>
      </c>
      <c r="D674" t="inlineStr">
        <is>
          <t>D084</t>
        </is>
      </c>
      <c r="E674" t="inlineStr">
        <is>
          <t>4</t>
        </is>
      </c>
      <c r="F674" t="inlineStr">
        <is>
          <t>10000623</t>
        </is>
      </c>
      <c r="H674" t="inlineStr"/>
      <c r="J674" t="n">
        <v>141.81</v>
      </c>
      <c r="K674" t="inlineStr"/>
      <c r="M674" t="inlineStr">
        <is>
          <t>TN</t>
        </is>
      </c>
      <c r="N674" t="inlineStr"/>
      <c r="P674" t="inlineStr">
        <is>
          <t>20220331</t>
        </is>
      </c>
      <c r="Q674" t="inlineStr">
        <is>
          <t>20250131</t>
        </is>
      </c>
    </row>
    <row r="675">
      <c r="A675" t="inlineStr">
        <is>
          <t>900004069DW70D08410059180</t>
        </is>
      </c>
      <c r="B675" t="inlineStr">
        <is>
          <t>900004069</t>
        </is>
      </c>
      <c r="C675" t="inlineStr">
        <is>
          <t>DW70</t>
        </is>
      </c>
      <c r="D675" t="inlineStr">
        <is>
          <t>D084</t>
        </is>
      </c>
      <c r="E675" t="inlineStr">
        <is>
          <t>4</t>
        </is>
      </c>
      <c r="F675" t="inlineStr">
        <is>
          <t>10059180</t>
        </is>
      </c>
      <c r="H675" t="inlineStr"/>
      <c r="J675" t="n">
        <v>126.92</v>
      </c>
      <c r="K675" t="inlineStr"/>
      <c r="M675" t="inlineStr">
        <is>
          <t>TN</t>
        </is>
      </c>
      <c r="N675" t="inlineStr"/>
      <c r="P675" t="inlineStr">
        <is>
          <t>20220331</t>
        </is>
      </c>
      <c r="Q675" t="inlineStr">
        <is>
          <t>20250131</t>
        </is>
      </c>
    </row>
    <row r="676">
      <c r="A676" t="inlineStr">
        <is>
          <t>900004069DW70D08510000623</t>
        </is>
      </c>
      <c r="B676" t="inlineStr">
        <is>
          <t>900004069</t>
        </is>
      </c>
      <c r="C676" t="inlineStr">
        <is>
          <t>DW70</t>
        </is>
      </c>
      <c r="D676" t="inlineStr">
        <is>
          <t>D085</t>
        </is>
      </c>
      <c r="E676" t="inlineStr">
        <is>
          <t>4</t>
        </is>
      </c>
      <c r="F676" t="inlineStr">
        <is>
          <t>10000623</t>
        </is>
      </c>
      <c r="H676" t="inlineStr"/>
      <c r="J676" t="n">
        <v>138.03</v>
      </c>
      <c r="K676" t="inlineStr"/>
      <c r="M676" t="inlineStr">
        <is>
          <t>TN</t>
        </is>
      </c>
      <c r="N676" t="inlineStr"/>
      <c r="P676" t="inlineStr">
        <is>
          <t>20220331</t>
        </is>
      </c>
      <c r="Q676" t="inlineStr">
        <is>
          <t>20250131</t>
        </is>
      </c>
    </row>
    <row r="677">
      <c r="A677" t="inlineStr">
        <is>
          <t>900004069DW70D08510059180</t>
        </is>
      </c>
      <c r="B677" t="inlineStr">
        <is>
          <t>900004069</t>
        </is>
      </c>
      <c r="C677" t="inlineStr">
        <is>
          <t>DW70</t>
        </is>
      </c>
      <c r="D677" t="inlineStr">
        <is>
          <t>D085</t>
        </is>
      </c>
      <c r="E677" t="inlineStr">
        <is>
          <t>4</t>
        </is>
      </c>
      <c r="F677" t="inlineStr">
        <is>
          <t>10059180</t>
        </is>
      </c>
      <c r="H677" t="inlineStr"/>
      <c r="J677" t="n">
        <v>123.15</v>
      </c>
      <c r="K677" t="inlineStr"/>
      <c r="M677" t="inlineStr">
        <is>
          <t>TN</t>
        </is>
      </c>
      <c r="N677" t="inlineStr"/>
      <c r="P677" t="inlineStr">
        <is>
          <t>20220331</t>
        </is>
      </c>
      <c r="Q677" t="inlineStr">
        <is>
          <t>20250131</t>
        </is>
      </c>
    </row>
    <row r="678">
      <c r="A678" t="inlineStr">
        <is>
          <t>900004069DW70D08610000623</t>
        </is>
      </c>
      <c r="B678" t="inlineStr">
        <is>
          <t>900004069</t>
        </is>
      </c>
      <c r="C678" t="inlineStr">
        <is>
          <t>DW70</t>
        </is>
      </c>
      <c r="D678" t="inlineStr">
        <is>
          <t>D086</t>
        </is>
      </c>
      <c r="E678" t="inlineStr">
        <is>
          <t>4</t>
        </is>
      </c>
      <c r="F678" t="inlineStr">
        <is>
          <t>10000623</t>
        </is>
      </c>
      <c r="H678" t="inlineStr"/>
      <c r="J678" t="n">
        <v>120.41</v>
      </c>
      <c r="K678" t="inlineStr"/>
      <c r="M678" t="inlineStr">
        <is>
          <t>TN</t>
        </is>
      </c>
      <c r="N678" t="inlineStr"/>
      <c r="P678" t="inlineStr">
        <is>
          <t>20220331</t>
        </is>
      </c>
      <c r="Q678" t="inlineStr">
        <is>
          <t>20250131</t>
        </is>
      </c>
    </row>
    <row r="679">
      <c r="A679" t="inlineStr">
        <is>
          <t>900004069DW70D08610059180</t>
        </is>
      </c>
      <c r="B679" t="inlineStr">
        <is>
          <t>900004069</t>
        </is>
      </c>
      <c r="C679" t="inlineStr">
        <is>
          <t>DW70</t>
        </is>
      </c>
      <c r="D679" t="inlineStr">
        <is>
          <t>D086</t>
        </is>
      </c>
      <c r="E679" t="inlineStr">
        <is>
          <t>4</t>
        </is>
      </c>
      <c r="F679" t="inlineStr">
        <is>
          <t>10059180</t>
        </is>
      </c>
      <c r="H679" t="inlineStr"/>
      <c r="J679" t="n">
        <v>105.57</v>
      </c>
      <c r="K679" t="inlineStr"/>
      <c r="M679" t="inlineStr">
        <is>
          <t>TN</t>
        </is>
      </c>
      <c r="N679" t="inlineStr"/>
      <c r="P679" t="inlineStr">
        <is>
          <t>20220331</t>
        </is>
      </c>
      <c r="Q679" t="inlineStr">
        <is>
          <t>20250131</t>
        </is>
      </c>
    </row>
    <row r="680">
      <c r="A680" t="inlineStr">
        <is>
          <t>900004069DW70D08810000623</t>
        </is>
      </c>
      <c r="B680" t="inlineStr">
        <is>
          <t>900004069</t>
        </is>
      </c>
      <c r="C680" t="inlineStr">
        <is>
          <t>DW70</t>
        </is>
      </c>
      <c r="D680" t="inlineStr">
        <is>
          <t>D088</t>
        </is>
      </c>
      <c r="E680" t="inlineStr">
        <is>
          <t>4</t>
        </is>
      </c>
      <c r="F680" t="inlineStr">
        <is>
          <t>10000623</t>
        </is>
      </c>
      <c r="H680" t="inlineStr"/>
      <c r="J680" t="n">
        <v>38.61</v>
      </c>
      <c r="K680" t="inlineStr"/>
      <c r="M680" t="inlineStr">
        <is>
          <t>TN</t>
        </is>
      </c>
      <c r="N680" t="inlineStr"/>
      <c r="P680" t="inlineStr">
        <is>
          <t>20220331</t>
        </is>
      </c>
      <c r="Q680" t="inlineStr">
        <is>
          <t>20250131</t>
        </is>
      </c>
    </row>
    <row r="681">
      <c r="A681" t="inlineStr">
        <is>
          <t>900004069DW70D08810059180</t>
        </is>
      </c>
      <c r="B681" t="inlineStr">
        <is>
          <t>900004069</t>
        </is>
      </c>
      <c r="C681" t="inlineStr">
        <is>
          <t>DW70</t>
        </is>
      </c>
      <c r="D681" t="inlineStr">
        <is>
          <t>D088</t>
        </is>
      </c>
      <c r="E681" t="inlineStr">
        <is>
          <t>4</t>
        </is>
      </c>
      <c r="F681" t="inlineStr">
        <is>
          <t>10059180</t>
        </is>
      </c>
      <c r="H681" t="inlineStr"/>
      <c r="J681" t="n">
        <v>23.89</v>
      </c>
      <c r="K681" t="inlineStr"/>
      <c r="M681" t="inlineStr">
        <is>
          <t>TN</t>
        </is>
      </c>
      <c r="N681" t="inlineStr"/>
      <c r="P681" t="inlineStr">
        <is>
          <t>20220331</t>
        </is>
      </c>
      <c r="Q681" t="inlineStr">
        <is>
          <t>20250131</t>
        </is>
      </c>
    </row>
    <row r="682">
      <c r="A682" t="inlineStr">
        <is>
          <t>900004069DW70D08910000623</t>
        </is>
      </c>
      <c r="B682" t="inlineStr">
        <is>
          <t>900004069</t>
        </is>
      </c>
      <c r="C682" t="inlineStr">
        <is>
          <t>DW70</t>
        </is>
      </c>
      <c r="D682" t="inlineStr">
        <is>
          <t>D089</t>
        </is>
      </c>
      <c r="E682" t="inlineStr">
        <is>
          <t>4</t>
        </is>
      </c>
      <c r="F682" t="inlineStr">
        <is>
          <t>10000623</t>
        </is>
      </c>
      <c r="H682" t="inlineStr"/>
      <c r="J682" t="n">
        <v>40.2</v>
      </c>
      <c r="K682" t="inlineStr"/>
      <c r="M682" t="inlineStr">
        <is>
          <t>TN</t>
        </is>
      </c>
      <c r="N682" t="inlineStr"/>
      <c r="P682" t="inlineStr">
        <is>
          <t>20220331</t>
        </is>
      </c>
      <c r="Q682" t="inlineStr">
        <is>
          <t>20250131</t>
        </is>
      </c>
    </row>
    <row r="683">
      <c r="A683" t="inlineStr">
        <is>
          <t>900004069DW70D08910059180</t>
        </is>
      </c>
      <c r="B683" t="inlineStr">
        <is>
          <t>900004069</t>
        </is>
      </c>
      <c r="C683" t="inlineStr">
        <is>
          <t>DW70</t>
        </is>
      </c>
      <c r="D683" t="inlineStr">
        <is>
          <t>D089</t>
        </is>
      </c>
      <c r="E683" t="inlineStr">
        <is>
          <t>4</t>
        </is>
      </c>
      <c r="F683" t="inlineStr">
        <is>
          <t>10059180</t>
        </is>
      </c>
      <c r="H683" t="inlineStr"/>
      <c r="J683" t="n">
        <v>25.47</v>
      </c>
      <c r="K683" t="inlineStr"/>
      <c r="M683" t="inlineStr">
        <is>
          <t>TN</t>
        </is>
      </c>
      <c r="N683" t="inlineStr"/>
      <c r="P683" t="inlineStr">
        <is>
          <t>20220331</t>
        </is>
      </c>
      <c r="Q683" t="inlineStr">
        <is>
          <t>20250131</t>
        </is>
      </c>
    </row>
    <row r="684">
      <c r="A684" t="inlineStr">
        <is>
          <t>900004069DW70D09810000623</t>
        </is>
      </c>
      <c r="B684" t="inlineStr">
        <is>
          <t>900004069</t>
        </is>
      </c>
      <c r="C684" t="inlineStr">
        <is>
          <t>DW70</t>
        </is>
      </c>
      <c r="D684" t="inlineStr">
        <is>
          <t>D098</t>
        </is>
      </c>
      <c r="E684" t="inlineStr">
        <is>
          <t>4</t>
        </is>
      </c>
      <c r="F684" t="inlineStr">
        <is>
          <t>10000623</t>
        </is>
      </c>
      <c r="H684" t="inlineStr"/>
      <c r="J684" t="n">
        <v>63.78</v>
      </c>
      <c r="K684" t="inlineStr"/>
      <c r="M684" t="inlineStr">
        <is>
          <t>TN</t>
        </is>
      </c>
      <c r="N684" t="inlineStr"/>
      <c r="P684" t="inlineStr">
        <is>
          <t>20220331</t>
        </is>
      </c>
      <c r="Q684" t="inlineStr">
        <is>
          <t>20250131</t>
        </is>
      </c>
    </row>
    <row r="685">
      <c r="A685" t="inlineStr">
        <is>
          <t>900004069DW70D09810059180</t>
        </is>
      </c>
      <c r="B685" t="inlineStr">
        <is>
          <t>900004069</t>
        </is>
      </c>
      <c r="C685" t="inlineStr">
        <is>
          <t>DW70</t>
        </is>
      </c>
      <c r="D685" t="inlineStr">
        <is>
          <t>D098</t>
        </is>
      </c>
      <c r="E685" t="inlineStr">
        <is>
          <t>4</t>
        </is>
      </c>
      <c r="F685" t="inlineStr">
        <is>
          <t>10059180</t>
        </is>
      </c>
      <c r="H685" t="inlineStr"/>
      <c r="J685" t="n">
        <v>49.01</v>
      </c>
      <c r="K685" t="inlineStr"/>
      <c r="M685" t="inlineStr">
        <is>
          <t>TN</t>
        </is>
      </c>
      <c r="N685" t="inlineStr"/>
      <c r="P685" t="inlineStr">
        <is>
          <t>20220331</t>
        </is>
      </c>
      <c r="Q685" t="inlineStr">
        <is>
          <t>20250131</t>
        </is>
      </c>
    </row>
    <row r="686">
      <c r="A686" t="inlineStr">
        <is>
          <t>900004069DW70D10510000623</t>
        </is>
      </c>
      <c r="B686" t="inlineStr">
        <is>
          <t>900004069</t>
        </is>
      </c>
      <c r="C686" t="inlineStr">
        <is>
          <t>DW70</t>
        </is>
      </c>
      <c r="D686" t="inlineStr">
        <is>
          <t>D105</t>
        </is>
      </c>
      <c r="E686" t="inlineStr">
        <is>
          <t>4</t>
        </is>
      </c>
      <c r="F686" t="inlineStr">
        <is>
          <t>10000623</t>
        </is>
      </c>
      <c r="H686" t="inlineStr"/>
      <c r="J686" t="n">
        <v>101.54</v>
      </c>
      <c r="K686" t="inlineStr"/>
      <c r="M686" t="inlineStr">
        <is>
          <t>TN</t>
        </is>
      </c>
      <c r="N686" t="inlineStr"/>
      <c r="P686" t="inlineStr">
        <is>
          <t>20220331</t>
        </is>
      </c>
      <c r="Q686" t="inlineStr">
        <is>
          <t>20250131</t>
        </is>
      </c>
    </row>
    <row r="687">
      <c r="A687" t="inlineStr">
        <is>
          <t>900004069DW70D10510059180</t>
        </is>
      </c>
      <c r="B687" t="inlineStr">
        <is>
          <t>900004069</t>
        </is>
      </c>
      <c r="C687" t="inlineStr">
        <is>
          <t>DW70</t>
        </is>
      </c>
      <c r="D687" t="inlineStr">
        <is>
          <t>D105</t>
        </is>
      </c>
      <c r="E687" t="inlineStr">
        <is>
          <t>4</t>
        </is>
      </c>
      <c r="F687" t="inlineStr">
        <is>
          <t>10059180</t>
        </is>
      </c>
      <c r="H687" t="inlineStr"/>
      <c r="J687" t="n">
        <v>86.72</v>
      </c>
      <c r="K687" t="inlineStr"/>
      <c r="M687" t="inlineStr">
        <is>
          <t>TN</t>
        </is>
      </c>
      <c r="N687" t="inlineStr"/>
      <c r="P687" t="inlineStr">
        <is>
          <t>20220331</t>
        </is>
      </c>
      <c r="Q687" t="inlineStr">
        <is>
          <t>20250131</t>
        </is>
      </c>
    </row>
    <row r="688">
      <c r="A688" t="inlineStr">
        <is>
          <t>900004069DW70D13610000623</t>
        </is>
      </c>
      <c r="B688" t="inlineStr">
        <is>
          <t>900004069</t>
        </is>
      </c>
      <c r="C688" t="inlineStr">
        <is>
          <t>DW70</t>
        </is>
      </c>
      <c r="D688" t="inlineStr">
        <is>
          <t>D136</t>
        </is>
      </c>
      <c r="E688" t="inlineStr">
        <is>
          <t>4</t>
        </is>
      </c>
      <c r="F688" t="inlineStr">
        <is>
          <t>10000623</t>
        </is>
      </c>
      <c r="H688" t="inlineStr"/>
      <c r="J688" t="n">
        <v>121.67</v>
      </c>
      <c r="K688" t="inlineStr"/>
      <c r="M688" t="inlineStr">
        <is>
          <t>TN</t>
        </is>
      </c>
      <c r="N688" t="inlineStr"/>
      <c r="P688" t="inlineStr">
        <is>
          <t>20220331</t>
        </is>
      </c>
      <c r="Q688" t="inlineStr">
        <is>
          <t>20250131</t>
        </is>
      </c>
    </row>
    <row r="689">
      <c r="A689" t="inlineStr">
        <is>
          <t>900004069DW70D13610059180</t>
        </is>
      </c>
      <c r="B689" t="inlineStr">
        <is>
          <t>900004069</t>
        </is>
      </c>
      <c r="C689" t="inlineStr">
        <is>
          <t>DW70</t>
        </is>
      </c>
      <c r="D689" t="inlineStr">
        <is>
          <t>D136</t>
        </is>
      </c>
      <c r="E689" t="inlineStr">
        <is>
          <t>4</t>
        </is>
      </c>
      <c r="F689" t="inlineStr">
        <is>
          <t>10059180</t>
        </is>
      </c>
      <c r="H689" t="inlineStr"/>
      <c r="J689" t="n">
        <v>106.82</v>
      </c>
      <c r="K689" t="inlineStr"/>
      <c r="M689" t="inlineStr">
        <is>
          <t>TN</t>
        </is>
      </c>
      <c r="N689" t="inlineStr"/>
      <c r="P689" t="inlineStr">
        <is>
          <t>20220331</t>
        </is>
      </c>
      <c r="Q689" t="inlineStr">
        <is>
          <t>20250131</t>
        </is>
      </c>
    </row>
    <row r="690">
      <c r="A690" t="inlineStr">
        <is>
          <t>900004069DW70D14510000623</t>
        </is>
      </c>
      <c r="B690" t="inlineStr">
        <is>
          <t>900004069</t>
        </is>
      </c>
      <c r="C690" t="inlineStr">
        <is>
          <t>DW70</t>
        </is>
      </c>
      <c r="D690" t="inlineStr">
        <is>
          <t>D145</t>
        </is>
      </c>
      <c r="E690" t="inlineStr">
        <is>
          <t>4</t>
        </is>
      </c>
      <c r="F690" t="inlineStr">
        <is>
          <t>10000623</t>
        </is>
      </c>
      <c r="H690" t="inlineStr"/>
      <c r="J690" t="n">
        <v>90.20999999999999</v>
      </c>
      <c r="K690" t="inlineStr"/>
      <c r="M690" t="inlineStr">
        <is>
          <t>TN</t>
        </is>
      </c>
      <c r="N690" t="inlineStr"/>
      <c r="P690" t="inlineStr">
        <is>
          <t>20220331</t>
        </is>
      </c>
      <c r="Q690" t="inlineStr">
        <is>
          <t>20250131</t>
        </is>
      </c>
    </row>
    <row r="691">
      <c r="A691" t="inlineStr">
        <is>
          <t>900004069DW70D14510059180</t>
        </is>
      </c>
      <c r="B691" t="inlineStr">
        <is>
          <t>900004069</t>
        </is>
      </c>
      <c r="C691" t="inlineStr">
        <is>
          <t>DW70</t>
        </is>
      </c>
      <c r="D691" t="inlineStr">
        <is>
          <t>D145</t>
        </is>
      </c>
      <c r="E691" t="inlineStr">
        <is>
          <t>4</t>
        </is>
      </c>
      <c r="F691" t="inlineStr">
        <is>
          <t>10059180</t>
        </is>
      </c>
      <c r="H691" t="inlineStr"/>
      <c r="J691" t="n">
        <v>75.41</v>
      </c>
      <c r="K691" t="inlineStr"/>
      <c r="M691" t="inlineStr">
        <is>
          <t>TN</t>
        </is>
      </c>
      <c r="N691" t="inlineStr"/>
      <c r="P691" t="inlineStr">
        <is>
          <t>20220331</t>
        </is>
      </c>
      <c r="Q691" t="inlineStr">
        <is>
          <t>20250131</t>
        </is>
      </c>
    </row>
    <row r="692">
      <c r="A692" t="inlineStr">
        <is>
          <t>900004090DW70D07410000623</t>
        </is>
      </c>
      <c r="B692" t="inlineStr">
        <is>
          <t>900004090</t>
        </is>
      </c>
      <c r="C692" t="inlineStr">
        <is>
          <t>DW70</t>
        </is>
      </c>
      <c r="D692" t="inlineStr">
        <is>
          <t>D074</t>
        </is>
      </c>
      <c r="E692" t="inlineStr">
        <is>
          <t>4</t>
        </is>
      </c>
      <c r="F692" t="inlineStr">
        <is>
          <t>10000623</t>
        </is>
      </c>
      <c r="H692" t="inlineStr"/>
      <c r="J692" t="n">
        <v>153.72</v>
      </c>
      <c r="K692" t="inlineStr"/>
      <c r="M692" t="inlineStr">
        <is>
          <t>TN</t>
        </is>
      </c>
      <c r="N692" t="inlineStr"/>
      <c r="P692" t="inlineStr">
        <is>
          <t>20220331</t>
        </is>
      </c>
      <c r="Q692" t="inlineStr">
        <is>
          <t>20250131</t>
        </is>
      </c>
    </row>
    <row r="693">
      <c r="A693" t="inlineStr">
        <is>
          <t>900004090DW70D07710000623</t>
        </is>
      </c>
      <c r="B693" t="inlineStr">
        <is>
          <t>900004090</t>
        </is>
      </c>
      <c r="C693" t="inlineStr">
        <is>
          <t>DW70</t>
        </is>
      </c>
      <c r="D693" t="inlineStr">
        <is>
          <t>D077</t>
        </is>
      </c>
      <c r="E693" t="inlineStr">
        <is>
          <t>4</t>
        </is>
      </c>
      <c r="F693" t="inlineStr">
        <is>
          <t>10000623</t>
        </is>
      </c>
      <c r="H693" t="inlineStr"/>
      <c r="J693" t="n">
        <v>202.21</v>
      </c>
      <c r="K693" t="inlineStr"/>
      <c r="M693" t="inlineStr">
        <is>
          <t>TN</t>
        </is>
      </c>
      <c r="N693" t="inlineStr"/>
      <c r="P693" t="inlineStr">
        <is>
          <t>20220331</t>
        </is>
      </c>
      <c r="Q693" t="inlineStr">
        <is>
          <t>20250131</t>
        </is>
      </c>
    </row>
    <row r="694">
      <c r="A694" t="inlineStr">
        <is>
          <t>900004090DW70D07910000623</t>
        </is>
      </c>
      <c r="B694" t="inlineStr">
        <is>
          <t>900004090</t>
        </is>
      </c>
      <c r="C694" t="inlineStr">
        <is>
          <t>DW70</t>
        </is>
      </c>
      <c r="D694" t="inlineStr">
        <is>
          <t>D079</t>
        </is>
      </c>
      <c r="E694" t="inlineStr">
        <is>
          <t>4</t>
        </is>
      </c>
      <c r="F694" t="inlineStr">
        <is>
          <t>10000623</t>
        </is>
      </c>
      <c r="H694" t="inlineStr"/>
      <c r="J694" t="n">
        <v>200.34</v>
      </c>
      <c r="K694" t="inlineStr"/>
      <c r="M694" t="inlineStr">
        <is>
          <t>TN</t>
        </is>
      </c>
      <c r="N694" t="inlineStr"/>
      <c r="P694" t="inlineStr">
        <is>
          <t>20220331</t>
        </is>
      </c>
      <c r="Q694" t="inlineStr">
        <is>
          <t>20250131</t>
        </is>
      </c>
    </row>
    <row r="695">
      <c r="A695" t="inlineStr">
        <is>
          <t>900004090DW70D08110000623</t>
        </is>
      </c>
      <c r="B695" t="inlineStr">
        <is>
          <t>900004090</t>
        </is>
      </c>
      <c r="C695" t="inlineStr">
        <is>
          <t>DW70</t>
        </is>
      </c>
      <c r="D695" t="inlineStr">
        <is>
          <t>D081</t>
        </is>
      </c>
      <c r="E695" t="inlineStr">
        <is>
          <t>4</t>
        </is>
      </c>
      <c r="F695" t="inlineStr">
        <is>
          <t>10000623</t>
        </is>
      </c>
      <c r="H695" t="inlineStr"/>
      <c r="J695" t="n">
        <v>125.45</v>
      </c>
      <c r="K695" t="inlineStr"/>
      <c r="M695" t="inlineStr">
        <is>
          <t>TN</t>
        </is>
      </c>
      <c r="N695" t="inlineStr"/>
      <c r="P695" t="inlineStr">
        <is>
          <t>20220331</t>
        </is>
      </c>
      <c r="Q695" t="inlineStr">
        <is>
          <t>20250131</t>
        </is>
      </c>
    </row>
    <row r="696">
      <c r="A696" t="inlineStr">
        <is>
          <t>900004090DW70D08310000623</t>
        </is>
      </c>
      <c r="B696" t="inlineStr">
        <is>
          <t>900004090</t>
        </is>
      </c>
      <c r="C696" t="inlineStr">
        <is>
          <t>DW70</t>
        </is>
      </c>
      <c r="D696" t="inlineStr">
        <is>
          <t>D083</t>
        </is>
      </c>
      <c r="E696" t="inlineStr">
        <is>
          <t>4</t>
        </is>
      </c>
      <c r="F696" t="inlineStr">
        <is>
          <t>10000623</t>
        </is>
      </c>
      <c r="H696" t="inlineStr"/>
      <c r="J696" t="n">
        <v>153.53</v>
      </c>
      <c r="K696" t="inlineStr"/>
      <c r="M696" t="inlineStr">
        <is>
          <t>TN</t>
        </is>
      </c>
      <c r="N696" t="inlineStr"/>
      <c r="P696" t="inlineStr">
        <is>
          <t>20220331</t>
        </is>
      </c>
      <c r="Q696" t="inlineStr">
        <is>
          <t>20250131</t>
        </is>
      </c>
    </row>
    <row r="697">
      <c r="A697" t="inlineStr">
        <is>
          <t>900004090DW70D08410000623</t>
        </is>
      </c>
      <c r="B697" t="inlineStr">
        <is>
          <t>900004090</t>
        </is>
      </c>
      <c r="C697" t="inlineStr">
        <is>
          <t>DW70</t>
        </is>
      </c>
      <c r="D697" t="inlineStr">
        <is>
          <t>D084</t>
        </is>
      </c>
      <c r="E697" t="inlineStr">
        <is>
          <t>4</t>
        </is>
      </c>
      <c r="F697" t="inlineStr">
        <is>
          <t>10000623</t>
        </is>
      </c>
      <c r="H697" t="inlineStr"/>
      <c r="J697" t="n">
        <v>189.11</v>
      </c>
      <c r="K697" t="inlineStr"/>
      <c r="M697" t="inlineStr">
        <is>
          <t>TN</t>
        </is>
      </c>
      <c r="N697" t="inlineStr"/>
      <c r="P697" t="inlineStr">
        <is>
          <t>20220331</t>
        </is>
      </c>
      <c r="Q697" t="inlineStr">
        <is>
          <t>20250131</t>
        </is>
      </c>
    </row>
    <row r="698">
      <c r="A698" t="inlineStr">
        <is>
          <t>900004090DW70D08610000623</t>
        </is>
      </c>
      <c r="B698" t="inlineStr">
        <is>
          <t>900004090</t>
        </is>
      </c>
      <c r="C698" t="inlineStr">
        <is>
          <t>DW70</t>
        </is>
      </c>
      <c r="D698" t="inlineStr">
        <is>
          <t>D086</t>
        </is>
      </c>
      <c r="E698" t="inlineStr">
        <is>
          <t>4</t>
        </is>
      </c>
      <c r="F698" t="inlineStr">
        <is>
          <t>10000623</t>
        </is>
      </c>
      <c r="H698" t="inlineStr"/>
      <c r="J698" t="n">
        <v>157.28</v>
      </c>
      <c r="K698" t="inlineStr"/>
      <c r="M698" t="inlineStr">
        <is>
          <t>TN</t>
        </is>
      </c>
      <c r="N698" t="inlineStr"/>
      <c r="P698" t="inlineStr">
        <is>
          <t>20220331</t>
        </is>
      </c>
      <c r="Q698" t="inlineStr">
        <is>
          <t>20250131</t>
        </is>
      </c>
    </row>
    <row r="699">
      <c r="A699" t="inlineStr">
        <is>
          <t>900004090DW70D08810000623</t>
        </is>
      </c>
      <c r="B699" t="inlineStr">
        <is>
          <t>900004090</t>
        </is>
      </c>
      <c r="C699" t="inlineStr">
        <is>
          <t>DW70</t>
        </is>
      </c>
      <c r="D699" t="inlineStr">
        <is>
          <t>D088</t>
        </is>
      </c>
      <c r="E699" t="inlineStr">
        <is>
          <t>4</t>
        </is>
      </c>
      <c r="F699" t="inlineStr">
        <is>
          <t>10000623</t>
        </is>
      </c>
      <c r="H699" t="inlineStr"/>
      <c r="J699" t="n">
        <v>46.81</v>
      </c>
      <c r="K699" t="inlineStr"/>
      <c r="M699" t="inlineStr">
        <is>
          <t>TN</t>
        </is>
      </c>
      <c r="N699" t="inlineStr"/>
      <c r="P699" t="inlineStr">
        <is>
          <t>20220331</t>
        </is>
      </c>
      <c r="Q699" t="inlineStr">
        <is>
          <t>20250131</t>
        </is>
      </c>
    </row>
    <row r="700">
      <c r="A700" t="inlineStr">
        <is>
          <t>900004090DW70D09310000623</t>
        </is>
      </c>
      <c r="B700" t="inlineStr">
        <is>
          <t>900004090</t>
        </is>
      </c>
      <c r="C700" t="inlineStr">
        <is>
          <t>DW70</t>
        </is>
      </c>
      <c r="D700" t="inlineStr">
        <is>
          <t>D093</t>
        </is>
      </c>
      <c r="E700" t="inlineStr">
        <is>
          <t>4</t>
        </is>
      </c>
      <c r="F700" t="inlineStr">
        <is>
          <t>10000623</t>
        </is>
      </c>
      <c r="H700" t="inlineStr"/>
      <c r="J700" t="n">
        <v>89.87</v>
      </c>
      <c r="K700" t="inlineStr"/>
      <c r="M700" t="inlineStr">
        <is>
          <t>TN</t>
        </is>
      </c>
      <c r="N700" t="inlineStr"/>
      <c r="P700" t="inlineStr">
        <is>
          <t>20220331</t>
        </is>
      </c>
      <c r="Q700" t="inlineStr">
        <is>
          <t>20250131</t>
        </is>
      </c>
    </row>
    <row r="701">
      <c r="A701" t="inlineStr">
        <is>
          <t>900004090DW70D09410220798</t>
        </is>
      </c>
      <c r="B701" t="inlineStr">
        <is>
          <t>900004090</t>
        </is>
      </c>
      <c r="C701" t="inlineStr">
        <is>
          <t>DW70</t>
        </is>
      </c>
      <c r="D701" t="inlineStr">
        <is>
          <t>D094</t>
        </is>
      </c>
      <c r="E701" t="inlineStr">
        <is>
          <t>4</t>
        </is>
      </c>
      <c r="F701" t="inlineStr">
        <is>
          <t>10220798</t>
        </is>
      </c>
      <c r="H701" t="inlineStr"/>
      <c r="J701" t="n">
        <v>113.24</v>
      </c>
      <c r="K701" t="inlineStr"/>
      <c r="M701" t="inlineStr">
        <is>
          <t>TN</t>
        </is>
      </c>
      <c r="N701" t="inlineStr"/>
      <c r="P701" t="inlineStr">
        <is>
          <t>20220331</t>
        </is>
      </c>
      <c r="Q701" t="inlineStr">
        <is>
          <t>20250131</t>
        </is>
      </c>
    </row>
    <row r="702">
      <c r="A702" t="inlineStr">
        <is>
          <t>900004090DW70D09410220799</t>
        </is>
      </c>
      <c r="B702" t="inlineStr">
        <is>
          <t>900004090</t>
        </is>
      </c>
      <c r="C702" t="inlineStr">
        <is>
          <t>DW70</t>
        </is>
      </c>
      <c r="D702" t="inlineStr">
        <is>
          <t>D094</t>
        </is>
      </c>
      <c r="E702" t="inlineStr">
        <is>
          <t>4</t>
        </is>
      </c>
      <c r="F702" t="inlineStr">
        <is>
          <t>10220799</t>
        </is>
      </c>
      <c r="H702" t="inlineStr"/>
      <c r="J702" t="n">
        <v>65.63</v>
      </c>
      <c r="K702" t="inlineStr"/>
      <c r="M702" t="inlineStr">
        <is>
          <t>TN</t>
        </is>
      </c>
      <c r="N702" t="inlineStr"/>
      <c r="P702" t="inlineStr">
        <is>
          <t>20220331</t>
        </is>
      </c>
      <c r="Q702" t="inlineStr">
        <is>
          <t>20250131</t>
        </is>
      </c>
    </row>
    <row r="703">
      <c r="A703" t="inlineStr">
        <is>
          <t>900004090DW70D09810000623</t>
        </is>
      </c>
      <c r="B703" t="inlineStr">
        <is>
          <t>900004090</t>
        </is>
      </c>
      <c r="C703" t="inlineStr">
        <is>
          <t>DW70</t>
        </is>
      </c>
      <c r="D703" t="inlineStr">
        <is>
          <t>D098</t>
        </is>
      </c>
      <c r="E703" t="inlineStr">
        <is>
          <t>4</t>
        </is>
      </c>
      <c r="F703" t="inlineStr">
        <is>
          <t>10000623</t>
        </is>
      </c>
      <c r="H703" t="inlineStr"/>
      <c r="J703" t="n">
        <v>91.73999999999999</v>
      </c>
      <c r="K703" t="inlineStr"/>
      <c r="M703" t="inlineStr">
        <is>
          <t>TN</t>
        </is>
      </c>
      <c r="N703" t="inlineStr"/>
      <c r="P703" t="inlineStr">
        <is>
          <t>20220331</t>
        </is>
      </c>
      <c r="Q703" t="inlineStr">
        <is>
          <t>20250131</t>
        </is>
      </c>
    </row>
    <row r="704">
      <c r="A704" t="inlineStr">
        <is>
          <t>900004090DW70D10510000623</t>
        </is>
      </c>
      <c r="B704" t="inlineStr">
        <is>
          <t>900004090</t>
        </is>
      </c>
      <c r="C704" t="inlineStr">
        <is>
          <t>DW70</t>
        </is>
      </c>
      <c r="D704" t="inlineStr">
        <is>
          <t>D105</t>
        </is>
      </c>
      <c r="E704" t="inlineStr">
        <is>
          <t>4</t>
        </is>
      </c>
      <c r="F704" t="inlineStr">
        <is>
          <t>10000623</t>
        </is>
      </c>
      <c r="H704" t="inlineStr"/>
      <c r="J704" t="n">
        <v>129.19</v>
      </c>
      <c r="K704" t="inlineStr"/>
      <c r="M704" t="inlineStr">
        <is>
          <t>TN</t>
        </is>
      </c>
      <c r="N704" t="inlineStr"/>
      <c r="P704" t="inlineStr">
        <is>
          <t>20220331</t>
        </is>
      </c>
      <c r="Q704" t="inlineStr">
        <is>
          <t>20250131</t>
        </is>
      </c>
    </row>
    <row r="705">
      <c r="A705" t="inlineStr">
        <is>
          <t>900004184DW70D07410000623</t>
        </is>
      </c>
      <c r="B705" t="inlineStr">
        <is>
          <t>900004184</t>
        </is>
      </c>
      <c r="C705" t="inlineStr">
        <is>
          <t>DW70</t>
        </is>
      </c>
      <c r="D705" t="inlineStr">
        <is>
          <t>D074</t>
        </is>
      </c>
      <c r="E705" t="inlineStr">
        <is>
          <t>4</t>
        </is>
      </c>
      <c r="F705" t="inlineStr">
        <is>
          <t>10000623</t>
        </is>
      </c>
      <c r="H705" t="inlineStr"/>
      <c r="J705" t="n">
        <v>117.89</v>
      </c>
      <c r="K705" t="inlineStr"/>
      <c r="M705" t="inlineStr">
        <is>
          <t>TN</t>
        </is>
      </c>
      <c r="N705" t="inlineStr"/>
      <c r="P705" t="inlineStr">
        <is>
          <t>20220331</t>
        </is>
      </c>
      <c r="Q705" t="inlineStr">
        <is>
          <t>20250131</t>
        </is>
      </c>
    </row>
    <row r="706">
      <c r="A706" t="inlineStr">
        <is>
          <t>900004184DW70D07410000624</t>
        </is>
      </c>
      <c r="B706" t="inlineStr">
        <is>
          <t>900004184</t>
        </is>
      </c>
      <c r="C706" t="inlineStr">
        <is>
          <t>DW70</t>
        </is>
      </c>
      <c r="D706" t="inlineStr">
        <is>
          <t>D074</t>
        </is>
      </c>
      <c r="E706" t="inlineStr">
        <is>
          <t>4</t>
        </is>
      </c>
      <c r="F706" t="inlineStr">
        <is>
          <t>10000624</t>
        </is>
      </c>
      <c r="H706" t="inlineStr"/>
      <c r="J706" t="n">
        <v>115.26</v>
      </c>
      <c r="K706" t="inlineStr"/>
      <c r="M706" t="inlineStr">
        <is>
          <t>TN</t>
        </is>
      </c>
      <c r="N706" t="inlineStr"/>
      <c r="P706" t="inlineStr">
        <is>
          <t>20220331</t>
        </is>
      </c>
      <c r="Q706" t="inlineStr">
        <is>
          <t>20250131</t>
        </is>
      </c>
    </row>
    <row r="707">
      <c r="A707" t="inlineStr">
        <is>
          <t>900004184DW70D07410000811</t>
        </is>
      </c>
      <c r="B707" t="inlineStr">
        <is>
          <t>900004184</t>
        </is>
      </c>
      <c r="C707" t="inlineStr">
        <is>
          <t>DW70</t>
        </is>
      </c>
      <c r="D707" t="inlineStr">
        <is>
          <t>D074</t>
        </is>
      </c>
      <c r="E707" t="inlineStr">
        <is>
          <t>4</t>
        </is>
      </c>
      <c r="F707" t="inlineStr">
        <is>
          <t>10000811</t>
        </is>
      </c>
      <c r="H707" t="inlineStr"/>
      <c r="J707" t="n">
        <v>115.26</v>
      </c>
      <c r="K707" t="inlineStr"/>
      <c r="M707" t="inlineStr">
        <is>
          <t>TN</t>
        </is>
      </c>
      <c r="N707" t="inlineStr"/>
      <c r="P707" t="inlineStr">
        <is>
          <t>20220331</t>
        </is>
      </c>
      <c r="Q707" t="inlineStr">
        <is>
          <t>20250131</t>
        </is>
      </c>
    </row>
    <row r="708">
      <c r="A708" t="inlineStr">
        <is>
          <t>900004184DW70D07410059180</t>
        </is>
      </c>
      <c r="B708" t="inlineStr">
        <is>
          <t>900004184</t>
        </is>
      </c>
      <c r="C708" t="inlineStr">
        <is>
          <t>DW70</t>
        </is>
      </c>
      <c r="D708" t="inlineStr">
        <is>
          <t>D074</t>
        </is>
      </c>
      <c r="E708" t="inlineStr">
        <is>
          <t>4</t>
        </is>
      </c>
      <c r="F708" t="inlineStr">
        <is>
          <t>10059180</t>
        </is>
      </c>
      <c r="H708" t="inlineStr"/>
      <c r="J708" t="n">
        <v>103.05</v>
      </c>
      <c r="K708" t="inlineStr"/>
      <c r="M708" t="inlineStr">
        <is>
          <t>TN</t>
        </is>
      </c>
      <c r="N708" t="inlineStr"/>
      <c r="P708" t="inlineStr">
        <is>
          <t>20220331</t>
        </is>
      </c>
      <c r="Q708" t="inlineStr">
        <is>
          <t>20250131</t>
        </is>
      </c>
    </row>
    <row r="709">
      <c r="A709" t="inlineStr">
        <is>
          <t>900004184DW70D07510000623</t>
        </is>
      </c>
      <c r="B709" t="inlineStr">
        <is>
          <t>900004184</t>
        </is>
      </c>
      <c r="C709" t="inlineStr">
        <is>
          <t>DW70</t>
        </is>
      </c>
      <c r="D709" t="inlineStr">
        <is>
          <t>D075</t>
        </is>
      </c>
      <c r="E709" t="inlineStr">
        <is>
          <t>4</t>
        </is>
      </c>
      <c r="F709" t="inlineStr">
        <is>
          <t>10000623</t>
        </is>
      </c>
      <c r="H709" t="inlineStr"/>
      <c r="J709" t="n">
        <v>105.32</v>
      </c>
      <c r="K709" t="inlineStr"/>
      <c r="M709" t="inlineStr">
        <is>
          <t>TN</t>
        </is>
      </c>
      <c r="N709" t="inlineStr"/>
      <c r="P709" t="inlineStr">
        <is>
          <t>20220331</t>
        </is>
      </c>
      <c r="Q709" t="inlineStr">
        <is>
          <t>20250131</t>
        </is>
      </c>
    </row>
    <row r="710">
      <c r="A710" t="inlineStr">
        <is>
          <t>900004184DW70D07510000624</t>
        </is>
      </c>
      <c r="B710" t="inlineStr">
        <is>
          <t>900004184</t>
        </is>
      </c>
      <c r="C710" t="inlineStr">
        <is>
          <t>DW70</t>
        </is>
      </c>
      <c r="D710" t="inlineStr">
        <is>
          <t>D075</t>
        </is>
      </c>
      <c r="E710" t="inlineStr">
        <is>
          <t>4</t>
        </is>
      </c>
      <c r="F710" t="inlineStr">
        <is>
          <t>10000624</t>
        </is>
      </c>
      <c r="H710" t="inlineStr"/>
      <c r="J710" t="n">
        <v>102.99</v>
      </c>
      <c r="K710" t="inlineStr"/>
      <c r="M710" t="inlineStr">
        <is>
          <t>TN</t>
        </is>
      </c>
      <c r="N710" t="inlineStr"/>
      <c r="P710" t="inlineStr">
        <is>
          <t>20220331</t>
        </is>
      </c>
      <c r="Q710" t="inlineStr">
        <is>
          <t>20250131</t>
        </is>
      </c>
    </row>
    <row r="711">
      <c r="A711" t="inlineStr">
        <is>
          <t>900004184DW70D07510000811</t>
        </is>
      </c>
      <c r="B711" t="inlineStr">
        <is>
          <t>900004184</t>
        </is>
      </c>
      <c r="C711" t="inlineStr">
        <is>
          <t>DW70</t>
        </is>
      </c>
      <c r="D711" t="inlineStr">
        <is>
          <t>D075</t>
        </is>
      </c>
      <c r="E711" t="inlineStr">
        <is>
          <t>4</t>
        </is>
      </c>
      <c r="F711" t="inlineStr">
        <is>
          <t>10000811</t>
        </is>
      </c>
      <c r="H711" t="inlineStr"/>
      <c r="J711" t="n">
        <v>102.99</v>
      </c>
      <c r="K711" t="inlineStr"/>
      <c r="M711" t="inlineStr">
        <is>
          <t>TN</t>
        </is>
      </c>
      <c r="N711" t="inlineStr"/>
      <c r="P711" t="inlineStr">
        <is>
          <t>20220331</t>
        </is>
      </c>
      <c r="Q711" t="inlineStr">
        <is>
          <t>20250131</t>
        </is>
      </c>
    </row>
    <row r="712">
      <c r="A712" t="inlineStr">
        <is>
          <t>900004184DW70D07510059180</t>
        </is>
      </c>
      <c r="B712" t="inlineStr">
        <is>
          <t>900004184</t>
        </is>
      </c>
      <c r="C712" t="inlineStr">
        <is>
          <t>DW70</t>
        </is>
      </c>
      <c r="D712" t="inlineStr">
        <is>
          <t>D075</t>
        </is>
      </c>
      <c r="E712" t="inlineStr">
        <is>
          <t>4</t>
        </is>
      </c>
      <c r="F712" t="inlineStr">
        <is>
          <t>10059180</t>
        </is>
      </c>
      <c r="H712" t="inlineStr"/>
      <c r="J712" t="n">
        <v>90.48999999999999</v>
      </c>
      <c r="K712" t="inlineStr"/>
      <c r="M712" t="inlineStr">
        <is>
          <t>TN</t>
        </is>
      </c>
      <c r="N712" t="inlineStr"/>
      <c r="P712" t="inlineStr">
        <is>
          <t>20220331</t>
        </is>
      </c>
      <c r="Q712" t="inlineStr">
        <is>
          <t>20250131</t>
        </is>
      </c>
    </row>
    <row r="713">
      <c r="A713" t="inlineStr">
        <is>
          <t>900004184DW70D07710000623</t>
        </is>
      </c>
      <c r="B713" t="inlineStr">
        <is>
          <t>900004184</t>
        </is>
      </c>
      <c r="C713" t="inlineStr">
        <is>
          <t>DW70</t>
        </is>
      </c>
      <c r="D713" t="inlineStr">
        <is>
          <t>D077</t>
        </is>
      </c>
      <c r="E713" t="inlineStr">
        <is>
          <t>4</t>
        </is>
      </c>
      <c r="F713" t="inlineStr">
        <is>
          <t>10000623</t>
        </is>
      </c>
      <c r="H713" t="inlineStr"/>
      <c r="J713" t="n">
        <v>150.62</v>
      </c>
      <c r="K713" t="inlineStr"/>
      <c r="M713" t="inlineStr">
        <is>
          <t>TN</t>
        </is>
      </c>
      <c r="N713" t="inlineStr"/>
      <c r="P713" t="inlineStr">
        <is>
          <t>20220331</t>
        </is>
      </c>
      <c r="Q713" t="inlineStr">
        <is>
          <t>20250131</t>
        </is>
      </c>
    </row>
    <row r="714">
      <c r="A714" t="inlineStr">
        <is>
          <t>900004184DW70D07710000624</t>
        </is>
      </c>
      <c r="B714" t="inlineStr">
        <is>
          <t>900004184</t>
        </is>
      </c>
      <c r="C714" t="inlineStr">
        <is>
          <t>DW70</t>
        </is>
      </c>
      <c r="D714" t="inlineStr">
        <is>
          <t>D077</t>
        </is>
      </c>
      <c r="E714" t="inlineStr">
        <is>
          <t>4</t>
        </is>
      </c>
      <c r="F714" t="inlineStr">
        <is>
          <t>10000624</t>
        </is>
      </c>
      <c r="H714" t="inlineStr"/>
      <c r="J714" t="n">
        <v>147.15</v>
      </c>
      <c r="K714" t="inlineStr"/>
      <c r="M714" t="inlineStr">
        <is>
          <t>TN</t>
        </is>
      </c>
      <c r="N714" t="inlineStr"/>
      <c r="P714" t="inlineStr">
        <is>
          <t>20220331</t>
        </is>
      </c>
      <c r="Q714" t="inlineStr">
        <is>
          <t>20250131</t>
        </is>
      </c>
    </row>
    <row r="715">
      <c r="A715" t="inlineStr">
        <is>
          <t>900004184DW70D07710000811</t>
        </is>
      </c>
      <c r="B715" t="inlineStr">
        <is>
          <t>900004184</t>
        </is>
      </c>
      <c r="C715" t="inlineStr">
        <is>
          <t>DW70</t>
        </is>
      </c>
      <c r="D715" t="inlineStr">
        <is>
          <t>D077</t>
        </is>
      </c>
      <c r="E715" t="inlineStr">
        <is>
          <t>4</t>
        </is>
      </c>
      <c r="F715" t="inlineStr">
        <is>
          <t>10000811</t>
        </is>
      </c>
      <c r="H715" t="inlineStr"/>
      <c r="J715" t="n">
        <v>147.15</v>
      </c>
      <c r="K715" t="inlineStr"/>
      <c r="M715" t="inlineStr">
        <is>
          <t>TN</t>
        </is>
      </c>
      <c r="N715" t="inlineStr"/>
      <c r="P715" t="inlineStr">
        <is>
          <t>20220331</t>
        </is>
      </c>
      <c r="Q715" t="inlineStr">
        <is>
          <t>20250131</t>
        </is>
      </c>
    </row>
    <row r="716">
      <c r="A716" t="inlineStr">
        <is>
          <t>900004184DW70D07710059180</t>
        </is>
      </c>
      <c r="B716" t="inlineStr">
        <is>
          <t>900004184</t>
        </is>
      </c>
      <c r="C716" t="inlineStr">
        <is>
          <t>DW70</t>
        </is>
      </c>
      <c r="D716" t="inlineStr">
        <is>
          <t>D077</t>
        </is>
      </c>
      <c r="E716" t="inlineStr">
        <is>
          <t>4</t>
        </is>
      </c>
      <c r="F716" t="inlineStr">
        <is>
          <t>10059180</t>
        </is>
      </c>
      <c r="H716" t="inlineStr"/>
      <c r="J716" t="n">
        <v>135.72</v>
      </c>
      <c r="K716" t="inlineStr"/>
      <c r="M716" t="inlineStr">
        <is>
          <t>TN</t>
        </is>
      </c>
      <c r="N716" t="inlineStr"/>
      <c r="P716" t="inlineStr">
        <is>
          <t>20220331</t>
        </is>
      </c>
      <c r="Q716" t="inlineStr">
        <is>
          <t>20250131</t>
        </is>
      </c>
    </row>
    <row r="717">
      <c r="A717" t="inlineStr">
        <is>
          <t>900004184DW70D07910000623</t>
        </is>
      </c>
      <c r="B717" t="inlineStr">
        <is>
          <t>900004184</t>
        </is>
      </c>
      <c r="C717" t="inlineStr">
        <is>
          <t>DW70</t>
        </is>
      </c>
      <c r="D717" t="inlineStr">
        <is>
          <t>D079</t>
        </is>
      </c>
      <c r="E717" t="inlineStr">
        <is>
          <t>4</t>
        </is>
      </c>
      <c r="F717" t="inlineStr">
        <is>
          <t>10000623</t>
        </is>
      </c>
      <c r="H717" t="inlineStr"/>
      <c r="J717" t="n">
        <v>149.36</v>
      </c>
      <c r="K717" t="inlineStr"/>
      <c r="M717" t="inlineStr">
        <is>
          <t>TN</t>
        </is>
      </c>
      <c r="N717" t="inlineStr"/>
      <c r="P717" t="inlineStr">
        <is>
          <t>20220331</t>
        </is>
      </c>
      <c r="Q717" t="inlineStr">
        <is>
          <t>20250131</t>
        </is>
      </c>
    </row>
    <row r="718">
      <c r="A718" t="inlineStr">
        <is>
          <t>900004184DW70D07910000624</t>
        </is>
      </c>
      <c r="B718" t="inlineStr">
        <is>
          <t>900004184</t>
        </is>
      </c>
      <c r="C718" t="inlineStr">
        <is>
          <t>DW70</t>
        </is>
      </c>
      <c r="D718" t="inlineStr">
        <is>
          <t>D079</t>
        </is>
      </c>
      <c r="E718" t="inlineStr">
        <is>
          <t>4</t>
        </is>
      </c>
      <c r="F718" t="inlineStr">
        <is>
          <t>10000624</t>
        </is>
      </c>
      <c r="H718" t="inlineStr"/>
      <c r="J718" t="n">
        <v>145.92</v>
      </c>
      <c r="K718" t="inlineStr"/>
      <c r="M718" t="inlineStr">
        <is>
          <t>TN</t>
        </is>
      </c>
      <c r="N718" t="inlineStr"/>
      <c r="P718" t="inlineStr">
        <is>
          <t>20220331</t>
        </is>
      </c>
      <c r="Q718" t="inlineStr">
        <is>
          <t>20250131</t>
        </is>
      </c>
    </row>
    <row r="719">
      <c r="A719" t="inlineStr">
        <is>
          <t>900004184DW70D07910000811</t>
        </is>
      </c>
      <c r="B719" t="inlineStr">
        <is>
          <t>900004184</t>
        </is>
      </c>
      <c r="C719" t="inlineStr">
        <is>
          <t>DW70</t>
        </is>
      </c>
      <c r="D719" t="inlineStr">
        <is>
          <t>D079</t>
        </is>
      </c>
      <c r="E719" t="inlineStr">
        <is>
          <t>4</t>
        </is>
      </c>
      <c r="F719" t="inlineStr">
        <is>
          <t>10000811</t>
        </is>
      </c>
      <c r="H719" t="inlineStr"/>
      <c r="J719" t="n">
        <v>145.92</v>
      </c>
      <c r="K719" t="inlineStr"/>
      <c r="M719" t="inlineStr">
        <is>
          <t>TN</t>
        </is>
      </c>
      <c r="N719" t="inlineStr"/>
      <c r="P719" t="inlineStr">
        <is>
          <t>20220331</t>
        </is>
      </c>
      <c r="Q719" t="inlineStr">
        <is>
          <t>20250131</t>
        </is>
      </c>
    </row>
    <row r="720">
      <c r="A720" t="inlineStr">
        <is>
          <t>900004184DW70D07910059180</t>
        </is>
      </c>
      <c r="B720" t="inlineStr">
        <is>
          <t>900004184</t>
        </is>
      </c>
      <c r="C720" t="inlineStr">
        <is>
          <t>DW70</t>
        </is>
      </c>
      <c r="D720" t="inlineStr">
        <is>
          <t>D079</t>
        </is>
      </c>
      <c r="E720" t="inlineStr">
        <is>
          <t>4</t>
        </is>
      </c>
      <c r="F720" t="inlineStr">
        <is>
          <t>10059180</t>
        </is>
      </c>
      <c r="H720" t="inlineStr"/>
      <c r="J720" t="n">
        <v>134.46</v>
      </c>
      <c r="K720" t="inlineStr"/>
      <c r="M720" t="inlineStr">
        <is>
          <t>TN</t>
        </is>
      </c>
      <c r="N720" t="inlineStr"/>
      <c r="P720" t="inlineStr">
        <is>
          <t>20220331</t>
        </is>
      </c>
      <c r="Q720" t="inlineStr">
        <is>
          <t>20250131</t>
        </is>
      </c>
    </row>
    <row r="721">
      <c r="A721" t="inlineStr">
        <is>
          <t>900004184DW70D08010000623</t>
        </is>
      </c>
      <c r="B721" t="inlineStr">
        <is>
          <t>900004184</t>
        </is>
      </c>
      <c r="C721" t="inlineStr">
        <is>
          <t>DW70</t>
        </is>
      </c>
      <c r="D721" t="inlineStr">
        <is>
          <t>D080</t>
        </is>
      </c>
      <c r="E721" t="inlineStr">
        <is>
          <t>4</t>
        </is>
      </c>
      <c r="F721" t="inlineStr">
        <is>
          <t>10000623</t>
        </is>
      </c>
      <c r="H721" t="inlineStr"/>
      <c r="J721" t="n">
        <v>105.32</v>
      </c>
      <c r="K721" t="inlineStr"/>
      <c r="M721" t="inlineStr">
        <is>
          <t>TN</t>
        </is>
      </c>
      <c r="N721" t="inlineStr"/>
      <c r="P721" t="inlineStr">
        <is>
          <t>20220331</t>
        </is>
      </c>
      <c r="Q721" t="inlineStr">
        <is>
          <t>20250131</t>
        </is>
      </c>
    </row>
    <row r="722">
      <c r="A722" t="inlineStr">
        <is>
          <t>900004184DW70D08010000624</t>
        </is>
      </c>
      <c r="B722" t="inlineStr">
        <is>
          <t>900004184</t>
        </is>
      </c>
      <c r="C722" t="inlineStr">
        <is>
          <t>DW70</t>
        </is>
      </c>
      <c r="D722" t="inlineStr">
        <is>
          <t>D080</t>
        </is>
      </c>
      <c r="E722" t="inlineStr">
        <is>
          <t>4</t>
        </is>
      </c>
      <c r="F722" t="inlineStr">
        <is>
          <t>10000624</t>
        </is>
      </c>
      <c r="H722" t="inlineStr"/>
      <c r="J722" t="n">
        <v>102.99</v>
      </c>
      <c r="K722" t="inlineStr"/>
      <c r="M722" t="inlineStr">
        <is>
          <t>TN</t>
        </is>
      </c>
      <c r="N722" t="inlineStr"/>
      <c r="P722" t="inlineStr">
        <is>
          <t>20220331</t>
        </is>
      </c>
      <c r="Q722" t="inlineStr">
        <is>
          <t>20250131</t>
        </is>
      </c>
    </row>
    <row r="723">
      <c r="A723" t="inlineStr">
        <is>
          <t>900004184DW70D08010000811</t>
        </is>
      </c>
      <c r="B723" t="inlineStr">
        <is>
          <t>900004184</t>
        </is>
      </c>
      <c r="C723" t="inlineStr">
        <is>
          <t>DW70</t>
        </is>
      </c>
      <c r="D723" t="inlineStr">
        <is>
          <t>D080</t>
        </is>
      </c>
      <c r="E723" t="inlineStr">
        <is>
          <t>4</t>
        </is>
      </c>
      <c r="F723" t="inlineStr">
        <is>
          <t>10000811</t>
        </is>
      </c>
      <c r="H723" t="inlineStr"/>
      <c r="J723" t="n">
        <v>102.99</v>
      </c>
      <c r="K723" t="inlineStr"/>
      <c r="M723" t="inlineStr">
        <is>
          <t>TN</t>
        </is>
      </c>
      <c r="N723" t="inlineStr"/>
      <c r="P723" t="inlineStr">
        <is>
          <t>20220331</t>
        </is>
      </c>
      <c r="Q723" t="inlineStr">
        <is>
          <t>20250131</t>
        </is>
      </c>
    </row>
    <row r="724">
      <c r="A724" t="inlineStr">
        <is>
          <t>900004184DW70D08010059180</t>
        </is>
      </c>
      <c r="B724" t="inlineStr">
        <is>
          <t>900004184</t>
        </is>
      </c>
      <c r="C724" t="inlineStr">
        <is>
          <t>DW70</t>
        </is>
      </c>
      <c r="D724" t="inlineStr">
        <is>
          <t>D080</t>
        </is>
      </c>
      <c r="E724" t="inlineStr">
        <is>
          <t>4</t>
        </is>
      </c>
      <c r="F724" t="inlineStr">
        <is>
          <t>10059180</t>
        </is>
      </c>
      <c r="H724" t="inlineStr"/>
      <c r="J724" t="n">
        <v>90.48999999999999</v>
      </c>
      <c r="K724" t="inlineStr"/>
      <c r="M724" t="inlineStr">
        <is>
          <t>TN</t>
        </is>
      </c>
      <c r="N724" t="inlineStr"/>
      <c r="P724" t="inlineStr">
        <is>
          <t>20220331</t>
        </is>
      </c>
      <c r="Q724" t="inlineStr">
        <is>
          <t>20250131</t>
        </is>
      </c>
    </row>
    <row r="725">
      <c r="A725" t="inlineStr">
        <is>
          <t>900004184DW70D08110000623</t>
        </is>
      </c>
      <c r="B725" t="inlineStr">
        <is>
          <t>900004184</t>
        </is>
      </c>
      <c r="C725" t="inlineStr">
        <is>
          <t>DW70</t>
        </is>
      </c>
      <c r="D725" t="inlineStr">
        <is>
          <t>D081</t>
        </is>
      </c>
      <c r="E725" t="inlineStr">
        <is>
          <t>4</t>
        </is>
      </c>
      <c r="F725" t="inlineStr">
        <is>
          <t>10000623</t>
        </is>
      </c>
      <c r="H725" t="inlineStr"/>
      <c r="J725" t="n">
        <v>99.02</v>
      </c>
      <c r="K725" t="inlineStr"/>
      <c r="M725" t="inlineStr">
        <is>
          <t>TN</t>
        </is>
      </c>
      <c r="N725" t="inlineStr"/>
      <c r="P725" t="inlineStr">
        <is>
          <t>20220331</t>
        </is>
      </c>
      <c r="Q725" t="inlineStr">
        <is>
          <t>20250131</t>
        </is>
      </c>
    </row>
    <row r="726">
      <c r="A726" t="inlineStr">
        <is>
          <t>900004184DW70D08110000624</t>
        </is>
      </c>
      <c r="B726" t="inlineStr">
        <is>
          <t>900004184</t>
        </is>
      </c>
      <c r="C726" t="inlineStr">
        <is>
          <t>DW70</t>
        </is>
      </c>
      <c r="D726" t="inlineStr">
        <is>
          <t>D081</t>
        </is>
      </c>
      <c r="E726" t="inlineStr">
        <is>
          <t>4</t>
        </is>
      </c>
      <c r="F726" t="inlineStr">
        <is>
          <t>10000624</t>
        </is>
      </c>
      <c r="H726" t="inlineStr"/>
      <c r="J726" t="n">
        <v>96.86</v>
      </c>
      <c r="K726" t="inlineStr"/>
      <c r="M726" t="inlineStr">
        <is>
          <t>TN</t>
        </is>
      </c>
      <c r="N726" t="inlineStr"/>
      <c r="P726" t="inlineStr">
        <is>
          <t>20220331</t>
        </is>
      </c>
      <c r="Q726" t="inlineStr">
        <is>
          <t>20250131</t>
        </is>
      </c>
    </row>
    <row r="727">
      <c r="A727" t="inlineStr">
        <is>
          <t>900004184DW70D08110000811</t>
        </is>
      </c>
      <c r="B727" t="inlineStr">
        <is>
          <t>900004184</t>
        </is>
      </c>
      <c r="C727" t="inlineStr">
        <is>
          <t>DW70</t>
        </is>
      </c>
      <c r="D727" t="inlineStr">
        <is>
          <t>D081</t>
        </is>
      </c>
      <c r="E727" t="inlineStr">
        <is>
          <t>4</t>
        </is>
      </c>
      <c r="F727" t="inlineStr">
        <is>
          <t>10000811</t>
        </is>
      </c>
      <c r="H727" t="inlineStr"/>
      <c r="J727" t="n">
        <v>96.86</v>
      </c>
      <c r="K727" t="inlineStr"/>
      <c r="M727" t="inlineStr">
        <is>
          <t>TN</t>
        </is>
      </c>
      <c r="N727" t="inlineStr"/>
      <c r="P727" t="inlineStr">
        <is>
          <t>20220331</t>
        </is>
      </c>
      <c r="Q727" t="inlineStr">
        <is>
          <t>20250131</t>
        </is>
      </c>
    </row>
    <row r="728">
      <c r="A728" t="inlineStr">
        <is>
          <t>900004184DW70D08110059180</t>
        </is>
      </c>
      <c r="B728" t="inlineStr">
        <is>
          <t>900004184</t>
        </is>
      </c>
      <c r="C728" t="inlineStr">
        <is>
          <t>DW70</t>
        </is>
      </c>
      <c r="D728" t="inlineStr">
        <is>
          <t>D081</t>
        </is>
      </c>
      <c r="E728" t="inlineStr">
        <is>
          <t>4</t>
        </is>
      </c>
      <c r="F728" t="inlineStr">
        <is>
          <t>10059180</t>
        </is>
      </c>
      <c r="H728" t="inlineStr"/>
      <c r="J728" t="n">
        <v>84.2</v>
      </c>
      <c r="K728" t="inlineStr"/>
      <c r="M728" t="inlineStr">
        <is>
          <t>TN</t>
        </is>
      </c>
      <c r="N728" t="inlineStr"/>
      <c r="P728" t="inlineStr">
        <is>
          <t>20220331</t>
        </is>
      </c>
      <c r="Q728" t="inlineStr">
        <is>
          <t>20250131</t>
        </is>
      </c>
    </row>
    <row r="729">
      <c r="A729" t="inlineStr">
        <is>
          <t>900004184DW70D08310000623</t>
        </is>
      </c>
      <c r="B729" t="inlineStr">
        <is>
          <t>900004184</t>
        </is>
      </c>
      <c r="C729" t="inlineStr">
        <is>
          <t>DW70</t>
        </is>
      </c>
      <c r="D729" t="inlineStr">
        <is>
          <t>D083</t>
        </is>
      </c>
      <c r="E729" t="inlineStr">
        <is>
          <t>4</t>
        </is>
      </c>
      <c r="F729" t="inlineStr">
        <is>
          <t>10000623</t>
        </is>
      </c>
      <c r="H729" t="inlineStr"/>
      <c r="J729" t="n">
        <v>117.89</v>
      </c>
      <c r="K729" t="inlineStr"/>
      <c r="M729" t="inlineStr">
        <is>
          <t>TN</t>
        </is>
      </c>
      <c r="N729" t="inlineStr"/>
      <c r="P729" t="inlineStr">
        <is>
          <t>20220331</t>
        </is>
      </c>
      <c r="Q729" t="inlineStr">
        <is>
          <t>20250131</t>
        </is>
      </c>
    </row>
    <row r="730">
      <c r="A730" t="inlineStr">
        <is>
          <t>900004184DW70D08310000624</t>
        </is>
      </c>
      <c r="B730" t="inlineStr">
        <is>
          <t>900004184</t>
        </is>
      </c>
      <c r="C730" t="inlineStr">
        <is>
          <t>DW70</t>
        </is>
      </c>
      <c r="D730" t="inlineStr">
        <is>
          <t>D083</t>
        </is>
      </c>
      <c r="E730" t="inlineStr">
        <is>
          <t>4</t>
        </is>
      </c>
      <c r="F730" t="inlineStr">
        <is>
          <t>10000624</t>
        </is>
      </c>
      <c r="H730" t="inlineStr"/>
      <c r="J730" t="n">
        <v>115.26</v>
      </c>
      <c r="K730" t="inlineStr"/>
      <c r="M730" t="inlineStr">
        <is>
          <t>TN</t>
        </is>
      </c>
      <c r="N730" t="inlineStr"/>
      <c r="P730" t="inlineStr">
        <is>
          <t>20220331</t>
        </is>
      </c>
      <c r="Q730" t="inlineStr">
        <is>
          <t>20250131</t>
        </is>
      </c>
    </row>
    <row r="731">
      <c r="A731" t="inlineStr">
        <is>
          <t>900004184DW70D08310000811</t>
        </is>
      </c>
      <c r="B731" t="inlineStr">
        <is>
          <t>900004184</t>
        </is>
      </c>
      <c r="C731" t="inlineStr">
        <is>
          <t>DW70</t>
        </is>
      </c>
      <c r="D731" t="inlineStr">
        <is>
          <t>D083</t>
        </is>
      </c>
      <c r="E731" t="inlineStr">
        <is>
          <t>4</t>
        </is>
      </c>
      <c r="F731" t="inlineStr">
        <is>
          <t>10000811</t>
        </is>
      </c>
      <c r="H731" t="inlineStr"/>
      <c r="J731" t="n">
        <v>115.26</v>
      </c>
      <c r="K731" t="inlineStr"/>
      <c r="M731" t="inlineStr">
        <is>
          <t>TN</t>
        </is>
      </c>
      <c r="N731" t="inlineStr"/>
      <c r="P731" t="inlineStr">
        <is>
          <t>20220331</t>
        </is>
      </c>
      <c r="Q731" t="inlineStr">
        <is>
          <t>20250131</t>
        </is>
      </c>
    </row>
    <row r="732">
      <c r="A732" t="inlineStr">
        <is>
          <t>900004184DW70D08310059180</t>
        </is>
      </c>
      <c r="B732" t="inlineStr">
        <is>
          <t>900004184</t>
        </is>
      </c>
      <c r="C732" t="inlineStr">
        <is>
          <t>DW70</t>
        </is>
      </c>
      <c r="D732" t="inlineStr">
        <is>
          <t>D083</t>
        </is>
      </c>
      <c r="E732" t="inlineStr">
        <is>
          <t>4</t>
        </is>
      </c>
      <c r="F732" t="inlineStr">
        <is>
          <t>10059180</t>
        </is>
      </c>
      <c r="H732" t="inlineStr"/>
      <c r="J732" t="n">
        <v>103.05</v>
      </c>
      <c r="K732" t="inlineStr"/>
      <c r="M732" t="inlineStr">
        <is>
          <t>TN</t>
        </is>
      </c>
      <c r="N732" t="inlineStr"/>
      <c r="P732" t="inlineStr">
        <is>
          <t>20220331</t>
        </is>
      </c>
      <c r="Q732" t="inlineStr">
        <is>
          <t>20250131</t>
        </is>
      </c>
    </row>
    <row r="733">
      <c r="A733" t="inlineStr">
        <is>
          <t>900004184DW70D08410000623</t>
        </is>
      </c>
      <c r="B733" t="inlineStr">
        <is>
          <t>900004184</t>
        </is>
      </c>
      <c r="C733" t="inlineStr">
        <is>
          <t>DW70</t>
        </is>
      </c>
      <c r="D733" t="inlineStr">
        <is>
          <t>D084</t>
        </is>
      </c>
      <c r="E733" t="inlineStr">
        <is>
          <t>4</t>
        </is>
      </c>
      <c r="F733" t="inlineStr">
        <is>
          <t>10000623</t>
        </is>
      </c>
      <c r="H733" t="inlineStr"/>
      <c r="J733" t="n">
        <v>141.81</v>
      </c>
      <c r="K733" t="inlineStr"/>
      <c r="M733" t="inlineStr">
        <is>
          <t>TN</t>
        </is>
      </c>
      <c r="N733" t="inlineStr"/>
      <c r="P733" t="inlineStr">
        <is>
          <t>20220331</t>
        </is>
      </c>
      <c r="Q733" t="inlineStr">
        <is>
          <t>20250131</t>
        </is>
      </c>
    </row>
    <row r="734">
      <c r="A734" t="inlineStr">
        <is>
          <t>900004184DW70D08410000624</t>
        </is>
      </c>
      <c r="B734" t="inlineStr">
        <is>
          <t>900004184</t>
        </is>
      </c>
      <c r="C734" t="inlineStr">
        <is>
          <t>DW70</t>
        </is>
      </c>
      <c r="D734" t="inlineStr">
        <is>
          <t>D084</t>
        </is>
      </c>
      <c r="E734" t="inlineStr">
        <is>
          <t>4</t>
        </is>
      </c>
      <c r="F734" t="inlineStr">
        <is>
          <t>10000624</t>
        </is>
      </c>
      <c r="H734" t="inlineStr"/>
      <c r="J734" t="n">
        <v>138.56</v>
      </c>
      <c r="K734" t="inlineStr"/>
      <c r="M734" t="inlineStr">
        <is>
          <t>TN</t>
        </is>
      </c>
      <c r="N734" t="inlineStr"/>
      <c r="P734" t="inlineStr">
        <is>
          <t>20220331</t>
        </is>
      </c>
      <c r="Q734" t="inlineStr">
        <is>
          <t>20250131</t>
        </is>
      </c>
    </row>
    <row r="735">
      <c r="A735" t="inlineStr">
        <is>
          <t>900004184DW70D08410000811</t>
        </is>
      </c>
      <c r="B735" t="inlineStr">
        <is>
          <t>900004184</t>
        </is>
      </c>
      <c r="C735" t="inlineStr">
        <is>
          <t>DW70</t>
        </is>
      </c>
      <c r="D735" t="inlineStr">
        <is>
          <t>D084</t>
        </is>
      </c>
      <c r="E735" t="inlineStr">
        <is>
          <t>4</t>
        </is>
      </c>
      <c r="F735" t="inlineStr">
        <is>
          <t>10000811</t>
        </is>
      </c>
      <c r="H735" t="inlineStr"/>
      <c r="J735" t="n">
        <v>138.56</v>
      </c>
      <c r="K735" t="inlineStr"/>
      <c r="M735" t="inlineStr">
        <is>
          <t>TN</t>
        </is>
      </c>
      <c r="N735" t="inlineStr"/>
      <c r="P735" t="inlineStr">
        <is>
          <t>20220331</t>
        </is>
      </c>
      <c r="Q735" t="inlineStr">
        <is>
          <t>20250131</t>
        </is>
      </c>
    </row>
    <row r="736">
      <c r="A736" t="inlineStr">
        <is>
          <t>900004184DW70D08410059180</t>
        </is>
      </c>
      <c r="B736" t="inlineStr">
        <is>
          <t>900004184</t>
        </is>
      </c>
      <c r="C736" t="inlineStr">
        <is>
          <t>DW70</t>
        </is>
      </c>
      <c r="D736" t="inlineStr">
        <is>
          <t>D084</t>
        </is>
      </c>
      <c r="E736" t="inlineStr">
        <is>
          <t>4</t>
        </is>
      </c>
      <c r="F736" t="inlineStr">
        <is>
          <t>10059180</t>
        </is>
      </c>
      <c r="H736" t="inlineStr"/>
      <c r="J736" t="n">
        <v>126.92</v>
      </c>
      <c r="K736" t="inlineStr"/>
      <c r="M736" t="inlineStr">
        <is>
          <t>TN</t>
        </is>
      </c>
      <c r="N736" t="inlineStr"/>
      <c r="P736" t="inlineStr">
        <is>
          <t>20220331</t>
        </is>
      </c>
      <c r="Q736" t="inlineStr">
        <is>
          <t>20250131</t>
        </is>
      </c>
    </row>
    <row r="737">
      <c r="A737" t="inlineStr">
        <is>
          <t>900004184DW70D08510000623</t>
        </is>
      </c>
      <c r="B737" t="inlineStr">
        <is>
          <t>900004184</t>
        </is>
      </c>
      <c r="C737" t="inlineStr">
        <is>
          <t>DW70</t>
        </is>
      </c>
      <c r="D737" t="inlineStr">
        <is>
          <t>D085</t>
        </is>
      </c>
      <c r="E737" t="inlineStr">
        <is>
          <t>4</t>
        </is>
      </c>
      <c r="F737" t="inlineStr">
        <is>
          <t>10000623</t>
        </is>
      </c>
      <c r="H737" t="inlineStr"/>
      <c r="J737" t="n">
        <v>138.03</v>
      </c>
      <c r="K737" t="inlineStr"/>
      <c r="M737" t="inlineStr">
        <is>
          <t>TN</t>
        </is>
      </c>
      <c r="N737" t="inlineStr"/>
      <c r="P737" t="inlineStr">
        <is>
          <t>20220331</t>
        </is>
      </c>
      <c r="Q737" t="inlineStr">
        <is>
          <t>20250131</t>
        </is>
      </c>
    </row>
    <row r="738">
      <c r="A738" t="inlineStr">
        <is>
          <t>900004184DW70D08510000624</t>
        </is>
      </c>
      <c r="B738" t="inlineStr">
        <is>
          <t>900004184</t>
        </is>
      </c>
      <c r="C738" t="inlineStr">
        <is>
          <t>DW70</t>
        </is>
      </c>
      <c r="D738" t="inlineStr">
        <is>
          <t>D085</t>
        </is>
      </c>
      <c r="E738" t="inlineStr">
        <is>
          <t>4</t>
        </is>
      </c>
      <c r="F738" t="inlineStr">
        <is>
          <t>10000624</t>
        </is>
      </c>
      <c r="H738" t="inlineStr"/>
      <c r="J738" t="n">
        <v>134.88</v>
      </c>
      <c r="K738" t="inlineStr"/>
      <c r="M738" t="inlineStr">
        <is>
          <t>TN</t>
        </is>
      </c>
      <c r="N738" t="inlineStr"/>
      <c r="P738" t="inlineStr">
        <is>
          <t>20220331</t>
        </is>
      </c>
      <c r="Q738" t="inlineStr">
        <is>
          <t>20250131</t>
        </is>
      </c>
    </row>
    <row r="739">
      <c r="A739" t="inlineStr">
        <is>
          <t>900004184DW70D08510000811</t>
        </is>
      </c>
      <c r="B739" t="inlineStr">
        <is>
          <t>900004184</t>
        </is>
      </c>
      <c r="C739" t="inlineStr">
        <is>
          <t>DW70</t>
        </is>
      </c>
      <c r="D739" t="inlineStr">
        <is>
          <t>D085</t>
        </is>
      </c>
      <c r="E739" t="inlineStr">
        <is>
          <t>4</t>
        </is>
      </c>
      <c r="F739" t="inlineStr">
        <is>
          <t>10000811</t>
        </is>
      </c>
      <c r="H739" t="inlineStr"/>
      <c r="J739" t="n">
        <v>134.88</v>
      </c>
      <c r="K739" t="inlineStr"/>
      <c r="M739" t="inlineStr">
        <is>
          <t>TN</t>
        </is>
      </c>
      <c r="N739" t="inlineStr"/>
      <c r="P739" t="inlineStr">
        <is>
          <t>20220331</t>
        </is>
      </c>
      <c r="Q739" t="inlineStr">
        <is>
          <t>20250131</t>
        </is>
      </c>
    </row>
    <row r="740">
      <c r="A740" t="inlineStr">
        <is>
          <t>900004184DW70D08510059180</t>
        </is>
      </c>
      <c r="B740" t="inlineStr">
        <is>
          <t>900004184</t>
        </is>
      </c>
      <c r="C740" t="inlineStr">
        <is>
          <t>DW70</t>
        </is>
      </c>
      <c r="D740" t="inlineStr">
        <is>
          <t>D085</t>
        </is>
      </c>
      <c r="E740" t="inlineStr">
        <is>
          <t>4</t>
        </is>
      </c>
      <c r="F740" t="inlineStr">
        <is>
          <t>10059180</t>
        </is>
      </c>
      <c r="H740" t="inlineStr"/>
      <c r="J740" t="n">
        <v>123.15</v>
      </c>
      <c r="K740" t="inlineStr"/>
      <c r="M740" t="inlineStr">
        <is>
          <t>TN</t>
        </is>
      </c>
      <c r="N740" t="inlineStr"/>
      <c r="P740" t="inlineStr">
        <is>
          <t>20220331</t>
        </is>
      </c>
      <c r="Q740" t="inlineStr">
        <is>
          <t>20250131</t>
        </is>
      </c>
    </row>
    <row r="741">
      <c r="A741" t="inlineStr">
        <is>
          <t>900004184DW70D08610000623</t>
        </is>
      </c>
      <c r="B741" t="inlineStr">
        <is>
          <t>900004184</t>
        </is>
      </c>
      <c r="C741" t="inlineStr">
        <is>
          <t>DW70</t>
        </is>
      </c>
      <c r="D741" t="inlineStr">
        <is>
          <t>D086</t>
        </is>
      </c>
      <c r="E741" t="inlineStr">
        <is>
          <t>4</t>
        </is>
      </c>
      <c r="F741" t="inlineStr">
        <is>
          <t>10000623</t>
        </is>
      </c>
      <c r="H741" t="inlineStr"/>
      <c r="J741" t="n">
        <v>120.41</v>
      </c>
      <c r="K741" t="inlineStr"/>
      <c r="M741" t="inlineStr">
        <is>
          <t>TN</t>
        </is>
      </c>
      <c r="N741" t="inlineStr"/>
      <c r="P741" t="inlineStr">
        <is>
          <t>20220331</t>
        </is>
      </c>
      <c r="Q741" t="inlineStr">
        <is>
          <t>20250131</t>
        </is>
      </c>
    </row>
    <row r="742">
      <c r="A742" t="inlineStr">
        <is>
          <t>900004184DW70D08610000624</t>
        </is>
      </c>
      <c r="B742" t="inlineStr">
        <is>
          <t>900004184</t>
        </is>
      </c>
      <c r="C742" t="inlineStr">
        <is>
          <t>DW70</t>
        </is>
      </c>
      <c r="D742" t="inlineStr">
        <is>
          <t>D086</t>
        </is>
      </c>
      <c r="E742" t="inlineStr">
        <is>
          <t>4</t>
        </is>
      </c>
      <c r="F742" t="inlineStr">
        <is>
          <t>10000624</t>
        </is>
      </c>
      <c r="H742" t="inlineStr"/>
      <c r="J742" t="n">
        <v>117.72</v>
      </c>
      <c r="K742" t="inlineStr"/>
      <c r="M742" t="inlineStr">
        <is>
          <t>TN</t>
        </is>
      </c>
      <c r="N742" t="inlineStr"/>
      <c r="P742" t="inlineStr">
        <is>
          <t>20220331</t>
        </is>
      </c>
      <c r="Q742" t="inlineStr">
        <is>
          <t>20250131</t>
        </is>
      </c>
    </row>
    <row r="743">
      <c r="A743" t="inlineStr">
        <is>
          <t>900004184DW70D08610000811</t>
        </is>
      </c>
      <c r="B743" t="inlineStr">
        <is>
          <t>900004184</t>
        </is>
      </c>
      <c r="C743" t="inlineStr">
        <is>
          <t>DW70</t>
        </is>
      </c>
      <c r="D743" t="inlineStr">
        <is>
          <t>D086</t>
        </is>
      </c>
      <c r="E743" t="inlineStr">
        <is>
          <t>4</t>
        </is>
      </c>
      <c r="F743" t="inlineStr">
        <is>
          <t>10000811</t>
        </is>
      </c>
      <c r="H743" t="inlineStr"/>
      <c r="J743" t="n">
        <v>117.72</v>
      </c>
      <c r="K743" t="inlineStr"/>
      <c r="M743" t="inlineStr">
        <is>
          <t>TN</t>
        </is>
      </c>
      <c r="N743" t="inlineStr"/>
      <c r="P743" t="inlineStr">
        <is>
          <t>20220331</t>
        </is>
      </c>
      <c r="Q743" t="inlineStr">
        <is>
          <t>20250131</t>
        </is>
      </c>
    </row>
    <row r="744">
      <c r="A744" t="inlineStr">
        <is>
          <t>900004184DW70D08610059180</t>
        </is>
      </c>
      <c r="B744" t="inlineStr">
        <is>
          <t>900004184</t>
        </is>
      </c>
      <c r="C744" t="inlineStr">
        <is>
          <t>DW70</t>
        </is>
      </c>
      <c r="D744" t="inlineStr">
        <is>
          <t>D086</t>
        </is>
      </c>
      <c r="E744" t="inlineStr">
        <is>
          <t>4</t>
        </is>
      </c>
      <c r="F744" t="inlineStr">
        <is>
          <t>10059180</t>
        </is>
      </c>
      <c r="H744" t="inlineStr"/>
      <c r="J744" t="n">
        <v>105.57</v>
      </c>
      <c r="K744" t="inlineStr"/>
      <c r="M744" t="inlineStr">
        <is>
          <t>TN</t>
        </is>
      </c>
      <c r="N744" t="inlineStr"/>
      <c r="P744" t="inlineStr">
        <is>
          <t>20220331</t>
        </is>
      </c>
      <c r="Q744" t="inlineStr">
        <is>
          <t>20250131</t>
        </is>
      </c>
    </row>
    <row r="745">
      <c r="A745" t="inlineStr">
        <is>
          <t>900004184DW70D08810000623</t>
        </is>
      </c>
      <c r="B745" t="inlineStr">
        <is>
          <t>900004184</t>
        </is>
      </c>
      <c r="C745" t="inlineStr">
        <is>
          <t>DW70</t>
        </is>
      </c>
      <c r="D745" t="inlineStr">
        <is>
          <t>D088</t>
        </is>
      </c>
      <c r="E745" t="inlineStr">
        <is>
          <t>4</t>
        </is>
      </c>
      <c r="F745" t="inlineStr">
        <is>
          <t>10000623</t>
        </is>
      </c>
      <c r="H745" t="inlineStr"/>
      <c r="J745" t="n">
        <v>38.61</v>
      </c>
      <c r="K745" t="inlineStr"/>
      <c r="M745" t="inlineStr">
        <is>
          <t>TN</t>
        </is>
      </c>
      <c r="N745" t="inlineStr"/>
      <c r="P745" t="inlineStr">
        <is>
          <t>20220331</t>
        </is>
      </c>
      <c r="Q745" t="inlineStr">
        <is>
          <t>20250131</t>
        </is>
      </c>
    </row>
    <row r="746">
      <c r="A746" t="inlineStr">
        <is>
          <t>900004184DW70D08810000624</t>
        </is>
      </c>
      <c r="B746" t="inlineStr">
        <is>
          <t>900004184</t>
        </is>
      </c>
      <c r="C746" t="inlineStr">
        <is>
          <t>DW70</t>
        </is>
      </c>
      <c r="D746" t="inlineStr">
        <is>
          <t>D088</t>
        </is>
      </c>
      <c r="E746" t="inlineStr">
        <is>
          <t>4</t>
        </is>
      </c>
      <c r="F746" t="inlineStr">
        <is>
          <t>10000624</t>
        </is>
      </c>
      <c r="H746" t="inlineStr"/>
      <c r="J746" t="n">
        <v>38</v>
      </c>
      <c r="K746" t="inlineStr"/>
      <c r="M746" t="inlineStr">
        <is>
          <t>TN</t>
        </is>
      </c>
      <c r="N746" t="inlineStr"/>
      <c r="P746" t="inlineStr">
        <is>
          <t>20220331</t>
        </is>
      </c>
      <c r="Q746" t="inlineStr">
        <is>
          <t>20250131</t>
        </is>
      </c>
    </row>
    <row r="747">
      <c r="A747" t="inlineStr">
        <is>
          <t>900004184DW70D08810000811</t>
        </is>
      </c>
      <c r="B747" t="inlineStr">
        <is>
          <t>900004184</t>
        </is>
      </c>
      <c r="C747" t="inlineStr">
        <is>
          <t>DW70</t>
        </is>
      </c>
      <c r="D747" t="inlineStr">
        <is>
          <t>D088</t>
        </is>
      </c>
      <c r="E747" t="inlineStr">
        <is>
          <t>4</t>
        </is>
      </c>
      <c r="F747" t="inlineStr">
        <is>
          <t>10000811</t>
        </is>
      </c>
      <c r="H747" t="inlineStr"/>
      <c r="J747" t="n">
        <v>38</v>
      </c>
      <c r="K747" t="inlineStr"/>
      <c r="M747" t="inlineStr">
        <is>
          <t>TN</t>
        </is>
      </c>
      <c r="N747" t="inlineStr"/>
      <c r="P747" t="inlineStr">
        <is>
          <t>20220331</t>
        </is>
      </c>
      <c r="Q747" t="inlineStr">
        <is>
          <t>20250131</t>
        </is>
      </c>
    </row>
    <row r="748">
      <c r="A748" t="inlineStr">
        <is>
          <t>900004184DW70D08810059180</t>
        </is>
      </c>
      <c r="B748" t="inlineStr">
        <is>
          <t>900004184</t>
        </is>
      </c>
      <c r="C748" t="inlineStr">
        <is>
          <t>DW70</t>
        </is>
      </c>
      <c r="D748" t="inlineStr">
        <is>
          <t>D088</t>
        </is>
      </c>
      <c r="E748" t="inlineStr">
        <is>
          <t>4</t>
        </is>
      </c>
      <c r="F748" t="inlineStr">
        <is>
          <t>10059180</t>
        </is>
      </c>
      <c r="H748" t="inlineStr"/>
      <c r="J748" t="n">
        <v>23.89</v>
      </c>
      <c r="K748" t="inlineStr"/>
      <c r="M748" t="inlineStr">
        <is>
          <t>TN</t>
        </is>
      </c>
      <c r="N748" t="inlineStr"/>
      <c r="P748" t="inlineStr">
        <is>
          <t>20220331</t>
        </is>
      </c>
      <c r="Q748" t="inlineStr">
        <is>
          <t>20250131</t>
        </is>
      </c>
    </row>
    <row r="749">
      <c r="A749" t="inlineStr">
        <is>
          <t>900004184DW70D08910000623</t>
        </is>
      </c>
      <c r="B749" t="inlineStr">
        <is>
          <t>900004184</t>
        </is>
      </c>
      <c r="C749" t="inlineStr">
        <is>
          <t>DW70</t>
        </is>
      </c>
      <c r="D749" t="inlineStr">
        <is>
          <t>D089</t>
        </is>
      </c>
      <c r="E749" t="inlineStr">
        <is>
          <t>4</t>
        </is>
      </c>
      <c r="F749" t="inlineStr">
        <is>
          <t>10000623</t>
        </is>
      </c>
      <c r="H749" t="inlineStr"/>
      <c r="J749" t="n">
        <v>40.2</v>
      </c>
      <c r="K749" t="inlineStr"/>
      <c r="M749" t="inlineStr">
        <is>
          <t>TN</t>
        </is>
      </c>
      <c r="N749" t="inlineStr"/>
      <c r="P749" t="inlineStr">
        <is>
          <t>20220331</t>
        </is>
      </c>
      <c r="Q749" t="inlineStr">
        <is>
          <t>20250131</t>
        </is>
      </c>
    </row>
    <row r="750">
      <c r="A750" t="inlineStr">
        <is>
          <t>900004184DW70D08910000624</t>
        </is>
      </c>
      <c r="B750" t="inlineStr">
        <is>
          <t>900004184</t>
        </is>
      </c>
      <c r="C750" t="inlineStr">
        <is>
          <t>DW70</t>
        </is>
      </c>
      <c r="D750" t="inlineStr">
        <is>
          <t>D089</t>
        </is>
      </c>
      <c r="E750" t="inlineStr">
        <is>
          <t>4</t>
        </is>
      </c>
      <c r="F750" t="inlineStr">
        <is>
          <t>10000624</t>
        </is>
      </c>
      <c r="H750" t="inlineStr"/>
      <c r="J750" t="n">
        <v>39.55</v>
      </c>
      <c r="K750" t="inlineStr"/>
      <c r="M750" t="inlineStr">
        <is>
          <t>TN</t>
        </is>
      </c>
      <c r="N750" t="inlineStr"/>
      <c r="P750" t="inlineStr">
        <is>
          <t>20220331</t>
        </is>
      </c>
      <c r="Q750" t="inlineStr">
        <is>
          <t>20250131</t>
        </is>
      </c>
    </row>
    <row r="751">
      <c r="A751" t="inlineStr">
        <is>
          <t>900004184DW70D08910000811</t>
        </is>
      </c>
      <c r="B751" t="inlineStr">
        <is>
          <t>900004184</t>
        </is>
      </c>
      <c r="C751" t="inlineStr">
        <is>
          <t>DW70</t>
        </is>
      </c>
      <c r="D751" t="inlineStr">
        <is>
          <t>D089</t>
        </is>
      </c>
      <c r="E751" t="inlineStr">
        <is>
          <t>4</t>
        </is>
      </c>
      <c r="F751" t="inlineStr">
        <is>
          <t>10000811</t>
        </is>
      </c>
      <c r="H751" t="inlineStr"/>
      <c r="J751" t="n">
        <v>39.55</v>
      </c>
      <c r="K751" t="inlineStr"/>
      <c r="M751" t="inlineStr">
        <is>
          <t>TN</t>
        </is>
      </c>
      <c r="N751" t="inlineStr"/>
      <c r="P751" t="inlineStr">
        <is>
          <t>20220331</t>
        </is>
      </c>
      <c r="Q751" t="inlineStr">
        <is>
          <t>20250131</t>
        </is>
      </c>
    </row>
    <row r="752">
      <c r="A752" t="inlineStr">
        <is>
          <t>900004184DW70D08910059180</t>
        </is>
      </c>
      <c r="B752" t="inlineStr">
        <is>
          <t>900004184</t>
        </is>
      </c>
      <c r="C752" t="inlineStr">
        <is>
          <t>DW70</t>
        </is>
      </c>
      <c r="D752" t="inlineStr">
        <is>
          <t>D089</t>
        </is>
      </c>
      <c r="E752" t="inlineStr">
        <is>
          <t>4</t>
        </is>
      </c>
      <c r="F752" t="inlineStr">
        <is>
          <t>10059180</t>
        </is>
      </c>
      <c r="H752" t="inlineStr"/>
      <c r="J752" t="n">
        <v>25.47</v>
      </c>
      <c r="K752" t="inlineStr"/>
      <c r="M752" t="inlineStr">
        <is>
          <t>TN</t>
        </is>
      </c>
      <c r="N752" t="inlineStr"/>
      <c r="P752" t="inlineStr">
        <is>
          <t>20220331</t>
        </is>
      </c>
      <c r="Q752" t="inlineStr">
        <is>
          <t>20250131</t>
        </is>
      </c>
    </row>
    <row r="753">
      <c r="A753" t="inlineStr">
        <is>
          <t>900004184DW70D09810000623</t>
        </is>
      </c>
      <c r="B753" t="inlineStr">
        <is>
          <t>900004184</t>
        </is>
      </c>
      <c r="C753" t="inlineStr">
        <is>
          <t>DW70</t>
        </is>
      </c>
      <c r="D753" t="inlineStr">
        <is>
          <t>D098</t>
        </is>
      </c>
      <c r="E753" t="inlineStr">
        <is>
          <t>4</t>
        </is>
      </c>
      <c r="F753" t="inlineStr">
        <is>
          <t>10000623</t>
        </is>
      </c>
      <c r="H753" t="inlineStr"/>
      <c r="J753" t="n">
        <v>63.78</v>
      </c>
      <c r="K753" t="inlineStr"/>
      <c r="M753" t="inlineStr">
        <is>
          <t>TN</t>
        </is>
      </c>
      <c r="N753" t="inlineStr"/>
      <c r="P753" t="inlineStr">
        <is>
          <t>20220331</t>
        </is>
      </c>
      <c r="Q753" t="inlineStr">
        <is>
          <t>20250131</t>
        </is>
      </c>
    </row>
    <row r="754">
      <c r="A754" t="inlineStr">
        <is>
          <t>900004184DW70D09810000624</t>
        </is>
      </c>
      <c r="B754" t="inlineStr">
        <is>
          <t>900004184</t>
        </is>
      </c>
      <c r="C754" t="inlineStr">
        <is>
          <t>DW70</t>
        </is>
      </c>
      <c r="D754" t="inlineStr">
        <is>
          <t>D098</t>
        </is>
      </c>
      <c r="E754" t="inlineStr">
        <is>
          <t>4</t>
        </is>
      </c>
      <c r="F754" t="inlineStr">
        <is>
          <t>10000624</t>
        </is>
      </c>
      <c r="H754" t="inlineStr"/>
      <c r="J754" t="n">
        <v>62.53</v>
      </c>
      <c r="K754" t="inlineStr"/>
      <c r="M754" t="inlineStr">
        <is>
          <t>TN</t>
        </is>
      </c>
      <c r="N754" t="inlineStr"/>
      <c r="P754" t="inlineStr">
        <is>
          <t>20220331</t>
        </is>
      </c>
      <c r="Q754" t="inlineStr">
        <is>
          <t>20250131</t>
        </is>
      </c>
    </row>
    <row r="755">
      <c r="A755" t="inlineStr">
        <is>
          <t>900004184DW70D09810000811</t>
        </is>
      </c>
      <c r="B755" t="inlineStr">
        <is>
          <t>900004184</t>
        </is>
      </c>
      <c r="C755" t="inlineStr">
        <is>
          <t>DW70</t>
        </is>
      </c>
      <c r="D755" t="inlineStr">
        <is>
          <t>D098</t>
        </is>
      </c>
      <c r="E755" t="inlineStr">
        <is>
          <t>4</t>
        </is>
      </c>
      <c r="F755" t="inlineStr">
        <is>
          <t>10000811</t>
        </is>
      </c>
      <c r="H755" t="inlineStr"/>
      <c r="J755" t="n">
        <v>62.53</v>
      </c>
      <c r="K755" t="inlineStr"/>
      <c r="M755" t="inlineStr">
        <is>
          <t>TN</t>
        </is>
      </c>
      <c r="N755" t="inlineStr"/>
      <c r="P755" t="inlineStr">
        <is>
          <t>20220331</t>
        </is>
      </c>
      <c r="Q755" t="inlineStr">
        <is>
          <t>20250131</t>
        </is>
      </c>
    </row>
    <row r="756">
      <c r="A756" t="inlineStr">
        <is>
          <t>900004184DW70D09810059180</t>
        </is>
      </c>
      <c r="B756" t="inlineStr">
        <is>
          <t>900004184</t>
        </is>
      </c>
      <c r="C756" t="inlineStr">
        <is>
          <t>DW70</t>
        </is>
      </c>
      <c r="D756" t="inlineStr">
        <is>
          <t>D098</t>
        </is>
      </c>
      <c r="E756" t="inlineStr">
        <is>
          <t>4</t>
        </is>
      </c>
      <c r="F756" t="inlineStr">
        <is>
          <t>10059180</t>
        </is>
      </c>
      <c r="H756" t="inlineStr"/>
      <c r="J756" t="n">
        <v>49.01</v>
      </c>
      <c r="K756" t="inlineStr"/>
      <c r="M756" t="inlineStr">
        <is>
          <t>TN</t>
        </is>
      </c>
      <c r="N756" t="inlineStr"/>
      <c r="P756" t="inlineStr">
        <is>
          <t>20220331</t>
        </is>
      </c>
      <c r="Q756" t="inlineStr">
        <is>
          <t>20250131</t>
        </is>
      </c>
    </row>
    <row r="757">
      <c r="A757" t="inlineStr">
        <is>
          <t>900004184DW70D10510000623</t>
        </is>
      </c>
      <c r="B757" t="inlineStr">
        <is>
          <t>900004184</t>
        </is>
      </c>
      <c r="C757" t="inlineStr">
        <is>
          <t>DW70</t>
        </is>
      </c>
      <c r="D757" t="inlineStr">
        <is>
          <t>D105</t>
        </is>
      </c>
      <c r="E757" t="inlineStr">
        <is>
          <t>4</t>
        </is>
      </c>
      <c r="F757" t="inlineStr">
        <is>
          <t>10000623</t>
        </is>
      </c>
      <c r="H757" t="inlineStr"/>
      <c r="J757" t="n">
        <v>101.54</v>
      </c>
      <c r="K757" t="inlineStr"/>
      <c r="M757" t="inlineStr">
        <is>
          <t>TN</t>
        </is>
      </c>
      <c r="N757" t="inlineStr"/>
      <c r="P757" t="inlineStr">
        <is>
          <t>20220331</t>
        </is>
      </c>
      <c r="Q757" t="inlineStr">
        <is>
          <t>20250131</t>
        </is>
      </c>
    </row>
    <row r="758">
      <c r="A758" t="inlineStr">
        <is>
          <t>900004184DW70D10510000624</t>
        </is>
      </c>
      <c r="B758" t="inlineStr">
        <is>
          <t>900004184</t>
        </is>
      </c>
      <c r="C758" t="inlineStr">
        <is>
          <t>DW70</t>
        </is>
      </c>
      <c r="D758" t="inlineStr">
        <is>
          <t>D105</t>
        </is>
      </c>
      <c r="E758" t="inlineStr">
        <is>
          <t>4</t>
        </is>
      </c>
      <c r="F758" t="inlineStr">
        <is>
          <t>10000624</t>
        </is>
      </c>
      <c r="H758" t="inlineStr"/>
      <c r="J758" t="n">
        <v>99.31999999999999</v>
      </c>
      <c r="K758" t="inlineStr"/>
      <c r="M758" t="inlineStr">
        <is>
          <t>TN</t>
        </is>
      </c>
      <c r="N758" t="inlineStr"/>
      <c r="P758" t="inlineStr">
        <is>
          <t>20220331</t>
        </is>
      </c>
      <c r="Q758" t="inlineStr">
        <is>
          <t>20250131</t>
        </is>
      </c>
    </row>
    <row r="759">
      <c r="A759" t="inlineStr">
        <is>
          <t>900004184DW70D10510000811</t>
        </is>
      </c>
      <c r="B759" t="inlineStr">
        <is>
          <t>900004184</t>
        </is>
      </c>
      <c r="C759" t="inlineStr">
        <is>
          <t>DW70</t>
        </is>
      </c>
      <c r="D759" t="inlineStr">
        <is>
          <t>D105</t>
        </is>
      </c>
      <c r="E759" t="inlineStr">
        <is>
          <t>4</t>
        </is>
      </c>
      <c r="F759" t="inlineStr">
        <is>
          <t>10000811</t>
        </is>
      </c>
      <c r="H759" t="inlineStr"/>
      <c r="J759" t="n">
        <v>99.31999999999999</v>
      </c>
      <c r="K759" t="inlineStr"/>
      <c r="M759" t="inlineStr">
        <is>
          <t>TN</t>
        </is>
      </c>
      <c r="N759" t="inlineStr"/>
      <c r="P759" t="inlineStr">
        <is>
          <t>20220331</t>
        </is>
      </c>
      <c r="Q759" t="inlineStr">
        <is>
          <t>20250131</t>
        </is>
      </c>
    </row>
    <row r="760">
      <c r="A760" t="inlineStr">
        <is>
          <t>900004184DW70D10510059180</t>
        </is>
      </c>
      <c r="B760" t="inlineStr">
        <is>
          <t>900004184</t>
        </is>
      </c>
      <c r="C760" t="inlineStr">
        <is>
          <t>DW70</t>
        </is>
      </c>
      <c r="D760" t="inlineStr">
        <is>
          <t>D105</t>
        </is>
      </c>
      <c r="E760" t="inlineStr">
        <is>
          <t>4</t>
        </is>
      </c>
      <c r="F760" t="inlineStr">
        <is>
          <t>10059180</t>
        </is>
      </c>
      <c r="H760" t="inlineStr"/>
      <c r="J760" t="n">
        <v>86.72</v>
      </c>
      <c r="K760" t="inlineStr"/>
      <c r="M760" t="inlineStr">
        <is>
          <t>TN</t>
        </is>
      </c>
      <c r="N760" t="inlineStr"/>
      <c r="P760" t="inlineStr">
        <is>
          <t>20220331</t>
        </is>
      </c>
      <c r="Q760" t="inlineStr">
        <is>
          <t>20250131</t>
        </is>
      </c>
    </row>
    <row r="761">
      <c r="A761" t="inlineStr">
        <is>
          <t>900004184DW70D13610000623</t>
        </is>
      </c>
      <c r="B761" t="inlineStr">
        <is>
          <t>900004184</t>
        </is>
      </c>
      <c r="C761" t="inlineStr">
        <is>
          <t>DW70</t>
        </is>
      </c>
      <c r="D761" t="inlineStr">
        <is>
          <t>D136</t>
        </is>
      </c>
      <c r="E761" t="inlineStr">
        <is>
          <t>4</t>
        </is>
      </c>
      <c r="F761" t="inlineStr">
        <is>
          <t>10000623</t>
        </is>
      </c>
      <c r="H761" t="inlineStr"/>
      <c r="J761" t="n">
        <v>121.67</v>
      </c>
      <c r="K761" t="inlineStr"/>
      <c r="M761" t="inlineStr">
        <is>
          <t>TN</t>
        </is>
      </c>
      <c r="N761" t="inlineStr"/>
      <c r="P761" t="inlineStr">
        <is>
          <t>20220331</t>
        </is>
      </c>
      <c r="Q761" t="inlineStr">
        <is>
          <t>20250131</t>
        </is>
      </c>
    </row>
    <row r="762">
      <c r="A762" t="inlineStr">
        <is>
          <t>900004184DW70D13610000624</t>
        </is>
      </c>
      <c r="B762" t="inlineStr">
        <is>
          <t>900004184</t>
        </is>
      </c>
      <c r="C762" t="inlineStr">
        <is>
          <t>DW70</t>
        </is>
      </c>
      <c r="D762" t="inlineStr">
        <is>
          <t>D136</t>
        </is>
      </c>
      <c r="E762" t="inlineStr">
        <is>
          <t>4</t>
        </is>
      </c>
      <c r="F762" t="inlineStr">
        <is>
          <t>10000624</t>
        </is>
      </c>
      <c r="H762" t="inlineStr"/>
      <c r="J762" t="n">
        <v>118.93</v>
      </c>
      <c r="K762" t="inlineStr"/>
      <c r="M762" t="inlineStr">
        <is>
          <t>TN</t>
        </is>
      </c>
      <c r="N762" t="inlineStr"/>
      <c r="P762" t="inlineStr">
        <is>
          <t>20220331</t>
        </is>
      </c>
      <c r="Q762" t="inlineStr">
        <is>
          <t>20250131</t>
        </is>
      </c>
    </row>
    <row r="763">
      <c r="A763" t="inlineStr">
        <is>
          <t>900004184DW70D13610000811</t>
        </is>
      </c>
      <c r="B763" t="inlineStr">
        <is>
          <t>900004184</t>
        </is>
      </c>
      <c r="C763" t="inlineStr">
        <is>
          <t>DW70</t>
        </is>
      </c>
      <c r="D763" t="inlineStr">
        <is>
          <t>D136</t>
        </is>
      </c>
      <c r="E763" t="inlineStr">
        <is>
          <t>4</t>
        </is>
      </c>
      <c r="F763" t="inlineStr">
        <is>
          <t>10000811</t>
        </is>
      </c>
      <c r="H763" t="inlineStr"/>
      <c r="J763" t="n">
        <v>118.93</v>
      </c>
      <c r="K763" t="inlineStr"/>
      <c r="M763" t="inlineStr">
        <is>
          <t>TN</t>
        </is>
      </c>
      <c r="N763" t="inlineStr"/>
      <c r="P763" t="inlineStr">
        <is>
          <t>20220331</t>
        </is>
      </c>
      <c r="Q763" t="inlineStr">
        <is>
          <t>20250131</t>
        </is>
      </c>
    </row>
    <row r="764">
      <c r="A764" t="inlineStr">
        <is>
          <t>900004184DW70D13610059180</t>
        </is>
      </c>
      <c r="B764" t="inlineStr">
        <is>
          <t>900004184</t>
        </is>
      </c>
      <c r="C764" t="inlineStr">
        <is>
          <t>DW70</t>
        </is>
      </c>
      <c r="D764" t="inlineStr">
        <is>
          <t>D136</t>
        </is>
      </c>
      <c r="E764" t="inlineStr">
        <is>
          <t>4</t>
        </is>
      </c>
      <c r="F764" t="inlineStr">
        <is>
          <t>10059180</t>
        </is>
      </c>
      <c r="H764" t="inlineStr"/>
      <c r="J764" t="n">
        <v>106.82</v>
      </c>
      <c r="K764" t="inlineStr"/>
      <c r="M764" t="inlineStr">
        <is>
          <t>TN</t>
        </is>
      </c>
      <c r="N764" t="inlineStr"/>
      <c r="P764" t="inlineStr">
        <is>
          <t>20220331</t>
        </is>
      </c>
      <c r="Q764" t="inlineStr">
        <is>
          <t>20250131</t>
        </is>
      </c>
    </row>
    <row r="765">
      <c r="A765" t="inlineStr">
        <is>
          <t>900004184DW70D14510000623</t>
        </is>
      </c>
      <c r="B765" t="inlineStr">
        <is>
          <t>900004184</t>
        </is>
      </c>
      <c r="C765" t="inlineStr">
        <is>
          <t>DW70</t>
        </is>
      </c>
      <c r="D765" t="inlineStr">
        <is>
          <t>D145</t>
        </is>
      </c>
      <c r="E765" t="inlineStr">
        <is>
          <t>4</t>
        </is>
      </c>
      <c r="F765" t="inlineStr">
        <is>
          <t>10000623</t>
        </is>
      </c>
      <c r="H765" t="inlineStr"/>
      <c r="J765" t="n">
        <v>90.20999999999999</v>
      </c>
      <c r="K765" t="inlineStr"/>
      <c r="M765" t="inlineStr">
        <is>
          <t>TN</t>
        </is>
      </c>
      <c r="N765" t="inlineStr"/>
      <c r="P765" t="inlineStr">
        <is>
          <t>20220331</t>
        </is>
      </c>
      <c r="Q765" t="inlineStr">
        <is>
          <t>20250131</t>
        </is>
      </c>
    </row>
    <row r="766">
      <c r="A766" t="inlineStr">
        <is>
          <t>900004184DW70D14510000624</t>
        </is>
      </c>
      <c r="B766" t="inlineStr">
        <is>
          <t>900004184</t>
        </is>
      </c>
      <c r="C766" t="inlineStr">
        <is>
          <t>DW70</t>
        </is>
      </c>
      <c r="D766" t="inlineStr">
        <is>
          <t>D145</t>
        </is>
      </c>
      <c r="E766" t="inlineStr">
        <is>
          <t>4</t>
        </is>
      </c>
      <c r="F766" t="inlineStr">
        <is>
          <t>10000624</t>
        </is>
      </c>
      <c r="H766" t="inlineStr"/>
      <c r="J766" t="n">
        <v>88.28</v>
      </c>
      <c r="K766" t="inlineStr"/>
      <c r="M766" t="inlineStr">
        <is>
          <t>TN</t>
        </is>
      </c>
      <c r="N766" t="inlineStr"/>
      <c r="P766" t="inlineStr">
        <is>
          <t>20220331</t>
        </is>
      </c>
      <c r="Q766" t="inlineStr">
        <is>
          <t>20250131</t>
        </is>
      </c>
    </row>
    <row r="767">
      <c r="A767" t="inlineStr">
        <is>
          <t>900004184DW70D14510000811</t>
        </is>
      </c>
      <c r="B767" t="inlineStr">
        <is>
          <t>900004184</t>
        </is>
      </c>
      <c r="C767" t="inlineStr">
        <is>
          <t>DW70</t>
        </is>
      </c>
      <c r="D767" t="inlineStr">
        <is>
          <t>D145</t>
        </is>
      </c>
      <c r="E767" t="inlineStr">
        <is>
          <t>4</t>
        </is>
      </c>
      <c r="F767" t="inlineStr">
        <is>
          <t>10000811</t>
        </is>
      </c>
      <c r="H767" t="inlineStr"/>
      <c r="J767" t="n">
        <v>88.28</v>
      </c>
      <c r="K767" t="inlineStr"/>
      <c r="M767" t="inlineStr">
        <is>
          <t>TN</t>
        </is>
      </c>
      <c r="N767" t="inlineStr"/>
      <c r="P767" t="inlineStr">
        <is>
          <t>20220331</t>
        </is>
      </c>
      <c r="Q767" t="inlineStr">
        <is>
          <t>20250131</t>
        </is>
      </c>
    </row>
    <row r="768">
      <c r="A768" t="inlineStr">
        <is>
          <t>900004184DW70D14510059180</t>
        </is>
      </c>
      <c r="B768" t="inlineStr">
        <is>
          <t>900004184</t>
        </is>
      </c>
      <c r="C768" t="inlineStr">
        <is>
          <t>DW70</t>
        </is>
      </c>
      <c r="D768" t="inlineStr">
        <is>
          <t>D145</t>
        </is>
      </c>
      <c r="E768" t="inlineStr">
        <is>
          <t>4</t>
        </is>
      </c>
      <c r="F768" t="inlineStr">
        <is>
          <t>10059180</t>
        </is>
      </c>
      <c r="H768" t="inlineStr"/>
      <c r="J768" t="n">
        <v>75.41</v>
      </c>
      <c r="K768" t="inlineStr"/>
      <c r="M768" t="inlineStr">
        <is>
          <t>TN</t>
        </is>
      </c>
      <c r="N768" t="inlineStr"/>
      <c r="P768" t="inlineStr">
        <is>
          <t>20220331</t>
        </is>
      </c>
      <c r="Q768" t="inlineStr">
        <is>
          <t>20250131</t>
        </is>
      </c>
    </row>
    <row r="769">
      <c r="A769" t="inlineStr">
        <is>
          <t>900004322DW70D07410000160</t>
        </is>
      </c>
      <c r="B769" t="inlineStr">
        <is>
          <t>900004322</t>
        </is>
      </c>
      <c r="C769" t="inlineStr">
        <is>
          <t>DW70</t>
        </is>
      </c>
      <c r="D769" t="inlineStr">
        <is>
          <t>D074</t>
        </is>
      </c>
      <c r="E769" t="inlineStr">
        <is>
          <t>1</t>
        </is>
      </c>
      <c r="F769" t="inlineStr">
        <is>
          <t>10000160</t>
        </is>
      </c>
      <c r="H769" t="inlineStr"/>
      <c r="J769" t="n">
        <v>122.45</v>
      </c>
      <c r="K769" t="inlineStr"/>
      <c r="M769" t="inlineStr">
        <is>
          <t>TN</t>
        </is>
      </c>
      <c r="N769" t="inlineStr"/>
      <c r="P769" t="inlineStr">
        <is>
          <t>20220331</t>
        </is>
      </c>
      <c r="Q769" t="inlineStr">
        <is>
          <t>20250131</t>
        </is>
      </c>
    </row>
    <row r="770">
      <c r="A770" t="inlineStr">
        <is>
          <t>900004322DW70D07410000627</t>
        </is>
      </c>
      <c r="B770" t="inlineStr">
        <is>
          <t>900004322</t>
        </is>
      </c>
      <c r="C770" t="inlineStr">
        <is>
          <t>DW70</t>
        </is>
      </c>
      <c r="D770" t="inlineStr">
        <is>
          <t>D074</t>
        </is>
      </c>
      <c r="E770" t="inlineStr">
        <is>
          <t>1</t>
        </is>
      </c>
      <c r="F770" t="inlineStr">
        <is>
          <t>10000627</t>
        </is>
      </c>
      <c r="H770" t="inlineStr"/>
      <c r="J770" t="n">
        <v>129.73</v>
      </c>
      <c r="K770" t="inlineStr"/>
      <c r="M770" t="inlineStr">
        <is>
          <t>TN</t>
        </is>
      </c>
      <c r="N770" t="inlineStr"/>
      <c r="P770" t="inlineStr">
        <is>
          <t>20220331</t>
        </is>
      </c>
      <c r="Q770" t="inlineStr">
        <is>
          <t>20250131</t>
        </is>
      </c>
    </row>
    <row r="771">
      <c r="A771" t="inlineStr">
        <is>
          <t>900004322DW70D07510000160</t>
        </is>
      </c>
      <c r="B771" t="inlineStr">
        <is>
          <t>900004322</t>
        </is>
      </c>
      <c r="C771" t="inlineStr">
        <is>
          <t>DW70</t>
        </is>
      </c>
      <c r="D771" t="inlineStr">
        <is>
          <t>D075</t>
        </is>
      </c>
      <c r="E771" t="inlineStr">
        <is>
          <t>1</t>
        </is>
      </c>
      <c r="F771" t="inlineStr">
        <is>
          <t>10000160</t>
        </is>
      </c>
      <c r="H771" t="inlineStr"/>
      <c r="J771" t="n">
        <v>130.9</v>
      </c>
      <c r="K771" t="inlineStr"/>
      <c r="M771" t="inlineStr">
        <is>
          <t>TN</t>
        </is>
      </c>
      <c r="N771" t="inlineStr"/>
      <c r="P771" t="inlineStr">
        <is>
          <t>20220331</t>
        </is>
      </c>
      <c r="Q771" t="inlineStr">
        <is>
          <t>20250131</t>
        </is>
      </c>
    </row>
    <row r="772">
      <c r="A772" t="inlineStr">
        <is>
          <t>900004322DW70D07510000627</t>
        </is>
      </c>
      <c r="B772" t="inlineStr">
        <is>
          <t>900004322</t>
        </is>
      </c>
      <c r="C772" t="inlineStr">
        <is>
          <t>DW70</t>
        </is>
      </c>
      <c r="D772" t="inlineStr">
        <is>
          <t>D075</t>
        </is>
      </c>
      <c r="E772" t="inlineStr">
        <is>
          <t>1</t>
        </is>
      </c>
      <c r="F772" t="inlineStr">
        <is>
          <t>10000627</t>
        </is>
      </c>
      <c r="H772" t="inlineStr"/>
      <c r="J772" t="n">
        <v>138.67</v>
      </c>
      <c r="K772" t="inlineStr"/>
      <c r="M772" t="inlineStr">
        <is>
          <t>TN</t>
        </is>
      </c>
      <c r="N772" t="inlineStr"/>
      <c r="P772" t="inlineStr">
        <is>
          <t>20220331</t>
        </is>
      </c>
      <c r="Q772" t="inlineStr">
        <is>
          <t>20250131</t>
        </is>
      </c>
    </row>
    <row r="773">
      <c r="A773" t="inlineStr">
        <is>
          <t>900004322DW70D07710000160</t>
        </is>
      </c>
      <c r="B773" t="inlineStr">
        <is>
          <t>900004322</t>
        </is>
      </c>
      <c r="C773" t="inlineStr">
        <is>
          <t>DW70</t>
        </is>
      </c>
      <c r="D773" t="inlineStr">
        <is>
          <t>D077</t>
        </is>
      </c>
      <c r="E773" t="inlineStr">
        <is>
          <t>1</t>
        </is>
      </c>
      <c r="F773" t="inlineStr">
        <is>
          <t>10000160</t>
        </is>
      </c>
      <c r="H773" t="inlineStr"/>
      <c r="J773" t="n">
        <v>59.11</v>
      </c>
      <c r="K773" t="inlineStr"/>
      <c r="M773" t="inlineStr">
        <is>
          <t>TN</t>
        </is>
      </c>
      <c r="N773" t="inlineStr"/>
      <c r="P773" t="inlineStr">
        <is>
          <t>20220331</t>
        </is>
      </c>
      <c r="Q773" t="inlineStr">
        <is>
          <t>20250131</t>
        </is>
      </c>
    </row>
    <row r="774">
      <c r="A774" t="inlineStr">
        <is>
          <t>900004322DW70D07710000627</t>
        </is>
      </c>
      <c r="B774" t="inlineStr">
        <is>
          <t>900004322</t>
        </is>
      </c>
      <c r="C774" t="inlineStr">
        <is>
          <t>DW70</t>
        </is>
      </c>
      <c r="D774" t="inlineStr">
        <is>
          <t>D077</t>
        </is>
      </c>
      <c r="E774" t="inlineStr">
        <is>
          <t>1</t>
        </is>
      </c>
      <c r="F774" t="inlineStr">
        <is>
          <t>10000627</t>
        </is>
      </c>
      <c r="H774" t="inlineStr"/>
      <c r="J774" t="n">
        <v>62.63</v>
      </c>
      <c r="K774" t="inlineStr"/>
      <c r="M774" t="inlineStr">
        <is>
          <t>TN</t>
        </is>
      </c>
      <c r="N774" t="inlineStr"/>
      <c r="P774" t="inlineStr">
        <is>
          <t>20220331</t>
        </is>
      </c>
      <c r="Q774" t="inlineStr">
        <is>
          <t>20250131</t>
        </is>
      </c>
    </row>
    <row r="775">
      <c r="A775" t="inlineStr">
        <is>
          <t>900004322DW70D07910000160</t>
        </is>
      </c>
      <c r="B775" t="inlineStr">
        <is>
          <t>900004322</t>
        </is>
      </c>
      <c r="C775" t="inlineStr">
        <is>
          <t>DW70</t>
        </is>
      </c>
      <c r="D775" t="inlineStr">
        <is>
          <t>D079</t>
        </is>
      </c>
      <c r="E775" t="inlineStr">
        <is>
          <t>1</t>
        </is>
      </c>
      <c r="F775" t="inlineStr">
        <is>
          <t>10000160</t>
        </is>
      </c>
      <c r="H775" t="inlineStr"/>
      <c r="J775" t="n">
        <v>111.9</v>
      </c>
      <c r="K775" t="inlineStr"/>
      <c r="M775" t="inlineStr">
        <is>
          <t>TN</t>
        </is>
      </c>
      <c r="N775" t="inlineStr"/>
      <c r="P775" t="inlineStr">
        <is>
          <t>20220331</t>
        </is>
      </c>
      <c r="Q775" t="inlineStr">
        <is>
          <t>20250131</t>
        </is>
      </c>
    </row>
    <row r="776">
      <c r="A776" t="inlineStr">
        <is>
          <t>900004322DW70D07910000627</t>
        </is>
      </c>
      <c r="B776" t="inlineStr">
        <is>
          <t>900004322</t>
        </is>
      </c>
      <c r="C776" t="inlineStr">
        <is>
          <t>DW70</t>
        </is>
      </c>
      <c r="D776" t="inlineStr">
        <is>
          <t>D079</t>
        </is>
      </c>
      <c r="E776" t="inlineStr">
        <is>
          <t>1</t>
        </is>
      </c>
      <c r="F776" t="inlineStr">
        <is>
          <t>10000627</t>
        </is>
      </c>
      <c r="H776" t="inlineStr"/>
      <c r="J776" t="n">
        <v>118.54</v>
      </c>
      <c r="K776" t="inlineStr"/>
      <c r="M776" t="inlineStr">
        <is>
          <t>TN</t>
        </is>
      </c>
      <c r="N776" t="inlineStr"/>
      <c r="P776" t="inlineStr">
        <is>
          <t>20220331</t>
        </is>
      </c>
      <c r="Q776" t="inlineStr">
        <is>
          <t>20250131</t>
        </is>
      </c>
    </row>
    <row r="777">
      <c r="A777" t="inlineStr">
        <is>
          <t>900004322DW70D08010000160</t>
        </is>
      </c>
      <c r="B777" t="inlineStr">
        <is>
          <t>900004322</t>
        </is>
      </c>
      <c r="C777" t="inlineStr">
        <is>
          <t>DW70</t>
        </is>
      </c>
      <c r="D777" t="inlineStr">
        <is>
          <t>D080</t>
        </is>
      </c>
      <c r="E777" t="inlineStr">
        <is>
          <t>1</t>
        </is>
      </c>
      <c r="F777" t="inlineStr">
        <is>
          <t>10000160</t>
        </is>
      </c>
      <c r="H777" t="inlineStr"/>
      <c r="J777" t="n">
        <v>121.45</v>
      </c>
      <c r="K777" t="inlineStr"/>
      <c r="M777" t="inlineStr">
        <is>
          <t>TN</t>
        </is>
      </c>
      <c r="N777" t="inlineStr"/>
      <c r="P777" t="inlineStr">
        <is>
          <t>20220331</t>
        </is>
      </c>
      <c r="Q777" t="inlineStr">
        <is>
          <t>20250131</t>
        </is>
      </c>
    </row>
    <row r="778">
      <c r="A778" t="inlineStr">
        <is>
          <t>900004322DW70D08010000627</t>
        </is>
      </c>
      <c r="B778" t="inlineStr">
        <is>
          <t>900004322</t>
        </is>
      </c>
      <c r="C778" t="inlineStr">
        <is>
          <t>DW70</t>
        </is>
      </c>
      <c r="D778" t="inlineStr">
        <is>
          <t>D080</t>
        </is>
      </c>
      <c r="E778" t="inlineStr">
        <is>
          <t>1</t>
        </is>
      </c>
      <c r="F778" t="inlineStr">
        <is>
          <t>10000627</t>
        </is>
      </c>
      <c r="H778" t="inlineStr"/>
      <c r="J778" t="n">
        <v>106.27</v>
      </c>
      <c r="K778" t="inlineStr"/>
      <c r="M778" t="inlineStr">
        <is>
          <t>TN</t>
        </is>
      </c>
      <c r="N778" t="inlineStr"/>
      <c r="P778" t="inlineStr">
        <is>
          <t>20220331</t>
        </is>
      </c>
      <c r="Q778" t="inlineStr">
        <is>
          <t>20250131</t>
        </is>
      </c>
    </row>
    <row r="779">
      <c r="A779" t="inlineStr">
        <is>
          <t>900004322DW70D08110000160</t>
        </is>
      </c>
      <c r="B779" t="inlineStr">
        <is>
          <t>900004322</t>
        </is>
      </c>
      <c r="C779" t="inlineStr">
        <is>
          <t>DW70</t>
        </is>
      </c>
      <c r="D779" t="inlineStr">
        <is>
          <t>D081</t>
        </is>
      </c>
      <c r="E779" t="inlineStr">
        <is>
          <t>1</t>
        </is>
      </c>
      <c r="F779" t="inlineStr">
        <is>
          <t>10000160</t>
        </is>
      </c>
      <c r="H779" t="inlineStr"/>
      <c r="J779" t="n">
        <v>139.36</v>
      </c>
      <c r="K779" t="inlineStr"/>
      <c r="M779" t="inlineStr">
        <is>
          <t>TN</t>
        </is>
      </c>
      <c r="N779" t="inlineStr"/>
      <c r="P779" t="inlineStr">
        <is>
          <t>20220331</t>
        </is>
      </c>
      <c r="Q779" t="inlineStr">
        <is>
          <t>20250131</t>
        </is>
      </c>
    </row>
    <row r="780">
      <c r="A780" t="inlineStr">
        <is>
          <t>900004322DW70D08110000627</t>
        </is>
      </c>
      <c r="B780" t="inlineStr">
        <is>
          <t>900004322</t>
        </is>
      </c>
      <c r="C780" t="inlineStr">
        <is>
          <t>DW70</t>
        </is>
      </c>
      <c r="D780" t="inlineStr">
        <is>
          <t>D081</t>
        </is>
      </c>
      <c r="E780" t="inlineStr">
        <is>
          <t>1</t>
        </is>
      </c>
      <c r="F780" t="inlineStr">
        <is>
          <t>10000627</t>
        </is>
      </c>
      <c r="H780" t="inlineStr"/>
      <c r="J780" t="n">
        <v>106.27</v>
      </c>
      <c r="K780" t="inlineStr"/>
      <c r="M780" t="inlineStr">
        <is>
          <t>TN</t>
        </is>
      </c>
      <c r="N780" t="inlineStr"/>
      <c r="P780" t="inlineStr">
        <is>
          <t>20220331</t>
        </is>
      </c>
      <c r="Q780" t="inlineStr">
        <is>
          <t>20250131</t>
        </is>
      </c>
    </row>
    <row r="781">
      <c r="A781" t="inlineStr">
        <is>
          <t>900004322DW70D08310000160</t>
        </is>
      </c>
      <c r="B781" t="inlineStr">
        <is>
          <t>900004322</t>
        </is>
      </c>
      <c r="C781" t="inlineStr">
        <is>
          <t>DW70</t>
        </is>
      </c>
      <c r="D781" t="inlineStr">
        <is>
          <t>D083</t>
        </is>
      </c>
      <c r="E781" t="inlineStr">
        <is>
          <t>1</t>
        </is>
      </c>
      <c r="F781" t="inlineStr">
        <is>
          <t>10000160</t>
        </is>
      </c>
      <c r="H781" t="inlineStr"/>
      <c r="J781" t="n">
        <v>116.12</v>
      </c>
      <c r="K781" t="inlineStr"/>
      <c r="M781" t="inlineStr">
        <is>
          <t>TN</t>
        </is>
      </c>
      <c r="N781" t="inlineStr"/>
      <c r="P781" t="inlineStr">
        <is>
          <t>20220331</t>
        </is>
      </c>
      <c r="Q781" t="inlineStr">
        <is>
          <t>20250131</t>
        </is>
      </c>
    </row>
    <row r="782">
      <c r="A782" t="inlineStr">
        <is>
          <t>900004322DW70D08310000627</t>
        </is>
      </c>
      <c r="B782" t="inlineStr">
        <is>
          <t>900004322</t>
        </is>
      </c>
      <c r="C782" t="inlineStr">
        <is>
          <t>DW70</t>
        </is>
      </c>
      <c r="D782" t="inlineStr">
        <is>
          <t>D083</t>
        </is>
      </c>
      <c r="E782" t="inlineStr">
        <is>
          <t>1</t>
        </is>
      </c>
      <c r="F782" t="inlineStr">
        <is>
          <t>10000627</t>
        </is>
      </c>
      <c r="H782" t="inlineStr"/>
      <c r="J782" t="n">
        <v>123.02</v>
      </c>
      <c r="K782" t="inlineStr"/>
      <c r="M782" t="inlineStr">
        <is>
          <t>TN</t>
        </is>
      </c>
      <c r="N782" t="inlineStr"/>
      <c r="P782" t="inlineStr">
        <is>
          <t>20220331</t>
        </is>
      </c>
      <c r="Q782" t="inlineStr">
        <is>
          <t>20250131</t>
        </is>
      </c>
    </row>
    <row r="783">
      <c r="A783" t="inlineStr">
        <is>
          <t>900004322DW70D08410000160</t>
        </is>
      </c>
      <c r="B783" t="inlineStr">
        <is>
          <t>900004322</t>
        </is>
      </c>
      <c r="C783" t="inlineStr">
        <is>
          <t>DW70</t>
        </is>
      </c>
      <c r="D783" t="inlineStr">
        <is>
          <t>D084</t>
        </is>
      </c>
      <c r="E783" t="inlineStr">
        <is>
          <t>1</t>
        </is>
      </c>
      <c r="F783" t="inlineStr">
        <is>
          <t>10000160</t>
        </is>
      </c>
      <c r="H783" t="inlineStr"/>
      <c r="J783" t="n">
        <v>80.23</v>
      </c>
      <c r="K783" t="inlineStr"/>
      <c r="M783" t="inlineStr">
        <is>
          <t>TN</t>
        </is>
      </c>
      <c r="N783" t="inlineStr"/>
      <c r="P783" t="inlineStr">
        <is>
          <t>20220331</t>
        </is>
      </c>
      <c r="Q783" t="inlineStr">
        <is>
          <t>20250131</t>
        </is>
      </c>
    </row>
    <row r="784">
      <c r="A784" t="inlineStr">
        <is>
          <t>900004322DW70D08410000627</t>
        </is>
      </c>
      <c r="B784" t="inlineStr">
        <is>
          <t>900004322</t>
        </is>
      </c>
      <c r="C784" t="inlineStr">
        <is>
          <t>DW70</t>
        </is>
      </c>
      <c r="D784" t="inlineStr">
        <is>
          <t>D084</t>
        </is>
      </c>
      <c r="E784" t="inlineStr">
        <is>
          <t>1</t>
        </is>
      </c>
      <c r="F784" t="inlineStr">
        <is>
          <t>10000627</t>
        </is>
      </c>
      <c r="H784" t="inlineStr"/>
      <c r="J784" t="n">
        <v>84.98999999999999</v>
      </c>
      <c r="K784" t="inlineStr"/>
      <c r="M784" t="inlineStr">
        <is>
          <t>TN</t>
        </is>
      </c>
      <c r="N784" t="inlineStr"/>
      <c r="P784" t="inlineStr">
        <is>
          <t>20220331</t>
        </is>
      </c>
      <c r="Q784" t="inlineStr">
        <is>
          <t>20250131</t>
        </is>
      </c>
    </row>
    <row r="785">
      <c r="A785" t="inlineStr">
        <is>
          <t>900004322DW70D08510000160</t>
        </is>
      </c>
      <c r="B785" t="inlineStr">
        <is>
          <t>900004322</t>
        </is>
      </c>
      <c r="C785" t="inlineStr">
        <is>
          <t>DW70</t>
        </is>
      </c>
      <c r="D785" t="inlineStr">
        <is>
          <t>D085</t>
        </is>
      </c>
      <c r="E785" t="inlineStr">
        <is>
          <t>1</t>
        </is>
      </c>
      <c r="F785" t="inlineStr">
        <is>
          <t>10000160</t>
        </is>
      </c>
      <c r="H785" t="inlineStr"/>
      <c r="J785" t="n">
        <v>86.56</v>
      </c>
      <c r="K785" t="inlineStr"/>
      <c r="M785" t="inlineStr">
        <is>
          <t>TN</t>
        </is>
      </c>
      <c r="N785" t="inlineStr"/>
      <c r="P785" t="inlineStr">
        <is>
          <t>20220331</t>
        </is>
      </c>
      <c r="Q785" t="inlineStr">
        <is>
          <t>20250131</t>
        </is>
      </c>
    </row>
    <row r="786">
      <c r="A786" t="inlineStr">
        <is>
          <t>900004322DW70D08510000627</t>
        </is>
      </c>
      <c r="B786" t="inlineStr">
        <is>
          <t>900004322</t>
        </is>
      </c>
      <c r="C786" t="inlineStr">
        <is>
          <t>DW70</t>
        </is>
      </c>
      <c r="D786" t="inlineStr">
        <is>
          <t>D085</t>
        </is>
      </c>
      <c r="E786" t="inlineStr">
        <is>
          <t>1</t>
        </is>
      </c>
      <c r="F786" t="inlineStr">
        <is>
          <t>10000627</t>
        </is>
      </c>
      <c r="H786" t="inlineStr"/>
      <c r="J786" t="n">
        <v>91.7</v>
      </c>
      <c r="K786" t="inlineStr"/>
      <c r="M786" t="inlineStr">
        <is>
          <t>TN</t>
        </is>
      </c>
      <c r="N786" t="inlineStr"/>
      <c r="P786" t="inlineStr">
        <is>
          <t>20220331</t>
        </is>
      </c>
      <c r="Q786" t="inlineStr">
        <is>
          <t>20250131</t>
        </is>
      </c>
    </row>
    <row r="787">
      <c r="A787" t="inlineStr">
        <is>
          <t>900004322DW70D08610000160</t>
        </is>
      </c>
      <c r="B787" t="inlineStr">
        <is>
          <t>900004322</t>
        </is>
      </c>
      <c r="C787" t="inlineStr">
        <is>
          <t>DW70</t>
        </is>
      </c>
      <c r="D787" t="inlineStr">
        <is>
          <t>D086</t>
        </is>
      </c>
      <c r="E787" t="inlineStr">
        <is>
          <t>1</t>
        </is>
      </c>
      <c r="F787" t="inlineStr">
        <is>
          <t>10000160</t>
        </is>
      </c>
      <c r="H787" t="inlineStr"/>
      <c r="J787" t="n">
        <v>135.12</v>
      </c>
      <c r="K787" t="inlineStr"/>
      <c r="M787" t="inlineStr">
        <is>
          <t>TN</t>
        </is>
      </c>
      <c r="N787" t="inlineStr"/>
      <c r="P787" t="inlineStr">
        <is>
          <t>20220331</t>
        </is>
      </c>
      <c r="Q787" t="inlineStr">
        <is>
          <t>20250131</t>
        </is>
      </c>
    </row>
    <row r="788">
      <c r="A788" t="inlineStr">
        <is>
          <t>900004322DW70D08610000627</t>
        </is>
      </c>
      <c r="B788" t="inlineStr">
        <is>
          <t>900004322</t>
        </is>
      </c>
      <c r="C788" t="inlineStr">
        <is>
          <t>DW70</t>
        </is>
      </c>
      <c r="D788" t="inlineStr">
        <is>
          <t>D086</t>
        </is>
      </c>
      <c r="E788" t="inlineStr">
        <is>
          <t>1</t>
        </is>
      </c>
      <c r="F788" t="inlineStr">
        <is>
          <t>10000627</t>
        </is>
      </c>
      <c r="H788" t="inlineStr"/>
      <c r="J788" t="n">
        <v>143.15</v>
      </c>
      <c r="K788" t="inlineStr"/>
      <c r="M788" t="inlineStr">
        <is>
          <t>TN</t>
        </is>
      </c>
      <c r="N788" t="inlineStr"/>
      <c r="P788" t="inlineStr">
        <is>
          <t>20220331</t>
        </is>
      </c>
      <c r="Q788" t="inlineStr">
        <is>
          <t>20250131</t>
        </is>
      </c>
    </row>
    <row r="789">
      <c r="A789" t="inlineStr">
        <is>
          <t>900004322DW70D08810000160</t>
        </is>
      </c>
      <c r="B789" t="inlineStr">
        <is>
          <t>900004322</t>
        </is>
      </c>
      <c r="C789" t="inlineStr">
        <is>
          <t>DW70</t>
        </is>
      </c>
      <c r="D789" t="inlineStr">
        <is>
          <t>D088</t>
        </is>
      </c>
      <c r="E789" t="inlineStr">
        <is>
          <t>1</t>
        </is>
      </c>
      <c r="F789" t="inlineStr">
        <is>
          <t>10000160</t>
        </is>
      </c>
      <c r="H789" t="inlineStr"/>
      <c r="J789" t="n">
        <v>201.08</v>
      </c>
      <c r="K789" t="inlineStr"/>
      <c r="M789" t="inlineStr">
        <is>
          <t>TN</t>
        </is>
      </c>
      <c r="N789" t="inlineStr"/>
      <c r="P789" t="inlineStr">
        <is>
          <t>20220331</t>
        </is>
      </c>
      <c r="Q789" t="inlineStr">
        <is>
          <t>20250131</t>
        </is>
      </c>
    </row>
    <row r="790">
      <c r="A790" t="inlineStr">
        <is>
          <t>900004322DW70D08810000627</t>
        </is>
      </c>
      <c r="B790" t="inlineStr">
        <is>
          <t>900004322</t>
        </is>
      </c>
      <c r="C790" t="inlineStr">
        <is>
          <t>DW70</t>
        </is>
      </c>
      <c r="D790" t="inlineStr">
        <is>
          <t>D088</t>
        </is>
      </c>
      <c r="E790" t="inlineStr">
        <is>
          <t>1</t>
        </is>
      </c>
      <c r="F790" t="inlineStr">
        <is>
          <t>10000627</t>
        </is>
      </c>
      <c r="H790" t="inlineStr"/>
      <c r="J790" t="n">
        <v>82.20999999999999</v>
      </c>
      <c r="K790" t="inlineStr"/>
      <c r="M790" t="inlineStr">
        <is>
          <t>TN</t>
        </is>
      </c>
      <c r="N790" t="inlineStr"/>
      <c r="P790" t="inlineStr">
        <is>
          <t>20220331</t>
        </is>
      </c>
      <c r="Q790" t="inlineStr">
        <is>
          <t>20250131</t>
        </is>
      </c>
    </row>
    <row r="791">
      <c r="A791" t="inlineStr">
        <is>
          <t>900004322DW70D09310000160</t>
        </is>
      </c>
      <c r="B791" t="inlineStr">
        <is>
          <t>900004322</t>
        </is>
      </c>
      <c r="C791" t="inlineStr">
        <is>
          <t>DW70</t>
        </is>
      </c>
      <c r="D791" t="inlineStr">
        <is>
          <t>D093</t>
        </is>
      </c>
      <c r="E791" t="inlineStr">
        <is>
          <t>1</t>
        </is>
      </c>
      <c r="F791" t="inlineStr">
        <is>
          <t>10000160</t>
        </is>
      </c>
      <c r="H791" t="inlineStr"/>
      <c r="J791" t="n">
        <v>206.9</v>
      </c>
      <c r="K791" t="inlineStr"/>
      <c r="M791" t="inlineStr">
        <is>
          <t>TN</t>
        </is>
      </c>
      <c r="N791" t="inlineStr"/>
      <c r="P791" t="inlineStr">
        <is>
          <t>20220331</t>
        </is>
      </c>
      <c r="Q791" t="inlineStr">
        <is>
          <t>20250131</t>
        </is>
      </c>
    </row>
    <row r="792">
      <c r="A792" t="inlineStr">
        <is>
          <t>900004322DW70D09310000627</t>
        </is>
      </c>
      <c r="B792" t="inlineStr">
        <is>
          <t>900004322</t>
        </is>
      </c>
      <c r="C792" t="inlineStr">
        <is>
          <t>DW70</t>
        </is>
      </c>
      <c r="D792" t="inlineStr">
        <is>
          <t>D093</t>
        </is>
      </c>
      <c r="E792" t="inlineStr">
        <is>
          <t>1</t>
        </is>
      </c>
      <c r="F792" t="inlineStr">
        <is>
          <t>10000627</t>
        </is>
      </c>
      <c r="H792" t="inlineStr"/>
      <c r="J792" t="n">
        <v>219.19</v>
      </c>
      <c r="K792" t="inlineStr"/>
      <c r="M792" t="inlineStr">
        <is>
          <t>TN</t>
        </is>
      </c>
      <c r="N792" t="inlineStr"/>
      <c r="P792" t="inlineStr">
        <is>
          <t>20220331</t>
        </is>
      </c>
      <c r="Q792" t="inlineStr">
        <is>
          <t>20250131</t>
        </is>
      </c>
    </row>
    <row r="793">
      <c r="A793" t="inlineStr">
        <is>
          <t>900004322DW70D09810000160</t>
        </is>
      </c>
      <c r="B793" t="inlineStr">
        <is>
          <t>900004322</t>
        </is>
      </c>
      <c r="C793" t="inlineStr">
        <is>
          <t>DW70</t>
        </is>
      </c>
      <c r="D793" t="inlineStr">
        <is>
          <t>D098</t>
        </is>
      </c>
      <c r="E793" t="inlineStr">
        <is>
          <t>1</t>
        </is>
      </c>
      <c r="F793" t="inlineStr">
        <is>
          <t>10000160</t>
        </is>
      </c>
      <c r="H793" t="inlineStr"/>
      <c r="J793" t="n">
        <v>190.01</v>
      </c>
      <c r="K793" t="inlineStr"/>
      <c r="M793" t="inlineStr">
        <is>
          <t>TN</t>
        </is>
      </c>
      <c r="N793" t="inlineStr"/>
      <c r="P793" t="inlineStr">
        <is>
          <t>20220331</t>
        </is>
      </c>
      <c r="Q793" t="inlineStr">
        <is>
          <t>20250131</t>
        </is>
      </c>
    </row>
    <row r="794">
      <c r="A794" t="inlineStr">
        <is>
          <t>900004322DW70D09810000627</t>
        </is>
      </c>
      <c r="B794" t="inlineStr">
        <is>
          <t>900004322</t>
        </is>
      </c>
      <c r="C794" t="inlineStr">
        <is>
          <t>DW70</t>
        </is>
      </c>
      <c r="D794" t="inlineStr">
        <is>
          <t>D098</t>
        </is>
      </c>
      <c r="E794" t="inlineStr">
        <is>
          <t>1</t>
        </is>
      </c>
      <c r="F794" t="inlineStr">
        <is>
          <t>10000627</t>
        </is>
      </c>
      <c r="H794" t="inlineStr"/>
      <c r="J794" t="n">
        <v>201.3</v>
      </c>
      <c r="K794" t="inlineStr"/>
      <c r="M794" t="inlineStr">
        <is>
          <t>TN</t>
        </is>
      </c>
      <c r="N794" t="inlineStr"/>
      <c r="P794" t="inlineStr">
        <is>
          <t>20220331</t>
        </is>
      </c>
      <c r="Q794" t="inlineStr">
        <is>
          <t>20250131</t>
        </is>
      </c>
    </row>
    <row r="795">
      <c r="A795" t="inlineStr">
        <is>
          <t>900004322DW70D10510000160</t>
        </is>
      </c>
      <c r="B795" t="inlineStr">
        <is>
          <t>900004322</t>
        </is>
      </c>
      <c r="C795" t="inlineStr">
        <is>
          <t>DW70</t>
        </is>
      </c>
      <c r="D795" t="inlineStr">
        <is>
          <t>D105</t>
        </is>
      </c>
      <c r="E795" t="inlineStr">
        <is>
          <t>1</t>
        </is>
      </c>
      <c r="F795" t="inlineStr">
        <is>
          <t>10000160</t>
        </is>
      </c>
      <c r="H795" t="inlineStr"/>
      <c r="J795" t="n">
        <v>149.9</v>
      </c>
      <c r="K795" t="inlineStr"/>
      <c r="M795" t="inlineStr">
        <is>
          <t>TN</t>
        </is>
      </c>
      <c r="N795" t="inlineStr"/>
      <c r="P795" t="inlineStr">
        <is>
          <t>20220331</t>
        </is>
      </c>
      <c r="Q795" t="inlineStr">
        <is>
          <t>20250131</t>
        </is>
      </c>
    </row>
    <row r="796">
      <c r="A796" t="inlineStr">
        <is>
          <t>900004322DW70D10510000627</t>
        </is>
      </c>
      <c r="B796" t="inlineStr">
        <is>
          <t>900004322</t>
        </is>
      </c>
      <c r="C796" t="inlineStr">
        <is>
          <t>DW70</t>
        </is>
      </c>
      <c r="D796" t="inlineStr">
        <is>
          <t>D105</t>
        </is>
      </c>
      <c r="E796" t="inlineStr">
        <is>
          <t>1</t>
        </is>
      </c>
      <c r="F796" t="inlineStr">
        <is>
          <t>10000627</t>
        </is>
      </c>
      <c r="H796" t="inlineStr"/>
      <c r="J796" t="n">
        <v>158.8</v>
      </c>
      <c r="K796" t="inlineStr"/>
      <c r="M796" t="inlineStr">
        <is>
          <t>TN</t>
        </is>
      </c>
      <c r="N796" t="inlineStr"/>
      <c r="P796" t="inlineStr">
        <is>
          <t>20220331</t>
        </is>
      </c>
      <c r="Q796" t="inlineStr">
        <is>
          <t>20250131</t>
        </is>
      </c>
    </row>
    <row r="797">
      <c r="A797" t="inlineStr">
        <is>
          <t>900004322DW70D13610000160</t>
        </is>
      </c>
      <c r="B797" t="inlineStr">
        <is>
          <t>900004322</t>
        </is>
      </c>
      <c r="C797" t="inlineStr">
        <is>
          <t>DW70</t>
        </is>
      </c>
      <c r="D797" t="inlineStr">
        <is>
          <t>D136</t>
        </is>
      </c>
      <c r="E797" t="inlineStr">
        <is>
          <t>1</t>
        </is>
      </c>
      <c r="F797" t="inlineStr">
        <is>
          <t>10000160</t>
        </is>
      </c>
      <c r="H797" t="inlineStr"/>
      <c r="J797" t="n">
        <v>171.22</v>
      </c>
      <c r="K797" t="inlineStr"/>
      <c r="M797" t="inlineStr">
        <is>
          <t>TN</t>
        </is>
      </c>
      <c r="N797" t="inlineStr"/>
      <c r="P797" t="inlineStr">
        <is>
          <t>20220331</t>
        </is>
      </c>
      <c r="Q797" t="inlineStr">
        <is>
          <t>20250131</t>
        </is>
      </c>
    </row>
    <row r="798">
      <c r="A798" t="inlineStr">
        <is>
          <t>900004322DW70D13610000627</t>
        </is>
      </c>
      <c r="B798" t="inlineStr">
        <is>
          <t>900004322</t>
        </is>
      </c>
      <c r="C798" t="inlineStr">
        <is>
          <t>DW70</t>
        </is>
      </c>
      <c r="D798" t="inlineStr">
        <is>
          <t>D136</t>
        </is>
      </c>
      <c r="E798" t="inlineStr">
        <is>
          <t>1</t>
        </is>
      </c>
      <c r="F798" t="inlineStr">
        <is>
          <t>10000627</t>
        </is>
      </c>
      <c r="H798" t="inlineStr"/>
      <c r="J798" t="n">
        <v>192.35</v>
      </c>
      <c r="K798" t="inlineStr"/>
      <c r="M798" t="inlineStr">
        <is>
          <t>TN</t>
        </is>
      </c>
      <c r="N798" t="inlineStr"/>
      <c r="P798" t="inlineStr">
        <is>
          <t>20220331</t>
        </is>
      </c>
      <c r="Q798" t="inlineStr">
        <is>
          <t>20250131</t>
        </is>
      </c>
    </row>
    <row r="799">
      <c r="A799" t="inlineStr">
        <is>
          <t>900004322DW70D14510000160</t>
        </is>
      </c>
      <c r="B799" t="inlineStr">
        <is>
          <t>900004322</t>
        </is>
      </c>
      <c r="C799" t="inlineStr">
        <is>
          <t>DW70</t>
        </is>
      </c>
      <c r="D799" t="inlineStr">
        <is>
          <t>D145</t>
        </is>
      </c>
      <c r="E799" t="inlineStr">
        <is>
          <t>1</t>
        </is>
      </c>
      <c r="F799" t="inlineStr">
        <is>
          <t>10000160</t>
        </is>
      </c>
      <c r="H799" t="inlineStr"/>
      <c r="J799" t="n">
        <v>133.01</v>
      </c>
      <c r="K799" t="inlineStr"/>
      <c r="M799" t="inlineStr">
        <is>
          <t>TN</t>
        </is>
      </c>
      <c r="N799" t="inlineStr"/>
      <c r="P799" t="inlineStr">
        <is>
          <t>20220331</t>
        </is>
      </c>
      <c r="Q799" t="inlineStr">
        <is>
          <t>20250131</t>
        </is>
      </c>
    </row>
    <row r="800">
      <c r="A800" t="inlineStr">
        <is>
          <t>900004322DW70D14510000627</t>
        </is>
      </c>
      <c r="B800" t="inlineStr">
        <is>
          <t>900004322</t>
        </is>
      </c>
      <c r="C800" t="inlineStr">
        <is>
          <t>DW70</t>
        </is>
      </c>
      <c r="D800" t="inlineStr">
        <is>
          <t>D145</t>
        </is>
      </c>
      <c r="E800" t="inlineStr">
        <is>
          <t>1</t>
        </is>
      </c>
      <c r="F800" t="inlineStr">
        <is>
          <t>10000627</t>
        </is>
      </c>
      <c r="H800" t="inlineStr"/>
      <c r="J800" t="n">
        <v>140.91</v>
      </c>
      <c r="K800" t="inlineStr"/>
      <c r="M800" t="inlineStr">
        <is>
          <t>TN</t>
        </is>
      </c>
      <c r="N800" t="inlineStr"/>
      <c r="P800" t="inlineStr">
        <is>
          <t>20220331</t>
        </is>
      </c>
      <c r="Q800" t="inlineStr">
        <is>
          <t>20250131</t>
        </is>
      </c>
    </row>
    <row r="801">
      <c r="A801" t="inlineStr">
        <is>
          <t>900004324DW70ENAP10000432</t>
        </is>
      </c>
      <c r="B801" t="inlineStr">
        <is>
          <t>900004324</t>
        </is>
      </c>
      <c r="C801" t="inlineStr">
        <is>
          <t>DW70</t>
        </is>
      </c>
      <c r="D801" t="inlineStr">
        <is>
          <t>ENAP</t>
        </is>
      </c>
      <c r="E801" t="inlineStr">
        <is>
          <t>2</t>
        </is>
      </c>
      <c r="F801" t="inlineStr">
        <is>
          <t>10000432</t>
        </is>
      </c>
      <c r="H801" t="inlineStr"/>
      <c r="J801" t="n">
        <v>137.5</v>
      </c>
      <c r="K801" t="inlineStr"/>
      <c r="M801" t="inlineStr">
        <is>
          <t>TN</t>
        </is>
      </c>
      <c r="N801" t="inlineStr"/>
      <c r="P801" t="inlineStr">
        <is>
          <t>20250401</t>
        </is>
      </c>
      <c r="Q801" t="inlineStr">
        <is>
          <t>20251031</t>
        </is>
      </c>
    </row>
    <row r="802">
      <c r="A802" t="inlineStr">
        <is>
          <t>900004324DW70ENAP10145835</t>
        </is>
      </c>
      <c r="B802" t="inlineStr">
        <is>
          <t>900004324</t>
        </is>
      </c>
      <c r="C802" t="inlineStr">
        <is>
          <t>DW70</t>
        </is>
      </c>
      <c r="D802" t="inlineStr">
        <is>
          <t>ENAP</t>
        </is>
      </c>
      <c r="E802" t="inlineStr">
        <is>
          <t>2</t>
        </is>
      </c>
      <c r="F802" t="inlineStr">
        <is>
          <t>10145835</t>
        </is>
      </c>
      <c r="H802" t="inlineStr"/>
      <c r="J802" t="n">
        <v>105.07</v>
      </c>
      <c r="K802" t="inlineStr"/>
      <c r="M802" t="inlineStr">
        <is>
          <t>TN</t>
        </is>
      </c>
      <c r="N802" t="inlineStr"/>
      <c r="P802" t="inlineStr">
        <is>
          <t>20250401</t>
        </is>
      </c>
      <c r="Q802" t="inlineStr">
        <is>
          <t>20251031</t>
        </is>
      </c>
    </row>
    <row r="803">
      <c r="A803" t="inlineStr">
        <is>
          <t>900004324DW70ENAP10155487</t>
        </is>
      </c>
      <c r="B803" t="inlineStr">
        <is>
          <t>900004324</t>
        </is>
      </c>
      <c r="C803" t="inlineStr">
        <is>
          <t>DW70</t>
        </is>
      </c>
      <c r="D803" t="inlineStr">
        <is>
          <t>ENAP</t>
        </is>
      </c>
      <c r="E803" t="inlineStr">
        <is>
          <t>2</t>
        </is>
      </c>
      <c r="F803" t="inlineStr">
        <is>
          <t>10155487</t>
        </is>
      </c>
      <c r="H803" t="inlineStr"/>
      <c r="J803" t="n">
        <v>184.31</v>
      </c>
      <c r="K803" t="inlineStr"/>
      <c r="M803" t="inlineStr">
        <is>
          <t>TN</t>
        </is>
      </c>
      <c r="N803" t="inlineStr"/>
      <c r="P803" t="inlineStr">
        <is>
          <t>20250401</t>
        </is>
      </c>
      <c r="Q803" t="inlineStr">
        <is>
          <t>20251031</t>
        </is>
      </c>
    </row>
    <row r="804">
      <c r="A804" t="inlineStr">
        <is>
          <t>900004324DW70ENAS10159061</t>
        </is>
      </c>
      <c r="B804" t="inlineStr">
        <is>
          <t>900004324</t>
        </is>
      </c>
      <c r="C804" t="inlineStr">
        <is>
          <t>DW70</t>
        </is>
      </c>
      <c r="D804" t="inlineStr">
        <is>
          <t>ENAS</t>
        </is>
      </c>
      <c r="E804" t="inlineStr">
        <is>
          <t>2</t>
        </is>
      </c>
      <c r="F804" t="inlineStr">
        <is>
          <t>10159061</t>
        </is>
      </c>
      <c r="H804" t="inlineStr"/>
      <c r="J804" t="n">
        <v>90.63</v>
      </c>
      <c r="K804" t="inlineStr"/>
      <c r="M804" t="inlineStr">
        <is>
          <t>TN</t>
        </is>
      </c>
      <c r="N804" t="inlineStr"/>
      <c r="P804" t="inlineStr">
        <is>
          <t>20250401</t>
        </is>
      </c>
      <c r="Q804" t="inlineStr">
        <is>
          <t>20251031</t>
        </is>
      </c>
    </row>
    <row r="805">
      <c r="A805" t="inlineStr">
        <is>
          <t>900004324DW70ENAW10159061</t>
        </is>
      </c>
      <c r="B805" t="inlineStr">
        <is>
          <t>900004324</t>
        </is>
      </c>
      <c r="C805" t="inlineStr">
        <is>
          <t>DW70</t>
        </is>
      </c>
      <c r="D805" t="inlineStr">
        <is>
          <t>ENAW</t>
        </is>
      </c>
      <c r="E805" t="inlineStr">
        <is>
          <t>2</t>
        </is>
      </c>
      <c r="F805" t="inlineStr">
        <is>
          <t>10159061</t>
        </is>
      </c>
      <c r="H805" t="inlineStr"/>
      <c r="J805" t="n">
        <v>90.63</v>
      </c>
      <c r="K805" t="inlineStr"/>
      <c r="M805" t="inlineStr">
        <is>
          <t>TN</t>
        </is>
      </c>
      <c r="N805" t="inlineStr"/>
      <c r="P805" t="inlineStr">
        <is>
          <t>20250401</t>
        </is>
      </c>
      <c r="Q805" t="inlineStr">
        <is>
          <t>20251031</t>
        </is>
      </c>
    </row>
    <row r="806">
      <c r="A806" t="inlineStr">
        <is>
          <t>900004324DW70ENDB10159061</t>
        </is>
      </c>
      <c r="B806" t="inlineStr">
        <is>
          <t>900004324</t>
        </is>
      </c>
      <c r="C806" t="inlineStr">
        <is>
          <t>DW70</t>
        </is>
      </c>
      <c r="D806" t="inlineStr">
        <is>
          <t>ENDB</t>
        </is>
      </c>
      <c r="E806" t="inlineStr">
        <is>
          <t>2</t>
        </is>
      </c>
      <c r="F806" t="inlineStr">
        <is>
          <t>10159061</t>
        </is>
      </c>
      <c r="H806" t="inlineStr"/>
      <c r="J806" t="n">
        <v>90.63</v>
      </c>
      <c r="K806" t="inlineStr"/>
      <c r="M806" t="inlineStr">
        <is>
          <t>TN</t>
        </is>
      </c>
      <c r="N806" t="inlineStr"/>
      <c r="P806" t="inlineStr">
        <is>
          <t>20250401</t>
        </is>
      </c>
      <c r="Q806" t="inlineStr">
        <is>
          <t>20251031</t>
        </is>
      </c>
    </row>
    <row r="807">
      <c r="A807" t="inlineStr">
        <is>
          <t>900004324DW70ENDC10159061</t>
        </is>
      </c>
      <c r="B807" t="inlineStr">
        <is>
          <t>900004324</t>
        </is>
      </c>
      <c r="C807" t="inlineStr">
        <is>
          <t>DW70</t>
        </is>
      </c>
      <c r="D807" t="inlineStr">
        <is>
          <t>ENDC</t>
        </is>
      </c>
      <c r="E807" t="inlineStr">
        <is>
          <t>2</t>
        </is>
      </c>
      <c r="F807" t="inlineStr">
        <is>
          <t>10159061</t>
        </is>
      </c>
      <c r="H807" t="inlineStr"/>
      <c r="J807" t="n">
        <v>90.63</v>
      </c>
      <c r="K807" t="inlineStr"/>
      <c r="M807" t="inlineStr">
        <is>
          <t>TN</t>
        </is>
      </c>
      <c r="N807" t="inlineStr"/>
      <c r="P807" t="inlineStr">
        <is>
          <t>20250401</t>
        </is>
      </c>
      <c r="Q807" t="inlineStr">
        <is>
          <t>20251031</t>
        </is>
      </c>
    </row>
    <row r="808">
      <c r="A808" t="inlineStr">
        <is>
          <t>900004446DW70D08110000829</t>
        </is>
      </c>
      <c r="B808" t="inlineStr">
        <is>
          <t>900004446</t>
        </is>
      </c>
      <c r="C808" t="inlineStr">
        <is>
          <t>DW70</t>
        </is>
      </c>
      <c r="D808" t="inlineStr">
        <is>
          <t>D081</t>
        </is>
      </c>
      <c r="E808" t="inlineStr">
        <is>
          <t>1</t>
        </is>
      </c>
      <c r="F808" t="inlineStr">
        <is>
          <t>10000829</t>
        </is>
      </c>
      <c r="H808" t="inlineStr"/>
      <c r="J808" t="n">
        <v>223.78</v>
      </c>
      <c r="K808" t="inlineStr"/>
      <c r="M808" t="inlineStr">
        <is>
          <t>TN</t>
        </is>
      </c>
      <c r="N808" t="inlineStr"/>
      <c r="P808" t="inlineStr">
        <is>
          <t>20220331</t>
        </is>
      </c>
      <c r="Q808" t="inlineStr">
        <is>
          <t>20250131</t>
        </is>
      </c>
    </row>
    <row r="809">
      <c r="A809" t="inlineStr">
        <is>
          <t>900004446DW70D08310000829</t>
        </is>
      </c>
      <c r="B809" t="inlineStr">
        <is>
          <t>900004446</t>
        </is>
      </c>
      <c r="C809" t="inlineStr">
        <is>
          <t>DW70</t>
        </is>
      </c>
      <c r="D809" t="inlineStr">
        <is>
          <t>D083</t>
        </is>
      </c>
      <c r="E809" t="inlineStr">
        <is>
          <t>1</t>
        </is>
      </c>
      <c r="F809" t="inlineStr">
        <is>
          <t>10000829</t>
        </is>
      </c>
      <c r="H809" t="inlineStr"/>
      <c r="J809" t="n">
        <v>214.45</v>
      </c>
      <c r="K809" t="inlineStr"/>
      <c r="M809" t="inlineStr">
        <is>
          <t>TN</t>
        </is>
      </c>
      <c r="N809" t="inlineStr"/>
      <c r="P809" t="inlineStr">
        <is>
          <t>20220331</t>
        </is>
      </c>
      <c r="Q809" t="inlineStr">
        <is>
          <t>20250131</t>
        </is>
      </c>
    </row>
    <row r="810">
      <c r="A810" t="inlineStr">
        <is>
          <t>900004446DW70D08410000829</t>
        </is>
      </c>
      <c r="B810" t="inlineStr">
        <is>
          <t>900004446</t>
        </is>
      </c>
      <c r="C810" t="inlineStr">
        <is>
          <t>DW70</t>
        </is>
      </c>
      <c r="D810" t="inlineStr">
        <is>
          <t>D084</t>
        </is>
      </c>
      <c r="E810" t="inlineStr">
        <is>
          <t>1</t>
        </is>
      </c>
      <c r="F810" t="inlineStr">
        <is>
          <t>10000829</t>
        </is>
      </c>
      <c r="H810" t="inlineStr"/>
      <c r="J810" t="n">
        <v>186.48</v>
      </c>
      <c r="K810" t="inlineStr"/>
      <c r="M810" t="inlineStr">
        <is>
          <t>TN</t>
        </is>
      </c>
      <c r="N810" t="inlineStr"/>
      <c r="P810" t="inlineStr">
        <is>
          <t>20220331</t>
        </is>
      </c>
      <c r="Q810" t="inlineStr">
        <is>
          <t>20250131</t>
        </is>
      </c>
    </row>
    <row r="811">
      <c r="A811" t="inlineStr">
        <is>
          <t>900004446DW70D08610000829</t>
        </is>
      </c>
      <c r="B811" t="inlineStr">
        <is>
          <t>900004446</t>
        </is>
      </c>
      <c r="C811" t="inlineStr">
        <is>
          <t>DW70</t>
        </is>
      </c>
      <c r="D811" t="inlineStr">
        <is>
          <t>D086</t>
        </is>
      </c>
      <c r="E811" t="inlineStr">
        <is>
          <t>1</t>
        </is>
      </c>
      <c r="F811" t="inlineStr">
        <is>
          <t>10000829</t>
        </is>
      </c>
      <c r="H811" t="inlineStr"/>
      <c r="J811" t="n">
        <v>223.78</v>
      </c>
      <c r="K811" t="inlineStr"/>
      <c r="M811" t="inlineStr">
        <is>
          <t>TN</t>
        </is>
      </c>
      <c r="N811" t="inlineStr"/>
      <c r="P811" t="inlineStr">
        <is>
          <t>20220331</t>
        </is>
      </c>
      <c r="Q811" t="inlineStr">
        <is>
          <t>20250131</t>
        </is>
      </c>
    </row>
    <row r="812">
      <c r="A812" t="inlineStr">
        <is>
          <t>900004446DW70D13610000829</t>
        </is>
      </c>
      <c r="B812" t="inlineStr">
        <is>
          <t>900004446</t>
        </is>
      </c>
      <c r="C812" t="inlineStr">
        <is>
          <t>DW70</t>
        </is>
      </c>
      <c r="D812" t="inlineStr">
        <is>
          <t>D136</t>
        </is>
      </c>
      <c r="E812" t="inlineStr">
        <is>
          <t>1</t>
        </is>
      </c>
      <c r="F812" t="inlineStr">
        <is>
          <t>10000829</t>
        </is>
      </c>
      <c r="H812" t="inlineStr"/>
      <c r="J812" t="n">
        <v>296.5</v>
      </c>
      <c r="K812" t="inlineStr"/>
      <c r="M812" t="inlineStr">
        <is>
          <t>TN</t>
        </is>
      </c>
      <c r="N812" t="inlineStr"/>
      <c r="P812" t="inlineStr">
        <is>
          <t>20220331</t>
        </is>
      </c>
      <c r="Q812" t="inlineStr">
        <is>
          <t>20250131</t>
        </is>
      </c>
    </row>
    <row r="813">
      <c r="A813" t="inlineStr">
        <is>
          <t>900004465DW70D07410053281</t>
        </is>
      </c>
      <c r="B813" t="inlineStr">
        <is>
          <t>900004465</t>
        </is>
      </c>
      <c r="C813" t="inlineStr">
        <is>
          <t>DW70</t>
        </is>
      </c>
      <c r="D813" t="inlineStr">
        <is>
          <t>D074</t>
        </is>
      </c>
      <c r="E813" t="inlineStr">
        <is>
          <t>1</t>
        </is>
      </c>
      <c r="F813" t="inlineStr">
        <is>
          <t>10053281</t>
        </is>
      </c>
      <c r="H813" t="inlineStr"/>
      <c r="J813" t="n">
        <v>280.24</v>
      </c>
      <c r="K813" t="inlineStr"/>
      <c r="M813" t="inlineStr">
        <is>
          <t>TN</t>
        </is>
      </c>
      <c r="N813" t="inlineStr"/>
      <c r="P813" t="inlineStr">
        <is>
          <t>20220331</t>
        </is>
      </c>
      <c r="Q813" t="inlineStr">
        <is>
          <t>20250131</t>
        </is>
      </c>
    </row>
    <row r="814">
      <c r="A814" t="inlineStr">
        <is>
          <t>900004465DW70D07510053281</t>
        </is>
      </c>
      <c r="B814" t="inlineStr">
        <is>
          <t>900004465</t>
        </is>
      </c>
      <c r="C814" t="inlineStr">
        <is>
          <t>DW70</t>
        </is>
      </c>
      <c r="D814" t="inlineStr">
        <is>
          <t>D075</t>
        </is>
      </c>
      <c r="E814" t="inlineStr">
        <is>
          <t>1</t>
        </is>
      </c>
      <c r="F814" t="inlineStr">
        <is>
          <t>10053281</t>
        </is>
      </c>
      <c r="H814" t="inlineStr"/>
      <c r="J814" t="n">
        <v>259.64</v>
      </c>
      <c r="K814" t="inlineStr"/>
      <c r="M814" t="inlineStr">
        <is>
          <t>TN</t>
        </is>
      </c>
      <c r="N814" t="inlineStr"/>
      <c r="P814" t="inlineStr">
        <is>
          <t>20220331</t>
        </is>
      </c>
      <c r="Q814" t="inlineStr">
        <is>
          <t>20250131</t>
        </is>
      </c>
    </row>
    <row r="815">
      <c r="A815" t="inlineStr">
        <is>
          <t>900004465DW70D07710053281</t>
        </is>
      </c>
      <c r="B815" t="inlineStr">
        <is>
          <t>900004465</t>
        </is>
      </c>
      <c r="C815" t="inlineStr">
        <is>
          <t>DW70</t>
        </is>
      </c>
      <c r="D815" t="inlineStr">
        <is>
          <t>D077</t>
        </is>
      </c>
      <c r="E815" t="inlineStr">
        <is>
          <t>1</t>
        </is>
      </c>
      <c r="F815" t="inlineStr">
        <is>
          <t>10053281</t>
        </is>
      </c>
      <c r="H815" t="inlineStr"/>
      <c r="J815" t="n">
        <v>333.82</v>
      </c>
      <c r="K815" t="inlineStr"/>
      <c r="M815" t="inlineStr">
        <is>
          <t>TN</t>
        </is>
      </c>
      <c r="N815" t="inlineStr"/>
      <c r="P815" t="inlineStr">
        <is>
          <t>20220331</t>
        </is>
      </c>
      <c r="Q815" t="inlineStr">
        <is>
          <t>20250131</t>
        </is>
      </c>
    </row>
    <row r="816">
      <c r="A816" t="inlineStr">
        <is>
          <t>900004465DW70D07910053281</t>
        </is>
      </c>
      <c r="B816" t="inlineStr">
        <is>
          <t>900004465</t>
        </is>
      </c>
      <c r="C816" t="inlineStr">
        <is>
          <t>DW70</t>
        </is>
      </c>
      <c r="D816" t="inlineStr">
        <is>
          <t>D079</t>
        </is>
      </c>
      <c r="E816" t="inlineStr">
        <is>
          <t>1</t>
        </is>
      </c>
      <c r="F816" t="inlineStr">
        <is>
          <t>10053281</t>
        </is>
      </c>
      <c r="H816" t="inlineStr"/>
      <c r="J816" t="n">
        <v>331.76</v>
      </c>
      <c r="K816" t="inlineStr"/>
      <c r="M816" t="inlineStr">
        <is>
          <t>TN</t>
        </is>
      </c>
      <c r="N816" t="inlineStr"/>
      <c r="P816" t="inlineStr">
        <is>
          <t>20220331</t>
        </is>
      </c>
      <c r="Q816" t="inlineStr">
        <is>
          <t>20250131</t>
        </is>
      </c>
    </row>
    <row r="817">
      <c r="A817" t="inlineStr">
        <is>
          <t>900004465DW70D08010053281</t>
        </is>
      </c>
      <c r="B817" t="inlineStr">
        <is>
          <t>900004465</t>
        </is>
      </c>
      <c r="C817" t="inlineStr">
        <is>
          <t>DW70</t>
        </is>
      </c>
      <c r="D817" t="inlineStr">
        <is>
          <t>D080</t>
        </is>
      </c>
      <c r="E817" t="inlineStr">
        <is>
          <t>1</t>
        </is>
      </c>
      <c r="F817" t="inlineStr">
        <is>
          <t>10053281</t>
        </is>
      </c>
      <c r="H817" t="inlineStr"/>
      <c r="J817" t="n">
        <v>259.64</v>
      </c>
      <c r="K817" t="inlineStr"/>
      <c r="M817" t="inlineStr">
        <is>
          <t>TN</t>
        </is>
      </c>
      <c r="N817" t="inlineStr"/>
      <c r="P817" t="inlineStr">
        <is>
          <t>20220331</t>
        </is>
      </c>
      <c r="Q817" t="inlineStr">
        <is>
          <t>20250131</t>
        </is>
      </c>
    </row>
    <row r="818">
      <c r="A818" t="inlineStr">
        <is>
          <t>900004465DW70D08110053281</t>
        </is>
      </c>
      <c r="B818" t="inlineStr">
        <is>
          <t>900004465</t>
        </is>
      </c>
      <c r="C818" t="inlineStr">
        <is>
          <t>DW70</t>
        </is>
      </c>
      <c r="D818" t="inlineStr">
        <is>
          <t>D081</t>
        </is>
      </c>
      <c r="E818" t="inlineStr">
        <is>
          <t>1</t>
        </is>
      </c>
      <c r="F818" t="inlineStr">
        <is>
          <t>10053281</t>
        </is>
      </c>
      <c r="H818" t="inlineStr"/>
      <c r="J818" t="n">
        <v>249.33</v>
      </c>
      <c r="K818" t="inlineStr"/>
      <c r="M818" t="inlineStr">
        <is>
          <t>TN</t>
        </is>
      </c>
      <c r="N818" t="inlineStr"/>
      <c r="P818" t="inlineStr">
        <is>
          <t>20220331</t>
        </is>
      </c>
      <c r="Q818" t="inlineStr">
        <is>
          <t>20250131</t>
        </is>
      </c>
    </row>
    <row r="819">
      <c r="A819" t="inlineStr">
        <is>
          <t>900004465DW70D08310053281</t>
        </is>
      </c>
      <c r="B819" t="inlineStr">
        <is>
          <t>900004465</t>
        </is>
      </c>
      <c r="C819" t="inlineStr">
        <is>
          <t>DW70</t>
        </is>
      </c>
      <c r="D819" t="inlineStr">
        <is>
          <t>D083</t>
        </is>
      </c>
      <c r="E819" t="inlineStr">
        <is>
          <t>1</t>
        </is>
      </c>
      <c r="F819" t="inlineStr">
        <is>
          <t>10053281</t>
        </is>
      </c>
      <c r="H819" t="inlineStr"/>
      <c r="J819" t="n">
        <v>280.24</v>
      </c>
      <c r="K819" t="inlineStr"/>
      <c r="M819" t="inlineStr">
        <is>
          <t>TN</t>
        </is>
      </c>
      <c r="N819" t="inlineStr"/>
      <c r="P819" t="inlineStr">
        <is>
          <t>20220331</t>
        </is>
      </c>
      <c r="Q819" t="inlineStr">
        <is>
          <t>20250131</t>
        </is>
      </c>
    </row>
    <row r="820">
      <c r="A820" t="inlineStr">
        <is>
          <t>900004465DW70D08410053281</t>
        </is>
      </c>
      <c r="B820" t="inlineStr">
        <is>
          <t>900004465</t>
        </is>
      </c>
      <c r="C820" t="inlineStr">
        <is>
          <t>DW70</t>
        </is>
      </c>
      <c r="D820" t="inlineStr">
        <is>
          <t>D084</t>
        </is>
      </c>
      <c r="E820" t="inlineStr">
        <is>
          <t>1</t>
        </is>
      </c>
      <c r="F820" t="inlineStr">
        <is>
          <t>10053281</t>
        </is>
      </c>
      <c r="H820" t="inlineStr"/>
      <c r="J820" t="n">
        <v>319.39</v>
      </c>
      <c r="K820" t="inlineStr"/>
      <c r="M820" t="inlineStr">
        <is>
          <t>TN</t>
        </is>
      </c>
      <c r="N820" t="inlineStr"/>
      <c r="P820" t="inlineStr">
        <is>
          <t>20220331</t>
        </is>
      </c>
      <c r="Q820" t="inlineStr">
        <is>
          <t>20250131</t>
        </is>
      </c>
    </row>
    <row r="821">
      <c r="A821" t="inlineStr">
        <is>
          <t>900004465DW70D08510053281</t>
        </is>
      </c>
      <c r="B821" t="inlineStr">
        <is>
          <t>900004465</t>
        </is>
      </c>
      <c r="C821" t="inlineStr">
        <is>
          <t>DW70</t>
        </is>
      </c>
      <c r="D821" t="inlineStr">
        <is>
          <t>D085</t>
        </is>
      </c>
      <c r="E821" t="inlineStr">
        <is>
          <t>1</t>
        </is>
      </c>
      <c r="F821" t="inlineStr">
        <is>
          <t>10053281</t>
        </is>
      </c>
      <c r="H821" t="inlineStr"/>
      <c r="J821" t="n">
        <v>313.21</v>
      </c>
      <c r="K821" t="inlineStr"/>
      <c r="M821" t="inlineStr">
        <is>
          <t>TN</t>
        </is>
      </c>
      <c r="N821" t="inlineStr"/>
      <c r="P821" t="inlineStr">
        <is>
          <t>20220331</t>
        </is>
      </c>
      <c r="Q821" t="inlineStr">
        <is>
          <t>20250131</t>
        </is>
      </c>
    </row>
    <row r="822">
      <c r="A822" t="inlineStr">
        <is>
          <t>900004465DW70D08610053281</t>
        </is>
      </c>
      <c r="B822" t="inlineStr">
        <is>
          <t>900004465</t>
        </is>
      </c>
      <c r="C822" t="inlineStr">
        <is>
          <t>DW70</t>
        </is>
      </c>
      <c r="D822" t="inlineStr">
        <is>
          <t>D086</t>
        </is>
      </c>
      <c r="E822" t="inlineStr">
        <is>
          <t>1</t>
        </is>
      </c>
      <c r="F822" t="inlineStr">
        <is>
          <t>10053281</t>
        </is>
      </c>
      <c r="H822" t="inlineStr"/>
      <c r="J822" t="n">
        <v>284.36</v>
      </c>
      <c r="K822" t="inlineStr"/>
      <c r="M822" t="inlineStr">
        <is>
          <t>TN</t>
        </is>
      </c>
      <c r="N822" t="inlineStr"/>
      <c r="P822" t="inlineStr">
        <is>
          <t>20220331</t>
        </is>
      </c>
      <c r="Q822" t="inlineStr">
        <is>
          <t>20250131</t>
        </is>
      </c>
    </row>
    <row r="823">
      <c r="A823" t="inlineStr">
        <is>
          <t>900004465DW70D08810053281</t>
        </is>
      </c>
      <c r="B823" t="inlineStr">
        <is>
          <t>900004465</t>
        </is>
      </c>
      <c r="C823" t="inlineStr">
        <is>
          <t>DW70</t>
        </is>
      </c>
      <c r="D823" t="inlineStr">
        <is>
          <t>D088</t>
        </is>
      </c>
      <c r="E823" t="inlineStr">
        <is>
          <t>1</t>
        </is>
      </c>
      <c r="F823" t="inlineStr">
        <is>
          <t>10053281</t>
        </is>
      </c>
      <c r="H823" t="inlineStr"/>
      <c r="J823" t="n">
        <v>162.79</v>
      </c>
      <c r="K823" t="inlineStr"/>
      <c r="M823" t="inlineStr">
        <is>
          <t>TN</t>
        </is>
      </c>
      <c r="N823" t="inlineStr"/>
      <c r="P823" t="inlineStr">
        <is>
          <t>20220331</t>
        </is>
      </c>
      <c r="Q823" t="inlineStr">
        <is>
          <t>20250131</t>
        </is>
      </c>
    </row>
    <row r="824">
      <c r="A824" t="inlineStr">
        <is>
          <t>900004465DW70D08910053281</t>
        </is>
      </c>
      <c r="B824" t="inlineStr">
        <is>
          <t>900004465</t>
        </is>
      </c>
      <c r="C824" t="inlineStr">
        <is>
          <t>DW70</t>
        </is>
      </c>
      <c r="D824" t="inlineStr">
        <is>
          <t>D089</t>
        </is>
      </c>
      <c r="E824" t="inlineStr">
        <is>
          <t>1</t>
        </is>
      </c>
      <c r="F824" t="inlineStr">
        <is>
          <t>10053281</t>
        </is>
      </c>
      <c r="H824" t="inlineStr"/>
      <c r="J824" t="n">
        <v>116.36</v>
      </c>
      <c r="K824" t="inlineStr"/>
      <c r="M824" t="inlineStr">
        <is>
          <t>TN</t>
        </is>
      </c>
      <c r="N824" t="inlineStr"/>
      <c r="P824" t="inlineStr">
        <is>
          <t>20220331</t>
        </is>
      </c>
      <c r="Q824" t="inlineStr">
        <is>
          <t>20250131</t>
        </is>
      </c>
    </row>
    <row r="825">
      <c r="A825" t="inlineStr">
        <is>
          <t>900004465DW70D09310053281</t>
        </is>
      </c>
      <c r="B825" t="inlineStr">
        <is>
          <t>900004465</t>
        </is>
      </c>
      <c r="C825" t="inlineStr">
        <is>
          <t>DW70</t>
        </is>
      </c>
      <c r="D825" t="inlineStr">
        <is>
          <t>D093</t>
        </is>
      </c>
      <c r="E825" t="inlineStr">
        <is>
          <t>1</t>
        </is>
      </c>
      <c r="F825" t="inlineStr">
        <is>
          <t>10053281</t>
        </is>
      </c>
      <c r="H825" t="inlineStr"/>
      <c r="J825" t="n">
        <v>210.18</v>
      </c>
      <c r="K825" t="inlineStr"/>
      <c r="M825" t="inlineStr">
        <is>
          <t>TN</t>
        </is>
      </c>
      <c r="N825" t="inlineStr"/>
      <c r="P825" t="inlineStr">
        <is>
          <t>20220331</t>
        </is>
      </c>
      <c r="Q825" t="inlineStr">
        <is>
          <t>20250131</t>
        </is>
      </c>
    </row>
    <row r="826">
      <c r="A826" t="inlineStr">
        <is>
          <t>900004465DW70D09810053281</t>
        </is>
      </c>
      <c r="B826" t="inlineStr">
        <is>
          <t>900004465</t>
        </is>
      </c>
      <c r="C826" t="inlineStr">
        <is>
          <t>DW70</t>
        </is>
      </c>
      <c r="D826" t="inlineStr">
        <is>
          <t>D098</t>
        </is>
      </c>
      <c r="E826" t="inlineStr">
        <is>
          <t>1</t>
        </is>
      </c>
      <c r="F826" t="inlineStr">
        <is>
          <t>10053281</t>
        </is>
      </c>
      <c r="H826" t="inlineStr"/>
      <c r="J826" t="n">
        <v>212.24</v>
      </c>
      <c r="K826" t="inlineStr"/>
      <c r="M826" t="inlineStr">
        <is>
          <t>TN</t>
        </is>
      </c>
      <c r="N826" t="inlineStr"/>
      <c r="P826" t="inlineStr">
        <is>
          <t>20220331</t>
        </is>
      </c>
      <c r="Q826" t="inlineStr">
        <is>
          <t>20250131</t>
        </is>
      </c>
    </row>
    <row r="827">
      <c r="A827" t="inlineStr">
        <is>
          <t>900004465DW70D10510053281</t>
        </is>
      </c>
      <c r="B827" t="inlineStr">
        <is>
          <t>900004465</t>
        </is>
      </c>
      <c r="C827" t="inlineStr">
        <is>
          <t>DW70</t>
        </is>
      </c>
      <c r="D827" t="inlineStr">
        <is>
          <t>D105</t>
        </is>
      </c>
      <c r="E827" t="inlineStr">
        <is>
          <t>1</t>
        </is>
      </c>
      <c r="F827" t="inlineStr">
        <is>
          <t>10053281</t>
        </is>
      </c>
      <c r="H827" t="inlineStr"/>
      <c r="J827" t="n">
        <v>253.45</v>
      </c>
      <c r="K827" t="inlineStr"/>
      <c r="M827" t="inlineStr">
        <is>
          <t>TN</t>
        </is>
      </c>
      <c r="N827" t="inlineStr"/>
      <c r="P827" t="inlineStr">
        <is>
          <t>20220331</t>
        </is>
      </c>
      <c r="Q827" t="inlineStr">
        <is>
          <t>20250131</t>
        </is>
      </c>
    </row>
    <row r="828">
      <c r="A828" t="inlineStr">
        <is>
          <t>900004465DW70D11110053281</t>
        </is>
      </c>
      <c r="B828" t="inlineStr">
        <is>
          <t>900004465</t>
        </is>
      </c>
      <c r="C828" t="inlineStr">
        <is>
          <t>DW70</t>
        </is>
      </c>
      <c r="D828" t="inlineStr">
        <is>
          <t>D111</t>
        </is>
      </c>
      <c r="E828" t="inlineStr">
        <is>
          <t>1</t>
        </is>
      </c>
      <c r="F828" t="inlineStr">
        <is>
          <t>10053281</t>
        </is>
      </c>
      <c r="H828" t="inlineStr"/>
      <c r="J828" t="n">
        <v>306.42</v>
      </c>
      <c r="K828" t="inlineStr"/>
      <c r="M828" t="inlineStr">
        <is>
          <t>TN</t>
        </is>
      </c>
      <c r="N828" t="inlineStr"/>
      <c r="P828" t="inlineStr">
        <is>
          <t>20220331</t>
        </is>
      </c>
      <c r="Q828" t="inlineStr">
        <is>
          <t>20250131</t>
        </is>
      </c>
    </row>
    <row r="829">
      <c r="A829" t="inlineStr">
        <is>
          <t>900004465DW70D13610053281</t>
        </is>
      </c>
      <c r="B829" t="inlineStr">
        <is>
          <t>900004465</t>
        </is>
      </c>
      <c r="C829" t="inlineStr">
        <is>
          <t>DW70</t>
        </is>
      </c>
      <c r="D829" t="inlineStr">
        <is>
          <t>D136</t>
        </is>
      </c>
      <c r="E829" t="inlineStr">
        <is>
          <t>1</t>
        </is>
      </c>
      <c r="F829" t="inlineStr">
        <is>
          <t>10053281</t>
        </is>
      </c>
      <c r="H829" t="inlineStr"/>
      <c r="J829" t="n">
        <v>284.36</v>
      </c>
      <c r="K829" t="inlineStr"/>
      <c r="M829" t="inlineStr">
        <is>
          <t>TN</t>
        </is>
      </c>
      <c r="N829" t="inlineStr"/>
      <c r="P829" t="inlineStr">
        <is>
          <t>20220331</t>
        </is>
      </c>
      <c r="Q829" t="inlineStr">
        <is>
          <t>20250131</t>
        </is>
      </c>
    </row>
    <row r="830">
      <c r="A830" t="inlineStr">
        <is>
          <t>900004465DW70D14510053281</t>
        </is>
      </c>
      <c r="B830" t="inlineStr">
        <is>
          <t>900004465</t>
        </is>
      </c>
      <c r="C830" t="inlineStr">
        <is>
          <t>DW70</t>
        </is>
      </c>
      <c r="D830" t="inlineStr">
        <is>
          <t>D145</t>
        </is>
      </c>
      <c r="E830" t="inlineStr">
        <is>
          <t>1</t>
        </is>
      </c>
      <c r="F830" t="inlineStr">
        <is>
          <t>10053281</t>
        </is>
      </c>
      <c r="H830" t="inlineStr"/>
      <c r="J830" t="n">
        <v>267.88</v>
      </c>
      <c r="K830" t="inlineStr"/>
      <c r="M830" t="inlineStr">
        <is>
          <t>TN</t>
        </is>
      </c>
      <c r="N830" t="inlineStr"/>
      <c r="P830" t="inlineStr">
        <is>
          <t>20220331</t>
        </is>
      </c>
      <c r="Q830" t="inlineStr">
        <is>
          <t>20250131</t>
        </is>
      </c>
    </row>
    <row r="831">
      <c r="A831" t="inlineStr">
        <is>
          <t>900004541DW70D08110000829</t>
        </is>
      </c>
      <c r="B831" t="inlineStr">
        <is>
          <t>900004541</t>
        </is>
      </c>
      <c r="C831" t="inlineStr">
        <is>
          <t>DW70</t>
        </is>
      </c>
      <c r="D831" t="inlineStr">
        <is>
          <t>D081</t>
        </is>
      </c>
      <c r="E831" t="inlineStr">
        <is>
          <t>1</t>
        </is>
      </c>
      <c r="F831" t="inlineStr">
        <is>
          <t>10000829</t>
        </is>
      </c>
      <c r="H831" t="inlineStr"/>
      <c r="J831" t="n">
        <v>220.29</v>
      </c>
      <c r="K831" t="inlineStr"/>
      <c r="M831" t="inlineStr">
        <is>
          <t>TN</t>
        </is>
      </c>
      <c r="N831" t="inlineStr"/>
      <c r="P831" t="inlineStr">
        <is>
          <t>20220331</t>
        </is>
      </c>
      <c r="Q831" t="inlineStr">
        <is>
          <t>20250131</t>
        </is>
      </c>
    </row>
    <row r="832">
      <c r="A832" t="inlineStr">
        <is>
          <t>900004541DW70D08310000829</t>
        </is>
      </c>
      <c r="B832" t="inlineStr">
        <is>
          <t>900004541</t>
        </is>
      </c>
      <c r="C832" t="inlineStr">
        <is>
          <t>DW70</t>
        </is>
      </c>
      <c r="D832" t="inlineStr">
        <is>
          <t>D083</t>
        </is>
      </c>
      <c r="E832" t="inlineStr">
        <is>
          <t>1</t>
        </is>
      </c>
      <c r="F832" t="inlineStr">
        <is>
          <t>10000829</t>
        </is>
      </c>
      <c r="H832" t="inlineStr"/>
      <c r="J832" t="n">
        <v>247.23</v>
      </c>
      <c r="K832" t="inlineStr"/>
      <c r="M832" t="inlineStr">
        <is>
          <t>TN</t>
        </is>
      </c>
      <c r="N832" t="inlineStr"/>
      <c r="P832" t="inlineStr">
        <is>
          <t>20220331</t>
        </is>
      </c>
      <c r="Q832" t="inlineStr">
        <is>
          <t>20250131</t>
        </is>
      </c>
    </row>
    <row r="833">
      <c r="A833" t="inlineStr">
        <is>
          <t>900004541DW70D08410000829</t>
        </is>
      </c>
      <c r="B833" t="inlineStr">
        <is>
          <t>900004541</t>
        </is>
      </c>
      <c r="C833" t="inlineStr">
        <is>
          <t>DW70</t>
        </is>
      </c>
      <c r="D833" t="inlineStr">
        <is>
          <t>D084</t>
        </is>
      </c>
      <c r="E833" t="inlineStr">
        <is>
          <t>1</t>
        </is>
      </c>
      <c r="F833" t="inlineStr">
        <is>
          <t>10000829</t>
        </is>
      </c>
      <c r="H833" t="inlineStr"/>
      <c r="J833" t="n">
        <v>183.93</v>
      </c>
      <c r="K833" t="inlineStr"/>
      <c r="M833" t="inlineStr">
        <is>
          <t>TN</t>
        </is>
      </c>
      <c r="N833" t="inlineStr"/>
      <c r="P833" t="inlineStr">
        <is>
          <t>20220331</t>
        </is>
      </c>
      <c r="Q833" t="inlineStr">
        <is>
          <t>20250131</t>
        </is>
      </c>
    </row>
    <row r="834">
      <c r="A834" t="inlineStr">
        <is>
          <t>900004541DW70D08610000829</t>
        </is>
      </c>
      <c r="B834" t="inlineStr">
        <is>
          <t>900004541</t>
        </is>
      </c>
      <c r="C834" t="inlineStr">
        <is>
          <t>DW70</t>
        </is>
      </c>
      <c r="D834" t="inlineStr">
        <is>
          <t>D086</t>
        </is>
      </c>
      <c r="E834" t="inlineStr">
        <is>
          <t>1</t>
        </is>
      </c>
      <c r="F834" t="inlineStr">
        <is>
          <t>10000829</t>
        </is>
      </c>
      <c r="H834" t="inlineStr"/>
      <c r="J834" t="n">
        <v>220.29</v>
      </c>
      <c r="K834" t="inlineStr"/>
      <c r="M834" t="inlineStr">
        <is>
          <t>TN</t>
        </is>
      </c>
      <c r="N834" t="inlineStr"/>
      <c r="P834" t="inlineStr">
        <is>
          <t>20220331</t>
        </is>
      </c>
      <c r="Q834" t="inlineStr">
        <is>
          <t>20250131</t>
        </is>
      </c>
    </row>
    <row r="835">
      <c r="A835" t="inlineStr">
        <is>
          <t>900004725DW70D07410001073</t>
        </is>
      </c>
      <c r="B835" t="inlineStr">
        <is>
          <t>900004725</t>
        </is>
      </c>
      <c r="C835" t="inlineStr">
        <is>
          <t>DW70</t>
        </is>
      </c>
      <c r="D835" t="inlineStr">
        <is>
          <t>D074</t>
        </is>
      </c>
      <c r="E835" t="inlineStr">
        <is>
          <t>1</t>
        </is>
      </c>
      <c r="F835" t="inlineStr">
        <is>
          <t>10001073</t>
        </is>
      </c>
      <c r="H835" t="inlineStr"/>
      <c r="J835" t="n">
        <v>193.89</v>
      </c>
      <c r="K835" t="inlineStr"/>
      <c r="M835" t="inlineStr">
        <is>
          <t>TN</t>
        </is>
      </c>
      <c r="N835" t="inlineStr"/>
      <c r="P835" t="inlineStr">
        <is>
          <t>20250401</t>
        </is>
      </c>
      <c r="Q835" t="inlineStr">
        <is>
          <t>20251031</t>
        </is>
      </c>
    </row>
    <row r="836">
      <c r="A836" t="inlineStr">
        <is>
          <t>900004725DW70D07510001073</t>
        </is>
      </c>
      <c r="B836" t="inlineStr">
        <is>
          <t>900004725</t>
        </is>
      </c>
      <c r="C836" t="inlineStr">
        <is>
          <t>DW70</t>
        </is>
      </c>
      <c r="D836" t="inlineStr">
        <is>
          <t>D075</t>
        </is>
      </c>
      <c r="E836" t="inlineStr">
        <is>
          <t>1</t>
        </is>
      </c>
      <c r="F836" t="inlineStr">
        <is>
          <t>10001073</t>
        </is>
      </c>
      <c r="H836" t="inlineStr"/>
      <c r="J836" t="n">
        <v>163.67</v>
      </c>
      <c r="K836" t="inlineStr"/>
      <c r="M836" t="inlineStr">
        <is>
          <t>TN</t>
        </is>
      </c>
      <c r="N836" t="inlineStr"/>
      <c r="P836" t="inlineStr">
        <is>
          <t>20250401</t>
        </is>
      </c>
      <c r="Q836" t="inlineStr">
        <is>
          <t>20251031</t>
        </is>
      </c>
    </row>
    <row r="837">
      <c r="A837" t="inlineStr">
        <is>
          <t>900004725DW70D07710001073</t>
        </is>
      </c>
      <c r="B837" t="inlineStr">
        <is>
          <t>900004725</t>
        </is>
      </c>
      <c r="C837" t="inlineStr">
        <is>
          <t>DW70</t>
        </is>
      </c>
      <c r="D837" t="inlineStr">
        <is>
          <t>D077</t>
        </is>
      </c>
      <c r="E837" t="inlineStr">
        <is>
          <t>1</t>
        </is>
      </c>
      <c r="F837" t="inlineStr">
        <is>
          <t>10001073</t>
        </is>
      </c>
      <c r="H837" t="inlineStr"/>
      <c r="J837" t="n">
        <v>249.28</v>
      </c>
      <c r="K837" t="inlineStr"/>
      <c r="M837" t="inlineStr">
        <is>
          <t>TN</t>
        </is>
      </c>
      <c r="N837" t="inlineStr"/>
      <c r="P837" t="inlineStr">
        <is>
          <t>20250401</t>
        </is>
      </c>
      <c r="Q837" t="inlineStr">
        <is>
          <t>20251031</t>
        </is>
      </c>
    </row>
    <row r="838">
      <c r="A838" t="inlineStr">
        <is>
          <t>900004725DW70D07910001073</t>
        </is>
      </c>
      <c r="B838" t="inlineStr">
        <is>
          <t>900004725</t>
        </is>
      </c>
      <c r="C838" t="inlineStr">
        <is>
          <t>DW70</t>
        </is>
      </c>
      <c r="D838" t="inlineStr">
        <is>
          <t>D079</t>
        </is>
      </c>
      <c r="E838" t="inlineStr">
        <is>
          <t>1</t>
        </is>
      </c>
      <c r="F838" t="inlineStr">
        <is>
          <t>10001073</t>
        </is>
      </c>
      <c r="H838" t="inlineStr"/>
      <c r="J838" t="n">
        <v>249.28</v>
      </c>
      <c r="K838" t="inlineStr"/>
      <c r="M838" t="inlineStr">
        <is>
          <t>TN</t>
        </is>
      </c>
      <c r="N838" t="inlineStr"/>
      <c r="P838" t="inlineStr">
        <is>
          <t>20250401</t>
        </is>
      </c>
      <c r="Q838" t="inlineStr">
        <is>
          <t>20251031</t>
        </is>
      </c>
    </row>
    <row r="839">
      <c r="A839" t="inlineStr">
        <is>
          <t>900004725DW70D08010001073</t>
        </is>
      </c>
      <c r="B839" t="inlineStr">
        <is>
          <t>900004725</t>
        </is>
      </c>
      <c r="C839" t="inlineStr">
        <is>
          <t>DW70</t>
        </is>
      </c>
      <c r="D839" t="inlineStr">
        <is>
          <t>D080</t>
        </is>
      </c>
      <c r="E839" t="inlineStr">
        <is>
          <t>1</t>
        </is>
      </c>
      <c r="F839" t="inlineStr">
        <is>
          <t>10001073</t>
        </is>
      </c>
      <c r="H839" t="inlineStr"/>
      <c r="J839" t="n">
        <v>168.71</v>
      </c>
      <c r="K839" t="inlineStr"/>
      <c r="M839" t="inlineStr">
        <is>
          <t>TN</t>
        </is>
      </c>
      <c r="N839" t="inlineStr"/>
      <c r="P839" t="inlineStr">
        <is>
          <t>20250401</t>
        </is>
      </c>
      <c r="Q839" t="inlineStr">
        <is>
          <t>20251031</t>
        </is>
      </c>
    </row>
    <row r="840">
      <c r="A840" t="inlineStr">
        <is>
          <t>900004725DW70D08110001073</t>
        </is>
      </c>
      <c r="B840" t="inlineStr">
        <is>
          <t>900004725</t>
        </is>
      </c>
      <c r="C840" t="inlineStr">
        <is>
          <t>DW70</t>
        </is>
      </c>
      <c r="D840" t="inlineStr">
        <is>
          <t>D081</t>
        </is>
      </c>
      <c r="E840" t="inlineStr">
        <is>
          <t>1</t>
        </is>
      </c>
      <c r="F840" t="inlineStr">
        <is>
          <t>10001073</t>
        </is>
      </c>
      <c r="H840" t="inlineStr"/>
      <c r="J840" t="n">
        <v>156.12</v>
      </c>
      <c r="K840" t="inlineStr"/>
      <c r="M840" t="inlineStr">
        <is>
          <t>TN</t>
        </is>
      </c>
      <c r="N840" t="inlineStr"/>
      <c r="P840" t="inlineStr">
        <is>
          <t>20250401</t>
        </is>
      </c>
      <c r="Q840" t="inlineStr">
        <is>
          <t>20251031</t>
        </is>
      </c>
    </row>
    <row r="841">
      <c r="A841" t="inlineStr">
        <is>
          <t>900004725DW70D08310001073</t>
        </is>
      </c>
      <c r="B841" t="inlineStr">
        <is>
          <t>900004725</t>
        </is>
      </c>
      <c r="C841" t="inlineStr">
        <is>
          <t>DW70</t>
        </is>
      </c>
      <c r="D841" t="inlineStr">
        <is>
          <t>D083</t>
        </is>
      </c>
      <c r="E841" t="inlineStr">
        <is>
          <t>1</t>
        </is>
      </c>
      <c r="F841" t="inlineStr">
        <is>
          <t>10001073</t>
        </is>
      </c>
      <c r="H841" t="inlineStr"/>
      <c r="J841" t="n">
        <v>196.4</v>
      </c>
      <c r="K841" t="inlineStr"/>
      <c r="M841" t="inlineStr">
        <is>
          <t>TN</t>
        </is>
      </c>
      <c r="N841" t="inlineStr"/>
      <c r="P841" t="inlineStr">
        <is>
          <t>20250401</t>
        </is>
      </c>
      <c r="Q841" t="inlineStr">
        <is>
          <t>20251031</t>
        </is>
      </c>
    </row>
    <row r="842">
      <c r="A842" t="inlineStr">
        <is>
          <t>900004725DW70D08410001073</t>
        </is>
      </c>
      <c r="B842" t="inlineStr">
        <is>
          <t>900004725</t>
        </is>
      </c>
      <c r="C842" t="inlineStr">
        <is>
          <t>DW70</t>
        </is>
      </c>
      <c r="D842" t="inlineStr">
        <is>
          <t>D084</t>
        </is>
      </c>
      <c r="E842" t="inlineStr">
        <is>
          <t>1</t>
        </is>
      </c>
      <c r="F842" t="inlineStr">
        <is>
          <t>10001073</t>
        </is>
      </c>
      <c r="H842" t="inlineStr"/>
      <c r="J842" t="n">
        <v>231.65</v>
      </c>
      <c r="K842" t="inlineStr"/>
      <c r="M842" t="inlineStr">
        <is>
          <t>TN</t>
        </is>
      </c>
      <c r="N842" t="inlineStr"/>
      <c r="P842" t="inlineStr">
        <is>
          <t>20250401</t>
        </is>
      </c>
      <c r="Q842" t="inlineStr">
        <is>
          <t>20251031</t>
        </is>
      </c>
    </row>
    <row r="843">
      <c r="A843" t="inlineStr">
        <is>
          <t>900004725DW70D08510001073</t>
        </is>
      </c>
      <c r="B843" t="inlineStr">
        <is>
          <t>900004725</t>
        </is>
      </c>
      <c r="C843" t="inlineStr">
        <is>
          <t>DW70</t>
        </is>
      </c>
      <c r="D843" t="inlineStr">
        <is>
          <t>D085</t>
        </is>
      </c>
      <c r="E843" t="inlineStr">
        <is>
          <t>1</t>
        </is>
      </c>
      <c r="F843" t="inlineStr">
        <is>
          <t>10001073</t>
        </is>
      </c>
      <c r="H843" t="inlineStr"/>
      <c r="J843" t="n">
        <v>234.17</v>
      </c>
      <c r="K843" t="inlineStr"/>
      <c r="M843" t="inlineStr">
        <is>
          <t>TN</t>
        </is>
      </c>
      <c r="N843" t="inlineStr"/>
      <c r="P843" t="inlineStr">
        <is>
          <t>20250401</t>
        </is>
      </c>
      <c r="Q843" t="inlineStr">
        <is>
          <t>20251031</t>
        </is>
      </c>
    </row>
    <row r="844">
      <c r="A844" t="inlineStr">
        <is>
          <t>900004725DW70D08610001073</t>
        </is>
      </c>
      <c r="B844" t="inlineStr">
        <is>
          <t>900004725</t>
        </is>
      </c>
      <c r="C844" t="inlineStr">
        <is>
          <t>DW70</t>
        </is>
      </c>
      <c r="D844" t="inlineStr">
        <is>
          <t>D086</t>
        </is>
      </c>
      <c r="E844" t="inlineStr">
        <is>
          <t>1</t>
        </is>
      </c>
      <c r="F844" t="inlineStr">
        <is>
          <t>10001073</t>
        </is>
      </c>
      <c r="H844" t="inlineStr"/>
      <c r="J844" t="n">
        <v>95.68000000000001</v>
      </c>
      <c r="K844" t="inlineStr"/>
      <c r="M844" t="inlineStr">
        <is>
          <t>TN</t>
        </is>
      </c>
      <c r="N844" t="inlineStr"/>
      <c r="P844" t="inlineStr">
        <is>
          <t>20250401</t>
        </is>
      </c>
      <c r="Q844" t="inlineStr">
        <is>
          <t>20251031</t>
        </is>
      </c>
    </row>
    <row r="845">
      <c r="A845" t="inlineStr">
        <is>
          <t>900004725DW70D09310001073</t>
        </is>
      </c>
      <c r="B845" t="inlineStr">
        <is>
          <t>900004725</t>
        </is>
      </c>
      <c r="C845" t="inlineStr">
        <is>
          <t>DW70</t>
        </is>
      </c>
      <c r="D845" t="inlineStr">
        <is>
          <t>D093</t>
        </is>
      </c>
      <c r="E845" t="inlineStr">
        <is>
          <t>1</t>
        </is>
      </c>
      <c r="F845" t="inlineStr">
        <is>
          <t>10001073</t>
        </is>
      </c>
      <c r="H845" t="inlineStr"/>
      <c r="J845" t="n">
        <v>93.17</v>
      </c>
      <c r="K845" t="inlineStr"/>
      <c r="M845" t="inlineStr">
        <is>
          <t>TN</t>
        </is>
      </c>
      <c r="N845" t="inlineStr"/>
      <c r="P845" t="inlineStr">
        <is>
          <t>20250401</t>
        </is>
      </c>
      <c r="Q845" t="inlineStr">
        <is>
          <t>20251031</t>
        </is>
      </c>
    </row>
    <row r="846">
      <c r="A846" t="inlineStr">
        <is>
          <t>900004725DW70D09810001073</t>
        </is>
      </c>
      <c r="B846" t="inlineStr">
        <is>
          <t>900004725</t>
        </is>
      </c>
      <c r="C846" t="inlineStr">
        <is>
          <t>DW70</t>
        </is>
      </c>
      <c r="D846" t="inlineStr">
        <is>
          <t>D098</t>
        </is>
      </c>
      <c r="E846" t="inlineStr">
        <is>
          <t>1</t>
        </is>
      </c>
      <c r="F846" t="inlineStr">
        <is>
          <t>10001073</t>
        </is>
      </c>
      <c r="H846" t="inlineStr"/>
      <c r="J846" t="n">
        <v>95.68000000000001</v>
      </c>
      <c r="K846" t="inlineStr"/>
      <c r="M846" t="inlineStr">
        <is>
          <t>TN</t>
        </is>
      </c>
      <c r="N846" t="inlineStr"/>
      <c r="P846" t="inlineStr">
        <is>
          <t>20250401</t>
        </is>
      </c>
      <c r="Q846" t="inlineStr">
        <is>
          <t>20251031</t>
        </is>
      </c>
    </row>
    <row r="847">
      <c r="A847" t="inlineStr">
        <is>
          <t>900004725DW70D10510001073</t>
        </is>
      </c>
      <c r="B847" t="inlineStr">
        <is>
          <t>900004725</t>
        </is>
      </c>
      <c r="C847" t="inlineStr">
        <is>
          <t>DW70</t>
        </is>
      </c>
      <c r="D847" t="inlineStr">
        <is>
          <t>D105</t>
        </is>
      </c>
      <c r="E847" t="inlineStr">
        <is>
          <t>1</t>
        </is>
      </c>
      <c r="F847" t="inlineStr">
        <is>
          <t>10001073</t>
        </is>
      </c>
      <c r="H847" t="inlineStr"/>
      <c r="J847" t="n">
        <v>168.71</v>
      </c>
      <c r="K847" t="inlineStr"/>
      <c r="M847" t="inlineStr">
        <is>
          <t>TN</t>
        </is>
      </c>
      <c r="N847" t="inlineStr"/>
      <c r="P847" t="inlineStr">
        <is>
          <t>20250401</t>
        </is>
      </c>
      <c r="Q847" t="inlineStr">
        <is>
          <t>20251031</t>
        </is>
      </c>
    </row>
    <row r="848">
      <c r="A848" t="inlineStr">
        <is>
          <t>900004725DW70D13610001073</t>
        </is>
      </c>
      <c r="B848" t="inlineStr">
        <is>
          <t>900004725</t>
        </is>
      </c>
      <c r="C848" t="inlineStr">
        <is>
          <t>DW70</t>
        </is>
      </c>
      <c r="D848" t="inlineStr">
        <is>
          <t>D136</t>
        </is>
      </c>
      <c r="E848" t="inlineStr">
        <is>
          <t>1</t>
        </is>
      </c>
      <c r="F848" t="inlineStr">
        <is>
          <t>10001073</t>
        </is>
      </c>
      <c r="H848" t="inlineStr"/>
      <c r="J848" t="n">
        <v>211.51</v>
      </c>
      <c r="K848" t="inlineStr"/>
      <c r="M848" t="inlineStr">
        <is>
          <t>TN</t>
        </is>
      </c>
      <c r="N848" t="inlineStr"/>
      <c r="P848" t="inlineStr">
        <is>
          <t>20250401</t>
        </is>
      </c>
      <c r="Q848" t="inlineStr">
        <is>
          <t>20251031</t>
        </is>
      </c>
    </row>
    <row r="849">
      <c r="A849" t="inlineStr">
        <is>
          <t>900004725DW70D14510001073</t>
        </is>
      </c>
      <c r="B849" t="inlineStr">
        <is>
          <t>900004725</t>
        </is>
      </c>
      <c r="C849" t="inlineStr">
        <is>
          <t>DW70</t>
        </is>
      </c>
      <c r="D849" t="inlineStr">
        <is>
          <t>D145</t>
        </is>
      </c>
      <c r="E849" t="inlineStr">
        <is>
          <t>1</t>
        </is>
      </c>
      <c r="F849" t="inlineStr">
        <is>
          <t>10001073</t>
        </is>
      </c>
      <c r="H849" t="inlineStr"/>
      <c r="J849" t="n">
        <v>143.53</v>
      </c>
      <c r="K849" t="inlineStr"/>
      <c r="M849" t="inlineStr">
        <is>
          <t>TN</t>
        </is>
      </c>
      <c r="N849" t="inlineStr"/>
      <c r="P849" t="inlineStr">
        <is>
          <t>20250401</t>
        </is>
      </c>
      <c r="Q849" t="inlineStr">
        <is>
          <t>20251031</t>
        </is>
      </c>
    </row>
    <row r="850">
      <c r="A850" t="inlineStr">
        <is>
          <t>900004725DW70D68110001073</t>
        </is>
      </c>
      <c r="B850" t="inlineStr">
        <is>
          <t>900004725</t>
        </is>
      </c>
      <c r="C850" t="inlineStr">
        <is>
          <t>DW70</t>
        </is>
      </c>
      <c r="D850" t="inlineStr">
        <is>
          <t>D681</t>
        </is>
      </c>
      <c r="E850" t="inlineStr">
        <is>
          <t>1</t>
        </is>
      </c>
      <c r="F850" t="inlineStr">
        <is>
          <t>10001073</t>
        </is>
      </c>
      <c r="H850" t="inlineStr"/>
      <c r="J850" t="n">
        <v>128.42</v>
      </c>
      <c r="K850" t="inlineStr"/>
      <c r="M850" t="inlineStr">
        <is>
          <t>TN</t>
        </is>
      </c>
      <c r="N850" t="inlineStr"/>
      <c r="P850" t="inlineStr">
        <is>
          <t>20250401</t>
        </is>
      </c>
      <c r="Q850" t="inlineStr">
        <is>
          <t>20251031</t>
        </is>
      </c>
    </row>
    <row r="851">
      <c r="A851" t="inlineStr">
        <is>
          <t>900004901DW70D08610002802</t>
        </is>
      </c>
      <c r="B851" t="inlineStr">
        <is>
          <t>900004901</t>
        </is>
      </c>
      <c r="C851" t="inlineStr">
        <is>
          <t>DW70</t>
        </is>
      </c>
      <c r="D851" t="inlineStr">
        <is>
          <t>D086</t>
        </is>
      </c>
      <c r="E851" t="inlineStr">
        <is>
          <t>4</t>
        </is>
      </c>
      <c r="F851" t="inlineStr">
        <is>
          <t>10002802</t>
        </is>
      </c>
      <c r="H851" t="inlineStr"/>
      <c r="J851" t="n">
        <v>171.43</v>
      </c>
      <c r="K851" t="inlineStr"/>
      <c r="M851" t="inlineStr">
        <is>
          <t>TN</t>
        </is>
      </c>
      <c r="N851" t="inlineStr"/>
      <c r="P851" t="inlineStr">
        <is>
          <t>20220331</t>
        </is>
      </c>
      <c r="Q851" t="inlineStr">
        <is>
          <t>20250131</t>
        </is>
      </c>
    </row>
    <row r="852">
      <c r="A852" t="inlineStr">
        <is>
          <t>900004901DW70D09810002802</t>
        </is>
      </c>
      <c r="B852" t="inlineStr">
        <is>
          <t>900004901</t>
        </is>
      </c>
      <c r="C852" t="inlineStr">
        <is>
          <t>DW70</t>
        </is>
      </c>
      <c r="D852" t="inlineStr">
        <is>
          <t>D098</t>
        </is>
      </c>
      <c r="E852" t="inlineStr">
        <is>
          <t>4</t>
        </is>
      </c>
      <c r="F852" t="inlineStr">
        <is>
          <t>10002802</t>
        </is>
      </c>
      <c r="H852" t="inlineStr"/>
      <c r="J852" t="n">
        <v>139.1</v>
      </c>
      <c r="K852" t="inlineStr"/>
      <c r="M852" t="inlineStr">
        <is>
          <t>TN</t>
        </is>
      </c>
      <c r="N852" t="inlineStr"/>
      <c r="P852" t="inlineStr">
        <is>
          <t>20220331</t>
        </is>
      </c>
      <c r="Q852" t="inlineStr">
        <is>
          <t>20250131</t>
        </is>
      </c>
    </row>
    <row r="853">
      <c r="A853" t="inlineStr">
        <is>
          <t>900004901DW70D10510002802</t>
        </is>
      </c>
      <c r="B853" t="inlineStr">
        <is>
          <t>900004901</t>
        </is>
      </c>
      <c r="C853" t="inlineStr">
        <is>
          <t>DW70</t>
        </is>
      </c>
      <c r="D853" t="inlineStr">
        <is>
          <t>D105</t>
        </is>
      </c>
      <c r="E853" t="inlineStr">
        <is>
          <t>4</t>
        </is>
      </c>
      <c r="F853" t="inlineStr">
        <is>
          <t>10002802</t>
        </is>
      </c>
      <c r="H853" t="inlineStr"/>
      <c r="J853" t="n">
        <v>162.41</v>
      </c>
      <c r="K853" t="inlineStr"/>
      <c r="M853" t="inlineStr">
        <is>
          <t>TN</t>
        </is>
      </c>
      <c r="N853" t="inlineStr"/>
      <c r="P853" t="inlineStr">
        <is>
          <t>20220331</t>
        </is>
      </c>
      <c r="Q853" t="inlineStr">
        <is>
          <t>20250131</t>
        </is>
      </c>
    </row>
    <row r="854">
      <c r="A854" t="inlineStr">
        <is>
          <t>900005270DW70D07410000623</t>
        </is>
      </c>
      <c r="B854" t="inlineStr">
        <is>
          <t>900005270</t>
        </is>
      </c>
      <c r="C854" t="inlineStr">
        <is>
          <t>DW70</t>
        </is>
      </c>
      <c r="D854" t="inlineStr">
        <is>
          <t>D074</t>
        </is>
      </c>
      <c r="E854" t="inlineStr">
        <is>
          <t>1</t>
        </is>
      </c>
      <c r="F854" t="inlineStr">
        <is>
          <t>10000623</t>
        </is>
      </c>
      <c r="H854" t="inlineStr"/>
      <c r="J854" t="n">
        <v>162.77</v>
      </c>
      <c r="K854" t="inlineStr"/>
      <c r="M854" t="inlineStr">
        <is>
          <t>TN</t>
        </is>
      </c>
      <c r="N854" t="inlineStr"/>
      <c r="P854" t="inlineStr">
        <is>
          <t>20220331</t>
        </is>
      </c>
      <c r="Q854" t="inlineStr">
        <is>
          <t>20250131</t>
        </is>
      </c>
    </row>
    <row r="855">
      <c r="A855" t="inlineStr">
        <is>
          <t>900005270DW70D07510000623</t>
        </is>
      </c>
      <c r="B855" t="inlineStr">
        <is>
          <t>900005270</t>
        </is>
      </c>
      <c r="C855" t="inlineStr">
        <is>
          <t>DW70</t>
        </is>
      </c>
      <c r="D855" t="inlineStr">
        <is>
          <t>D075</t>
        </is>
      </c>
      <c r="E855" t="inlineStr">
        <is>
          <t>1</t>
        </is>
      </c>
      <c r="F855" t="inlineStr">
        <is>
          <t>10000623</t>
        </is>
      </c>
      <c r="H855" t="inlineStr"/>
      <c r="J855" t="n">
        <v>142.67</v>
      </c>
      <c r="K855" t="inlineStr"/>
      <c r="M855" t="inlineStr">
        <is>
          <t>TN</t>
        </is>
      </c>
      <c r="N855" t="inlineStr"/>
      <c r="P855" t="inlineStr">
        <is>
          <t>20220331</t>
        </is>
      </c>
      <c r="Q855" t="inlineStr">
        <is>
          <t>20250131</t>
        </is>
      </c>
    </row>
    <row r="856">
      <c r="A856" t="inlineStr">
        <is>
          <t>900005270DW70D07710000623</t>
        </is>
      </c>
      <c r="B856" t="inlineStr">
        <is>
          <t>900005270</t>
        </is>
      </c>
      <c r="C856" t="inlineStr">
        <is>
          <t>DW70</t>
        </is>
      </c>
      <c r="D856" t="inlineStr">
        <is>
          <t>D077</t>
        </is>
      </c>
      <c r="E856" t="inlineStr">
        <is>
          <t>1</t>
        </is>
      </c>
      <c r="F856" t="inlineStr">
        <is>
          <t>10000623</t>
        </is>
      </c>
      <c r="H856" t="inlineStr"/>
      <c r="J856" t="n">
        <v>215.01</v>
      </c>
      <c r="K856" t="inlineStr"/>
      <c r="M856" t="inlineStr">
        <is>
          <t>TN</t>
        </is>
      </c>
      <c r="N856" t="inlineStr"/>
      <c r="P856" t="inlineStr">
        <is>
          <t>20220331</t>
        </is>
      </c>
      <c r="Q856" t="inlineStr">
        <is>
          <t>20250131</t>
        </is>
      </c>
    </row>
    <row r="857">
      <c r="A857" t="inlineStr">
        <is>
          <t>900005270DW70D07910000623</t>
        </is>
      </c>
      <c r="B857" t="inlineStr">
        <is>
          <t>900005270</t>
        </is>
      </c>
      <c r="C857" t="inlineStr">
        <is>
          <t>DW70</t>
        </is>
      </c>
      <c r="D857" t="inlineStr">
        <is>
          <t>D079</t>
        </is>
      </c>
      <c r="E857" t="inlineStr">
        <is>
          <t>1</t>
        </is>
      </c>
      <c r="F857" t="inlineStr">
        <is>
          <t>10000623</t>
        </is>
      </c>
      <c r="H857" t="inlineStr"/>
      <c r="J857" t="n">
        <v>213</v>
      </c>
      <c r="K857" t="inlineStr"/>
      <c r="M857" t="inlineStr">
        <is>
          <t>TN</t>
        </is>
      </c>
      <c r="N857" t="inlineStr"/>
      <c r="P857" t="inlineStr">
        <is>
          <t>20220331</t>
        </is>
      </c>
      <c r="Q857" t="inlineStr">
        <is>
          <t>20250131</t>
        </is>
      </c>
    </row>
    <row r="858">
      <c r="A858" t="inlineStr">
        <is>
          <t>900005270DW70D08010000623</t>
        </is>
      </c>
      <c r="B858" t="inlineStr">
        <is>
          <t>900005270</t>
        </is>
      </c>
      <c r="C858" t="inlineStr">
        <is>
          <t>DW70</t>
        </is>
      </c>
      <c r="D858" t="inlineStr">
        <is>
          <t>D080</t>
        </is>
      </c>
      <c r="E858" t="inlineStr">
        <is>
          <t>1</t>
        </is>
      </c>
      <c r="F858" t="inlineStr">
        <is>
          <t>10000623</t>
        </is>
      </c>
      <c r="H858" t="inlineStr"/>
      <c r="J858" t="n">
        <v>142.67</v>
      </c>
      <c r="K858" t="inlineStr"/>
      <c r="M858" t="inlineStr">
        <is>
          <t>TN</t>
        </is>
      </c>
      <c r="N858" t="inlineStr"/>
      <c r="P858" t="inlineStr">
        <is>
          <t>20220331</t>
        </is>
      </c>
      <c r="Q858" t="inlineStr">
        <is>
          <t>20250131</t>
        </is>
      </c>
    </row>
    <row r="859">
      <c r="A859" t="inlineStr">
        <is>
          <t>900005270DW70D08110000623</t>
        </is>
      </c>
      <c r="B859" t="inlineStr">
        <is>
          <t>900005270</t>
        </is>
      </c>
      <c r="C859" t="inlineStr">
        <is>
          <t>DW70</t>
        </is>
      </c>
      <c r="D859" t="inlineStr">
        <is>
          <t>D081</t>
        </is>
      </c>
      <c r="E859" t="inlineStr">
        <is>
          <t>1</t>
        </is>
      </c>
      <c r="F859" t="inlineStr">
        <is>
          <t>10000623</t>
        </is>
      </c>
      <c r="H859" t="inlineStr"/>
      <c r="J859" t="n">
        <v>132.62</v>
      </c>
      <c r="K859" t="inlineStr"/>
      <c r="M859" t="inlineStr">
        <is>
          <t>TN</t>
        </is>
      </c>
      <c r="N859" t="inlineStr"/>
      <c r="P859" t="inlineStr">
        <is>
          <t>20220331</t>
        </is>
      </c>
      <c r="Q859" t="inlineStr">
        <is>
          <t>20250131</t>
        </is>
      </c>
    </row>
    <row r="860">
      <c r="A860" t="inlineStr">
        <is>
          <t>900005270DW70D08310000623</t>
        </is>
      </c>
      <c r="B860" t="inlineStr">
        <is>
          <t>900005270</t>
        </is>
      </c>
      <c r="C860" t="inlineStr">
        <is>
          <t>DW70</t>
        </is>
      </c>
      <c r="D860" t="inlineStr">
        <is>
          <t>D083</t>
        </is>
      </c>
      <c r="E860" t="inlineStr">
        <is>
          <t>1</t>
        </is>
      </c>
      <c r="F860" t="inlineStr">
        <is>
          <t>10000623</t>
        </is>
      </c>
      <c r="H860" t="inlineStr"/>
      <c r="J860" t="n">
        <v>162.77</v>
      </c>
      <c r="K860" t="inlineStr"/>
      <c r="M860" t="inlineStr">
        <is>
          <t>TN</t>
        </is>
      </c>
      <c r="N860" t="inlineStr"/>
      <c r="P860" t="inlineStr">
        <is>
          <t>20220331</t>
        </is>
      </c>
      <c r="Q860" t="inlineStr">
        <is>
          <t>20250131</t>
        </is>
      </c>
    </row>
    <row r="861">
      <c r="A861" t="inlineStr">
        <is>
          <t>900005270DW70D08410000623</t>
        </is>
      </c>
      <c r="B861" t="inlineStr">
        <is>
          <t>900005270</t>
        </is>
      </c>
      <c r="C861" t="inlineStr">
        <is>
          <t>DW70</t>
        </is>
      </c>
      <c r="D861" t="inlineStr">
        <is>
          <t>D084</t>
        </is>
      </c>
      <c r="E861" t="inlineStr">
        <is>
          <t>1</t>
        </is>
      </c>
      <c r="F861" t="inlineStr">
        <is>
          <t>10000623</t>
        </is>
      </c>
      <c r="H861" t="inlineStr"/>
      <c r="J861" t="n">
        <v>200.95</v>
      </c>
      <c r="K861" t="inlineStr"/>
      <c r="M861" t="inlineStr">
        <is>
          <t>TN</t>
        </is>
      </c>
      <c r="N861" t="inlineStr"/>
      <c r="P861" t="inlineStr">
        <is>
          <t>20220331</t>
        </is>
      </c>
      <c r="Q861" t="inlineStr">
        <is>
          <t>20250131</t>
        </is>
      </c>
    </row>
    <row r="862">
      <c r="A862" t="inlineStr">
        <is>
          <t>900005270DW70D08510000623</t>
        </is>
      </c>
      <c r="B862" t="inlineStr">
        <is>
          <t>900005270</t>
        </is>
      </c>
      <c r="C862" t="inlineStr">
        <is>
          <t>DW70</t>
        </is>
      </c>
      <c r="D862" t="inlineStr">
        <is>
          <t>D085</t>
        </is>
      </c>
      <c r="E862" t="inlineStr">
        <is>
          <t>1</t>
        </is>
      </c>
      <c r="F862" t="inlineStr">
        <is>
          <t>10000623</t>
        </is>
      </c>
      <c r="H862" t="inlineStr"/>
      <c r="J862" t="n">
        <v>194.92</v>
      </c>
      <c r="K862" t="inlineStr"/>
      <c r="M862" t="inlineStr">
        <is>
          <t>TN</t>
        </is>
      </c>
      <c r="N862" t="inlineStr"/>
      <c r="P862" t="inlineStr">
        <is>
          <t>20220331</t>
        </is>
      </c>
      <c r="Q862" t="inlineStr">
        <is>
          <t>20250131</t>
        </is>
      </c>
    </row>
    <row r="863">
      <c r="A863" t="inlineStr">
        <is>
          <t>900005270DW70D08610000623</t>
        </is>
      </c>
      <c r="B863" t="inlineStr">
        <is>
          <t>900005270</t>
        </is>
      </c>
      <c r="C863" t="inlineStr">
        <is>
          <t>DW70</t>
        </is>
      </c>
      <c r="D863" t="inlineStr">
        <is>
          <t>D086</t>
        </is>
      </c>
      <c r="E863" t="inlineStr">
        <is>
          <t>1</t>
        </is>
      </c>
      <c r="F863" t="inlineStr">
        <is>
          <t>10000623</t>
        </is>
      </c>
      <c r="H863" t="inlineStr"/>
      <c r="J863" t="n">
        <v>166.78</v>
      </c>
      <c r="K863" t="inlineStr"/>
      <c r="M863" t="inlineStr">
        <is>
          <t>TN</t>
        </is>
      </c>
      <c r="N863" t="inlineStr"/>
      <c r="P863" t="inlineStr">
        <is>
          <t>20220331</t>
        </is>
      </c>
      <c r="Q863" t="inlineStr">
        <is>
          <t>20250131</t>
        </is>
      </c>
    </row>
    <row r="864">
      <c r="A864" t="inlineStr">
        <is>
          <t>900005270DW70D08810000623</t>
        </is>
      </c>
      <c r="B864" t="inlineStr">
        <is>
          <t>900005270</t>
        </is>
      </c>
      <c r="C864" t="inlineStr">
        <is>
          <t>DW70</t>
        </is>
      </c>
      <c r="D864" t="inlineStr">
        <is>
          <t>D088</t>
        </is>
      </c>
      <c r="E864" t="inlineStr">
        <is>
          <t>1</t>
        </is>
      </c>
      <c r="F864" t="inlineStr">
        <is>
          <t>10000623</t>
        </is>
      </c>
      <c r="H864" t="inlineStr"/>
      <c r="J864" t="n">
        <v>48.23</v>
      </c>
      <c r="K864" t="inlineStr"/>
      <c r="M864" t="inlineStr">
        <is>
          <t>TN</t>
        </is>
      </c>
      <c r="N864" t="inlineStr"/>
      <c r="P864" t="inlineStr">
        <is>
          <t>20220331</t>
        </is>
      </c>
      <c r="Q864" t="inlineStr">
        <is>
          <t>20250131</t>
        </is>
      </c>
    </row>
    <row r="865">
      <c r="A865" t="inlineStr">
        <is>
          <t>900005270DW70D08910000623</t>
        </is>
      </c>
      <c r="B865" t="inlineStr">
        <is>
          <t>900005270</t>
        </is>
      </c>
      <c r="C865" t="inlineStr">
        <is>
          <t>DW70</t>
        </is>
      </c>
      <c r="D865" t="inlineStr">
        <is>
          <t>D089</t>
        </is>
      </c>
      <c r="E865" t="inlineStr">
        <is>
          <t>1</t>
        </is>
      </c>
      <c r="F865" t="inlineStr">
        <is>
          <t>10000623</t>
        </is>
      </c>
      <c r="H865" t="inlineStr"/>
      <c r="J865" t="n">
        <v>23.72</v>
      </c>
      <c r="K865" t="inlineStr"/>
      <c r="M865" t="inlineStr">
        <is>
          <t>TN</t>
        </is>
      </c>
      <c r="N865" t="inlineStr"/>
      <c r="P865" t="inlineStr">
        <is>
          <t>20220331</t>
        </is>
      </c>
      <c r="Q865" t="inlineStr">
        <is>
          <t>20250131</t>
        </is>
      </c>
    </row>
    <row r="866">
      <c r="A866" t="inlineStr">
        <is>
          <t>900005270DW70D09310000623</t>
        </is>
      </c>
      <c r="B866" t="inlineStr">
        <is>
          <t>900005270</t>
        </is>
      </c>
      <c r="C866" t="inlineStr">
        <is>
          <t>DW70</t>
        </is>
      </c>
      <c r="D866" t="inlineStr">
        <is>
          <t>D093</t>
        </is>
      </c>
      <c r="E866" t="inlineStr">
        <is>
          <t>1</t>
        </is>
      </c>
      <c r="F866" t="inlineStr">
        <is>
          <t>10000623</t>
        </is>
      </c>
      <c r="H866" t="inlineStr"/>
      <c r="J866" t="n">
        <v>94.44</v>
      </c>
      <c r="K866" t="inlineStr"/>
      <c r="M866" t="inlineStr">
        <is>
          <t>TN</t>
        </is>
      </c>
      <c r="N866" t="inlineStr"/>
      <c r="P866" t="inlineStr">
        <is>
          <t>20220331</t>
        </is>
      </c>
      <c r="Q866" t="inlineStr">
        <is>
          <t>20250131</t>
        </is>
      </c>
    </row>
    <row r="867">
      <c r="A867" t="inlineStr">
        <is>
          <t>900005270DW70D09810000623</t>
        </is>
      </c>
      <c r="B867" t="inlineStr">
        <is>
          <t>900005270</t>
        </is>
      </c>
      <c r="C867" t="inlineStr">
        <is>
          <t>DW70</t>
        </is>
      </c>
      <c r="D867" t="inlineStr">
        <is>
          <t>D098</t>
        </is>
      </c>
      <c r="E867" t="inlineStr">
        <is>
          <t>1</t>
        </is>
      </c>
      <c r="F867" t="inlineStr">
        <is>
          <t>10000623</t>
        </is>
      </c>
      <c r="H867" t="inlineStr"/>
      <c r="J867" t="n">
        <v>96.45</v>
      </c>
      <c r="K867" t="inlineStr"/>
      <c r="M867" t="inlineStr">
        <is>
          <t>TN</t>
        </is>
      </c>
      <c r="N867" t="inlineStr"/>
      <c r="P867" t="inlineStr">
        <is>
          <t>20220331</t>
        </is>
      </c>
      <c r="Q867" t="inlineStr">
        <is>
          <t>20250131</t>
        </is>
      </c>
    </row>
    <row r="868">
      <c r="A868" t="inlineStr">
        <is>
          <t>900005270DW70D10510000623</t>
        </is>
      </c>
      <c r="B868" t="inlineStr">
        <is>
          <t>900005270</t>
        </is>
      </c>
      <c r="C868" t="inlineStr">
        <is>
          <t>DW70</t>
        </is>
      </c>
      <c r="D868" t="inlineStr">
        <is>
          <t>D105</t>
        </is>
      </c>
      <c r="E868" t="inlineStr">
        <is>
          <t>1</t>
        </is>
      </c>
      <c r="F868" t="inlineStr">
        <is>
          <t>10000623</t>
        </is>
      </c>
      <c r="H868" t="inlineStr"/>
      <c r="J868" t="n">
        <v>136.64</v>
      </c>
      <c r="K868" t="inlineStr"/>
      <c r="M868" t="inlineStr">
        <is>
          <t>TN</t>
        </is>
      </c>
      <c r="N868" t="inlineStr"/>
      <c r="P868" t="inlineStr">
        <is>
          <t>20220331</t>
        </is>
      </c>
      <c r="Q868" t="inlineStr">
        <is>
          <t>20250131</t>
        </is>
      </c>
    </row>
    <row r="869">
      <c r="A869" t="inlineStr">
        <is>
          <t>900005270DW70D11010000623</t>
        </is>
      </c>
      <c r="B869" t="inlineStr">
        <is>
          <t>900005270</t>
        </is>
      </c>
      <c r="C869" t="inlineStr">
        <is>
          <t>DW70</t>
        </is>
      </c>
      <c r="D869" t="inlineStr">
        <is>
          <t>D110</t>
        </is>
      </c>
      <c r="E869" t="inlineStr">
        <is>
          <t>1</t>
        </is>
      </c>
      <c r="F869" t="inlineStr">
        <is>
          <t>10000623</t>
        </is>
      </c>
      <c r="H869" t="inlineStr"/>
      <c r="J869" t="n">
        <v>151.3</v>
      </c>
      <c r="K869" t="inlineStr"/>
      <c r="M869" t="inlineStr">
        <is>
          <t>TN</t>
        </is>
      </c>
      <c r="N869" t="inlineStr"/>
      <c r="P869" t="inlineStr">
        <is>
          <t>20220331</t>
        </is>
      </c>
      <c r="Q869" t="inlineStr">
        <is>
          <t>20250131</t>
        </is>
      </c>
    </row>
    <row r="870">
      <c r="A870" t="inlineStr">
        <is>
          <t>900005270DW70D13610000623</t>
        </is>
      </c>
      <c r="B870" t="inlineStr">
        <is>
          <t>900005270</t>
        </is>
      </c>
      <c r="C870" t="inlineStr">
        <is>
          <t>DW70</t>
        </is>
      </c>
      <c r="D870" t="inlineStr">
        <is>
          <t>D136</t>
        </is>
      </c>
      <c r="E870" t="inlineStr">
        <is>
          <t>1</t>
        </is>
      </c>
      <c r="F870" t="inlineStr">
        <is>
          <t>10000623</t>
        </is>
      </c>
      <c r="H870" t="inlineStr"/>
      <c r="J870" t="n">
        <v>166.78</v>
      </c>
      <c r="K870" t="inlineStr"/>
      <c r="M870" t="inlineStr">
        <is>
          <t>TN</t>
        </is>
      </c>
      <c r="N870" t="inlineStr"/>
      <c r="P870" t="inlineStr">
        <is>
          <t>20220331</t>
        </is>
      </c>
      <c r="Q870" t="inlineStr">
        <is>
          <t>20250131</t>
        </is>
      </c>
    </row>
    <row r="871">
      <c r="A871" t="inlineStr">
        <is>
          <t>900005270DW70D14510000623</t>
        </is>
      </c>
      <c r="B871" t="inlineStr">
        <is>
          <t>900005270</t>
        </is>
      </c>
      <c r="C871" t="inlineStr">
        <is>
          <t>DW70</t>
        </is>
      </c>
      <c r="D871" t="inlineStr">
        <is>
          <t>D145</t>
        </is>
      </c>
      <c r="E871" t="inlineStr">
        <is>
          <t>1</t>
        </is>
      </c>
      <c r="F871" t="inlineStr">
        <is>
          <t>10000623</t>
        </is>
      </c>
      <c r="H871" t="inlineStr"/>
      <c r="J871" t="n">
        <v>150.71</v>
      </c>
      <c r="K871" t="inlineStr"/>
      <c r="M871" t="inlineStr">
        <is>
          <t>TN</t>
        </is>
      </c>
      <c r="N871" t="inlineStr"/>
      <c r="P871" t="inlineStr">
        <is>
          <t>20220331</t>
        </is>
      </c>
      <c r="Q871" t="inlineStr">
        <is>
          <t>20250131</t>
        </is>
      </c>
    </row>
    <row r="872">
      <c r="A872" t="inlineStr">
        <is>
          <t>900005400DW70D08110059181</t>
        </is>
      </c>
      <c r="B872" t="inlineStr">
        <is>
          <t>900005400</t>
        </is>
      </c>
      <c r="C872" t="inlineStr">
        <is>
          <t>DW70</t>
        </is>
      </c>
      <c r="D872" t="inlineStr">
        <is>
          <t>D081</t>
        </is>
      </c>
      <c r="E872" t="inlineStr">
        <is>
          <t>1</t>
        </is>
      </c>
      <c r="F872" t="inlineStr">
        <is>
          <t>10059181</t>
        </is>
      </c>
      <c r="H872" t="inlineStr"/>
      <c r="J872" t="n">
        <v>197.34</v>
      </c>
      <c r="K872" t="inlineStr"/>
      <c r="M872" t="inlineStr">
        <is>
          <t>TN</t>
        </is>
      </c>
      <c r="N872" t="inlineStr"/>
      <c r="P872" t="inlineStr">
        <is>
          <t>20220331</t>
        </is>
      </c>
      <c r="Q872" t="inlineStr">
        <is>
          <t>20250131</t>
        </is>
      </c>
    </row>
    <row r="873">
      <c r="A873" t="inlineStr">
        <is>
          <t>900005400DW70D08810000651</t>
        </is>
      </c>
      <c r="B873" t="inlineStr">
        <is>
          <t>900005400</t>
        </is>
      </c>
      <c r="C873" t="inlineStr">
        <is>
          <t>DW70</t>
        </is>
      </c>
      <c r="D873" t="inlineStr">
        <is>
          <t>D088</t>
        </is>
      </c>
      <c r="E873" t="inlineStr">
        <is>
          <t>1</t>
        </is>
      </c>
      <c r="F873" t="inlineStr">
        <is>
          <t>10000651</t>
        </is>
      </c>
      <c r="H873" t="inlineStr"/>
      <c r="J873" t="n">
        <v>275.44</v>
      </c>
      <c r="K873" t="inlineStr"/>
      <c r="M873" t="inlineStr">
        <is>
          <t>TN</t>
        </is>
      </c>
      <c r="N873" t="inlineStr"/>
      <c r="P873" t="inlineStr">
        <is>
          <t>20220331</t>
        </is>
      </c>
      <c r="Q873" t="inlineStr">
        <is>
          <t>20250131</t>
        </is>
      </c>
    </row>
    <row r="874">
      <c r="A874" t="inlineStr">
        <is>
          <t>900005400DW70D09310000651</t>
        </is>
      </c>
      <c r="B874" t="inlineStr">
        <is>
          <t>900005400</t>
        </is>
      </c>
      <c r="C874" t="inlineStr">
        <is>
          <t>DW70</t>
        </is>
      </c>
      <c r="D874" t="inlineStr">
        <is>
          <t>D093</t>
        </is>
      </c>
      <c r="E874" t="inlineStr">
        <is>
          <t>1</t>
        </is>
      </c>
      <c r="F874" t="inlineStr">
        <is>
          <t>10000651</t>
        </is>
      </c>
      <c r="H874" t="inlineStr"/>
      <c r="J874" t="n">
        <v>240.18</v>
      </c>
      <c r="K874" t="inlineStr"/>
      <c r="M874" t="inlineStr">
        <is>
          <t>TN</t>
        </is>
      </c>
      <c r="N874" t="inlineStr"/>
      <c r="P874" t="inlineStr">
        <is>
          <t>20220331</t>
        </is>
      </c>
      <c r="Q874" t="inlineStr">
        <is>
          <t>20250131</t>
        </is>
      </c>
    </row>
    <row r="875">
      <c r="A875" t="inlineStr">
        <is>
          <t>900005554DW70D07410152583</t>
        </is>
      </c>
      <c r="B875" t="inlineStr">
        <is>
          <t>900005554</t>
        </is>
      </c>
      <c r="C875" t="inlineStr">
        <is>
          <t>DW70</t>
        </is>
      </c>
      <c r="D875" t="inlineStr">
        <is>
          <t>D074</t>
        </is>
      </c>
      <c r="E875" t="inlineStr">
        <is>
          <t>1</t>
        </is>
      </c>
      <c r="F875" t="inlineStr">
        <is>
          <t>10152583</t>
        </is>
      </c>
      <c r="H875" t="inlineStr"/>
      <c r="J875" t="n">
        <v>236.52</v>
      </c>
      <c r="K875" t="inlineStr"/>
      <c r="M875" t="inlineStr">
        <is>
          <t>TN</t>
        </is>
      </c>
      <c r="N875" t="inlineStr"/>
      <c r="P875" t="inlineStr">
        <is>
          <t>20260430</t>
        </is>
      </c>
      <c r="Q875" t="inlineStr">
        <is>
          <t>99991231</t>
        </is>
      </c>
    </row>
    <row r="876">
      <c r="A876" t="inlineStr">
        <is>
          <t>900005554DW70D07510152583</t>
        </is>
      </c>
      <c r="B876" t="inlineStr">
        <is>
          <t>900005554</t>
        </is>
      </c>
      <c r="C876" t="inlineStr">
        <is>
          <t>DW70</t>
        </is>
      </c>
      <c r="D876" t="inlineStr">
        <is>
          <t>D075</t>
        </is>
      </c>
      <c r="E876" t="inlineStr">
        <is>
          <t>1</t>
        </is>
      </c>
      <c r="F876" t="inlineStr">
        <is>
          <t>10152583</t>
        </is>
      </c>
      <c r="H876" t="inlineStr"/>
      <c r="J876" t="n">
        <v>313.22</v>
      </c>
      <c r="K876" t="inlineStr"/>
      <c r="M876" t="inlineStr">
        <is>
          <t>TN</t>
        </is>
      </c>
      <c r="N876" t="inlineStr"/>
      <c r="P876" t="inlineStr">
        <is>
          <t>20260430</t>
        </is>
      </c>
      <c r="Q876" t="inlineStr">
        <is>
          <t>99991231</t>
        </is>
      </c>
    </row>
    <row r="877">
      <c r="A877" t="inlineStr">
        <is>
          <t>900005554DW70D07710152583</t>
        </is>
      </c>
      <c r="B877" t="inlineStr">
        <is>
          <t>900005554</t>
        </is>
      </c>
      <c r="C877" t="inlineStr">
        <is>
          <t>DW70</t>
        </is>
      </c>
      <c r="D877" t="inlineStr">
        <is>
          <t>D077</t>
        </is>
      </c>
      <c r="E877" t="inlineStr">
        <is>
          <t>1</t>
        </is>
      </c>
      <c r="F877" t="inlineStr">
        <is>
          <t>10152583</t>
        </is>
      </c>
      <c r="H877" t="inlineStr"/>
      <c r="J877" t="n">
        <v>313.22</v>
      </c>
      <c r="K877" t="inlineStr"/>
      <c r="M877" t="inlineStr">
        <is>
          <t>TN</t>
        </is>
      </c>
      <c r="N877" t="inlineStr"/>
      <c r="P877" t="inlineStr">
        <is>
          <t>20260430</t>
        </is>
      </c>
      <c r="Q877" t="inlineStr">
        <is>
          <t>99991231</t>
        </is>
      </c>
    </row>
    <row r="878">
      <c r="A878" t="inlineStr">
        <is>
          <t>900005554DW70D07910152583</t>
        </is>
      </c>
      <c r="B878" t="inlineStr">
        <is>
          <t>900005554</t>
        </is>
      </c>
      <c r="C878" t="inlineStr">
        <is>
          <t>DW70</t>
        </is>
      </c>
      <c r="D878" t="inlineStr">
        <is>
          <t>D079</t>
        </is>
      </c>
      <c r="E878" t="inlineStr">
        <is>
          <t>1</t>
        </is>
      </c>
      <c r="F878" t="inlineStr">
        <is>
          <t>10152583</t>
        </is>
      </c>
      <c r="H878" t="inlineStr"/>
      <c r="J878" t="n">
        <v>329.21</v>
      </c>
      <c r="K878" t="inlineStr"/>
      <c r="M878" t="inlineStr">
        <is>
          <t>TN</t>
        </is>
      </c>
      <c r="N878" t="inlineStr"/>
      <c r="P878" t="inlineStr">
        <is>
          <t>20260430</t>
        </is>
      </c>
      <c r="Q878" t="inlineStr">
        <is>
          <t>99991231</t>
        </is>
      </c>
    </row>
    <row r="879">
      <c r="A879" t="inlineStr">
        <is>
          <t>900005554DW70D08010152583</t>
        </is>
      </c>
      <c r="B879" t="inlineStr">
        <is>
          <t>900005554</t>
        </is>
      </c>
      <c r="C879" t="inlineStr">
        <is>
          <t>DW70</t>
        </is>
      </c>
      <c r="D879" t="inlineStr">
        <is>
          <t>D080</t>
        </is>
      </c>
      <c r="E879" t="inlineStr">
        <is>
          <t>1</t>
        </is>
      </c>
      <c r="F879" t="inlineStr">
        <is>
          <t>10152583</t>
        </is>
      </c>
      <c r="H879" t="inlineStr"/>
      <c r="J879" t="n">
        <v>271.68</v>
      </c>
      <c r="K879" t="inlineStr"/>
      <c r="M879" t="inlineStr">
        <is>
          <t>TN</t>
        </is>
      </c>
      <c r="N879" t="inlineStr"/>
      <c r="P879" t="inlineStr">
        <is>
          <t>20260430</t>
        </is>
      </c>
      <c r="Q879" t="inlineStr">
        <is>
          <t>99991231</t>
        </is>
      </c>
    </row>
    <row r="880">
      <c r="A880" t="inlineStr">
        <is>
          <t>900005554DW70D08110152583</t>
        </is>
      </c>
      <c r="B880" t="inlineStr">
        <is>
          <t>900005554</t>
        </is>
      </c>
      <c r="C880" t="inlineStr">
        <is>
          <t>DW70</t>
        </is>
      </c>
      <c r="D880" t="inlineStr">
        <is>
          <t>D081</t>
        </is>
      </c>
      <c r="E880" t="inlineStr">
        <is>
          <t>1</t>
        </is>
      </c>
      <c r="F880" t="inlineStr">
        <is>
          <t>10152583</t>
        </is>
      </c>
      <c r="H880" t="inlineStr"/>
      <c r="J880" t="n">
        <v>268.48</v>
      </c>
      <c r="K880" t="inlineStr"/>
      <c r="M880" t="inlineStr">
        <is>
          <t>TN</t>
        </is>
      </c>
      <c r="N880" t="inlineStr"/>
      <c r="P880" t="inlineStr">
        <is>
          <t>20260430</t>
        </is>
      </c>
      <c r="Q880" t="inlineStr">
        <is>
          <t>99991231</t>
        </is>
      </c>
    </row>
    <row r="881">
      <c r="A881" t="inlineStr">
        <is>
          <t>900005554DW70D08310152583</t>
        </is>
      </c>
      <c r="B881" t="inlineStr">
        <is>
          <t>900005554</t>
        </is>
      </c>
      <c r="C881" t="inlineStr">
        <is>
          <t>DW70</t>
        </is>
      </c>
      <c r="D881" t="inlineStr">
        <is>
          <t>D083</t>
        </is>
      </c>
      <c r="E881" t="inlineStr">
        <is>
          <t>1</t>
        </is>
      </c>
      <c r="F881" t="inlineStr">
        <is>
          <t>10152583</t>
        </is>
      </c>
      <c r="H881" t="inlineStr"/>
      <c r="J881" t="n">
        <v>242.91</v>
      </c>
      <c r="K881" t="inlineStr"/>
      <c r="M881" t="inlineStr">
        <is>
          <t>TN</t>
        </is>
      </c>
      <c r="N881" t="inlineStr"/>
      <c r="P881" t="inlineStr">
        <is>
          <t>20260430</t>
        </is>
      </c>
      <c r="Q881" t="inlineStr">
        <is>
          <t>99991231</t>
        </is>
      </c>
    </row>
    <row r="882">
      <c r="A882" t="inlineStr">
        <is>
          <t>900005554DW70D08410152583</t>
        </is>
      </c>
      <c r="B882" t="inlineStr">
        <is>
          <t>900005554</t>
        </is>
      </c>
      <c r="C882" t="inlineStr">
        <is>
          <t>DW70</t>
        </is>
      </c>
      <c r="D882" t="inlineStr">
        <is>
          <t>D084</t>
        </is>
      </c>
      <c r="E882" t="inlineStr">
        <is>
          <t>1</t>
        </is>
      </c>
      <c r="F882" t="inlineStr">
        <is>
          <t>10152583</t>
        </is>
      </c>
      <c r="H882" t="inlineStr"/>
      <c r="J882" t="n">
        <v>338.79</v>
      </c>
      <c r="K882" t="inlineStr"/>
      <c r="M882" t="inlineStr">
        <is>
          <t>TN</t>
        </is>
      </c>
      <c r="N882" t="inlineStr"/>
      <c r="P882" t="inlineStr">
        <is>
          <t>20260430</t>
        </is>
      </c>
      <c r="Q882" t="inlineStr">
        <is>
          <t>99991231</t>
        </is>
      </c>
    </row>
    <row r="883">
      <c r="A883" t="inlineStr">
        <is>
          <t>900005554DW70D08510152583</t>
        </is>
      </c>
      <c r="B883" t="inlineStr">
        <is>
          <t>900005554</t>
        </is>
      </c>
      <c r="C883" t="inlineStr">
        <is>
          <t>DW70</t>
        </is>
      </c>
      <c r="D883" t="inlineStr">
        <is>
          <t>D085</t>
        </is>
      </c>
      <c r="E883" t="inlineStr">
        <is>
          <t>1</t>
        </is>
      </c>
      <c r="F883" t="inlineStr">
        <is>
          <t>10152583</t>
        </is>
      </c>
      <c r="H883" t="inlineStr"/>
      <c r="J883" t="n">
        <v>345.19</v>
      </c>
      <c r="K883" t="inlineStr"/>
      <c r="M883" t="inlineStr">
        <is>
          <t>TN</t>
        </is>
      </c>
      <c r="N883" t="inlineStr"/>
      <c r="P883" t="inlineStr">
        <is>
          <t>20260430</t>
        </is>
      </c>
      <c r="Q883" t="inlineStr">
        <is>
          <t>99991231</t>
        </is>
      </c>
    </row>
    <row r="884">
      <c r="A884" t="inlineStr">
        <is>
          <t>900005554DW70D08610152583</t>
        </is>
      </c>
      <c r="B884" t="inlineStr">
        <is>
          <t>900005554</t>
        </is>
      </c>
      <c r="C884" t="inlineStr">
        <is>
          <t>DW70</t>
        </is>
      </c>
      <c r="D884" t="inlineStr">
        <is>
          <t>D086</t>
        </is>
      </c>
      <c r="E884" t="inlineStr">
        <is>
          <t>1</t>
        </is>
      </c>
      <c r="F884" t="inlineStr">
        <is>
          <t>10152583</t>
        </is>
      </c>
      <c r="H884" t="inlineStr"/>
      <c r="J884" t="n">
        <v>306.83</v>
      </c>
      <c r="K884" t="inlineStr"/>
      <c r="M884" t="inlineStr">
        <is>
          <t>TN</t>
        </is>
      </c>
      <c r="N884" t="inlineStr"/>
      <c r="P884" t="inlineStr">
        <is>
          <t>20260430</t>
        </is>
      </c>
      <c r="Q884" t="inlineStr">
        <is>
          <t>99991231</t>
        </is>
      </c>
    </row>
    <row r="885">
      <c r="A885" t="inlineStr">
        <is>
          <t>900005554DW70D09310152583</t>
        </is>
      </c>
      <c r="B885" t="inlineStr">
        <is>
          <t>900005554</t>
        </is>
      </c>
      <c r="C885" t="inlineStr">
        <is>
          <t>DW70</t>
        </is>
      </c>
      <c r="D885" t="inlineStr">
        <is>
          <t>D093</t>
        </is>
      </c>
      <c r="E885" t="inlineStr">
        <is>
          <t>1</t>
        </is>
      </c>
      <c r="F885" t="inlineStr">
        <is>
          <t>10152583</t>
        </is>
      </c>
      <c r="H885" t="inlineStr"/>
      <c r="J885" t="n">
        <v>415.5</v>
      </c>
      <c r="K885" t="inlineStr"/>
      <c r="M885" t="inlineStr">
        <is>
          <t>TN</t>
        </is>
      </c>
      <c r="N885" t="inlineStr"/>
      <c r="P885" t="inlineStr">
        <is>
          <t>20260430</t>
        </is>
      </c>
      <c r="Q885" t="inlineStr">
        <is>
          <t>99991231</t>
        </is>
      </c>
    </row>
    <row r="886">
      <c r="A886" t="inlineStr">
        <is>
          <t>900005554DW70D09810152583</t>
        </is>
      </c>
      <c r="B886" t="inlineStr">
        <is>
          <t>900005554</t>
        </is>
      </c>
      <c r="C886" t="inlineStr">
        <is>
          <t>DW70</t>
        </is>
      </c>
      <c r="D886" t="inlineStr">
        <is>
          <t>D098</t>
        </is>
      </c>
      <c r="E886" t="inlineStr">
        <is>
          <t>1</t>
        </is>
      </c>
      <c r="F886" t="inlineStr">
        <is>
          <t>10152583</t>
        </is>
      </c>
      <c r="H886" t="inlineStr"/>
      <c r="J886" t="n">
        <v>313.22</v>
      </c>
      <c r="K886" t="inlineStr"/>
      <c r="M886" t="inlineStr">
        <is>
          <t>TN</t>
        </is>
      </c>
      <c r="N886" t="inlineStr"/>
      <c r="P886" t="inlineStr">
        <is>
          <t>20260430</t>
        </is>
      </c>
      <c r="Q886" t="inlineStr">
        <is>
          <t>99991231</t>
        </is>
      </c>
    </row>
    <row r="887">
      <c r="A887" t="inlineStr">
        <is>
          <t>900005554DW70D10510152583</t>
        </is>
      </c>
      <c r="B887" t="inlineStr">
        <is>
          <t>900005554</t>
        </is>
      </c>
      <c r="C887" t="inlineStr">
        <is>
          <t>DW70</t>
        </is>
      </c>
      <c r="D887" t="inlineStr">
        <is>
          <t>D105</t>
        </is>
      </c>
      <c r="E887" t="inlineStr">
        <is>
          <t>1</t>
        </is>
      </c>
      <c r="F887" t="inlineStr">
        <is>
          <t>10152583</t>
        </is>
      </c>
      <c r="H887" t="inlineStr"/>
      <c r="J887" t="n">
        <v>271.68</v>
      </c>
      <c r="K887" t="inlineStr"/>
      <c r="M887" t="inlineStr">
        <is>
          <t>TN</t>
        </is>
      </c>
      <c r="N887" t="inlineStr"/>
      <c r="P887" t="inlineStr">
        <is>
          <t>20260430</t>
        </is>
      </c>
      <c r="Q887" t="inlineStr">
        <is>
          <t>99991231</t>
        </is>
      </c>
    </row>
    <row r="888">
      <c r="A888" t="inlineStr">
        <is>
          <t>900005554DW70D11110152583</t>
        </is>
      </c>
      <c r="B888" t="inlineStr">
        <is>
          <t>900005554</t>
        </is>
      </c>
      <c r="C888" t="inlineStr">
        <is>
          <t>DW70</t>
        </is>
      </c>
      <c r="D888" t="inlineStr">
        <is>
          <t>D111</t>
        </is>
      </c>
      <c r="E888" t="inlineStr">
        <is>
          <t>1</t>
        </is>
      </c>
      <c r="F888" t="inlineStr">
        <is>
          <t>10152583</t>
        </is>
      </c>
      <c r="H888" t="inlineStr"/>
      <c r="J888" t="n">
        <v>94.34</v>
      </c>
      <c r="K888" t="inlineStr"/>
      <c r="M888" t="inlineStr">
        <is>
          <t>TN</t>
        </is>
      </c>
      <c r="N888" t="inlineStr"/>
      <c r="P888" t="inlineStr">
        <is>
          <t>20220331</t>
        </is>
      </c>
      <c r="Q888" t="inlineStr">
        <is>
          <t>20250131</t>
        </is>
      </c>
    </row>
    <row r="889">
      <c r="A889" t="inlineStr">
        <is>
          <t>900005554DW70D13610152583</t>
        </is>
      </c>
      <c r="B889" t="inlineStr">
        <is>
          <t>900005554</t>
        </is>
      </c>
      <c r="C889" t="inlineStr">
        <is>
          <t>DW70</t>
        </is>
      </c>
      <c r="D889" t="inlineStr">
        <is>
          <t>D136</t>
        </is>
      </c>
      <c r="E889" t="inlineStr">
        <is>
          <t>1</t>
        </is>
      </c>
      <c r="F889" t="inlineStr">
        <is>
          <t>10152583</t>
        </is>
      </c>
      <c r="H889" t="inlineStr"/>
      <c r="J889" t="n">
        <v>274.87</v>
      </c>
      <c r="K889" t="inlineStr"/>
      <c r="M889" t="inlineStr">
        <is>
          <t>TN</t>
        </is>
      </c>
      <c r="N889" t="inlineStr"/>
      <c r="P889" t="inlineStr">
        <is>
          <t>20260430</t>
        </is>
      </c>
      <c r="Q889" t="inlineStr">
        <is>
          <t>99991231</t>
        </is>
      </c>
    </row>
    <row r="890">
      <c r="A890" t="inlineStr">
        <is>
          <t>900005554DW70D14510152583</t>
        </is>
      </c>
      <c r="B890" t="inlineStr">
        <is>
          <t>900005554</t>
        </is>
      </c>
      <c r="C890" t="inlineStr">
        <is>
          <t>DW70</t>
        </is>
      </c>
      <c r="D890" t="inlineStr">
        <is>
          <t>D145</t>
        </is>
      </c>
      <c r="E890" t="inlineStr">
        <is>
          <t>1</t>
        </is>
      </c>
      <c r="F890" t="inlineStr">
        <is>
          <t>10152583</t>
        </is>
      </c>
      <c r="H890" t="inlineStr"/>
      <c r="J890" t="n">
        <v>335.6</v>
      </c>
      <c r="K890" t="inlineStr"/>
      <c r="M890" t="inlineStr">
        <is>
          <t>TN</t>
        </is>
      </c>
      <c r="N890" t="inlineStr"/>
      <c r="P890" t="inlineStr">
        <is>
          <t>20260430</t>
        </is>
      </c>
      <c r="Q890" t="inlineStr">
        <is>
          <t>99991231</t>
        </is>
      </c>
    </row>
    <row r="891">
      <c r="A891" t="inlineStr">
        <is>
          <t>900005554DW70D68110152583</t>
        </is>
      </c>
      <c r="B891" t="inlineStr">
        <is>
          <t>900005554</t>
        </is>
      </c>
      <c r="C891" t="inlineStr">
        <is>
          <t>DW70</t>
        </is>
      </c>
      <c r="D891" t="inlineStr">
        <is>
          <t>D681</t>
        </is>
      </c>
      <c r="E891" t="inlineStr">
        <is>
          <t>1</t>
        </is>
      </c>
      <c r="F891" t="inlineStr">
        <is>
          <t>10152583</t>
        </is>
      </c>
      <c r="H891" t="inlineStr"/>
      <c r="J891" t="n">
        <v>332.4</v>
      </c>
      <c r="K891" t="inlineStr"/>
      <c r="M891" t="inlineStr">
        <is>
          <t>TN</t>
        </is>
      </c>
      <c r="N891" t="inlineStr"/>
      <c r="P891" t="inlineStr">
        <is>
          <t>20260430</t>
        </is>
      </c>
      <c r="Q891" t="inlineStr">
        <is>
          <t>99991231</t>
        </is>
      </c>
    </row>
    <row r="892">
      <c r="A892" t="inlineStr">
        <is>
          <t>900005705DW70D07410000811</t>
        </is>
      </c>
      <c r="B892" t="inlineStr">
        <is>
          <t>900005705</t>
        </is>
      </c>
      <c r="C892" t="inlineStr">
        <is>
          <t>DW70</t>
        </is>
      </c>
      <c r="D892" t="inlineStr">
        <is>
          <t>D074</t>
        </is>
      </c>
      <c r="E892" t="inlineStr">
        <is>
          <t>1</t>
        </is>
      </c>
      <c r="F892" t="inlineStr">
        <is>
          <t>10000811</t>
        </is>
      </c>
      <c r="H892" t="inlineStr"/>
      <c r="J892" t="n">
        <v>106.19</v>
      </c>
      <c r="K892" t="inlineStr"/>
      <c r="M892" t="inlineStr">
        <is>
          <t>TN</t>
        </is>
      </c>
      <c r="N892" t="inlineStr"/>
      <c r="P892" t="inlineStr">
        <is>
          <t>20220331</t>
        </is>
      </c>
      <c r="Q892" t="inlineStr">
        <is>
          <t>20250131</t>
        </is>
      </c>
    </row>
    <row r="893">
      <c r="A893" t="inlineStr">
        <is>
          <t>900005705DW70D07410161192</t>
        </is>
      </c>
      <c r="B893" t="inlineStr">
        <is>
          <t>900005705</t>
        </is>
      </c>
      <c r="C893" t="inlineStr">
        <is>
          <t>DW70</t>
        </is>
      </c>
      <c r="D893" t="inlineStr">
        <is>
          <t>D074</t>
        </is>
      </c>
      <c r="E893" t="inlineStr">
        <is>
          <t>1</t>
        </is>
      </c>
      <c r="F893" t="inlineStr">
        <is>
          <t>10161192</t>
        </is>
      </c>
      <c r="H893" t="inlineStr"/>
      <c r="J893" t="n">
        <v>118.65</v>
      </c>
      <c r="K893" t="inlineStr"/>
      <c r="M893" t="inlineStr">
        <is>
          <t>TN</t>
        </is>
      </c>
      <c r="N893" t="inlineStr"/>
      <c r="P893" t="inlineStr">
        <is>
          <t>20220331</t>
        </is>
      </c>
      <c r="Q893" t="inlineStr">
        <is>
          <t>20250131</t>
        </is>
      </c>
    </row>
    <row r="894">
      <c r="A894" t="inlineStr">
        <is>
          <t>900005705DW70D07510000811</t>
        </is>
      </c>
      <c r="B894" t="inlineStr">
        <is>
          <t>900005705</t>
        </is>
      </c>
      <c r="C894" t="inlineStr">
        <is>
          <t>DW70</t>
        </is>
      </c>
      <c r="D894" t="inlineStr">
        <is>
          <t>D075</t>
        </is>
      </c>
      <c r="E894" t="inlineStr">
        <is>
          <t>1</t>
        </is>
      </c>
      <c r="F894" t="inlineStr">
        <is>
          <t>10000811</t>
        </is>
      </c>
      <c r="H894" t="inlineStr"/>
      <c r="J894" t="n">
        <v>126.96</v>
      </c>
      <c r="K894" t="inlineStr"/>
      <c r="M894" t="inlineStr">
        <is>
          <t>TN</t>
        </is>
      </c>
      <c r="N894" t="inlineStr"/>
      <c r="P894" t="inlineStr">
        <is>
          <t>20220331</t>
        </is>
      </c>
      <c r="Q894" t="inlineStr">
        <is>
          <t>20250131</t>
        </is>
      </c>
    </row>
    <row r="895">
      <c r="A895" t="inlineStr">
        <is>
          <t>900005705DW70D07510161192</t>
        </is>
      </c>
      <c r="B895" t="inlineStr">
        <is>
          <t>900005705</t>
        </is>
      </c>
      <c r="C895" t="inlineStr">
        <is>
          <t>DW70</t>
        </is>
      </c>
      <c r="D895" t="inlineStr">
        <is>
          <t>D075</t>
        </is>
      </c>
      <c r="E895" t="inlineStr">
        <is>
          <t>1</t>
        </is>
      </c>
      <c r="F895" t="inlineStr">
        <is>
          <t>10161192</t>
        </is>
      </c>
      <c r="H895" t="inlineStr"/>
      <c r="J895" t="n">
        <v>141.86</v>
      </c>
      <c r="K895" t="inlineStr"/>
      <c r="M895" t="inlineStr">
        <is>
          <t>TN</t>
        </is>
      </c>
      <c r="N895" t="inlineStr"/>
      <c r="P895" t="inlineStr">
        <is>
          <t>20220331</t>
        </is>
      </c>
      <c r="Q895" t="inlineStr">
        <is>
          <t>20250131</t>
        </is>
      </c>
    </row>
    <row r="896">
      <c r="A896" t="inlineStr">
        <is>
          <t>900005705DW70D07710000811</t>
        </is>
      </c>
      <c r="B896" t="inlineStr">
        <is>
          <t>900005705</t>
        </is>
      </c>
      <c r="C896" t="inlineStr">
        <is>
          <t>DW70</t>
        </is>
      </c>
      <c r="D896" t="inlineStr">
        <is>
          <t>D077</t>
        </is>
      </c>
      <c r="E896" t="inlineStr">
        <is>
          <t>1</t>
        </is>
      </c>
      <c r="F896" t="inlineStr">
        <is>
          <t>10000811</t>
        </is>
      </c>
      <c r="H896" t="inlineStr"/>
      <c r="J896" t="n">
        <v>161.58</v>
      </c>
      <c r="K896" t="inlineStr"/>
      <c r="M896" t="inlineStr">
        <is>
          <t>TN</t>
        </is>
      </c>
      <c r="N896" t="inlineStr"/>
      <c r="P896" t="inlineStr">
        <is>
          <t>20220331</t>
        </is>
      </c>
      <c r="Q896" t="inlineStr">
        <is>
          <t>20250131</t>
        </is>
      </c>
    </row>
    <row r="897">
      <c r="A897" t="inlineStr">
        <is>
          <t>900005705DW70D07710161192</t>
        </is>
      </c>
      <c r="B897" t="inlineStr">
        <is>
          <t>900005705</t>
        </is>
      </c>
      <c r="C897" t="inlineStr">
        <is>
          <t>DW70</t>
        </is>
      </c>
      <c r="D897" t="inlineStr">
        <is>
          <t>D077</t>
        </is>
      </c>
      <c r="E897" t="inlineStr">
        <is>
          <t>1</t>
        </is>
      </c>
      <c r="F897" t="inlineStr">
        <is>
          <t>10161192</t>
        </is>
      </c>
      <c r="H897" t="inlineStr"/>
      <c r="J897" t="n">
        <v>180.55</v>
      </c>
      <c r="K897" t="inlineStr"/>
      <c r="M897" t="inlineStr">
        <is>
          <t>TN</t>
        </is>
      </c>
      <c r="N897" t="inlineStr"/>
      <c r="P897" t="inlineStr">
        <is>
          <t>20220331</t>
        </is>
      </c>
      <c r="Q897" t="inlineStr">
        <is>
          <t>20250131</t>
        </is>
      </c>
    </row>
    <row r="898">
      <c r="A898" t="inlineStr">
        <is>
          <t>900005705DW70D07910000811</t>
        </is>
      </c>
      <c r="B898" t="inlineStr">
        <is>
          <t>900005705</t>
        </is>
      </c>
      <c r="C898" t="inlineStr">
        <is>
          <t>DW70</t>
        </is>
      </c>
      <c r="D898" t="inlineStr">
        <is>
          <t>D079</t>
        </is>
      </c>
      <c r="E898" t="inlineStr">
        <is>
          <t>1</t>
        </is>
      </c>
      <c r="F898" t="inlineStr">
        <is>
          <t>10000811</t>
        </is>
      </c>
      <c r="H898" t="inlineStr"/>
      <c r="J898" t="n">
        <v>170.82</v>
      </c>
      <c r="K898" t="inlineStr"/>
      <c r="M898" t="inlineStr">
        <is>
          <t>TN</t>
        </is>
      </c>
      <c r="N898" t="inlineStr"/>
      <c r="P898" t="inlineStr">
        <is>
          <t>20220331</t>
        </is>
      </c>
      <c r="Q898" t="inlineStr">
        <is>
          <t>20250131</t>
        </is>
      </c>
    </row>
    <row r="899">
      <c r="A899" t="inlineStr">
        <is>
          <t>900005705DW70D07910161192</t>
        </is>
      </c>
      <c r="B899" t="inlineStr">
        <is>
          <t>900005705</t>
        </is>
      </c>
      <c r="C899" t="inlineStr">
        <is>
          <t>DW70</t>
        </is>
      </c>
      <c r="D899" t="inlineStr">
        <is>
          <t>D079</t>
        </is>
      </c>
      <c r="E899" t="inlineStr">
        <is>
          <t>1</t>
        </is>
      </c>
      <c r="F899" t="inlineStr">
        <is>
          <t>10161192</t>
        </is>
      </c>
      <c r="H899" t="inlineStr"/>
      <c r="J899" t="n">
        <v>190.86</v>
      </c>
      <c r="K899" t="inlineStr"/>
      <c r="M899" t="inlineStr">
        <is>
          <t>TN</t>
        </is>
      </c>
      <c r="N899" t="inlineStr"/>
      <c r="P899" t="inlineStr">
        <is>
          <t>20220331</t>
        </is>
      </c>
      <c r="Q899" t="inlineStr">
        <is>
          <t>20250131</t>
        </is>
      </c>
    </row>
    <row r="900">
      <c r="A900" t="inlineStr">
        <is>
          <t>900005705DW70D08010000811</t>
        </is>
      </c>
      <c r="B900" t="inlineStr">
        <is>
          <t>900005705</t>
        </is>
      </c>
      <c r="C900" t="inlineStr">
        <is>
          <t>DW70</t>
        </is>
      </c>
      <c r="D900" t="inlineStr">
        <is>
          <t>D080</t>
        </is>
      </c>
      <c r="E900" t="inlineStr">
        <is>
          <t>1</t>
        </is>
      </c>
      <c r="F900" t="inlineStr">
        <is>
          <t>10000811</t>
        </is>
      </c>
      <c r="H900" t="inlineStr"/>
      <c r="J900" t="n">
        <v>129.27</v>
      </c>
      <c r="K900" t="inlineStr"/>
      <c r="M900" t="inlineStr">
        <is>
          <t>TN</t>
        </is>
      </c>
      <c r="N900" t="inlineStr"/>
      <c r="P900" t="inlineStr">
        <is>
          <t>20220331</t>
        </is>
      </c>
      <c r="Q900" t="inlineStr">
        <is>
          <t>20250131</t>
        </is>
      </c>
    </row>
    <row r="901">
      <c r="A901" t="inlineStr">
        <is>
          <t>900005705DW70D08010161192</t>
        </is>
      </c>
      <c r="B901" t="inlineStr">
        <is>
          <t>900005705</t>
        </is>
      </c>
      <c r="C901" t="inlineStr">
        <is>
          <t>DW70</t>
        </is>
      </c>
      <c r="D901" t="inlineStr">
        <is>
          <t>D080</t>
        </is>
      </c>
      <c r="E901" t="inlineStr">
        <is>
          <t>1</t>
        </is>
      </c>
      <c r="F901" t="inlineStr">
        <is>
          <t>10161192</t>
        </is>
      </c>
      <c r="H901" t="inlineStr"/>
      <c r="J901" t="n">
        <v>144.44</v>
      </c>
      <c r="K901" t="inlineStr"/>
      <c r="M901" t="inlineStr">
        <is>
          <t>TN</t>
        </is>
      </c>
      <c r="N901" t="inlineStr"/>
      <c r="P901" t="inlineStr">
        <is>
          <t>20220331</t>
        </is>
      </c>
      <c r="Q901" t="inlineStr">
        <is>
          <t>20250131</t>
        </is>
      </c>
    </row>
    <row r="902">
      <c r="A902" t="inlineStr">
        <is>
          <t>900005705DW70D08110000811</t>
        </is>
      </c>
      <c r="B902" t="inlineStr">
        <is>
          <t>900005705</t>
        </is>
      </c>
      <c r="C902" t="inlineStr">
        <is>
          <t>DW70</t>
        </is>
      </c>
      <c r="D902" t="inlineStr">
        <is>
          <t>D081</t>
        </is>
      </c>
      <c r="E902" t="inlineStr">
        <is>
          <t>1</t>
        </is>
      </c>
      <c r="F902" t="inlineStr">
        <is>
          <t>10000811</t>
        </is>
      </c>
      <c r="H902" t="inlineStr"/>
      <c r="J902" t="n">
        <v>136.19</v>
      </c>
      <c r="K902" t="inlineStr"/>
      <c r="M902" t="inlineStr">
        <is>
          <t>TN</t>
        </is>
      </c>
      <c r="N902" t="inlineStr"/>
      <c r="P902" t="inlineStr">
        <is>
          <t>20220331</t>
        </is>
      </c>
      <c r="Q902" t="inlineStr">
        <is>
          <t>20250131</t>
        </is>
      </c>
    </row>
    <row r="903">
      <c r="A903" t="inlineStr">
        <is>
          <t>900005705DW70D08110161192</t>
        </is>
      </c>
      <c r="B903" t="inlineStr">
        <is>
          <t>900005705</t>
        </is>
      </c>
      <c r="C903" t="inlineStr">
        <is>
          <t>DW70</t>
        </is>
      </c>
      <c r="D903" t="inlineStr">
        <is>
          <t>D081</t>
        </is>
      </c>
      <c r="E903" t="inlineStr">
        <is>
          <t>1</t>
        </is>
      </c>
      <c r="F903" t="inlineStr">
        <is>
          <t>10161192</t>
        </is>
      </c>
      <c r="H903" t="inlineStr"/>
      <c r="J903" t="n">
        <v>152.18</v>
      </c>
      <c r="K903" t="inlineStr"/>
      <c r="M903" t="inlineStr">
        <is>
          <t>TN</t>
        </is>
      </c>
      <c r="N903" t="inlineStr"/>
      <c r="P903" t="inlineStr">
        <is>
          <t>20220331</t>
        </is>
      </c>
      <c r="Q903" t="inlineStr">
        <is>
          <t>20250131</t>
        </is>
      </c>
    </row>
    <row r="904">
      <c r="A904" t="inlineStr">
        <is>
          <t>900005705DW70D08310000811</t>
        </is>
      </c>
      <c r="B904" t="inlineStr">
        <is>
          <t>900005705</t>
        </is>
      </c>
      <c r="C904" t="inlineStr">
        <is>
          <t>DW70</t>
        </is>
      </c>
      <c r="D904" t="inlineStr">
        <is>
          <t>D083</t>
        </is>
      </c>
      <c r="E904" t="inlineStr">
        <is>
          <t>1</t>
        </is>
      </c>
      <c r="F904" t="inlineStr">
        <is>
          <t>10000811</t>
        </is>
      </c>
      <c r="H904" t="inlineStr"/>
      <c r="J904" t="n">
        <v>101.57</v>
      </c>
      <c r="K904" t="inlineStr"/>
      <c r="M904" t="inlineStr">
        <is>
          <t>TN</t>
        </is>
      </c>
      <c r="N904" t="inlineStr"/>
      <c r="P904" t="inlineStr">
        <is>
          <t>20220331</t>
        </is>
      </c>
      <c r="Q904" t="inlineStr">
        <is>
          <t>20250131</t>
        </is>
      </c>
    </row>
    <row r="905">
      <c r="A905" t="inlineStr">
        <is>
          <t>900005705DW70D08310161192</t>
        </is>
      </c>
      <c r="B905" t="inlineStr">
        <is>
          <t>900005705</t>
        </is>
      </c>
      <c r="C905" t="inlineStr">
        <is>
          <t>DW70</t>
        </is>
      </c>
      <c r="D905" t="inlineStr">
        <is>
          <t>D083</t>
        </is>
      </c>
      <c r="E905" t="inlineStr">
        <is>
          <t>1</t>
        </is>
      </c>
      <c r="F905" t="inlineStr">
        <is>
          <t>10161192</t>
        </is>
      </c>
      <c r="H905" t="inlineStr"/>
      <c r="J905" t="n">
        <v>113.49</v>
      </c>
      <c r="K905" t="inlineStr"/>
      <c r="M905" t="inlineStr">
        <is>
          <t>TN</t>
        </is>
      </c>
      <c r="N905" t="inlineStr"/>
      <c r="P905" t="inlineStr">
        <is>
          <t>20220331</t>
        </is>
      </c>
      <c r="Q905" t="inlineStr">
        <is>
          <t>20250131</t>
        </is>
      </c>
    </row>
    <row r="906">
      <c r="A906" t="inlineStr">
        <is>
          <t>900005705DW70D08410000811</t>
        </is>
      </c>
      <c r="B906" t="inlineStr">
        <is>
          <t>900005705</t>
        </is>
      </c>
      <c r="C906" t="inlineStr">
        <is>
          <t>DW70</t>
        </is>
      </c>
      <c r="D906" t="inlineStr">
        <is>
          <t>D084</t>
        </is>
      </c>
      <c r="E906" t="inlineStr">
        <is>
          <t>1</t>
        </is>
      </c>
      <c r="F906" t="inlineStr">
        <is>
          <t>10000811</t>
        </is>
      </c>
      <c r="H906" t="inlineStr"/>
      <c r="J906" t="n">
        <v>143.12</v>
      </c>
      <c r="K906" t="inlineStr"/>
      <c r="M906" t="inlineStr">
        <is>
          <t>TN</t>
        </is>
      </c>
      <c r="N906" t="inlineStr"/>
      <c r="P906" t="inlineStr">
        <is>
          <t>20220331</t>
        </is>
      </c>
      <c r="Q906" t="inlineStr">
        <is>
          <t>20250131</t>
        </is>
      </c>
    </row>
    <row r="907">
      <c r="A907" t="inlineStr">
        <is>
          <t>900005705DW70D08410161192</t>
        </is>
      </c>
      <c r="B907" t="inlineStr">
        <is>
          <t>900005705</t>
        </is>
      </c>
      <c r="C907" t="inlineStr">
        <is>
          <t>DW70</t>
        </is>
      </c>
      <c r="D907" t="inlineStr">
        <is>
          <t>D084</t>
        </is>
      </c>
      <c r="E907" t="inlineStr">
        <is>
          <t>1</t>
        </is>
      </c>
      <c r="F907" t="inlineStr">
        <is>
          <t>10161192</t>
        </is>
      </c>
      <c r="H907" t="inlineStr"/>
      <c r="J907" t="n">
        <v>159.92</v>
      </c>
      <c r="K907" t="inlineStr"/>
      <c r="M907" t="inlineStr">
        <is>
          <t>TN</t>
        </is>
      </c>
      <c r="N907" t="inlineStr"/>
      <c r="P907" t="inlineStr">
        <is>
          <t>20220331</t>
        </is>
      </c>
      <c r="Q907" t="inlineStr">
        <is>
          <t>20250131</t>
        </is>
      </c>
    </row>
    <row r="908">
      <c r="A908" t="inlineStr">
        <is>
          <t>900005705DW70D08510000811</t>
        </is>
      </c>
      <c r="B908" t="inlineStr">
        <is>
          <t>900005705</t>
        </is>
      </c>
      <c r="C908" t="inlineStr">
        <is>
          <t>DW70</t>
        </is>
      </c>
      <c r="D908" t="inlineStr">
        <is>
          <t>D085</t>
        </is>
      </c>
      <c r="E908" t="inlineStr">
        <is>
          <t>1</t>
        </is>
      </c>
      <c r="F908" t="inlineStr">
        <is>
          <t>10000811</t>
        </is>
      </c>
      <c r="H908" t="inlineStr"/>
      <c r="J908" t="n">
        <v>143.12</v>
      </c>
      <c r="K908" t="inlineStr"/>
      <c r="M908" t="inlineStr">
        <is>
          <t>TN</t>
        </is>
      </c>
      <c r="N908" t="inlineStr"/>
      <c r="P908" t="inlineStr">
        <is>
          <t>20220331</t>
        </is>
      </c>
      <c r="Q908" t="inlineStr">
        <is>
          <t>20250131</t>
        </is>
      </c>
    </row>
    <row r="909">
      <c r="A909" t="inlineStr">
        <is>
          <t>900005705DW70D08510161192</t>
        </is>
      </c>
      <c r="B909" t="inlineStr">
        <is>
          <t>900005705</t>
        </is>
      </c>
      <c r="C909" t="inlineStr">
        <is>
          <t>DW70</t>
        </is>
      </c>
      <c r="D909" t="inlineStr">
        <is>
          <t>D085</t>
        </is>
      </c>
      <c r="E909" t="inlineStr">
        <is>
          <t>1</t>
        </is>
      </c>
      <c r="F909" t="inlineStr">
        <is>
          <t>10161192</t>
        </is>
      </c>
      <c r="H909" t="inlineStr"/>
      <c r="J909" t="n">
        <v>159.92</v>
      </c>
      <c r="K909" t="inlineStr"/>
      <c r="M909" t="inlineStr">
        <is>
          <t>TN</t>
        </is>
      </c>
      <c r="N909" t="inlineStr"/>
      <c r="P909" t="inlineStr">
        <is>
          <t>20220331</t>
        </is>
      </c>
      <c r="Q909" t="inlineStr">
        <is>
          <t>20250131</t>
        </is>
      </c>
    </row>
    <row r="910">
      <c r="A910" t="inlineStr">
        <is>
          <t>900005705DW70D08610000811</t>
        </is>
      </c>
      <c r="B910" t="inlineStr">
        <is>
          <t>900005705</t>
        </is>
      </c>
      <c r="C910" t="inlineStr">
        <is>
          <t>DW70</t>
        </is>
      </c>
      <c r="D910" t="inlineStr">
        <is>
          <t>D086</t>
        </is>
      </c>
      <c r="E910" t="inlineStr">
        <is>
          <t>1</t>
        </is>
      </c>
      <c r="F910" t="inlineStr">
        <is>
          <t>10000811</t>
        </is>
      </c>
      <c r="H910" t="inlineStr"/>
      <c r="J910" t="n">
        <v>145.43</v>
      </c>
      <c r="K910" t="inlineStr"/>
      <c r="M910" t="inlineStr">
        <is>
          <t>TN</t>
        </is>
      </c>
      <c r="N910" t="inlineStr"/>
      <c r="P910" t="inlineStr">
        <is>
          <t>20220331</t>
        </is>
      </c>
      <c r="Q910" t="inlineStr">
        <is>
          <t>20250131</t>
        </is>
      </c>
    </row>
    <row r="911">
      <c r="A911" t="inlineStr">
        <is>
          <t>900005705DW70D08610161192</t>
        </is>
      </c>
      <c r="B911" t="inlineStr">
        <is>
          <t>900005705</t>
        </is>
      </c>
      <c r="C911" t="inlineStr">
        <is>
          <t>DW70</t>
        </is>
      </c>
      <c r="D911" t="inlineStr">
        <is>
          <t>D086</t>
        </is>
      </c>
      <c r="E911" t="inlineStr">
        <is>
          <t>1</t>
        </is>
      </c>
      <c r="F911" t="inlineStr">
        <is>
          <t>10161192</t>
        </is>
      </c>
      <c r="H911" t="inlineStr"/>
      <c r="J911" t="n">
        <v>162.49</v>
      </c>
      <c r="K911" t="inlineStr"/>
      <c r="M911" t="inlineStr">
        <is>
          <t>TN</t>
        </is>
      </c>
      <c r="N911" t="inlineStr"/>
      <c r="P911" t="inlineStr">
        <is>
          <t>20220331</t>
        </is>
      </c>
      <c r="Q911" t="inlineStr">
        <is>
          <t>20250131</t>
        </is>
      </c>
    </row>
    <row r="912">
      <c r="A912" t="inlineStr">
        <is>
          <t>900005705DW70D08810000811</t>
        </is>
      </c>
      <c r="B912" t="inlineStr">
        <is>
          <t>900005705</t>
        </is>
      </c>
      <c r="C912" t="inlineStr">
        <is>
          <t>DW70</t>
        </is>
      </c>
      <c r="D912" t="inlineStr">
        <is>
          <t>D088</t>
        </is>
      </c>
      <c r="E912" t="inlineStr">
        <is>
          <t>1</t>
        </is>
      </c>
      <c r="F912" t="inlineStr">
        <is>
          <t>10000811</t>
        </is>
      </c>
      <c r="H912" t="inlineStr"/>
      <c r="J912" t="n">
        <v>215.86</v>
      </c>
      <c r="K912" t="inlineStr"/>
      <c r="M912" t="inlineStr">
        <is>
          <t>TN</t>
        </is>
      </c>
      <c r="N912" t="inlineStr"/>
      <c r="P912" t="inlineStr">
        <is>
          <t>20220331</t>
        </is>
      </c>
      <c r="Q912" t="inlineStr">
        <is>
          <t>20250131</t>
        </is>
      </c>
    </row>
    <row r="913">
      <c r="A913" t="inlineStr">
        <is>
          <t>900005705DW70D08810161192</t>
        </is>
      </c>
      <c r="B913" t="inlineStr">
        <is>
          <t>900005705</t>
        </is>
      </c>
      <c r="C913" t="inlineStr">
        <is>
          <t>DW70</t>
        </is>
      </c>
      <c r="D913" t="inlineStr">
        <is>
          <t>D088</t>
        </is>
      </c>
      <c r="E913" t="inlineStr">
        <is>
          <t>1</t>
        </is>
      </c>
      <c r="F913" t="inlineStr">
        <is>
          <t>10161192</t>
        </is>
      </c>
      <c r="H913" t="inlineStr"/>
      <c r="J913" t="n">
        <v>241.2</v>
      </c>
      <c r="K913" t="inlineStr"/>
      <c r="M913" t="inlineStr">
        <is>
          <t>TN</t>
        </is>
      </c>
      <c r="N913" t="inlineStr"/>
      <c r="P913" t="inlineStr">
        <is>
          <t>20220331</t>
        </is>
      </c>
      <c r="Q913" t="inlineStr">
        <is>
          <t>20250131</t>
        </is>
      </c>
    </row>
    <row r="914">
      <c r="A914" t="inlineStr">
        <is>
          <t>900005705DW70D08910000811</t>
        </is>
      </c>
      <c r="B914" t="inlineStr">
        <is>
          <t>900005705</t>
        </is>
      </c>
      <c r="C914" t="inlineStr">
        <is>
          <t>DW70</t>
        </is>
      </c>
      <c r="D914" t="inlineStr">
        <is>
          <t>D089</t>
        </is>
      </c>
      <c r="E914" t="inlineStr">
        <is>
          <t>1</t>
        </is>
      </c>
      <c r="F914" t="inlineStr">
        <is>
          <t>10000811</t>
        </is>
      </c>
      <c r="H914" t="inlineStr"/>
      <c r="J914" t="n">
        <v>222.59</v>
      </c>
      <c r="K914" t="inlineStr"/>
      <c r="M914" t="inlineStr">
        <is>
          <t>TN</t>
        </is>
      </c>
      <c r="N914" t="inlineStr"/>
      <c r="P914" t="inlineStr">
        <is>
          <t>20220331</t>
        </is>
      </c>
      <c r="Q914" t="inlineStr">
        <is>
          <t>20250131</t>
        </is>
      </c>
    </row>
    <row r="915">
      <c r="A915" t="inlineStr">
        <is>
          <t>900005705DW70D08910161192</t>
        </is>
      </c>
      <c r="B915" t="inlineStr">
        <is>
          <t>900005705</t>
        </is>
      </c>
      <c r="C915" t="inlineStr">
        <is>
          <t>DW70</t>
        </is>
      </c>
      <c r="D915" t="inlineStr">
        <is>
          <t>D089</t>
        </is>
      </c>
      <c r="E915" t="inlineStr">
        <is>
          <t>1</t>
        </is>
      </c>
      <c r="F915" t="inlineStr">
        <is>
          <t>10161192</t>
        </is>
      </c>
      <c r="H915" t="inlineStr"/>
      <c r="J915" t="n">
        <v>248.72</v>
      </c>
      <c r="K915" t="inlineStr"/>
      <c r="M915" t="inlineStr">
        <is>
          <t>TN</t>
        </is>
      </c>
      <c r="N915" t="inlineStr"/>
      <c r="P915" t="inlineStr">
        <is>
          <t>20220331</t>
        </is>
      </c>
      <c r="Q915" t="inlineStr">
        <is>
          <t>20250131</t>
        </is>
      </c>
    </row>
    <row r="916">
      <c r="A916" t="inlineStr">
        <is>
          <t>900005705DW70D09310000811</t>
        </is>
      </c>
      <c r="B916" t="inlineStr">
        <is>
          <t>900005705</t>
        </is>
      </c>
      <c r="C916" t="inlineStr">
        <is>
          <t>DW70</t>
        </is>
      </c>
      <c r="D916" t="inlineStr">
        <is>
          <t>D093</t>
        </is>
      </c>
      <c r="E916" t="inlineStr">
        <is>
          <t>1</t>
        </is>
      </c>
      <c r="F916" t="inlineStr">
        <is>
          <t>10000811</t>
        </is>
      </c>
      <c r="H916" t="inlineStr"/>
      <c r="J916" t="n">
        <v>228.52</v>
      </c>
      <c r="K916" t="inlineStr"/>
      <c r="M916" t="inlineStr">
        <is>
          <t>TN</t>
        </is>
      </c>
      <c r="N916" t="inlineStr"/>
      <c r="P916" t="inlineStr">
        <is>
          <t>20220331</t>
        </is>
      </c>
      <c r="Q916" t="inlineStr">
        <is>
          <t>20250131</t>
        </is>
      </c>
    </row>
    <row r="917">
      <c r="A917" t="inlineStr">
        <is>
          <t>900005705DW70D09310161192</t>
        </is>
      </c>
      <c r="B917" t="inlineStr">
        <is>
          <t>900005705</t>
        </is>
      </c>
      <c r="C917" t="inlineStr">
        <is>
          <t>DW70</t>
        </is>
      </c>
      <c r="D917" t="inlineStr">
        <is>
          <t>D093</t>
        </is>
      </c>
      <c r="E917" t="inlineStr">
        <is>
          <t>1</t>
        </is>
      </c>
      <c r="F917" t="inlineStr">
        <is>
          <t>10161192</t>
        </is>
      </c>
      <c r="H917" t="inlineStr"/>
      <c r="J917" t="n">
        <v>255.34</v>
      </c>
      <c r="K917" t="inlineStr"/>
      <c r="M917" t="inlineStr">
        <is>
          <t>TN</t>
        </is>
      </c>
      <c r="N917" t="inlineStr"/>
      <c r="P917" t="inlineStr">
        <is>
          <t>20220331</t>
        </is>
      </c>
      <c r="Q917" t="inlineStr">
        <is>
          <t>20250131</t>
        </is>
      </c>
    </row>
    <row r="918">
      <c r="A918" t="inlineStr">
        <is>
          <t>900005705DW70D09810000811</t>
        </is>
      </c>
      <c r="B918" t="inlineStr">
        <is>
          <t>900005705</t>
        </is>
      </c>
      <c r="C918" t="inlineStr">
        <is>
          <t>DW70</t>
        </is>
      </c>
      <c r="D918" t="inlineStr">
        <is>
          <t>D098</t>
        </is>
      </c>
      <c r="E918" t="inlineStr">
        <is>
          <t>1</t>
        </is>
      </c>
      <c r="F918" t="inlineStr">
        <is>
          <t>10000811</t>
        </is>
      </c>
      <c r="H918" t="inlineStr"/>
      <c r="J918" t="n">
        <v>182.36</v>
      </c>
      <c r="K918" t="inlineStr"/>
      <c r="M918" t="inlineStr">
        <is>
          <t>TN</t>
        </is>
      </c>
      <c r="N918" t="inlineStr"/>
      <c r="P918" t="inlineStr">
        <is>
          <t>20220331</t>
        </is>
      </c>
      <c r="Q918" t="inlineStr">
        <is>
          <t>20250131</t>
        </is>
      </c>
    </row>
    <row r="919">
      <c r="A919" t="inlineStr">
        <is>
          <t>900005705DW70D09810161192</t>
        </is>
      </c>
      <c r="B919" t="inlineStr">
        <is>
          <t>900005705</t>
        </is>
      </c>
      <c r="C919" t="inlineStr">
        <is>
          <t>DW70</t>
        </is>
      </c>
      <c r="D919" t="inlineStr">
        <is>
          <t>D098</t>
        </is>
      </c>
      <c r="E919" t="inlineStr">
        <is>
          <t>1</t>
        </is>
      </c>
      <c r="F919" t="inlineStr">
        <is>
          <t>10161192</t>
        </is>
      </c>
      <c r="H919" t="inlineStr"/>
      <c r="J919" t="n">
        <v>203.76</v>
      </c>
      <c r="K919" t="inlineStr"/>
      <c r="M919" t="inlineStr">
        <is>
          <t>TN</t>
        </is>
      </c>
      <c r="N919" t="inlineStr"/>
      <c r="P919" t="inlineStr">
        <is>
          <t>20220331</t>
        </is>
      </c>
      <c r="Q919" t="inlineStr">
        <is>
          <t>20250131</t>
        </is>
      </c>
    </row>
    <row r="920">
      <c r="A920" t="inlineStr">
        <is>
          <t>900005705DW70D10510000811</t>
        </is>
      </c>
      <c r="B920" t="inlineStr">
        <is>
          <t>900005705</t>
        </is>
      </c>
      <c r="C920" t="inlineStr">
        <is>
          <t>DW70</t>
        </is>
      </c>
      <c r="D920" t="inlineStr">
        <is>
          <t>D105</t>
        </is>
      </c>
      <c r="E920" t="inlineStr">
        <is>
          <t>1</t>
        </is>
      </c>
      <c r="F920" t="inlineStr">
        <is>
          <t>10000811</t>
        </is>
      </c>
      <c r="H920" t="inlineStr"/>
      <c r="J920" t="n">
        <v>122.34</v>
      </c>
      <c r="K920" t="inlineStr"/>
      <c r="M920" t="inlineStr">
        <is>
          <t>TN</t>
        </is>
      </c>
      <c r="N920" t="inlineStr"/>
      <c r="P920" t="inlineStr">
        <is>
          <t>20220331</t>
        </is>
      </c>
      <c r="Q920" t="inlineStr">
        <is>
          <t>20250131</t>
        </is>
      </c>
    </row>
    <row r="921">
      <c r="A921" t="inlineStr">
        <is>
          <t>900005705DW70D10510161192</t>
        </is>
      </c>
      <c r="B921" t="inlineStr">
        <is>
          <t>900005705</t>
        </is>
      </c>
      <c r="C921" t="inlineStr">
        <is>
          <t>DW70</t>
        </is>
      </c>
      <c r="D921" t="inlineStr">
        <is>
          <t>D105</t>
        </is>
      </c>
      <c r="E921" t="inlineStr">
        <is>
          <t>1</t>
        </is>
      </c>
      <c r="F921" t="inlineStr">
        <is>
          <t>10161192</t>
        </is>
      </c>
      <c r="H921" t="inlineStr"/>
      <c r="J921" t="n">
        <v>136.7</v>
      </c>
      <c r="K921" t="inlineStr"/>
      <c r="M921" t="inlineStr">
        <is>
          <t>TN</t>
        </is>
      </c>
      <c r="N921" t="inlineStr"/>
      <c r="P921" t="inlineStr">
        <is>
          <t>20220331</t>
        </is>
      </c>
      <c r="Q921" t="inlineStr">
        <is>
          <t>20250131</t>
        </is>
      </c>
    </row>
    <row r="922">
      <c r="A922" t="inlineStr">
        <is>
          <t>900005705DW70D11110000811</t>
        </is>
      </c>
      <c r="B922" t="inlineStr">
        <is>
          <t>900005705</t>
        </is>
      </c>
      <c r="C922" t="inlineStr">
        <is>
          <t>DW70</t>
        </is>
      </c>
      <c r="D922" t="inlineStr">
        <is>
          <t>D111</t>
        </is>
      </c>
      <c r="E922" t="inlineStr">
        <is>
          <t>1</t>
        </is>
      </c>
      <c r="F922" t="inlineStr">
        <is>
          <t>10000811</t>
        </is>
      </c>
      <c r="H922" t="inlineStr"/>
      <c r="J922" t="n">
        <v>195.23</v>
      </c>
      <c r="K922" t="inlineStr"/>
      <c r="M922" t="inlineStr">
        <is>
          <t>TN</t>
        </is>
      </c>
      <c r="N922" t="inlineStr"/>
      <c r="P922" t="inlineStr">
        <is>
          <t>20220331</t>
        </is>
      </c>
      <c r="Q922" t="inlineStr">
        <is>
          <t>20250131</t>
        </is>
      </c>
    </row>
    <row r="923">
      <c r="A923" t="inlineStr">
        <is>
          <t>900005705DW70D11110161192</t>
        </is>
      </c>
      <c r="B923" t="inlineStr">
        <is>
          <t>900005705</t>
        </is>
      </c>
      <c r="C923" t="inlineStr">
        <is>
          <t>DW70</t>
        </is>
      </c>
      <c r="D923" t="inlineStr">
        <is>
          <t>D111</t>
        </is>
      </c>
      <c r="E923" t="inlineStr">
        <is>
          <t>1</t>
        </is>
      </c>
      <c r="F923" t="inlineStr">
        <is>
          <t>10161192</t>
        </is>
      </c>
      <c r="H923" t="inlineStr"/>
      <c r="J923" t="n">
        <v>218.14</v>
      </c>
      <c r="K923" t="inlineStr"/>
      <c r="M923" t="inlineStr">
        <is>
          <t>TN</t>
        </is>
      </c>
      <c r="N923" t="inlineStr"/>
      <c r="P923" t="inlineStr">
        <is>
          <t>20220331</t>
        </is>
      </c>
      <c r="Q923" t="inlineStr">
        <is>
          <t>20250131</t>
        </is>
      </c>
    </row>
    <row r="924">
      <c r="A924" t="inlineStr">
        <is>
          <t>900005705DW70D13610000811</t>
        </is>
      </c>
      <c r="B924" t="inlineStr">
        <is>
          <t>900005705</t>
        </is>
      </c>
      <c r="C924" t="inlineStr">
        <is>
          <t>DW70</t>
        </is>
      </c>
      <c r="D924" t="inlineStr">
        <is>
          <t>D136</t>
        </is>
      </c>
      <c r="E924" t="inlineStr">
        <is>
          <t>1</t>
        </is>
      </c>
      <c r="F924" t="inlineStr">
        <is>
          <t>10000811</t>
        </is>
      </c>
      <c r="H924" t="inlineStr"/>
      <c r="J924" t="n">
        <v>73.87</v>
      </c>
      <c r="K924" t="inlineStr"/>
      <c r="M924" t="inlineStr">
        <is>
          <t>TN</t>
        </is>
      </c>
      <c r="N924" t="inlineStr"/>
      <c r="P924" t="inlineStr">
        <is>
          <t>20220331</t>
        </is>
      </c>
      <c r="Q924" t="inlineStr">
        <is>
          <t>20250131</t>
        </is>
      </c>
    </row>
    <row r="925">
      <c r="A925" t="inlineStr">
        <is>
          <t>900005705DW70D13610161192</t>
        </is>
      </c>
      <c r="B925" t="inlineStr">
        <is>
          <t>900005705</t>
        </is>
      </c>
      <c r="C925" t="inlineStr">
        <is>
          <t>DW70</t>
        </is>
      </c>
      <c r="D925" t="inlineStr">
        <is>
          <t>D136</t>
        </is>
      </c>
      <c r="E925" t="inlineStr">
        <is>
          <t>1</t>
        </is>
      </c>
      <c r="F925" t="inlineStr">
        <is>
          <t>10161192</t>
        </is>
      </c>
      <c r="H925" t="inlineStr"/>
      <c r="J925" t="n">
        <v>82.54000000000001</v>
      </c>
      <c r="K925" t="inlineStr"/>
      <c r="M925" t="inlineStr">
        <is>
          <t>TN</t>
        </is>
      </c>
      <c r="N925" t="inlineStr"/>
      <c r="P925" t="inlineStr">
        <is>
          <t>20220331</t>
        </is>
      </c>
      <c r="Q925" t="inlineStr">
        <is>
          <t>20250131</t>
        </is>
      </c>
    </row>
    <row r="926">
      <c r="A926" t="inlineStr">
        <is>
          <t>900005705DW70D13610161492</t>
        </is>
      </c>
      <c r="B926" t="inlineStr">
        <is>
          <t>900005705</t>
        </is>
      </c>
      <c r="C926" t="inlineStr">
        <is>
          <t>DW70</t>
        </is>
      </c>
      <c r="D926" t="inlineStr">
        <is>
          <t>D136</t>
        </is>
      </c>
      <c r="E926" t="inlineStr">
        <is>
          <t>1</t>
        </is>
      </c>
      <c r="F926" t="inlineStr">
        <is>
          <t>10161492</t>
        </is>
      </c>
      <c r="H926" t="inlineStr"/>
      <c r="J926" t="n">
        <v>67.73999999999999</v>
      </c>
      <c r="K926" t="inlineStr"/>
      <c r="M926" t="inlineStr">
        <is>
          <t>TN</t>
        </is>
      </c>
      <c r="N926" t="inlineStr"/>
      <c r="P926" t="inlineStr">
        <is>
          <t>20220331</t>
        </is>
      </c>
      <c r="Q926" t="inlineStr">
        <is>
          <t>20250131</t>
        </is>
      </c>
    </row>
    <row r="927">
      <c r="A927" t="inlineStr">
        <is>
          <t>900005705DW70D14510000811</t>
        </is>
      </c>
      <c r="B927" t="inlineStr">
        <is>
          <t>900005705</t>
        </is>
      </c>
      <c r="C927" t="inlineStr">
        <is>
          <t>DW70</t>
        </is>
      </c>
      <c r="D927" t="inlineStr">
        <is>
          <t>D145</t>
        </is>
      </c>
      <c r="E927" t="inlineStr">
        <is>
          <t>1</t>
        </is>
      </c>
      <c r="F927" t="inlineStr">
        <is>
          <t>10000811</t>
        </is>
      </c>
      <c r="H927" t="inlineStr"/>
      <c r="J927" t="n">
        <v>173.12</v>
      </c>
      <c r="K927" t="inlineStr"/>
      <c r="M927" t="inlineStr">
        <is>
          <t>TN</t>
        </is>
      </c>
      <c r="N927" t="inlineStr"/>
      <c r="P927" t="inlineStr">
        <is>
          <t>20220331</t>
        </is>
      </c>
      <c r="Q927" t="inlineStr">
        <is>
          <t>20250131</t>
        </is>
      </c>
    </row>
    <row r="928">
      <c r="A928" t="inlineStr">
        <is>
          <t>900005705DW70D14510161192</t>
        </is>
      </c>
      <c r="B928" t="inlineStr">
        <is>
          <t>900005705</t>
        </is>
      </c>
      <c r="C928" t="inlineStr">
        <is>
          <t>DW70</t>
        </is>
      </c>
      <c r="D928" t="inlineStr">
        <is>
          <t>D145</t>
        </is>
      </c>
      <c r="E928" t="inlineStr">
        <is>
          <t>1</t>
        </is>
      </c>
      <c r="F928" t="inlineStr">
        <is>
          <t>10161192</t>
        </is>
      </c>
      <c r="H928" t="inlineStr"/>
      <c r="J928" t="n">
        <v>193.44</v>
      </c>
      <c r="K928" t="inlineStr"/>
      <c r="M928" t="inlineStr">
        <is>
          <t>TN</t>
        </is>
      </c>
      <c r="N928" t="inlineStr"/>
      <c r="P928" t="inlineStr">
        <is>
          <t>20220331</t>
        </is>
      </c>
      <c r="Q928" t="inlineStr">
        <is>
          <t>20250131</t>
        </is>
      </c>
    </row>
    <row r="929">
      <c r="A929" t="inlineStr">
        <is>
          <t>900005713DW70D08410000722</t>
        </is>
      </c>
      <c r="B929" t="inlineStr">
        <is>
          <t>900005713</t>
        </is>
      </c>
      <c r="C929" t="inlineStr">
        <is>
          <t>DW70</t>
        </is>
      </c>
      <c r="D929" t="inlineStr">
        <is>
          <t>D084</t>
        </is>
      </c>
      <c r="E929" t="inlineStr">
        <is>
          <t>1</t>
        </is>
      </c>
      <c r="F929" t="inlineStr">
        <is>
          <t>10000722</t>
        </is>
      </c>
      <c r="H929" t="inlineStr"/>
      <c r="J929" t="n">
        <v>175.93</v>
      </c>
      <c r="K929" t="inlineStr"/>
      <c r="M929" t="inlineStr">
        <is>
          <t>TN</t>
        </is>
      </c>
      <c r="N929" t="inlineStr"/>
      <c r="P929" t="inlineStr">
        <is>
          <t>20220331</t>
        </is>
      </c>
      <c r="Q929" t="inlineStr">
        <is>
          <t>20250131</t>
        </is>
      </c>
    </row>
    <row r="930">
      <c r="A930" t="inlineStr">
        <is>
          <t>900005713DW70D08410156061</t>
        </is>
      </c>
      <c r="B930" t="inlineStr">
        <is>
          <t>900005713</t>
        </is>
      </c>
      <c r="C930" t="inlineStr">
        <is>
          <t>DW70</t>
        </is>
      </c>
      <c r="D930" t="inlineStr">
        <is>
          <t>D084</t>
        </is>
      </c>
      <c r="E930" t="inlineStr">
        <is>
          <t>1</t>
        </is>
      </c>
      <c r="F930" t="inlineStr">
        <is>
          <t>10156061</t>
        </is>
      </c>
      <c r="H930" t="inlineStr"/>
      <c r="J930" t="n">
        <v>206.88</v>
      </c>
      <c r="K930" t="inlineStr"/>
      <c r="M930" t="inlineStr">
        <is>
          <t>TN</t>
        </is>
      </c>
      <c r="N930" t="inlineStr"/>
      <c r="P930" t="inlineStr">
        <is>
          <t>20220331</t>
        </is>
      </c>
      <c r="Q930" t="inlineStr">
        <is>
          <t>20250131</t>
        </is>
      </c>
    </row>
    <row r="931">
      <c r="A931" t="inlineStr">
        <is>
          <t>900005713DW70D08610000722</t>
        </is>
      </c>
      <c r="B931" t="inlineStr">
        <is>
          <t>900005713</t>
        </is>
      </c>
      <c r="C931" t="inlineStr">
        <is>
          <t>DW70</t>
        </is>
      </c>
      <c r="D931" t="inlineStr">
        <is>
          <t>D086</t>
        </is>
      </c>
      <c r="E931" t="inlineStr">
        <is>
          <t>1</t>
        </is>
      </c>
      <c r="F931" t="inlineStr">
        <is>
          <t>10000722</t>
        </is>
      </c>
      <c r="H931" t="inlineStr"/>
      <c r="J931" t="n">
        <v>125.93</v>
      </c>
      <c r="K931" t="inlineStr"/>
      <c r="M931" t="inlineStr">
        <is>
          <t>TN</t>
        </is>
      </c>
      <c r="N931" t="inlineStr"/>
      <c r="P931" t="inlineStr">
        <is>
          <t>20220331</t>
        </is>
      </c>
      <c r="Q931" t="inlineStr">
        <is>
          <t>20250131</t>
        </is>
      </c>
    </row>
    <row r="932">
      <c r="A932" t="inlineStr">
        <is>
          <t>900005713DW70D08610156061</t>
        </is>
      </c>
      <c r="B932" t="inlineStr">
        <is>
          <t>900005713</t>
        </is>
      </c>
      <c r="C932" t="inlineStr">
        <is>
          <t>DW70</t>
        </is>
      </c>
      <c r="D932" t="inlineStr">
        <is>
          <t>D086</t>
        </is>
      </c>
      <c r="E932" t="inlineStr">
        <is>
          <t>1</t>
        </is>
      </c>
      <c r="F932" t="inlineStr">
        <is>
          <t>10156061</t>
        </is>
      </c>
      <c r="H932" t="inlineStr"/>
      <c r="J932" t="n">
        <v>148.08</v>
      </c>
      <c r="K932" t="inlineStr"/>
      <c r="M932" t="inlineStr">
        <is>
          <t>TN</t>
        </is>
      </c>
      <c r="N932" t="inlineStr"/>
      <c r="P932" t="inlineStr">
        <is>
          <t>20220331</t>
        </is>
      </c>
      <c r="Q932" t="inlineStr">
        <is>
          <t>20250131</t>
        </is>
      </c>
    </row>
    <row r="933">
      <c r="A933" t="inlineStr">
        <is>
          <t>900005713DW70D14510000722</t>
        </is>
      </c>
      <c r="B933" t="inlineStr">
        <is>
          <t>900005713</t>
        </is>
      </c>
      <c r="C933" t="inlineStr">
        <is>
          <t>DW70</t>
        </is>
      </c>
      <c r="D933" t="inlineStr">
        <is>
          <t>D145</t>
        </is>
      </c>
      <c r="E933" t="inlineStr">
        <is>
          <t>1</t>
        </is>
      </c>
      <c r="F933" t="inlineStr">
        <is>
          <t>10000722</t>
        </is>
      </c>
      <c r="H933" t="inlineStr"/>
      <c r="J933" t="n">
        <v>109.26</v>
      </c>
      <c r="K933" t="inlineStr"/>
      <c r="M933" t="inlineStr">
        <is>
          <t>TN</t>
        </is>
      </c>
      <c r="N933" t="inlineStr"/>
      <c r="P933" t="inlineStr">
        <is>
          <t>20220331</t>
        </is>
      </c>
      <c r="Q933" t="inlineStr">
        <is>
          <t>20250131</t>
        </is>
      </c>
    </row>
    <row r="934">
      <c r="A934" t="inlineStr">
        <is>
          <t>900005713DW70D14510156061</t>
        </is>
      </c>
      <c r="B934" t="inlineStr">
        <is>
          <t>900005713</t>
        </is>
      </c>
      <c r="C934" t="inlineStr">
        <is>
          <t>DW70</t>
        </is>
      </c>
      <c r="D934" t="inlineStr">
        <is>
          <t>D145</t>
        </is>
      </c>
      <c r="E934" t="inlineStr">
        <is>
          <t>1</t>
        </is>
      </c>
      <c r="F934" t="inlineStr">
        <is>
          <t>10156061</t>
        </is>
      </c>
      <c r="H934" t="inlineStr"/>
      <c r="J934" t="n">
        <v>128.48</v>
      </c>
      <c r="K934" t="inlineStr"/>
      <c r="M934" t="inlineStr">
        <is>
          <t>TN</t>
        </is>
      </c>
      <c r="N934" t="inlineStr"/>
      <c r="P934" t="inlineStr">
        <is>
          <t>20220331</t>
        </is>
      </c>
      <c r="Q934" t="inlineStr">
        <is>
          <t>20250131</t>
        </is>
      </c>
    </row>
    <row r="935">
      <c r="A935" t="inlineStr">
        <is>
          <t>900005730DW70ENAS10000649</t>
        </is>
      </c>
      <c r="B935" t="inlineStr">
        <is>
          <t>900005730</t>
        </is>
      </c>
      <c r="C935" t="inlineStr">
        <is>
          <t>DW70</t>
        </is>
      </c>
      <c r="D935" t="inlineStr">
        <is>
          <t>ENAS</t>
        </is>
      </c>
      <c r="E935" t="inlineStr">
        <is>
          <t>4</t>
        </is>
      </c>
      <c r="F935" t="inlineStr">
        <is>
          <t>10000649</t>
        </is>
      </c>
      <c r="H935" t="inlineStr"/>
      <c r="J935" t="n">
        <v>129.28</v>
      </c>
      <c r="K935" t="inlineStr"/>
      <c r="M935" t="inlineStr">
        <is>
          <t>TN</t>
        </is>
      </c>
      <c r="N935" t="inlineStr"/>
      <c r="P935" t="inlineStr">
        <is>
          <t>20260507</t>
        </is>
      </c>
      <c r="Q935" t="inlineStr">
        <is>
          <t>99991231</t>
        </is>
      </c>
    </row>
    <row r="936">
      <c r="A936" t="inlineStr">
        <is>
          <t>900005730DW70ENAS10185476</t>
        </is>
      </c>
      <c r="B936" t="inlineStr">
        <is>
          <t>900005730</t>
        </is>
      </c>
      <c r="C936" t="inlineStr">
        <is>
          <t>DW70</t>
        </is>
      </c>
      <c r="D936" t="inlineStr">
        <is>
          <t>ENAS</t>
        </is>
      </c>
      <c r="E936" t="inlineStr">
        <is>
          <t>4</t>
        </is>
      </c>
      <c r="F936" t="inlineStr">
        <is>
          <t>10185476</t>
        </is>
      </c>
      <c r="H936" t="inlineStr"/>
      <c r="J936" t="n">
        <v>103.57</v>
      </c>
      <c r="K936" t="inlineStr"/>
      <c r="M936" t="inlineStr">
        <is>
          <t>TN</t>
        </is>
      </c>
      <c r="N936" t="inlineStr"/>
      <c r="P936" t="inlineStr">
        <is>
          <t>20250401</t>
        </is>
      </c>
      <c r="Q936" t="inlineStr">
        <is>
          <t>99991231</t>
        </is>
      </c>
    </row>
    <row r="937">
      <c r="A937" t="inlineStr">
        <is>
          <t>900005730DW70ENAS10216851</t>
        </is>
      </c>
      <c r="B937" t="inlineStr">
        <is>
          <t>900005730</t>
        </is>
      </c>
      <c r="C937" t="inlineStr">
        <is>
          <t>DW70</t>
        </is>
      </c>
      <c r="D937" t="inlineStr">
        <is>
          <t>ENAS</t>
        </is>
      </c>
      <c r="E937" t="inlineStr">
        <is>
          <t>4</t>
        </is>
      </c>
      <c r="F937" t="inlineStr">
        <is>
          <t>10216851</t>
        </is>
      </c>
      <c r="H937" t="inlineStr"/>
      <c r="J937" t="n">
        <v>136.11</v>
      </c>
      <c r="K937" t="inlineStr"/>
      <c r="M937" t="inlineStr">
        <is>
          <t>TN</t>
        </is>
      </c>
      <c r="N937" t="inlineStr"/>
      <c r="P937" t="inlineStr">
        <is>
          <t>20250401</t>
        </is>
      </c>
      <c r="Q937" t="inlineStr">
        <is>
          <t>99991231</t>
        </is>
      </c>
    </row>
    <row r="938">
      <c r="A938" t="inlineStr">
        <is>
          <t>900005730DW70ENAW10000357</t>
        </is>
      </c>
      <c r="B938" t="inlineStr">
        <is>
          <t>900005730</t>
        </is>
      </c>
      <c r="C938" t="inlineStr">
        <is>
          <t>DW70</t>
        </is>
      </c>
      <c r="D938" t="inlineStr">
        <is>
          <t>ENAW</t>
        </is>
      </c>
      <c r="E938" t="inlineStr">
        <is>
          <t>4</t>
        </is>
      </c>
      <c r="F938" t="inlineStr">
        <is>
          <t>10000357</t>
        </is>
      </c>
      <c r="H938" t="inlineStr"/>
      <c r="J938" t="n">
        <v>377.07</v>
      </c>
      <c r="K938" t="inlineStr"/>
      <c r="M938" t="inlineStr">
        <is>
          <t>TN</t>
        </is>
      </c>
      <c r="N938" t="inlineStr"/>
      <c r="P938" t="inlineStr">
        <is>
          <t>20250401</t>
        </is>
      </c>
      <c r="Q938" t="inlineStr">
        <is>
          <t>99991231</t>
        </is>
      </c>
    </row>
    <row r="939">
      <c r="A939" t="inlineStr">
        <is>
          <t>900005730DW70ENAW10185476</t>
        </is>
      </c>
      <c r="B939" t="inlineStr">
        <is>
          <t>900005730</t>
        </is>
      </c>
      <c r="C939" t="inlineStr">
        <is>
          <t>DW70</t>
        </is>
      </c>
      <c r="D939" t="inlineStr">
        <is>
          <t>ENAW</t>
        </is>
      </c>
      <c r="E939" t="inlineStr">
        <is>
          <t>4</t>
        </is>
      </c>
      <c r="F939" t="inlineStr">
        <is>
          <t>10185476</t>
        </is>
      </c>
      <c r="H939" t="inlineStr"/>
      <c r="J939" t="n">
        <v>298.33</v>
      </c>
      <c r="K939" t="inlineStr"/>
      <c r="M939" t="inlineStr">
        <is>
          <t>TN</t>
        </is>
      </c>
      <c r="N939" t="inlineStr"/>
      <c r="P939" t="inlineStr">
        <is>
          <t>20250401</t>
        </is>
      </c>
      <c r="Q939" t="inlineStr">
        <is>
          <t>99991231</t>
        </is>
      </c>
    </row>
    <row r="940">
      <c r="A940" t="inlineStr">
        <is>
          <t>900005730DW70ENDB10000160</t>
        </is>
      </c>
      <c r="B940" t="inlineStr">
        <is>
          <t>900005730</t>
        </is>
      </c>
      <c r="C940" t="inlineStr">
        <is>
          <t>DW70</t>
        </is>
      </c>
      <c r="D940" t="inlineStr">
        <is>
          <t>ENDB</t>
        </is>
      </c>
      <c r="E940" t="inlineStr">
        <is>
          <t>4</t>
        </is>
      </c>
      <c r="F940" t="inlineStr">
        <is>
          <t>10000160</t>
        </is>
      </c>
      <c r="H940" t="inlineStr"/>
      <c r="J940" t="n">
        <v>212.92</v>
      </c>
      <c r="K940" t="inlineStr"/>
      <c r="M940" t="inlineStr">
        <is>
          <t>TN</t>
        </is>
      </c>
      <c r="N940" t="inlineStr"/>
      <c r="P940" t="inlineStr">
        <is>
          <t>20250401</t>
        </is>
      </c>
      <c r="Q940" t="inlineStr">
        <is>
          <t>99991231</t>
        </is>
      </c>
    </row>
    <row r="941">
      <c r="A941" t="inlineStr">
        <is>
          <t>900005730DW70ENDB10000357</t>
        </is>
      </c>
      <c r="B941" t="inlineStr">
        <is>
          <t>900005730</t>
        </is>
      </c>
      <c r="C941" t="inlineStr">
        <is>
          <t>DW70</t>
        </is>
      </c>
      <c r="D941" t="inlineStr">
        <is>
          <t>ENDB</t>
        </is>
      </c>
      <c r="E941" t="inlineStr">
        <is>
          <t>4</t>
        </is>
      </c>
      <c r="F941" t="inlineStr">
        <is>
          <t>10000357</t>
        </is>
      </c>
      <c r="H941" t="inlineStr"/>
      <c r="J941" t="n">
        <v>226.24</v>
      </c>
      <c r="K941" t="inlineStr"/>
      <c r="M941" t="inlineStr">
        <is>
          <t>TN</t>
        </is>
      </c>
      <c r="N941" t="inlineStr"/>
      <c r="P941" t="inlineStr">
        <is>
          <t>20250401</t>
        </is>
      </c>
      <c r="Q941" t="inlineStr">
        <is>
          <t>99991231</t>
        </is>
      </c>
    </row>
    <row r="942">
      <c r="A942" t="inlineStr">
        <is>
          <t>900005730DW70ENDC10000357</t>
        </is>
      </c>
      <c r="B942" t="inlineStr">
        <is>
          <t>900005730</t>
        </is>
      </c>
      <c r="C942" t="inlineStr">
        <is>
          <t>DW70</t>
        </is>
      </c>
      <c r="D942" t="inlineStr">
        <is>
          <t>ENDC</t>
        </is>
      </c>
      <c r="E942" t="inlineStr">
        <is>
          <t>4</t>
        </is>
      </c>
      <c r="F942" t="inlineStr">
        <is>
          <t>10000357</t>
        </is>
      </c>
      <c r="H942" t="inlineStr"/>
      <c r="J942" t="n">
        <v>134.39</v>
      </c>
      <c r="K942" t="inlineStr"/>
      <c r="M942" t="inlineStr">
        <is>
          <t>TN</t>
        </is>
      </c>
      <c r="N942" t="inlineStr"/>
      <c r="P942" t="inlineStr">
        <is>
          <t>20260507</t>
        </is>
      </c>
      <c r="Q942" t="inlineStr">
        <is>
          <t>99991231</t>
        </is>
      </c>
    </row>
    <row r="943">
      <c r="A943" t="inlineStr">
        <is>
          <t>900005730DW70ENDC10185476</t>
        </is>
      </c>
      <c r="B943" t="inlineStr">
        <is>
          <t>900005730</t>
        </is>
      </c>
      <c r="C943" t="inlineStr">
        <is>
          <t>DW70</t>
        </is>
      </c>
      <c r="D943" t="inlineStr">
        <is>
          <t>ENDC</t>
        </is>
      </c>
      <c r="E943" t="inlineStr">
        <is>
          <t>4</t>
        </is>
      </c>
      <c r="F943" t="inlineStr">
        <is>
          <t>10185476</t>
        </is>
      </c>
      <c r="H943" t="inlineStr"/>
      <c r="J943" t="n">
        <v>298.33</v>
      </c>
      <c r="K943" t="inlineStr"/>
      <c r="M943" t="inlineStr">
        <is>
          <t>TN</t>
        </is>
      </c>
      <c r="N943" t="inlineStr"/>
      <c r="P943" t="inlineStr">
        <is>
          <t>20250401</t>
        </is>
      </c>
      <c r="Q943" t="inlineStr">
        <is>
          <t>99991231</t>
        </is>
      </c>
    </row>
    <row r="944">
      <c r="A944" t="inlineStr">
        <is>
          <t>900005730DW70ENDC10191177</t>
        </is>
      </c>
      <c r="B944" t="inlineStr">
        <is>
          <t>900005730</t>
        </is>
      </c>
      <c r="C944" t="inlineStr">
        <is>
          <t>DW70</t>
        </is>
      </c>
      <c r="D944" t="inlineStr">
        <is>
          <t>ENDC</t>
        </is>
      </c>
      <c r="E944" t="inlineStr">
        <is>
          <t>4</t>
        </is>
      </c>
      <c r="F944" t="inlineStr">
        <is>
          <t>10191177</t>
        </is>
      </c>
      <c r="H944" t="inlineStr"/>
      <c r="J944" t="n">
        <v>300</v>
      </c>
      <c r="K944" t="inlineStr"/>
      <c r="M944" t="inlineStr">
        <is>
          <t>TN</t>
        </is>
      </c>
      <c r="N944" t="inlineStr"/>
      <c r="P944" t="inlineStr">
        <is>
          <t>20260623</t>
        </is>
      </c>
      <c r="Q944" t="inlineStr">
        <is>
          <t>99991231</t>
        </is>
      </c>
    </row>
    <row r="945">
      <c r="A945" t="inlineStr">
        <is>
          <t>900005730DW70ENDC10217649</t>
        </is>
      </c>
      <c r="B945" t="inlineStr">
        <is>
          <t>900005730</t>
        </is>
      </c>
      <c r="C945" t="inlineStr">
        <is>
          <t>DW70</t>
        </is>
      </c>
      <c r="D945" t="inlineStr">
        <is>
          <t>ENDC</t>
        </is>
      </c>
      <c r="E945" t="inlineStr">
        <is>
          <t>4</t>
        </is>
      </c>
      <c r="F945" t="inlineStr">
        <is>
          <t>10217649</t>
        </is>
      </c>
      <c r="H945" t="inlineStr"/>
      <c r="J945" t="n">
        <v>392.31</v>
      </c>
      <c r="K945" t="inlineStr"/>
      <c r="M945" t="inlineStr">
        <is>
          <t>TN</t>
        </is>
      </c>
      <c r="N945" t="inlineStr"/>
      <c r="P945" t="inlineStr">
        <is>
          <t>20260623</t>
        </is>
      </c>
      <c r="Q945" t="inlineStr">
        <is>
          <t>99991231</t>
        </is>
      </c>
    </row>
    <row r="946">
      <c r="A946" t="inlineStr">
        <is>
          <t>900005730DW70ENXF10000133</t>
        </is>
      </c>
      <c r="B946" t="inlineStr">
        <is>
          <t>900005730</t>
        </is>
      </c>
      <c r="C946" t="inlineStr">
        <is>
          <t>DW70</t>
        </is>
      </c>
      <c r="D946" t="inlineStr">
        <is>
          <t>ENXF</t>
        </is>
      </c>
      <c r="E946" t="inlineStr">
        <is>
          <t>4</t>
        </is>
      </c>
      <c r="F946" t="inlineStr">
        <is>
          <t>10000133</t>
        </is>
      </c>
      <c r="H946" t="inlineStr"/>
      <c r="J946" t="n">
        <v>342.47</v>
      </c>
      <c r="K946" t="inlineStr"/>
      <c r="M946" t="inlineStr">
        <is>
          <t>TN</t>
        </is>
      </c>
      <c r="N946" t="inlineStr"/>
      <c r="P946" t="inlineStr">
        <is>
          <t>20260305</t>
        </is>
      </c>
      <c r="Q946" t="inlineStr">
        <is>
          <t>20260319</t>
        </is>
      </c>
    </row>
    <row r="947">
      <c r="A947" t="inlineStr">
        <is>
          <t>900005730DW70ENXF10000160</t>
        </is>
      </c>
      <c r="B947" t="inlineStr">
        <is>
          <t>900005730</t>
        </is>
      </c>
      <c r="C947" t="inlineStr">
        <is>
          <t>DW70</t>
        </is>
      </c>
      <c r="D947" t="inlineStr">
        <is>
          <t>ENXF</t>
        </is>
      </c>
      <c r="E947" t="inlineStr">
        <is>
          <t>4</t>
        </is>
      </c>
      <c r="F947" t="inlineStr">
        <is>
          <t>10000160</t>
        </is>
      </c>
      <c r="H947" t="inlineStr"/>
      <c r="J947" t="n">
        <v>126.47</v>
      </c>
      <c r="K947" t="inlineStr"/>
      <c r="M947" t="inlineStr">
        <is>
          <t>TN</t>
        </is>
      </c>
      <c r="N947" t="inlineStr"/>
      <c r="P947" t="inlineStr">
        <is>
          <t>20260305</t>
        </is>
      </c>
      <c r="Q947" t="inlineStr">
        <is>
          <t>99991231</t>
        </is>
      </c>
    </row>
    <row r="948">
      <c r="A948" t="inlineStr">
        <is>
          <t>900005730DW70ENXF10000357</t>
        </is>
      </c>
      <c r="B948" t="inlineStr">
        <is>
          <t>900005730</t>
        </is>
      </c>
      <c r="C948" t="inlineStr">
        <is>
          <t>DW70</t>
        </is>
      </c>
      <c r="D948" t="inlineStr">
        <is>
          <t>ENXF</t>
        </is>
      </c>
      <c r="E948" t="inlineStr">
        <is>
          <t>4</t>
        </is>
      </c>
      <c r="F948" t="inlineStr">
        <is>
          <t>10000357</t>
        </is>
      </c>
      <c r="H948" t="inlineStr"/>
      <c r="J948" t="n">
        <v>377.07</v>
      </c>
      <c r="K948" t="inlineStr"/>
      <c r="M948" t="inlineStr">
        <is>
          <t>TN</t>
        </is>
      </c>
      <c r="N948" t="inlineStr"/>
      <c r="P948" t="inlineStr">
        <is>
          <t>20260319</t>
        </is>
      </c>
      <c r="Q948" t="inlineStr">
        <is>
          <t>99991231</t>
        </is>
      </c>
    </row>
    <row r="949">
      <c r="A949" t="inlineStr">
        <is>
          <t>900005730DW70ENXF10000593</t>
        </is>
      </c>
      <c r="B949" t="inlineStr">
        <is>
          <t>900005730</t>
        </is>
      </c>
      <c r="C949" t="inlineStr">
        <is>
          <t>DW70</t>
        </is>
      </c>
      <c r="D949" t="inlineStr">
        <is>
          <t>ENXF</t>
        </is>
      </c>
      <c r="E949" t="inlineStr">
        <is>
          <t>4</t>
        </is>
      </c>
      <c r="F949" t="inlineStr">
        <is>
          <t>10000593</t>
        </is>
      </c>
      <c r="H949" t="inlineStr"/>
      <c r="J949" t="n">
        <v>357.14</v>
      </c>
      <c r="K949" t="inlineStr"/>
      <c r="M949" t="inlineStr">
        <is>
          <t>TN</t>
        </is>
      </c>
      <c r="N949" t="inlineStr"/>
      <c r="P949" t="inlineStr">
        <is>
          <t>20260305</t>
        </is>
      </c>
      <c r="Q949" t="inlineStr">
        <is>
          <t>99991231</t>
        </is>
      </c>
    </row>
    <row r="950">
      <c r="A950" t="inlineStr">
        <is>
          <t>900005730DW70ENXF10146801</t>
        </is>
      </c>
      <c r="B950" t="inlineStr">
        <is>
          <t>900005730</t>
        </is>
      </c>
      <c r="C950" t="inlineStr">
        <is>
          <t>DW70</t>
        </is>
      </c>
      <c r="D950" t="inlineStr">
        <is>
          <t>ENXF</t>
        </is>
      </c>
      <c r="E950" t="inlineStr">
        <is>
          <t>4</t>
        </is>
      </c>
      <c r="F950" t="inlineStr">
        <is>
          <t>10146801</t>
        </is>
      </c>
      <c r="H950" t="inlineStr"/>
      <c r="J950" t="n">
        <v>132.79</v>
      </c>
      <c r="K950" t="inlineStr"/>
      <c r="M950" t="inlineStr">
        <is>
          <t>TN</t>
        </is>
      </c>
      <c r="N950" t="inlineStr"/>
      <c r="P950" t="inlineStr">
        <is>
          <t>20260319</t>
        </is>
      </c>
      <c r="Q950" t="inlineStr">
        <is>
          <t>99991231</t>
        </is>
      </c>
    </row>
    <row r="951">
      <c r="A951" t="inlineStr">
        <is>
          <t>900005730DW70ENXF10268435</t>
        </is>
      </c>
      <c r="B951" t="inlineStr">
        <is>
          <t>900005730</t>
        </is>
      </c>
      <c r="C951" t="inlineStr">
        <is>
          <t>DW70</t>
        </is>
      </c>
      <c r="D951" t="inlineStr">
        <is>
          <t>ENXF</t>
        </is>
      </c>
      <c r="E951" t="inlineStr">
        <is>
          <t>4</t>
        </is>
      </c>
      <c r="F951" t="inlineStr">
        <is>
          <t>10268435</t>
        </is>
      </c>
      <c r="H951" t="inlineStr"/>
      <c r="J951" t="n">
        <v>127.29</v>
      </c>
      <c r="K951" t="inlineStr"/>
      <c r="M951" t="inlineStr">
        <is>
          <t>TN</t>
        </is>
      </c>
      <c r="N951" t="inlineStr"/>
      <c r="P951" t="inlineStr">
        <is>
          <t>20260305</t>
        </is>
      </c>
      <c r="Q951" t="inlineStr">
        <is>
          <t>20260319</t>
        </is>
      </c>
    </row>
    <row r="952">
      <c r="A952" t="inlineStr">
        <is>
          <t>900005784DW70D07710159431</t>
        </is>
      </c>
      <c r="B952" t="inlineStr">
        <is>
          <t>900005784</t>
        </is>
      </c>
      <c r="C952" t="inlineStr">
        <is>
          <t>DW70</t>
        </is>
      </c>
      <c r="D952" t="inlineStr">
        <is>
          <t>D077</t>
        </is>
      </c>
      <c r="E952" t="inlineStr">
        <is>
          <t>1</t>
        </is>
      </c>
      <c r="F952" t="inlineStr">
        <is>
          <t>10159431</t>
        </is>
      </c>
      <c r="H952" t="inlineStr"/>
      <c r="J952" t="n">
        <v>65.05</v>
      </c>
      <c r="K952" t="inlineStr"/>
      <c r="M952" t="inlineStr">
        <is>
          <t>TN</t>
        </is>
      </c>
      <c r="N952" t="inlineStr"/>
      <c r="P952" t="inlineStr">
        <is>
          <t>20220331</t>
        </is>
      </c>
      <c r="Q952" t="inlineStr">
        <is>
          <t>20250131</t>
        </is>
      </c>
    </row>
    <row r="953">
      <c r="A953" t="inlineStr">
        <is>
          <t>900005784DW70D07710159500</t>
        </is>
      </c>
      <c r="B953" t="inlineStr">
        <is>
          <t>900005784</t>
        </is>
      </c>
      <c r="C953" t="inlineStr">
        <is>
          <t>DW70</t>
        </is>
      </c>
      <c r="D953" t="inlineStr">
        <is>
          <t>D077</t>
        </is>
      </c>
      <c r="E953" t="inlineStr">
        <is>
          <t>1</t>
        </is>
      </c>
      <c r="F953" t="inlineStr">
        <is>
          <t>10159500</t>
        </is>
      </c>
      <c r="H953" t="inlineStr"/>
      <c r="J953" t="n">
        <v>61.4</v>
      </c>
      <c r="K953" t="inlineStr"/>
      <c r="M953" t="inlineStr">
        <is>
          <t>TN</t>
        </is>
      </c>
      <c r="N953" t="inlineStr"/>
      <c r="P953" t="inlineStr">
        <is>
          <t>20220331</t>
        </is>
      </c>
      <c r="Q953" t="inlineStr">
        <is>
          <t>20250131</t>
        </is>
      </c>
    </row>
    <row r="954">
      <c r="A954" t="inlineStr">
        <is>
          <t>900005784DW70D08510159431</t>
        </is>
      </c>
      <c r="B954" t="inlineStr">
        <is>
          <t>900005784</t>
        </is>
      </c>
      <c r="C954" t="inlineStr">
        <is>
          <t>DW70</t>
        </is>
      </c>
      <c r="D954" t="inlineStr">
        <is>
          <t>D085</t>
        </is>
      </c>
      <c r="E954" t="inlineStr">
        <is>
          <t>1</t>
        </is>
      </c>
      <c r="F954" t="inlineStr">
        <is>
          <t>10159431</t>
        </is>
      </c>
      <c r="H954" t="inlineStr"/>
      <c r="J954" t="n">
        <v>86.73</v>
      </c>
      <c r="K954" t="inlineStr"/>
      <c r="M954" t="inlineStr">
        <is>
          <t>TN</t>
        </is>
      </c>
      <c r="N954" t="inlineStr"/>
      <c r="P954" t="inlineStr">
        <is>
          <t>20220331</t>
        </is>
      </c>
      <c r="Q954" t="inlineStr">
        <is>
          <t>20250131</t>
        </is>
      </c>
    </row>
    <row r="955">
      <c r="A955" t="inlineStr">
        <is>
          <t>900005784DW70D08510159500</t>
        </is>
      </c>
      <c r="B955" t="inlineStr">
        <is>
          <t>900005784</t>
        </is>
      </c>
      <c r="C955" t="inlineStr">
        <is>
          <t>DW70</t>
        </is>
      </c>
      <c r="D955" t="inlineStr">
        <is>
          <t>D085</t>
        </is>
      </c>
      <c r="E955" t="inlineStr">
        <is>
          <t>1</t>
        </is>
      </c>
      <c r="F955" t="inlineStr">
        <is>
          <t>10159500</t>
        </is>
      </c>
      <c r="H955" t="inlineStr"/>
      <c r="J955" t="n">
        <v>81.86</v>
      </c>
      <c r="K955" t="inlineStr"/>
      <c r="M955" t="inlineStr">
        <is>
          <t>TN</t>
        </is>
      </c>
      <c r="N955" t="inlineStr"/>
      <c r="P955" t="inlineStr">
        <is>
          <t>20220331</t>
        </is>
      </c>
      <c r="Q955" t="inlineStr">
        <is>
          <t>20250131</t>
        </is>
      </c>
    </row>
    <row r="956">
      <c r="A956" t="inlineStr">
        <is>
          <t>900005974DW70D07410000160</t>
        </is>
      </c>
      <c r="B956" t="inlineStr">
        <is>
          <t>900005974</t>
        </is>
      </c>
      <c r="C956" t="inlineStr">
        <is>
          <t>DW70</t>
        </is>
      </c>
      <c r="D956" t="inlineStr">
        <is>
          <t>D074</t>
        </is>
      </c>
      <c r="E956" t="inlineStr">
        <is>
          <t>1</t>
        </is>
      </c>
      <c r="F956" t="inlineStr">
        <is>
          <t>10000160</t>
        </is>
      </c>
      <c r="H956" t="inlineStr"/>
      <c r="J956" t="n">
        <v>257.51</v>
      </c>
      <c r="K956" t="inlineStr"/>
      <c r="M956" t="inlineStr">
        <is>
          <t>TN</t>
        </is>
      </c>
      <c r="N956" t="inlineStr"/>
      <c r="P956" t="inlineStr">
        <is>
          <t>20260430</t>
        </is>
      </c>
      <c r="Q956" t="inlineStr">
        <is>
          <t>99991231</t>
        </is>
      </c>
    </row>
    <row r="957">
      <c r="A957" t="inlineStr">
        <is>
          <t>900005974DW70D07410000357</t>
        </is>
      </c>
      <c r="B957" t="inlineStr">
        <is>
          <t>900005974</t>
        </is>
      </c>
      <c r="C957" t="inlineStr">
        <is>
          <t>DW70</t>
        </is>
      </c>
      <c r="D957" t="inlineStr">
        <is>
          <t>D074</t>
        </is>
      </c>
      <c r="E957" t="inlineStr">
        <is>
          <t>1</t>
        </is>
      </c>
      <c r="F957" t="inlineStr">
        <is>
          <t>10000357</t>
        </is>
      </c>
      <c r="H957" t="inlineStr"/>
      <c r="J957" t="n">
        <v>273.63</v>
      </c>
      <c r="K957" t="inlineStr"/>
      <c r="M957" t="inlineStr">
        <is>
          <t>TN</t>
        </is>
      </c>
      <c r="N957" t="inlineStr"/>
      <c r="P957" t="inlineStr">
        <is>
          <t>20260430</t>
        </is>
      </c>
      <c r="Q957" t="inlineStr">
        <is>
          <t>99991231</t>
        </is>
      </c>
    </row>
    <row r="958">
      <c r="A958" t="inlineStr">
        <is>
          <t>900005974DW70D07510000160</t>
        </is>
      </c>
      <c r="B958" t="inlineStr">
        <is>
          <t>900005974</t>
        </is>
      </c>
      <c r="C958" t="inlineStr">
        <is>
          <t>DW70</t>
        </is>
      </c>
      <c r="D958" t="inlineStr">
        <is>
          <t>D075</t>
        </is>
      </c>
      <c r="E958" t="inlineStr">
        <is>
          <t>1</t>
        </is>
      </c>
      <c r="F958" t="inlineStr">
        <is>
          <t>10000160</t>
        </is>
      </c>
      <c r="H958" t="inlineStr"/>
      <c r="J958" t="n">
        <v>225.32</v>
      </c>
      <c r="K958" t="inlineStr"/>
      <c r="M958" t="inlineStr">
        <is>
          <t>TN</t>
        </is>
      </c>
      <c r="N958" t="inlineStr"/>
      <c r="P958" t="inlineStr">
        <is>
          <t>20260430</t>
        </is>
      </c>
      <c r="Q958" t="inlineStr">
        <is>
          <t>99991231</t>
        </is>
      </c>
    </row>
    <row r="959">
      <c r="A959" t="inlineStr">
        <is>
          <t>900005974DW70D07510000357</t>
        </is>
      </c>
      <c r="B959" t="inlineStr">
        <is>
          <t>900005974</t>
        </is>
      </c>
      <c r="C959" t="inlineStr">
        <is>
          <t>DW70</t>
        </is>
      </c>
      <c r="D959" t="inlineStr">
        <is>
          <t>D075</t>
        </is>
      </c>
      <c r="E959" t="inlineStr">
        <is>
          <t>1</t>
        </is>
      </c>
      <c r="F959" t="inlineStr">
        <is>
          <t>10000357</t>
        </is>
      </c>
      <c r="H959" t="inlineStr"/>
      <c r="J959" t="n">
        <v>239.42</v>
      </c>
      <c r="K959" t="inlineStr"/>
      <c r="M959" t="inlineStr">
        <is>
          <t>TN</t>
        </is>
      </c>
      <c r="N959" t="inlineStr"/>
      <c r="P959" t="inlineStr">
        <is>
          <t>20260430</t>
        </is>
      </c>
      <c r="Q959" t="inlineStr">
        <is>
          <t>99991231</t>
        </is>
      </c>
    </row>
    <row r="960">
      <c r="A960" t="inlineStr">
        <is>
          <t>900005974DW70D07710000160</t>
        </is>
      </c>
      <c r="B960" t="inlineStr">
        <is>
          <t>900005974</t>
        </is>
      </c>
      <c r="C960" t="inlineStr">
        <is>
          <t>DW70</t>
        </is>
      </c>
      <c r="D960" t="inlineStr">
        <is>
          <t>D077</t>
        </is>
      </c>
      <c r="E960" t="inlineStr">
        <is>
          <t>1</t>
        </is>
      </c>
      <c r="F960" t="inlineStr">
        <is>
          <t>10000160</t>
        </is>
      </c>
      <c r="H960" t="inlineStr"/>
      <c r="J960" t="n">
        <v>170.6</v>
      </c>
      <c r="K960" t="inlineStr"/>
      <c r="M960" t="inlineStr">
        <is>
          <t>TN</t>
        </is>
      </c>
      <c r="N960" t="inlineStr"/>
      <c r="P960" t="inlineStr">
        <is>
          <t>20260430</t>
        </is>
      </c>
      <c r="Q960" t="inlineStr">
        <is>
          <t>99991231</t>
        </is>
      </c>
    </row>
    <row r="961">
      <c r="A961" t="inlineStr">
        <is>
          <t>900005974DW70D07710000357</t>
        </is>
      </c>
      <c r="B961" t="inlineStr">
        <is>
          <t>900005974</t>
        </is>
      </c>
      <c r="C961" t="inlineStr">
        <is>
          <t>DW70</t>
        </is>
      </c>
      <c r="D961" t="inlineStr">
        <is>
          <t>D077</t>
        </is>
      </c>
      <c r="E961" t="inlineStr">
        <is>
          <t>1</t>
        </is>
      </c>
      <c r="F961" t="inlineStr">
        <is>
          <t>10000357</t>
        </is>
      </c>
      <c r="H961" t="inlineStr"/>
      <c r="J961" t="n">
        <v>181.28</v>
      </c>
      <c r="K961" t="inlineStr"/>
      <c r="M961" t="inlineStr">
        <is>
          <t>TN</t>
        </is>
      </c>
      <c r="N961" t="inlineStr"/>
      <c r="P961" t="inlineStr">
        <is>
          <t>20260430</t>
        </is>
      </c>
      <c r="Q961" t="inlineStr">
        <is>
          <t>99991231</t>
        </is>
      </c>
    </row>
    <row r="962">
      <c r="A962" t="inlineStr">
        <is>
          <t>900005974DW70D07910000160</t>
        </is>
      </c>
      <c r="B962" t="inlineStr">
        <is>
          <t>900005974</t>
        </is>
      </c>
      <c r="C962" t="inlineStr">
        <is>
          <t>DW70</t>
        </is>
      </c>
      <c r="D962" t="inlineStr">
        <is>
          <t>D079</t>
        </is>
      </c>
      <c r="E962" t="inlineStr">
        <is>
          <t>1</t>
        </is>
      </c>
      <c r="F962" t="inlineStr">
        <is>
          <t>10000160</t>
        </is>
      </c>
      <c r="H962" t="inlineStr"/>
      <c r="J962" t="n">
        <v>251.07</v>
      </c>
      <c r="K962" t="inlineStr"/>
      <c r="M962" t="inlineStr">
        <is>
          <t>TN</t>
        </is>
      </c>
      <c r="N962" t="inlineStr"/>
      <c r="P962" t="inlineStr">
        <is>
          <t>20260430</t>
        </is>
      </c>
      <c r="Q962" t="inlineStr">
        <is>
          <t>99991231</t>
        </is>
      </c>
    </row>
    <row r="963">
      <c r="A963" t="inlineStr">
        <is>
          <t>900005974DW70D07910000357</t>
        </is>
      </c>
      <c r="B963" t="inlineStr">
        <is>
          <t>900005974</t>
        </is>
      </c>
      <c r="C963" t="inlineStr">
        <is>
          <t>DW70</t>
        </is>
      </c>
      <c r="D963" t="inlineStr">
        <is>
          <t>D079</t>
        </is>
      </c>
      <c r="E963" t="inlineStr">
        <is>
          <t>1</t>
        </is>
      </c>
      <c r="F963" t="inlineStr">
        <is>
          <t>10000357</t>
        </is>
      </c>
      <c r="H963" t="inlineStr"/>
      <c r="J963" t="n">
        <v>266.79</v>
      </c>
      <c r="K963" t="inlineStr"/>
      <c r="M963" t="inlineStr">
        <is>
          <t>TN</t>
        </is>
      </c>
      <c r="N963" t="inlineStr"/>
      <c r="P963" t="inlineStr">
        <is>
          <t>20260430</t>
        </is>
      </c>
      <c r="Q963" t="inlineStr">
        <is>
          <t>99991231</t>
        </is>
      </c>
    </row>
    <row r="964">
      <c r="A964" t="inlineStr">
        <is>
          <t>900005974DW70D08010000160</t>
        </is>
      </c>
      <c r="B964" t="inlineStr">
        <is>
          <t>900005974</t>
        </is>
      </c>
      <c r="C964" t="inlineStr">
        <is>
          <t>DW70</t>
        </is>
      </c>
      <c r="D964" t="inlineStr">
        <is>
          <t>D080</t>
        </is>
      </c>
      <c r="E964" t="inlineStr">
        <is>
          <t>1</t>
        </is>
      </c>
      <c r="F964" t="inlineStr">
        <is>
          <t>10000160</t>
        </is>
      </c>
      <c r="H964" t="inlineStr"/>
      <c r="J964" t="n">
        <v>228.54</v>
      </c>
      <c r="K964" t="inlineStr"/>
      <c r="M964" t="inlineStr">
        <is>
          <t>TN</t>
        </is>
      </c>
      <c r="N964" t="inlineStr"/>
      <c r="P964" t="inlineStr">
        <is>
          <t>20260430</t>
        </is>
      </c>
      <c r="Q964" t="inlineStr">
        <is>
          <t>99991231</t>
        </is>
      </c>
    </row>
    <row r="965">
      <c r="A965" t="inlineStr">
        <is>
          <t>900005974DW70D08010000357</t>
        </is>
      </c>
      <c r="B965" t="inlineStr">
        <is>
          <t>900005974</t>
        </is>
      </c>
      <c r="C965" t="inlineStr">
        <is>
          <t>DW70</t>
        </is>
      </c>
      <c r="D965" t="inlineStr">
        <is>
          <t>D080</t>
        </is>
      </c>
      <c r="E965" t="inlineStr">
        <is>
          <t>1</t>
        </is>
      </c>
      <c r="F965" t="inlineStr">
        <is>
          <t>10000357</t>
        </is>
      </c>
      <c r="H965" t="inlineStr"/>
      <c r="J965" t="n">
        <v>242.84</v>
      </c>
      <c r="K965" t="inlineStr"/>
      <c r="M965" t="inlineStr">
        <is>
          <t>TN</t>
        </is>
      </c>
      <c r="N965" t="inlineStr"/>
      <c r="P965" t="inlineStr">
        <is>
          <t>20260430</t>
        </is>
      </c>
      <c r="Q965" t="inlineStr">
        <is>
          <t>99991231</t>
        </is>
      </c>
    </row>
    <row r="966">
      <c r="A966" t="inlineStr">
        <is>
          <t>900005974DW70D08110000160</t>
        </is>
      </c>
      <c r="B966" t="inlineStr">
        <is>
          <t>900005974</t>
        </is>
      </c>
      <c r="C966" t="inlineStr">
        <is>
          <t>DW70</t>
        </is>
      </c>
      <c r="D966" t="inlineStr">
        <is>
          <t>D081</t>
        </is>
      </c>
      <c r="E966" t="inlineStr">
        <is>
          <t>1</t>
        </is>
      </c>
      <c r="F966" t="inlineStr">
        <is>
          <t>10000160</t>
        </is>
      </c>
      <c r="H966" t="inlineStr"/>
      <c r="J966" t="n">
        <v>257.51</v>
      </c>
      <c r="K966" t="inlineStr"/>
      <c r="M966" t="inlineStr">
        <is>
          <t>TN</t>
        </is>
      </c>
      <c r="N966" t="inlineStr"/>
      <c r="P966" t="inlineStr">
        <is>
          <t>20260430</t>
        </is>
      </c>
      <c r="Q966" t="inlineStr">
        <is>
          <t>99991231</t>
        </is>
      </c>
    </row>
    <row r="967">
      <c r="A967" t="inlineStr">
        <is>
          <t>900005974DW70D08110000357</t>
        </is>
      </c>
      <c r="B967" t="inlineStr">
        <is>
          <t>900005974</t>
        </is>
      </c>
      <c r="C967" t="inlineStr">
        <is>
          <t>DW70</t>
        </is>
      </c>
      <c r="D967" t="inlineStr">
        <is>
          <t>D081</t>
        </is>
      </c>
      <c r="E967" t="inlineStr">
        <is>
          <t>1</t>
        </is>
      </c>
      <c r="F967" t="inlineStr">
        <is>
          <t>10000357</t>
        </is>
      </c>
      <c r="H967" t="inlineStr"/>
      <c r="J967" t="n">
        <v>273.63</v>
      </c>
      <c r="K967" t="inlineStr"/>
      <c r="M967" t="inlineStr">
        <is>
          <t>TN</t>
        </is>
      </c>
      <c r="N967" t="inlineStr"/>
      <c r="P967" t="inlineStr">
        <is>
          <t>20260430</t>
        </is>
      </c>
      <c r="Q967" t="inlineStr">
        <is>
          <t>99991231</t>
        </is>
      </c>
    </row>
    <row r="968">
      <c r="A968" t="inlineStr">
        <is>
          <t>900005974DW70D08310000160</t>
        </is>
      </c>
      <c r="B968" t="inlineStr">
        <is>
          <t>900005974</t>
        </is>
      </c>
      <c r="C968" t="inlineStr">
        <is>
          <t>DW70</t>
        </is>
      </c>
      <c r="D968" t="inlineStr">
        <is>
          <t>D083</t>
        </is>
      </c>
      <c r="E968" t="inlineStr">
        <is>
          <t>1</t>
        </is>
      </c>
      <c r="F968" t="inlineStr">
        <is>
          <t>10000160</t>
        </is>
      </c>
      <c r="H968" t="inlineStr"/>
      <c r="J968" t="n">
        <v>254.29</v>
      </c>
      <c r="K968" t="inlineStr"/>
      <c r="M968" t="inlineStr">
        <is>
          <t>TN</t>
        </is>
      </c>
      <c r="N968" t="inlineStr"/>
      <c r="P968" t="inlineStr">
        <is>
          <t>20260430</t>
        </is>
      </c>
      <c r="Q968" t="inlineStr">
        <is>
          <t>99991231</t>
        </is>
      </c>
    </row>
    <row r="969">
      <c r="A969" t="inlineStr">
        <is>
          <t>900005974DW70D08310000357</t>
        </is>
      </c>
      <c r="B969" t="inlineStr">
        <is>
          <t>900005974</t>
        </is>
      </c>
      <c r="C969" t="inlineStr">
        <is>
          <t>DW70</t>
        </is>
      </c>
      <c r="D969" t="inlineStr">
        <is>
          <t>D083</t>
        </is>
      </c>
      <c r="E969" t="inlineStr">
        <is>
          <t>1</t>
        </is>
      </c>
      <c r="F969" t="inlineStr">
        <is>
          <t>10000357</t>
        </is>
      </c>
      <c r="H969" t="inlineStr"/>
      <c r="J969" t="n">
        <v>270.21</v>
      </c>
      <c r="K969" t="inlineStr"/>
      <c r="M969" t="inlineStr">
        <is>
          <t>TN</t>
        </is>
      </c>
      <c r="N969" t="inlineStr"/>
      <c r="P969" t="inlineStr">
        <is>
          <t>20260430</t>
        </is>
      </c>
      <c r="Q969" t="inlineStr">
        <is>
          <t>99991231</t>
        </is>
      </c>
    </row>
    <row r="970">
      <c r="A970" t="inlineStr">
        <is>
          <t>900005974DW70D08410000160</t>
        </is>
      </c>
      <c r="B970" t="inlineStr">
        <is>
          <t>900005974</t>
        </is>
      </c>
      <c r="C970" t="inlineStr">
        <is>
          <t>DW70</t>
        </is>
      </c>
      <c r="D970" t="inlineStr">
        <is>
          <t>D084</t>
        </is>
      </c>
      <c r="E970" t="inlineStr">
        <is>
          <t>1</t>
        </is>
      </c>
      <c r="F970" t="inlineStr">
        <is>
          <t>10000160</t>
        </is>
      </c>
      <c r="H970" t="inlineStr"/>
      <c r="J970" t="n">
        <v>206</v>
      </c>
      <c r="K970" t="inlineStr"/>
      <c r="M970" t="inlineStr">
        <is>
          <t>TN</t>
        </is>
      </c>
      <c r="N970" t="inlineStr"/>
      <c r="P970" t="inlineStr">
        <is>
          <t>20260430</t>
        </is>
      </c>
      <c r="Q970" t="inlineStr">
        <is>
          <t>99991231</t>
        </is>
      </c>
    </row>
    <row r="971">
      <c r="A971" t="inlineStr">
        <is>
          <t>900005974DW70D08410000357</t>
        </is>
      </c>
      <c r="B971" t="inlineStr">
        <is>
          <t>900005974</t>
        </is>
      </c>
      <c r="C971" t="inlineStr">
        <is>
          <t>DW70</t>
        </is>
      </c>
      <c r="D971" t="inlineStr">
        <is>
          <t>D084</t>
        </is>
      </c>
      <c r="E971" t="inlineStr">
        <is>
          <t>1</t>
        </is>
      </c>
      <c r="F971" t="inlineStr">
        <is>
          <t>10000357</t>
        </is>
      </c>
      <c r="H971" t="inlineStr"/>
      <c r="J971" t="n">
        <v>218.9</v>
      </c>
      <c r="K971" t="inlineStr"/>
      <c r="M971" t="inlineStr">
        <is>
          <t>TN</t>
        </is>
      </c>
      <c r="N971" t="inlineStr"/>
      <c r="P971" t="inlineStr">
        <is>
          <t>20260430</t>
        </is>
      </c>
      <c r="Q971" t="inlineStr">
        <is>
          <t>99991231</t>
        </is>
      </c>
    </row>
    <row r="972">
      <c r="A972" t="inlineStr">
        <is>
          <t>900005974DW70D08510000160</t>
        </is>
      </c>
      <c r="B972" t="inlineStr">
        <is>
          <t>900005974</t>
        </is>
      </c>
      <c r="C972" t="inlineStr">
        <is>
          <t>DW70</t>
        </is>
      </c>
      <c r="D972" t="inlineStr">
        <is>
          <t>D085</t>
        </is>
      </c>
      <c r="E972" t="inlineStr">
        <is>
          <t>1</t>
        </is>
      </c>
      <c r="F972" t="inlineStr">
        <is>
          <t>10000160</t>
        </is>
      </c>
      <c r="H972" t="inlineStr"/>
      <c r="J972" t="n">
        <v>215.66</v>
      </c>
      <c r="K972" t="inlineStr"/>
      <c r="M972" t="inlineStr">
        <is>
          <t>TN</t>
        </is>
      </c>
      <c r="N972" t="inlineStr"/>
      <c r="P972" t="inlineStr">
        <is>
          <t>20260430</t>
        </is>
      </c>
      <c r="Q972" t="inlineStr">
        <is>
          <t>99991231</t>
        </is>
      </c>
    </row>
    <row r="973">
      <c r="A973" t="inlineStr">
        <is>
          <t>900005974DW70D08510000357</t>
        </is>
      </c>
      <c r="B973" t="inlineStr">
        <is>
          <t>900005974</t>
        </is>
      </c>
      <c r="C973" t="inlineStr">
        <is>
          <t>DW70</t>
        </is>
      </c>
      <c r="D973" t="inlineStr">
        <is>
          <t>D085</t>
        </is>
      </c>
      <c r="E973" t="inlineStr">
        <is>
          <t>1</t>
        </is>
      </c>
      <c r="F973" t="inlineStr">
        <is>
          <t>10000357</t>
        </is>
      </c>
      <c r="H973" t="inlineStr"/>
      <c r="J973" t="n">
        <v>229.16</v>
      </c>
      <c r="K973" t="inlineStr"/>
      <c r="M973" t="inlineStr">
        <is>
          <t>TN</t>
        </is>
      </c>
      <c r="N973" t="inlineStr"/>
      <c r="P973" t="inlineStr">
        <is>
          <t>20260430</t>
        </is>
      </c>
      <c r="Q973" t="inlineStr">
        <is>
          <t>99991231</t>
        </is>
      </c>
    </row>
    <row r="974">
      <c r="A974" t="inlineStr">
        <is>
          <t>900005974DW70D08610000160</t>
        </is>
      </c>
      <c r="B974" t="inlineStr">
        <is>
          <t>900005974</t>
        </is>
      </c>
      <c r="C974" t="inlineStr">
        <is>
          <t>DW70</t>
        </is>
      </c>
      <c r="D974" t="inlineStr">
        <is>
          <t>D086</t>
        </is>
      </c>
      <c r="E974" t="inlineStr">
        <is>
          <t>1</t>
        </is>
      </c>
      <c r="F974" t="inlineStr">
        <is>
          <t>10000160</t>
        </is>
      </c>
      <c r="H974" t="inlineStr"/>
      <c r="J974" t="n">
        <v>189.91</v>
      </c>
      <c r="K974" t="inlineStr"/>
      <c r="M974" t="inlineStr">
        <is>
          <t>TN</t>
        </is>
      </c>
      <c r="N974" t="inlineStr"/>
      <c r="P974" t="inlineStr">
        <is>
          <t>20260430</t>
        </is>
      </c>
      <c r="Q974" t="inlineStr">
        <is>
          <t>99991231</t>
        </is>
      </c>
    </row>
    <row r="975">
      <c r="A975" t="inlineStr">
        <is>
          <t>900005974DW70D08610000357</t>
        </is>
      </c>
      <c r="B975" t="inlineStr">
        <is>
          <t>900005974</t>
        </is>
      </c>
      <c r="C975" t="inlineStr">
        <is>
          <t>DW70</t>
        </is>
      </c>
      <c r="D975" t="inlineStr">
        <is>
          <t>D086</t>
        </is>
      </c>
      <c r="E975" t="inlineStr">
        <is>
          <t>1</t>
        </is>
      </c>
      <c r="F975" t="inlineStr">
        <is>
          <t>10000357</t>
        </is>
      </c>
      <c r="H975" t="inlineStr"/>
      <c r="J975" t="n">
        <v>201.8</v>
      </c>
      <c r="K975" t="inlineStr"/>
      <c r="M975" t="inlineStr">
        <is>
          <t>TN</t>
        </is>
      </c>
      <c r="N975" t="inlineStr"/>
      <c r="P975" t="inlineStr">
        <is>
          <t>20260430</t>
        </is>
      </c>
      <c r="Q975" t="inlineStr">
        <is>
          <t>99991231</t>
        </is>
      </c>
    </row>
    <row r="976">
      <c r="A976" t="inlineStr">
        <is>
          <t>900005974DW70D09310000160</t>
        </is>
      </c>
      <c r="B976" t="inlineStr">
        <is>
          <t>900005974</t>
        </is>
      </c>
      <c r="C976" t="inlineStr">
        <is>
          <t>DW70</t>
        </is>
      </c>
      <c r="D976" t="inlineStr">
        <is>
          <t>D093</t>
        </is>
      </c>
      <c r="E976" t="inlineStr">
        <is>
          <t>1</t>
        </is>
      </c>
      <c r="F976" t="inlineStr">
        <is>
          <t>10000160</t>
        </is>
      </c>
      <c r="H976" t="inlineStr"/>
      <c r="J976" t="n">
        <v>241.42</v>
      </c>
      <c r="K976" t="inlineStr"/>
      <c r="M976" t="inlineStr">
        <is>
          <t>TN</t>
        </is>
      </c>
      <c r="N976" t="inlineStr"/>
      <c r="P976" t="inlineStr">
        <is>
          <t>20260430</t>
        </is>
      </c>
      <c r="Q976" t="inlineStr">
        <is>
          <t>99991231</t>
        </is>
      </c>
    </row>
    <row r="977">
      <c r="A977" t="inlineStr">
        <is>
          <t>900005974DW70D09310000357</t>
        </is>
      </c>
      <c r="B977" t="inlineStr">
        <is>
          <t>900005974</t>
        </is>
      </c>
      <c r="C977" t="inlineStr">
        <is>
          <t>DW70</t>
        </is>
      </c>
      <c r="D977" t="inlineStr">
        <is>
          <t>D093</t>
        </is>
      </c>
      <c r="E977" t="inlineStr">
        <is>
          <t>1</t>
        </is>
      </c>
      <c r="F977" t="inlineStr">
        <is>
          <t>10000357</t>
        </is>
      </c>
      <c r="H977" t="inlineStr"/>
      <c r="J977" t="n">
        <v>256.53</v>
      </c>
      <c r="K977" t="inlineStr"/>
      <c r="M977" t="inlineStr">
        <is>
          <t>TN</t>
        </is>
      </c>
      <c r="N977" t="inlineStr"/>
      <c r="P977" t="inlineStr">
        <is>
          <t>20260430</t>
        </is>
      </c>
      <c r="Q977" t="inlineStr">
        <is>
          <t>99991231</t>
        </is>
      </c>
    </row>
    <row r="978">
      <c r="A978" t="inlineStr">
        <is>
          <t>900005974DW70D09810000160</t>
        </is>
      </c>
      <c r="B978" t="inlineStr">
        <is>
          <t>900005974</t>
        </is>
      </c>
      <c r="C978" t="inlineStr">
        <is>
          <t>DW70</t>
        </is>
      </c>
      <c r="D978" t="inlineStr">
        <is>
          <t>D098</t>
        </is>
      </c>
      <c r="E978" t="inlineStr">
        <is>
          <t>1</t>
        </is>
      </c>
      <c r="F978" t="inlineStr">
        <is>
          <t>10000160</t>
        </is>
      </c>
      <c r="H978" t="inlineStr"/>
      <c r="J978" t="n">
        <v>244.63</v>
      </c>
      <c r="K978" t="inlineStr"/>
      <c r="M978" t="inlineStr">
        <is>
          <t>TN</t>
        </is>
      </c>
      <c r="N978" t="inlineStr"/>
      <c r="P978" t="inlineStr">
        <is>
          <t>20260430</t>
        </is>
      </c>
      <c r="Q978" t="inlineStr">
        <is>
          <t>99991231</t>
        </is>
      </c>
    </row>
    <row r="979">
      <c r="A979" t="inlineStr">
        <is>
          <t>900005974DW70D09810000357</t>
        </is>
      </c>
      <c r="B979" t="inlineStr">
        <is>
          <t>900005974</t>
        </is>
      </c>
      <c r="C979" t="inlineStr">
        <is>
          <t>DW70</t>
        </is>
      </c>
      <c r="D979" t="inlineStr">
        <is>
          <t>D098</t>
        </is>
      </c>
      <c r="E979" t="inlineStr">
        <is>
          <t>1</t>
        </is>
      </c>
      <c r="F979" t="inlineStr">
        <is>
          <t>10000357</t>
        </is>
      </c>
      <c r="H979" t="inlineStr"/>
      <c r="J979" t="n">
        <v>259.95</v>
      </c>
      <c r="K979" t="inlineStr"/>
      <c r="M979" t="inlineStr">
        <is>
          <t>TN</t>
        </is>
      </c>
      <c r="N979" t="inlineStr"/>
      <c r="P979" t="inlineStr">
        <is>
          <t>20260430</t>
        </is>
      </c>
      <c r="Q979" t="inlineStr">
        <is>
          <t>99991231</t>
        </is>
      </c>
    </row>
    <row r="980">
      <c r="A980" t="inlineStr">
        <is>
          <t>900005974DW70D10510000160</t>
        </is>
      </c>
      <c r="B980" t="inlineStr">
        <is>
          <t>900005974</t>
        </is>
      </c>
      <c r="C980" t="inlineStr">
        <is>
          <t>DW70</t>
        </is>
      </c>
      <c r="D980" t="inlineStr">
        <is>
          <t>D105</t>
        </is>
      </c>
      <c r="E980" t="inlineStr">
        <is>
          <t>1</t>
        </is>
      </c>
      <c r="F980" t="inlineStr">
        <is>
          <t>10000160</t>
        </is>
      </c>
      <c r="H980" t="inlineStr"/>
      <c r="J980" t="n">
        <v>270.38</v>
      </c>
      <c r="K980" t="inlineStr"/>
      <c r="M980" t="inlineStr">
        <is>
          <t>TN</t>
        </is>
      </c>
      <c r="N980" t="inlineStr"/>
      <c r="P980" t="inlineStr">
        <is>
          <t>20260430</t>
        </is>
      </c>
      <c r="Q980" t="inlineStr">
        <is>
          <t>99991231</t>
        </is>
      </c>
    </row>
    <row r="981">
      <c r="A981" t="inlineStr">
        <is>
          <t>900005974DW70D10510000357</t>
        </is>
      </c>
      <c r="B981" t="inlineStr">
        <is>
          <t>900005974</t>
        </is>
      </c>
      <c r="C981" t="inlineStr">
        <is>
          <t>DW70</t>
        </is>
      </c>
      <c r="D981" t="inlineStr">
        <is>
          <t>D105</t>
        </is>
      </c>
      <c r="E981" t="inlineStr">
        <is>
          <t>1</t>
        </is>
      </c>
      <c r="F981" t="inlineStr">
        <is>
          <t>10000357</t>
        </is>
      </c>
      <c r="H981" t="inlineStr"/>
      <c r="J981" t="n">
        <v>287.31</v>
      </c>
      <c r="K981" t="inlineStr"/>
      <c r="M981" t="inlineStr">
        <is>
          <t>TN</t>
        </is>
      </c>
      <c r="N981" t="inlineStr"/>
      <c r="P981" t="inlineStr">
        <is>
          <t>20260430</t>
        </is>
      </c>
      <c r="Q981" t="inlineStr">
        <is>
          <t>99991231</t>
        </is>
      </c>
    </row>
    <row r="982">
      <c r="A982" t="inlineStr">
        <is>
          <t>900005974DW70D13610000160</t>
        </is>
      </c>
      <c r="B982" t="inlineStr">
        <is>
          <t>900005974</t>
        </is>
      </c>
      <c r="C982" t="inlineStr">
        <is>
          <t>DW70</t>
        </is>
      </c>
      <c r="D982" t="inlineStr">
        <is>
          <t>D136</t>
        </is>
      </c>
      <c r="E982" t="inlineStr">
        <is>
          <t>1</t>
        </is>
      </c>
      <c r="F982" t="inlineStr">
        <is>
          <t>10000160</t>
        </is>
      </c>
      <c r="H982" t="inlineStr"/>
      <c r="J982" t="n">
        <v>315.44</v>
      </c>
      <c r="K982" t="inlineStr"/>
      <c r="M982" t="inlineStr">
        <is>
          <t>TN</t>
        </is>
      </c>
      <c r="N982" t="inlineStr"/>
      <c r="P982" t="inlineStr">
        <is>
          <t>20260430</t>
        </is>
      </c>
      <c r="Q982" t="inlineStr">
        <is>
          <t>99991231</t>
        </is>
      </c>
    </row>
    <row r="983">
      <c r="A983" t="inlineStr">
        <is>
          <t>900005974DW70D13610000357</t>
        </is>
      </c>
      <c r="B983" t="inlineStr">
        <is>
          <t>900005974</t>
        </is>
      </c>
      <c r="C983" t="inlineStr">
        <is>
          <t>DW70</t>
        </is>
      </c>
      <c r="D983" t="inlineStr">
        <is>
          <t>D136</t>
        </is>
      </c>
      <c r="E983" t="inlineStr">
        <is>
          <t>1</t>
        </is>
      </c>
      <c r="F983" t="inlineStr">
        <is>
          <t>10000357</t>
        </is>
      </c>
      <c r="H983" t="inlineStr"/>
      <c r="J983" t="n">
        <v>335.19</v>
      </c>
      <c r="K983" t="inlineStr"/>
      <c r="M983" t="inlineStr">
        <is>
          <t>TN</t>
        </is>
      </c>
      <c r="N983" t="inlineStr"/>
      <c r="P983" t="inlineStr">
        <is>
          <t>20260430</t>
        </is>
      </c>
      <c r="Q983" t="inlineStr">
        <is>
          <t>99991231</t>
        </is>
      </c>
    </row>
    <row r="984">
      <c r="A984" t="inlineStr">
        <is>
          <t>900005974DW70D14510000160</t>
        </is>
      </c>
      <c r="B984" t="inlineStr">
        <is>
          <t>900005974</t>
        </is>
      </c>
      <c r="C984" t="inlineStr">
        <is>
          <t>DW70</t>
        </is>
      </c>
      <c r="D984" t="inlineStr">
        <is>
          <t>D145</t>
        </is>
      </c>
      <c r="E984" t="inlineStr">
        <is>
          <t>1</t>
        </is>
      </c>
      <c r="F984" t="inlineStr">
        <is>
          <t>10000160</t>
        </is>
      </c>
      <c r="H984" t="inlineStr"/>
      <c r="J984" t="n">
        <v>157.73</v>
      </c>
      <c r="K984" t="inlineStr"/>
      <c r="M984" t="inlineStr">
        <is>
          <t>TN</t>
        </is>
      </c>
      <c r="N984" t="inlineStr"/>
      <c r="P984" t="inlineStr">
        <is>
          <t>20260430</t>
        </is>
      </c>
      <c r="Q984" t="inlineStr">
        <is>
          <t>99991231</t>
        </is>
      </c>
    </row>
    <row r="985">
      <c r="A985" t="inlineStr">
        <is>
          <t>900005974DW70D14510000357</t>
        </is>
      </c>
      <c r="B985" t="inlineStr">
        <is>
          <t>900005974</t>
        </is>
      </c>
      <c r="C985" t="inlineStr">
        <is>
          <t>DW70</t>
        </is>
      </c>
      <c r="D985" t="inlineStr">
        <is>
          <t>D145</t>
        </is>
      </c>
      <c r="E985" t="inlineStr">
        <is>
          <t>1</t>
        </is>
      </c>
      <c r="F985" t="inlineStr">
        <is>
          <t>10000357</t>
        </is>
      </c>
      <c r="H985" t="inlineStr"/>
      <c r="J985" t="n">
        <v>167.6</v>
      </c>
      <c r="K985" t="inlineStr"/>
      <c r="M985" t="inlineStr">
        <is>
          <t>TN</t>
        </is>
      </c>
      <c r="N985" t="inlineStr"/>
      <c r="P985" t="inlineStr">
        <is>
          <t>20260430</t>
        </is>
      </c>
      <c r="Q985" t="inlineStr">
        <is>
          <t>99991231</t>
        </is>
      </c>
    </row>
    <row r="986">
      <c r="A986" t="inlineStr">
        <is>
          <t>900005974DW70D68110000160</t>
        </is>
      </c>
      <c r="B986" t="inlineStr">
        <is>
          <t>900005974</t>
        </is>
      </c>
      <c r="C986" t="inlineStr">
        <is>
          <t>DW70</t>
        </is>
      </c>
      <c r="D986" t="inlineStr">
        <is>
          <t>D681</t>
        </is>
      </c>
      <c r="E986" t="inlineStr">
        <is>
          <t>1</t>
        </is>
      </c>
      <c r="F986" t="inlineStr">
        <is>
          <t>10000160</t>
        </is>
      </c>
      <c r="H986" t="inlineStr"/>
      <c r="J986" t="n">
        <v>196.35</v>
      </c>
      <c r="K986" t="inlineStr"/>
      <c r="M986" t="inlineStr">
        <is>
          <t>TN</t>
        </is>
      </c>
      <c r="N986" t="inlineStr"/>
      <c r="P986" t="inlineStr">
        <is>
          <t>20260430</t>
        </is>
      </c>
      <c r="Q986" t="inlineStr">
        <is>
          <t>99991231</t>
        </is>
      </c>
    </row>
    <row r="987">
      <c r="A987" t="inlineStr">
        <is>
          <t>900005974DW70D68110000357</t>
        </is>
      </c>
      <c r="B987" t="inlineStr">
        <is>
          <t>900005974</t>
        </is>
      </c>
      <c r="C987" t="inlineStr">
        <is>
          <t>DW70</t>
        </is>
      </c>
      <c r="D987" t="inlineStr">
        <is>
          <t>D681</t>
        </is>
      </c>
      <c r="E987" t="inlineStr">
        <is>
          <t>1</t>
        </is>
      </c>
      <c r="F987" t="inlineStr">
        <is>
          <t>10000357</t>
        </is>
      </c>
      <c r="H987" t="inlineStr"/>
      <c r="J987" t="n">
        <v>208.64</v>
      </c>
      <c r="K987" t="inlineStr"/>
      <c r="M987" t="inlineStr">
        <is>
          <t>TN</t>
        </is>
      </c>
      <c r="N987" t="inlineStr"/>
      <c r="P987" t="inlineStr">
        <is>
          <t>20260430</t>
        </is>
      </c>
      <c r="Q987" t="inlineStr">
        <is>
          <t>99991231</t>
        </is>
      </c>
    </row>
    <row r="988">
      <c r="A988" t="inlineStr">
        <is>
          <t>900006140DW70D11110000811</t>
        </is>
      </c>
      <c r="B988" t="inlineStr">
        <is>
          <t>900006140</t>
        </is>
      </c>
      <c r="C988" t="inlineStr">
        <is>
          <t>DW70</t>
        </is>
      </c>
      <c r="D988" t="inlineStr">
        <is>
          <t>D111</t>
        </is>
      </c>
      <c r="E988" t="inlineStr">
        <is>
          <t>1</t>
        </is>
      </c>
      <c r="F988" t="inlineStr">
        <is>
          <t>10000811</t>
        </is>
      </c>
      <c r="H988" t="inlineStr"/>
      <c r="J988" t="n">
        <v>45.12</v>
      </c>
      <c r="K988" t="inlineStr"/>
      <c r="M988" t="inlineStr">
        <is>
          <t>TN</t>
        </is>
      </c>
      <c r="N988" t="inlineStr"/>
      <c r="P988" t="inlineStr">
        <is>
          <t>20220331</t>
        </is>
      </c>
      <c r="Q988" t="inlineStr">
        <is>
          <t>20250131</t>
        </is>
      </c>
    </row>
    <row r="989">
      <c r="A989" t="inlineStr">
        <is>
          <t>900006140DW70D11110161192</t>
        </is>
      </c>
      <c r="B989" t="inlineStr">
        <is>
          <t>900006140</t>
        </is>
      </c>
      <c r="C989" t="inlineStr">
        <is>
          <t>DW70</t>
        </is>
      </c>
      <c r="D989" t="inlineStr">
        <is>
          <t>D111</t>
        </is>
      </c>
      <c r="E989" t="inlineStr">
        <is>
          <t>1</t>
        </is>
      </c>
      <c r="F989" t="inlineStr">
        <is>
          <t>10161192</t>
        </is>
      </c>
      <c r="H989" t="inlineStr"/>
      <c r="J989" t="n">
        <v>48.24</v>
      </c>
      <c r="K989" t="inlineStr"/>
      <c r="M989" t="inlineStr">
        <is>
          <t>TN</t>
        </is>
      </c>
      <c r="N989" t="inlineStr"/>
      <c r="P989" t="inlineStr">
        <is>
          <t>20220331</t>
        </is>
      </c>
      <c r="Q989" t="inlineStr">
        <is>
          <t>20250131</t>
        </is>
      </c>
    </row>
    <row r="990">
      <c r="A990" t="inlineStr">
        <is>
          <t>900006140DW70D11110161492</t>
        </is>
      </c>
      <c r="B990" t="inlineStr">
        <is>
          <t>900006140</t>
        </is>
      </c>
      <c r="C990" t="inlineStr">
        <is>
          <t>DW70</t>
        </is>
      </c>
      <c r="D990" t="inlineStr">
        <is>
          <t>D111</t>
        </is>
      </c>
      <c r="E990" t="inlineStr">
        <is>
          <t>1</t>
        </is>
      </c>
      <c r="F990" t="inlineStr">
        <is>
          <t>10161492</t>
        </is>
      </c>
      <c r="H990" t="inlineStr"/>
      <c r="J990" t="n">
        <v>39.59</v>
      </c>
      <c r="K990" t="inlineStr"/>
      <c r="M990" t="inlineStr">
        <is>
          <t>TN</t>
        </is>
      </c>
      <c r="N990" t="inlineStr"/>
      <c r="P990" t="inlineStr">
        <is>
          <t>20220331</t>
        </is>
      </c>
      <c r="Q990" t="inlineStr">
        <is>
          <t>20250131</t>
        </is>
      </c>
    </row>
    <row r="991">
      <c r="A991" t="inlineStr">
        <is>
          <t>900006140DW70D11110165760</t>
        </is>
      </c>
      <c r="B991" t="inlineStr">
        <is>
          <t>900006140</t>
        </is>
      </c>
      <c r="C991" t="inlineStr">
        <is>
          <t>DW70</t>
        </is>
      </c>
      <c r="D991" t="inlineStr">
        <is>
          <t>D111</t>
        </is>
      </c>
      <c r="E991" t="inlineStr">
        <is>
          <t>1</t>
        </is>
      </c>
      <c r="F991" t="inlineStr">
        <is>
          <t>10165760</t>
        </is>
      </c>
      <c r="H991" t="inlineStr"/>
      <c r="J991" t="n">
        <v>36.06</v>
      </c>
      <c r="K991" t="inlineStr"/>
      <c r="M991" t="inlineStr">
        <is>
          <t>TN</t>
        </is>
      </c>
      <c r="N991" t="inlineStr"/>
      <c r="P991" t="inlineStr">
        <is>
          <t>20220331</t>
        </is>
      </c>
      <c r="Q991" t="inlineStr">
        <is>
          <t>20250131</t>
        </is>
      </c>
    </row>
    <row r="992">
      <c r="A992" t="inlineStr">
        <is>
          <t>900006140DW70D11110165990</t>
        </is>
      </c>
      <c r="B992" t="inlineStr">
        <is>
          <t>900006140</t>
        </is>
      </c>
      <c r="C992" t="inlineStr">
        <is>
          <t>DW70</t>
        </is>
      </c>
      <c r="D992" t="inlineStr">
        <is>
          <t>D111</t>
        </is>
      </c>
      <c r="E992" t="inlineStr">
        <is>
          <t>1</t>
        </is>
      </c>
      <c r="F992" t="inlineStr">
        <is>
          <t>10165990</t>
        </is>
      </c>
      <c r="H992" t="inlineStr"/>
      <c r="J992" t="n">
        <v>54.1</v>
      </c>
      <c r="K992" t="inlineStr"/>
      <c r="M992" t="inlineStr">
        <is>
          <t>TN</t>
        </is>
      </c>
      <c r="N992" t="inlineStr"/>
      <c r="P992" t="inlineStr">
        <is>
          <t>20220331</t>
        </is>
      </c>
      <c r="Q992" t="inlineStr">
        <is>
          <t>20250131</t>
        </is>
      </c>
    </row>
    <row r="993">
      <c r="A993" t="inlineStr">
        <is>
          <t>900006140DW70D11110169677</t>
        </is>
      </c>
      <c r="B993" t="inlineStr">
        <is>
          <t>900006140</t>
        </is>
      </c>
      <c r="C993" t="inlineStr">
        <is>
          <t>DW70</t>
        </is>
      </c>
      <c r="D993" t="inlineStr">
        <is>
          <t>D111</t>
        </is>
      </c>
      <c r="E993" t="inlineStr">
        <is>
          <t>1</t>
        </is>
      </c>
      <c r="F993" t="inlineStr">
        <is>
          <t>10169677</t>
        </is>
      </c>
      <c r="H993" t="inlineStr"/>
      <c r="J993" t="n">
        <v>37.19</v>
      </c>
      <c r="K993" t="inlineStr"/>
      <c r="M993" t="inlineStr">
        <is>
          <t>TN</t>
        </is>
      </c>
      <c r="N993" t="inlineStr"/>
      <c r="P993" t="inlineStr">
        <is>
          <t>20220331</t>
        </is>
      </c>
      <c r="Q993" t="inlineStr">
        <is>
          <t>20250131</t>
        </is>
      </c>
    </row>
    <row r="994">
      <c r="A994" t="inlineStr">
        <is>
          <t>900006172DW70D07410233033</t>
        </is>
      </c>
      <c r="B994" t="inlineStr">
        <is>
          <t>900006172</t>
        </is>
      </c>
      <c r="C994" t="inlineStr">
        <is>
          <t>DW70</t>
        </is>
      </c>
      <c r="D994" t="inlineStr">
        <is>
          <t>D074</t>
        </is>
      </c>
      <c r="E994" t="inlineStr">
        <is>
          <t>4</t>
        </is>
      </c>
      <c r="F994" t="inlineStr">
        <is>
          <t>10233033</t>
        </is>
      </c>
      <c r="H994" t="inlineStr"/>
      <c r="J994" t="n">
        <v>295</v>
      </c>
      <c r="K994" t="inlineStr"/>
      <c r="M994" t="inlineStr">
        <is>
          <t>TN</t>
        </is>
      </c>
      <c r="N994" t="inlineStr"/>
      <c r="P994" t="inlineStr">
        <is>
          <t>20260616</t>
        </is>
      </c>
      <c r="Q994" t="inlineStr">
        <is>
          <t>99991231</t>
        </is>
      </c>
    </row>
    <row r="995">
      <c r="A995" t="inlineStr">
        <is>
          <t>900006172DW70D07510233033</t>
        </is>
      </c>
      <c r="B995" t="inlineStr">
        <is>
          <t>900006172</t>
        </is>
      </c>
      <c r="C995" t="inlineStr">
        <is>
          <t>DW70</t>
        </is>
      </c>
      <c r="D995" t="inlineStr">
        <is>
          <t>D075</t>
        </is>
      </c>
      <c r="E995" t="inlineStr">
        <is>
          <t>4</t>
        </is>
      </c>
      <c r="F995" t="inlineStr">
        <is>
          <t>10233033</t>
        </is>
      </c>
      <c r="H995" t="inlineStr"/>
      <c r="J995" t="n">
        <v>250.71</v>
      </c>
      <c r="K995" t="inlineStr"/>
      <c r="M995" t="inlineStr">
        <is>
          <t>TN</t>
        </is>
      </c>
      <c r="N995" t="inlineStr"/>
      <c r="P995" t="inlineStr">
        <is>
          <t>20260616</t>
        </is>
      </c>
      <c r="Q995" t="inlineStr">
        <is>
          <t>99991231</t>
        </is>
      </c>
    </row>
    <row r="996">
      <c r="A996" t="inlineStr">
        <is>
          <t>900006172DW70D07710233033</t>
        </is>
      </c>
      <c r="B996" t="inlineStr">
        <is>
          <t>900006172</t>
        </is>
      </c>
      <c r="C996" t="inlineStr">
        <is>
          <t>DW70</t>
        </is>
      </c>
      <c r="D996" t="inlineStr">
        <is>
          <t>D077</t>
        </is>
      </c>
      <c r="E996" t="inlineStr">
        <is>
          <t>4</t>
        </is>
      </c>
      <c r="F996" t="inlineStr">
        <is>
          <t>10233033</t>
        </is>
      </c>
      <c r="H996" t="inlineStr"/>
      <c r="J996" t="n">
        <v>372.14</v>
      </c>
      <c r="K996" t="inlineStr"/>
      <c r="M996" t="inlineStr">
        <is>
          <t>TN</t>
        </is>
      </c>
      <c r="N996" t="inlineStr"/>
      <c r="P996" t="inlineStr">
        <is>
          <t>20260616</t>
        </is>
      </c>
      <c r="Q996" t="inlineStr">
        <is>
          <t>99991231</t>
        </is>
      </c>
    </row>
    <row r="997">
      <c r="A997" t="inlineStr">
        <is>
          <t>900006172DW70D07910233033</t>
        </is>
      </c>
      <c r="B997" t="inlineStr">
        <is>
          <t>900006172</t>
        </is>
      </c>
      <c r="C997" t="inlineStr">
        <is>
          <t>DW70</t>
        </is>
      </c>
      <c r="D997" t="inlineStr">
        <is>
          <t>D079</t>
        </is>
      </c>
      <c r="E997" t="inlineStr">
        <is>
          <t>4</t>
        </is>
      </c>
      <c r="F997" t="inlineStr">
        <is>
          <t>10233033</t>
        </is>
      </c>
      <c r="H997" t="inlineStr"/>
      <c r="J997" t="n">
        <v>384.29</v>
      </c>
      <c r="K997" t="inlineStr"/>
      <c r="M997" t="inlineStr">
        <is>
          <t>TN</t>
        </is>
      </c>
      <c r="N997" t="inlineStr"/>
      <c r="P997" t="inlineStr">
        <is>
          <t>20260616</t>
        </is>
      </c>
      <c r="Q997" t="inlineStr">
        <is>
          <t>99991231</t>
        </is>
      </c>
    </row>
    <row r="998">
      <c r="A998" t="inlineStr">
        <is>
          <t>900006172DW70D08010233033</t>
        </is>
      </c>
      <c r="B998" t="inlineStr">
        <is>
          <t>900006172</t>
        </is>
      </c>
      <c r="C998" t="inlineStr">
        <is>
          <t>DW70</t>
        </is>
      </c>
      <c r="D998" t="inlineStr">
        <is>
          <t>D080</t>
        </is>
      </c>
      <c r="E998" t="inlineStr">
        <is>
          <t>4</t>
        </is>
      </c>
      <c r="F998" t="inlineStr">
        <is>
          <t>10233033</t>
        </is>
      </c>
      <c r="H998" t="inlineStr"/>
      <c r="J998" t="n">
        <v>250.71</v>
      </c>
      <c r="K998" t="inlineStr"/>
      <c r="M998" t="inlineStr">
        <is>
          <t>TN</t>
        </is>
      </c>
      <c r="N998" t="inlineStr"/>
      <c r="P998" t="inlineStr">
        <is>
          <t>20260616</t>
        </is>
      </c>
      <c r="Q998" t="inlineStr">
        <is>
          <t>99991231</t>
        </is>
      </c>
    </row>
    <row r="999">
      <c r="A999" t="inlineStr">
        <is>
          <t>900006172DW70D08110233033</t>
        </is>
      </c>
      <c r="B999" t="inlineStr">
        <is>
          <t>900006172</t>
        </is>
      </c>
      <c r="C999" t="inlineStr">
        <is>
          <t>DW70</t>
        </is>
      </c>
      <c r="D999" t="inlineStr">
        <is>
          <t>D081</t>
        </is>
      </c>
      <c r="E999" t="inlineStr">
        <is>
          <t>4</t>
        </is>
      </c>
      <c r="F999" t="inlineStr">
        <is>
          <t>10233033</t>
        </is>
      </c>
      <c r="H999" t="inlineStr"/>
      <c r="J999" t="n">
        <v>250.71</v>
      </c>
      <c r="K999" t="inlineStr"/>
      <c r="M999" t="inlineStr">
        <is>
          <t>TN</t>
        </is>
      </c>
      <c r="N999" t="inlineStr"/>
      <c r="P999" t="inlineStr">
        <is>
          <t>20260616</t>
        </is>
      </c>
      <c r="Q999" t="inlineStr">
        <is>
          <t>99991231</t>
        </is>
      </c>
    </row>
    <row r="1000">
      <c r="A1000" t="inlineStr">
        <is>
          <t>900006172DW70D08310233033</t>
        </is>
      </c>
      <c r="B1000" t="inlineStr">
        <is>
          <t>900006172</t>
        </is>
      </c>
      <c r="C1000" t="inlineStr">
        <is>
          <t>DW70</t>
        </is>
      </c>
      <c r="D1000" t="inlineStr">
        <is>
          <t>D083</t>
        </is>
      </c>
      <c r="E1000" t="inlineStr">
        <is>
          <t>4</t>
        </is>
      </c>
      <c r="F1000" t="inlineStr">
        <is>
          <t>10233033</t>
        </is>
      </c>
      <c r="H1000" t="inlineStr"/>
      <c r="J1000" t="n">
        <v>302.14</v>
      </c>
      <c r="K1000" t="inlineStr"/>
      <c r="M1000" t="inlineStr">
        <is>
          <t>TN</t>
        </is>
      </c>
      <c r="N1000" t="inlineStr"/>
      <c r="P1000" t="inlineStr">
        <is>
          <t>20260616</t>
        </is>
      </c>
      <c r="Q1000" t="inlineStr">
        <is>
          <t>99991231</t>
        </is>
      </c>
    </row>
    <row r="1001">
      <c r="A1001" t="inlineStr">
        <is>
          <t>900006172DW70D08410233033</t>
        </is>
      </c>
      <c r="B1001" t="inlineStr">
        <is>
          <t>900006172</t>
        </is>
      </c>
      <c r="C1001" t="inlineStr">
        <is>
          <t>DW70</t>
        </is>
      </c>
      <c r="D1001" t="inlineStr">
        <is>
          <t>D084</t>
        </is>
      </c>
      <c r="E1001" t="inlineStr">
        <is>
          <t>4</t>
        </is>
      </c>
      <c r="F1001" t="inlineStr">
        <is>
          <t>10233033</t>
        </is>
      </c>
      <c r="H1001" t="inlineStr"/>
      <c r="J1001" t="n">
        <v>336.43</v>
      </c>
      <c r="K1001" t="inlineStr"/>
      <c r="M1001" t="inlineStr">
        <is>
          <t>TN</t>
        </is>
      </c>
      <c r="N1001" t="inlineStr"/>
      <c r="P1001" t="inlineStr">
        <is>
          <t>20260616</t>
        </is>
      </c>
      <c r="Q1001" t="inlineStr">
        <is>
          <t>99991231</t>
        </is>
      </c>
    </row>
    <row r="1002">
      <c r="A1002" t="inlineStr">
        <is>
          <t>900006172DW70D08510233033</t>
        </is>
      </c>
      <c r="B1002" t="inlineStr">
        <is>
          <t>900006172</t>
        </is>
      </c>
      <c r="C1002" t="inlineStr">
        <is>
          <t>DW70</t>
        </is>
      </c>
      <c r="D1002" t="inlineStr">
        <is>
          <t>D085</t>
        </is>
      </c>
      <c r="E1002" t="inlineStr">
        <is>
          <t>4</t>
        </is>
      </c>
      <c r="F1002" t="inlineStr">
        <is>
          <t>10233033</t>
        </is>
      </c>
      <c r="H1002" t="inlineStr"/>
      <c r="J1002" t="n">
        <v>342.86</v>
      </c>
      <c r="K1002" t="inlineStr"/>
      <c r="M1002" t="inlineStr">
        <is>
          <t>TN</t>
        </is>
      </c>
      <c r="N1002" t="inlineStr"/>
      <c r="P1002" t="inlineStr">
        <is>
          <t>20260616</t>
        </is>
      </c>
      <c r="Q1002" t="inlineStr">
        <is>
          <t>99991231</t>
        </is>
      </c>
    </row>
    <row r="1003">
      <c r="A1003" t="inlineStr">
        <is>
          <t>900006172DW70D09310233033</t>
        </is>
      </c>
      <c r="B1003" t="inlineStr">
        <is>
          <t>900006172</t>
        </is>
      </c>
      <c r="C1003" t="inlineStr">
        <is>
          <t>DW70</t>
        </is>
      </c>
      <c r="D1003" t="inlineStr">
        <is>
          <t>D093</t>
        </is>
      </c>
      <c r="E1003" t="inlineStr">
        <is>
          <t>4</t>
        </is>
      </c>
      <c r="F1003" t="inlineStr">
        <is>
          <t>10233033</t>
        </is>
      </c>
      <c r="H1003" t="inlineStr"/>
      <c r="J1003" t="n">
        <v>136.43</v>
      </c>
      <c r="K1003" t="inlineStr"/>
      <c r="M1003" t="inlineStr">
        <is>
          <t>TN</t>
        </is>
      </c>
      <c r="N1003" t="inlineStr"/>
      <c r="P1003" t="inlineStr">
        <is>
          <t>20260616</t>
        </is>
      </c>
      <c r="Q1003" t="inlineStr">
        <is>
          <t>99991231</t>
        </is>
      </c>
    </row>
    <row r="1004">
      <c r="A1004" t="inlineStr">
        <is>
          <t>900006172DW70D09810233033</t>
        </is>
      </c>
      <c r="B1004" t="inlineStr">
        <is>
          <t>900006172</t>
        </is>
      </c>
      <c r="C1004" t="inlineStr">
        <is>
          <t>DW70</t>
        </is>
      </c>
      <c r="D1004" t="inlineStr">
        <is>
          <t>D098</t>
        </is>
      </c>
      <c r="E1004" t="inlineStr">
        <is>
          <t>4</t>
        </is>
      </c>
      <c r="F1004" t="inlineStr">
        <is>
          <t>10233033</t>
        </is>
      </c>
      <c r="H1004" t="inlineStr"/>
      <c r="J1004" t="n">
        <v>177.86</v>
      </c>
      <c r="K1004" t="inlineStr"/>
      <c r="M1004" t="inlineStr">
        <is>
          <t>TN</t>
        </is>
      </c>
      <c r="N1004" t="inlineStr"/>
      <c r="P1004" t="inlineStr">
        <is>
          <t>20260616</t>
        </is>
      </c>
      <c r="Q1004" t="inlineStr">
        <is>
          <t>99991231</t>
        </is>
      </c>
    </row>
    <row r="1005">
      <c r="A1005" t="inlineStr">
        <is>
          <t>900006172DW70D10510233033</t>
        </is>
      </c>
      <c r="B1005" t="inlineStr">
        <is>
          <t>900006172</t>
        </is>
      </c>
      <c r="C1005" t="inlineStr">
        <is>
          <t>DW70</t>
        </is>
      </c>
      <c r="D1005" t="inlineStr">
        <is>
          <t>D105</t>
        </is>
      </c>
      <c r="E1005" t="inlineStr">
        <is>
          <t>4</t>
        </is>
      </c>
      <c r="F1005" t="inlineStr">
        <is>
          <t>10233033</t>
        </is>
      </c>
      <c r="H1005" t="inlineStr"/>
      <c r="J1005" t="n">
        <v>257.14</v>
      </c>
      <c r="K1005" t="inlineStr"/>
      <c r="M1005" t="inlineStr">
        <is>
          <t>TN</t>
        </is>
      </c>
      <c r="N1005" t="inlineStr"/>
      <c r="P1005" t="inlineStr">
        <is>
          <t>20260616</t>
        </is>
      </c>
      <c r="Q1005" t="inlineStr">
        <is>
          <t>99991231</t>
        </is>
      </c>
    </row>
    <row r="1006">
      <c r="A1006" t="inlineStr">
        <is>
          <t>900006172DW70D13610233033</t>
        </is>
      </c>
      <c r="B1006" t="inlineStr">
        <is>
          <t>900006172</t>
        </is>
      </c>
      <c r="C1006" t="inlineStr">
        <is>
          <t>DW70</t>
        </is>
      </c>
      <c r="D1006" t="inlineStr">
        <is>
          <t>D136</t>
        </is>
      </c>
      <c r="E1006" t="inlineStr">
        <is>
          <t>4</t>
        </is>
      </c>
      <c r="F1006" t="inlineStr">
        <is>
          <t>10233033</t>
        </is>
      </c>
      <c r="H1006" t="inlineStr"/>
      <c r="J1006" t="n">
        <v>336.43</v>
      </c>
      <c r="K1006" t="inlineStr"/>
      <c r="M1006" t="inlineStr">
        <is>
          <t>TN</t>
        </is>
      </c>
      <c r="N1006" t="inlineStr"/>
      <c r="P1006" t="inlineStr">
        <is>
          <t>20260616</t>
        </is>
      </c>
      <c r="Q1006" t="inlineStr">
        <is>
          <t>99991231</t>
        </is>
      </c>
    </row>
    <row r="1007">
      <c r="A1007" t="inlineStr">
        <is>
          <t>900006172DW70D14510233033</t>
        </is>
      </c>
      <c r="B1007" t="inlineStr">
        <is>
          <t>900006172</t>
        </is>
      </c>
      <c r="C1007" t="inlineStr">
        <is>
          <t>DW70</t>
        </is>
      </c>
      <c r="D1007" t="inlineStr">
        <is>
          <t>D145</t>
        </is>
      </c>
      <c r="E1007" t="inlineStr">
        <is>
          <t>4</t>
        </is>
      </c>
      <c r="F1007" t="inlineStr">
        <is>
          <t>10233033</t>
        </is>
      </c>
      <c r="H1007" t="inlineStr"/>
      <c r="J1007" t="n">
        <v>212.86</v>
      </c>
      <c r="K1007" t="inlineStr"/>
      <c r="M1007" t="inlineStr">
        <is>
          <t>TN</t>
        </is>
      </c>
      <c r="N1007" t="inlineStr"/>
      <c r="P1007" t="inlineStr">
        <is>
          <t>20260616</t>
        </is>
      </c>
      <c r="Q1007" t="inlineStr">
        <is>
          <t>99991231</t>
        </is>
      </c>
    </row>
    <row r="1008">
      <c r="A1008" t="inlineStr">
        <is>
          <t>900006172DW70D68110233033</t>
        </is>
      </c>
      <c r="B1008" t="inlineStr">
        <is>
          <t>900006172</t>
        </is>
      </c>
      <c r="C1008" t="inlineStr">
        <is>
          <t>DW70</t>
        </is>
      </c>
      <c r="D1008" t="inlineStr">
        <is>
          <t>D681</t>
        </is>
      </c>
      <c r="E1008" t="inlineStr">
        <is>
          <t>4</t>
        </is>
      </c>
      <c r="F1008" t="inlineStr">
        <is>
          <t>10233033</t>
        </is>
      </c>
      <c r="H1008" t="inlineStr"/>
      <c r="J1008" t="n">
        <v>200</v>
      </c>
      <c r="K1008" t="inlineStr"/>
      <c r="M1008" t="inlineStr">
        <is>
          <t>TN</t>
        </is>
      </c>
      <c r="N1008" t="inlineStr"/>
      <c r="P1008" t="inlineStr">
        <is>
          <t>20260616</t>
        </is>
      </c>
      <c r="Q1008" t="inlineStr">
        <is>
          <t>99991231</t>
        </is>
      </c>
    </row>
    <row r="1009">
      <c r="A1009" t="inlineStr">
        <is>
          <t>900006227DW70D08810000624</t>
        </is>
      </c>
      <c r="B1009" t="inlineStr">
        <is>
          <t>900006227</t>
        </is>
      </c>
      <c r="C1009" t="inlineStr">
        <is>
          <t>DW70</t>
        </is>
      </c>
      <c r="D1009" t="inlineStr">
        <is>
          <t>D088</t>
        </is>
      </c>
      <c r="E1009" t="inlineStr">
        <is>
          <t>1</t>
        </is>
      </c>
      <c r="F1009" t="inlineStr">
        <is>
          <t>10000624</t>
        </is>
      </c>
      <c r="H1009" t="inlineStr"/>
      <c r="J1009" t="n">
        <v>62.19</v>
      </c>
      <c r="K1009" t="inlineStr"/>
      <c r="M1009" t="inlineStr">
        <is>
          <t>TN</t>
        </is>
      </c>
      <c r="N1009" t="inlineStr"/>
      <c r="P1009" t="inlineStr">
        <is>
          <t>20220331</t>
        </is>
      </c>
      <c r="Q1009" t="inlineStr">
        <is>
          <t>20250131</t>
        </is>
      </c>
    </row>
    <row r="1010">
      <c r="A1010" t="inlineStr">
        <is>
          <t>900006227DW70D08810170112</t>
        </is>
      </c>
      <c r="B1010" t="inlineStr">
        <is>
          <t>900006227</t>
        </is>
      </c>
      <c r="C1010" t="inlineStr">
        <is>
          <t>DW70</t>
        </is>
      </c>
      <c r="D1010" t="inlineStr">
        <is>
          <t>D088</t>
        </is>
      </c>
      <c r="E1010" t="inlineStr">
        <is>
          <t>1</t>
        </is>
      </c>
      <c r="F1010" t="inlineStr">
        <is>
          <t>10170112</t>
        </is>
      </c>
      <c r="H1010" t="inlineStr"/>
      <c r="J1010" t="n">
        <v>63.37</v>
      </c>
      <c r="K1010" t="inlineStr"/>
      <c r="M1010" t="inlineStr">
        <is>
          <t>TN</t>
        </is>
      </c>
      <c r="N1010" t="inlineStr"/>
      <c r="P1010" t="inlineStr">
        <is>
          <t>20220331</t>
        </is>
      </c>
      <c r="Q1010" t="inlineStr">
        <is>
          <t>20250131</t>
        </is>
      </c>
    </row>
    <row r="1011">
      <c r="A1011" t="inlineStr">
        <is>
          <t>900006227DW70D09310000624</t>
        </is>
      </c>
      <c r="B1011" t="inlineStr">
        <is>
          <t>900006227</t>
        </is>
      </c>
      <c r="C1011" t="inlineStr">
        <is>
          <t>DW70</t>
        </is>
      </c>
      <c r="D1011" t="inlineStr">
        <is>
          <t>D093</t>
        </is>
      </c>
      <c r="E1011" t="inlineStr">
        <is>
          <t>1</t>
        </is>
      </c>
      <c r="F1011" t="inlineStr">
        <is>
          <t>10000624</t>
        </is>
      </c>
      <c r="H1011" t="inlineStr"/>
      <c r="J1011" t="n">
        <v>115.17</v>
      </c>
      <c r="K1011" t="inlineStr"/>
      <c r="M1011" t="inlineStr">
        <is>
          <t>TN</t>
        </is>
      </c>
      <c r="N1011" t="inlineStr"/>
      <c r="P1011" t="inlineStr">
        <is>
          <t>20220331</t>
        </is>
      </c>
      <c r="Q1011" t="inlineStr">
        <is>
          <t>20250131</t>
        </is>
      </c>
    </row>
    <row r="1012">
      <c r="A1012" t="inlineStr">
        <is>
          <t>900006227DW70D09310170112</t>
        </is>
      </c>
      <c r="B1012" t="inlineStr">
        <is>
          <t>900006227</t>
        </is>
      </c>
      <c r="C1012" t="inlineStr">
        <is>
          <t>DW70</t>
        </is>
      </c>
      <c r="D1012" t="inlineStr">
        <is>
          <t>D093</t>
        </is>
      </c>
      <c r="E1012" t="inlineStr">
        <is>
          <t>1</t>
        </is>
      </c>
      <c r="F1012" t="inlineStr">
        <is>
          <t>10170112</t>
        </is>
      </c>
      <c r="H1012" t="inlineStr"/>
      <c r="J1012" t="n">
        <v>117.36</v>
      </c>
      <c r="K1012" t="inlineStr"/>
      <c r="M1012" t="inlineStr">
        <is>
          <t>TN</t>
        </is>
      </c>
      <c r="N1012" t="inlineStr"/>
      <c r="P1012" t="inlineStr">
        <is>
          <t>20220331</t>
        </is>
      </c>
      <c r="Q1012" t="inlineStr">
        <is>
          <t>20250131</t>
        </is>
      </c>
    </row>
    <row r="1013">
      <c r="A1013" t="inlineStr">
        <is>
          <t>900006227DW70D09810000624</t>
        </is>
      </c>
      <c r="B1013" t="inlineStr">
        <is>
          <t>900006227</t>
        </is>
      </c>
      <c r="C1013" t="inlineStr">
        <is>
          <t>DW70</t>
        </is>
      </c>
      <c r="D1013" t="inlineStr">
        <is>
          <t>D098</t>
        </is>
      </c>
      <c r="E1013" t="inlineStr">
        <is>
          <t>1</t>
        </is>
      </c>
      <c r="F1013" t="inlineStr">
        <is>
          <t>10000624</t>
        </is>
      </c>
      <c r="H1013" t="inlineStr"/>
      <c r="J1013" t="n">
        <v>112.87</v>
      </c>
      <c r="K1013" t="inlineStr"/>
      <c r="M1013" t="inlineStr">
        <is>
          <t>TN</t>
        </is>
      </c>
      <c r="N1013" t="inlineStr"/>
      <c r="P1013" t="inlineStr">
        <is>
          <t>20220331</t>
        </is>
      </c>
      <c r="Q1013" t="inlineStr">
        <is>
          <t>20250131</t>
        </is>
      </c>
    </row>
    <row r="1014">
      <c r="A1014" t="inlineStr">
        <is>
          <t>900006227DW70D09810170112</t>
        </is>
      </c>
      <c r="B1014" t="inlineStr">
        <is>
          <t>900006227</t>
        </is>
      </c>
      <c r="C1014" t="inlineStr">
        <is>
          <t>DW70</t>
        </is>
      </c>
      <c r="D1014" t="inlineStr">
        <is>
          <t>D098</t>
        </is>
      </c>
      <c r="E1014" t="inlineStr">
        <is>
          <t>1</t>
        </is>
      </c>
      <c r="F1014" t="inlineStr">
        <is>
          <t>10170112</t>
        </is>
      </c>
      <c r="H1014" t="inlineStr"/>
      <c r="J1014" t="n">
        <v>115.01</v>
      </c>
      <c r="K1014" t="inlineStr"/>
      <c r="M1014" t="inlineStr">
        <is>
          <t>TN</t>
        </is>
      </c>
      <c r="N1014" t="inlineStr"/>
      <c r="P1014" t="inlineStr">
        <is>
          <t>20220331</t>
        </is>
      </c>
      <c r="Q1014" t="inlineStr">
        <is>
          <t>20250131</t>
        </is>
      </c>
    </row>
    <row r="1015">
      <c r="A1015" t="inlineStr">
        <is>
          <t>900006227DW70D10510000624</t>
        </is>
      </c>
      <c r="B1015" t="inlineStr">
        <is>
          <t>900006227</t>
        </is>
      </c>
      <c r="C1015" t="inlineStr">
        <is>
          <t>DW70</t>
        </is>
      </c>
      <c r="D1015" t="inlineStr">
        <is>
          <t>D105</t>
        </is>
      </c>
      <c r="E1015" t="inlineStr">
        <is>
          <t>1</t>
        </is>
      </c>
      <c r="F1015" t="inlineStr">
        <is>
          <t>10000624</t>
        </is>
      </c>
      <c r="H1015" t="inlineStr"/>
      <c r="J1015" t="n">
        <v>177.37</v>
      </c>
      <c r="K1015" t="inlineStr"/>
      <c r="M1015" t="inlineStr">
        <is>
          <t>TN</t>
        </is>
      </c>
      <c r="N1015" t="inlineStr"/>
      <c r="P1015" t="inlineStr">
        <is>
          <t>20220331</t>
        </is>
      </c>
      <c r="Q1015" t="inlineStr">
        <is>
          <t>20250131</t>
        </is>
      </c>
    </row>
    <row r="1016">
      <c r="A1016" t="inlineStr">
        <is>
          <t>900006227DW70D10510170112</t>
        </is>
      </c>
      <c r="B1016" t="inlineStr">
        <is>
          <t>900006227</t>
        </is>
      </c>
      <c r="C1016" t="inlineStr">
        <is>
          <t>DW70</t>
        </is>
      </c>
      <c r="D1016" t="inlineStr">
        <is>
          <t>D105</t>
        </is>
      </c>
      <c r="E1016" t="inlineStr">
        <is>
          <t>1</t>
        </is>
      </c>
      <c r="F1016" t="inlineStr">
        <is>
          <t>10170112</t>
        </is>
      </c>
      <c r="H1016" t="inlineStr"/>
      <c r="J1016" t="n">
        <v>180.73</v>
      </c>
      <c r="K1016" t="inlineStr"/>
      <c r="M1016" t="inlineStr">
        <is>
          <t>TN</t>
        </is>
      </c>
      <c r="N1016" t="inlineStr"/>
      <c r="P1016" t="inlineStr">
        <is>
          <t>20220331</t>
        </is>
      </c>
      <c r="Q1016" t="inlineStr">
        <is>
          <t>20250131</t>
        </is>
      </c>
    </row>
    <row r="1017">
      <c r="A1017" t="inlineStr">
        <is>
          <t>900006227DW70D14510000624</t>
        </is>
      </c>
      <c r="B1017" t="inlineStr">
        <is>
          <t>900006227</t>
        </is>
      </c>
      <c r="C1017" t="inlineStr">
        <is>
          <t>DW70</t>
        </is>
      </c>
      <c r="D1017" t="inlineStr">
        <is>
          <t>D145</t>
        </is>
      </c>
      <c r="E1017" t="inlineStr">
        <is>
          <t>1</t>
        </is>
      </c>
      <c r="F1017" t="inlineStr">
        <is>
          <t>10000624</t>
        </is>
      </c>
      <c r="H1017" t="inlineStr"/>
      <c r="J1017" t="n">
        <v>175.06</v>
      </c>
      <c r="K1017" t="inlineStr"/>
      <c r="M1017" t="inlineStr">
        <is>
          <t>TN</t>
        </is>
      </c>
      <c r="N1017" t="inlineStr"/>
      <c r="P1017" t="inlineStr">
        <is>
          <t>20220331</t>
        </is>
      </c>
      <c r="Q1017" t="inlineStr">
        <is>
          <t>20250131</t>
        </is>
      </c>
    </row>
    <row r="1018">
      <c r="A1018" t="inlineStr">
        <is>
          <t>900006227DW70D14510170112</t>
        </is>
      </c>
      <c r="B1018" t="inlineStr">
        <is>
          <t>900006227</t>
        </is>
      </c>
      <c r="C1018" t="inlineStr">
        <is>
          <t>DW70</t>
        </is>
      </c>
      <c r="D1018" t="inlineStr">
        <is>
          <t>D145</t>
        </is>
      </c>
      <c r="E1018" t="inlineStr">
        <is>
          <t>1</t>
        </is>
      </c>
      <c r="F1018" t="inlineStr">
        <is>
          <t>10170112</t>
        </is>
      </c>
      <c r="H1018" t="inlineStr"/>
      <c r="J1018" t="n">
        <v>178.38</v>
      </c>
      <c r="K1018" t="inlineStr"/>
      <c r="M1018" t="inlineStr">
        <is>
          <t>TN</t>
        </is>
      </c>
      <c r="N1018" t="inlineStr"/>
      <c r="P1018" t="inlineStr">
        <is>
          <t>20220331</t>
        </is>
      </c>
      <c r="Q1018" t="inlineStr">
        <is>
          <t>20250131</t>
        </is>
      </c>
    </row>
    <row r="1019">
      <c r="A1019" t="inlineStr">
        <is>
          <t>900006227DW70E67310000624</t>
        </is>
      </c>
      <c r="B1019" t="inlineStr">
        <is>
          <t>900006227</t>
        </is>
      </c>
      <c r="C1019" t="inlineStr">
        <is>
          <t>DW70</t>
        </is>
      </c>
      <c r="D1019" t="inlineStr">
        <is>
          <t>E673</t>
        </is>
      </c>
      <c r="E1019" t="inlineStr">
        <is>
          <t>1</t>
        </is>
      </c>
      <c r="F1019" t="inlineStr">
        <is>
          <t>10000624</t>
        </is>
      </c>
      <c r="H1019" t="inlineStr"/>
      <c r="J1019" t="n">
        <v>193.83</v>
      </c>
      <c r="K1019" t="inlineStr"/>
      <c r="M1019" t="inlineStr">
        <is>
          <t>TN</t>
        </is>
      </c>
      <c r="N1019" t="inlineStr"/>
      <c r="P1019" t="inlineStr">
        <is>
          <t>20220331</t>
        </is>
      </c>
      <c r="Q1019" t="inlineStr">
        <is>
          <t>20250131</t>
        </is>
      </c>
    </row>
    <row r="1020">
      <c r="A1020" t="inlineStr">
        <is>
          <t>900006227DW70E67310170112</t>
        </is>
      </c>
      <c r="B1020" t="inlineStr">
        <is>
          <t>900006227</t>
        </is>
      </c>
      <c r="C1020" t="inlineStr">
        <is>
          <t>DW70</t>
        </is>
      </c>
      <c r="D1020" t="inlineStr">
        <is>
          <t>E673</t>
        </is>
      </c>
      <c r="E1020" t="inlineStr">
        <is>
          <t>1</t>
        </is>
      </c>
      <c r="F1020" t="inlineStr">
        <is>
          <t>10170112</t>
        </is>
      </c>
      <c r="H1020" t="inlineStr"/>
      <c r="J1020" t="n">
        <v>197.51</v>
      </c>
      <c r="K1020" t="inlineStr"/>
      <c r="M1020" t="inlineStr">
        <is>
          <t>TN</t>
        </is>
      </c>
      <c r="N1020" t="inlineStr"/>
      <c r="P1020" t="inlineStr">
        <is>
          <t>20220331</t>
        </is>
      </c>
      <c r="Q1020" t="inlineStr">
        <is>
          <t>20250131</t>
        </is>
      </c>
    </row>
    <row r="1021">
      <c r="A1021" t="inlineStr">
        <is>
          <t>900006227DW70EQ7510000624</t>
        </is>
      </c>
      <c r="B1021" t="inlineStr">
        <is>
          <t>900006227</t>
        </is>
      </c>
      <c r="C1021" t="inlineStr">
        <is>
          <t>DW70</t>
        </is>
      </c>
      <c r="D1021" t="inlineStr">
        <is>
          <t>EQ75</t>
        </is>
      </c>
      <c r="E1021" t="inlineStr">
        <is>
          <t>1</t>
        </is>
      </c>
      <c r="F1021" t="inlineStr">
        <is>
          <t>10000624</t>
        </is>
      </c>
      <c r="H1021" t="inlineStr"/>
      <c r="J1021" t="n">
        <v>183.21</v>
      </c>
      <c r="K1021" t="inlineStr"/>
      <c r="M1021" t="inlineStr">
        <is>
          <t>TN</t>
        </is>
      </c>
      <c r="N1021" t="inlineStr"/>
      <c r="P1021" t="inlineStr">
        <is>
          <t>20220331</t>
        </is>
      </c>
      <c r="Q1021" t="inlineStr">
        <is>
          <t>20250131</t>
        </is>
      </c>
    </row>
    <row r="1022">
      <c r="A1022" t="inlineStr">
        <is>
          <t>900006227DW70EQ7510170112</t>
        </is>
      </c>
      <c r="B1022" t="inlineStr">
        <is>
          <t>900006227</t>
        </is>
      </c>
      <c r="C1022" t="inlineStr">
        <is>
          <t>DW70</t>
        </is>
      </c>
      <c r="D1022" t="inlineStr">
        <is>
          <t>EQ75</t>
        </is>
      </c>
      <c r="E1022" t="inlineStr">
        <is>
          <t>1</t>
        </is>
      </c>
      <c r="F1022" t="inlineStr">
        <is>
          <t>10170112</t>
        </is>
      </c>
      <c r="H1022" t="inlineStr"/>
      <c r="J1022" t="n">
        <v>186.69</v>
      </c>
      <c r="K1022" t="inlineStr"/>
      <c r="M1022" t="inlineStr">
        <is>
          <t>TN</t>
        </is>
      </c>
      <c r="N1022" t="inlineStr"/>
      <c r="P1022" t="inlineStr">
        <is>
          <t>20220331</t>
        </is>
      </c>
      <c r="Q1022" t="inlineStr">
        <is>
          <t>20250131</t>
        </is>
      </c>
    </row>
    <row r="1023">
      <c r="A1023" t="inlineStr">
        <is>
          <t>900006234DW70ENAW10194058</t>
        </is>
      </c>
      <c r="B1023" t="inlineStr">
        <is>
          <t>900006234</t>
        </is>
      </c>
      <c r="C1023" t="inlineStr">
        <is>
          <t>DW70</t>
        </is>
      </c>
      <c r="D1023" t="inlineStr">
        <is>
          <t>ENAW</t>
        </is>
      </c>
      <c r="E1023" t="inlineStr">
        <is>
          <t>4</t>
        </is>
      </c>
      <c r="F1023" t="inlineStr">
        <is>
          <t>10194058</t>
        </is>
      </c>
      <c r="H1023" t="inlineStr"/>
      <c r="J1023" t="n">
        <v>150.38</v>
      </c>
      <c r="K1023" t="inlineStr"/>
      <c r="M1023" t="inlineStr">
        <is>
          <t>TN</t>
        </is>
      </c>
      <c r="N1023" t="inlineStr"/>
      <c r="P1023" t="inlineStr">
        <is>
          <t>20241121</t>
        </is>
      </c>
      <c r="Q1023" t="inlineStr">
        <is>
          <t>20260215</t>
        </is>
      </c>
    </row>
    <row r="1024">
      <c r="A1024" t="inlineStr">
        <is>
          <t>900006234DW70ENAW10227694</t>
        </is>
      </c>
      <c r="B1024" t="inlineStr">
        <is>
          <t>900006234</t>
        </is>
      </c>
      <c r="C1024" t="inlineStr">
        <is>
          <t>DW70</t>
        </is>
      </c>
      <c r="D1024" t="inlineStr">
        <is>
          <t>ENAW</t>
        </is>
      </c>
      <c r="E1024" t="inlineStr">
        <is>
          <t>4</t>
        </is>
      </c>
      <c r="F1024" t="inlineStr">
        <is>
          <t>10227694</t>
        </is>
      </c>
      <c r="H1024" t="inlineStr"/>
      <c r="J1024" t="n">
        <v>141.34</v>
      </c>
      <c r="K1024" t="inlineStr"/>
      <c r="M1024" t="inlineStr">
        <is>
          <t>TN</t>
        </is>
      </c>
      <c r="N1024" t="inlineStr"/>
      <c r="P1024" t="inlineStr">
        <is>
          <t>20250401</t>
        </is>
      </c>
      <c r="Q1024" t="inlineStr">
        <is>
          <t>20251031</t>
        </is>
      </c>
    </row>
    <row r="1025">
      <c r="A1025" t="inlineStr">
        <is>
          <t>900006436DW70EQ7510128743</t>
        </is>
      </c>
      <c r="B1025" t="inlineStr">
        <is>
          <t>900006436</t>
        </is>
      </c>
      <c r="C1025" t="inlineStr">
        <is>
          <t>DW70</t>
        </is>
      </c>
      <c r="D1025" t="inlineStr">
        <is>
          <t>EQ75</t>
        </is>
      </c>
      <c r="E1025" t="inlineStr">
        <is>
          <t>1</t>
        </is>
      </c>
      <c r="F1025" t="inlineStr">
        <is>
          <t>10128743</t>
        </is>
      </c>
      <c r="H1025" t="inlineStr"/>
      <c r="J1025" t="n">
        <v>84.65000000000001</v>
      </c>
      <c r="K1025" t="inlineStr"/>
      <c r="M1025" t="inlineStr">
        <is>
          <t>TN</t>
        </is>
      </c>
      <c r="N1025" t="inlineStr"/>
      <c r="P1025" t="inlineStr">
        <is>
          <t>20220331</t>
        </is>
      </c>
      <c r="Q1025" t="inlineStr">
        <is>
          <t>20250131</t>
        </is>
      </c>
    </row>
    <row r="1026">
      <c r="A1026" t="inlineStr">
        <is>
          <t>900006544DW70D07410185476</t>
        </is>
      </c>
      <c r="B1026" t="inlineStr">
        <is>
          <t>900006544</t>
        </is>
      </c>
      <c r="C1026" t="inlineStr">
        <is>
          <t>DW70</t>
        </is>
      </c>
      <c r="D1026" t="inlineStr">
        <is>
          <t>D074</t>
        </is>
      </c>
      <c r="E1026" t="inlineStr">
        <is>
          <t>1</t>
        </is>
      </c>
      <c r="F1026" t="inlineStr">
        <is>
          <t>10185476</t>
        </is>
      </c>
      <c r="H1026" t="inlineStr"/>
      <c r="J1026" t="n">
        <v>160.95</v>
      </c>
      <c r="K1026" t="inlineStr"/>
      <c r="M1026" t="inlineStr">
        <is>
          <t>TN</t>
        </is>
      </c>
      <c r="N1026" t="inlineStr"/>
      <c r="P1026" t="inlineStr">
        <is>
          <t>20260115</t>
        </is>
      </c>
      <c r="Q1026" t="inlineStr">
        <is>
          <t>20260306</t>
        </is>
      </c>
    </row>
    <row r="1027">
      <c r="A1027" t="inlineStr">
        <is>
          <t>900006544DW70D07410185477</t>
        </is>
      </c>
      <c r="B1027" t="inlineStr">
        <is>
          <t>900006544</t>
        </is>
      </c>
      <c r="C1027" t="inlineStr">
        <is>
          <t>DW70</t>
        </is>
      </c>
      <c r="D1027" t="inlineStr">
        <is>
          <t>D074</t>
        </is>
      </c>
      <c r="E1027" t="inlineStr">
        <is>
          <t>1</t>
        </is>
      </c>
      <c r="F1027" t="inlineStr">
        <is>
          <t>10185477</t>
        </is>
      </c>
      <c r="H1027" t="inlineStr"/>
      <c r="J1027" t="n">
        <v>111</v>
      </c>
      <c r="K1027" t="inlineStr"/>
      <c r="M1027" t="inlineStr">
        <is>
          <t>TN</t>
        </is>
      </c>
      <c r="N1027" t="inlineStr"/>
      <c r="P1027" t="inlineStr">
        <is>
          <t>20220331</t>
        </is>
      </c>
      <c r="Q1027" t="inlineStr">
        <is>
          <t>20250131</t>
        </is>
      </c>
    </row>
    <row r="1028">
      <c r="A1028" t="inlineStr">
        <is>
          <t>900006544DW70D07410275113</t>
        </is>
      </c>
      <c r="B1028" t="inlineStr">
        <is>
          <t>900006544</t>
        </is>
      </c>
      <c r="C1028" t="inlineStr">
        <is>
          <t>DW70</t>
        </is>
      </c>
      <c r="D1028" t="inlineStr">
        <is>
          <t>D074</t>
        </is>
      </c>
      <c r="E1028" t="inlineStr">
        <is>
          <t>1</t>
        </is>
      </c>
      <c r="F1028" t="inlineStr">
        <is>
          <t>10275113</t>
        </is>
      </c>
      <c r="H1028" t="inlineStr"/>
      <c r="J1028" t="n">
        <v>206</v>
      </c>
      <c r="K1028" t="inlineStr"/>
      <c r="M1028" t="inlineStr">
        <is>
          <t>TN</t>
        </is>
      </c>
      <c r="N1028" t="inlineStr"/>
      <c r="P1028" t="inlineStr">
        <is>
          <t>20260430</t>
        </is>
      </c>
      <c r="Q1028" t="inlineStr">
        <is>
          <t>99991231</t>
        </is>
      </c>
    </row>
    <row r="1029">
      <c r="A1029" t="inlineStr">
        <is>
          <t>900006544DW70D07510185476</t>
        </is>
      </c>
      <c r="B1029" t="inlineStr">
        <is>
          <t>900006544</t>
        </is>
      </c>
      <c r="C1029" t="inlineStr">
        <is>
          <t>DW70</t>
        </is>
      </c>
      <c r="D1029" t="inlineStr">
        <is>
          <t>D075</t>
        </is>
      </c>
      <c r="E1029" t="inlineStr">
        <is>
          <t>1</t>
        </is>
      </c>
      <c r="F1029" t="inlineStr">
        <is>
          <t>10185476</t>
        </is>
      </c>
      <c r="H1029" t="inlineStr"/>
      <c r="J1029" t="n">
        <v>140.84</v>
      </c>
      <c r="K1029" t="inlineStr"/>
      <c r="M1029" t="inlineStr">
        <is>
          <t>TN</t>
        </is>
      </c>
      <c r="N1029" t="inlineStr"/>
      <c r="P1029" t="inlineStr">
        <is>
          <t>20260115</t>
        </is>
      </c>
      <c r="Q1029" t="inlineStr">
        <is>
          <t>20260306</t>
        </is>
      </c>
    </row>
    <row r="1030">
      <c r="A1030" t="inlineStr">
        <is>
          <t>900006544DW70D07510185477</t>
        </is>
      </c>
      <c r="B1030" t="inlineStr">
        <is>
          <t>900006544</t>
        </is>
      </c>
      <c r="C1030" t="inlineStr">
        <is>
          <t>DW70</t>
        </is>
      </c>
      <c r="D1030" t="inlineStr">
        <is>
          <t>D075</t>
        </is>
      </c>
      <c r="E1030" t="inlineStr">
        <is>
          <t>1</t>
        </is>
      </c>
      <c r="F1030" t="inlineStr">
        <is>
          <t>10185477</t>
        </is>
      </c>
      <c r="H1030" t="inlineStr"/>
      <c r="J1030" t="n">
        <v>182.72</v>
      </c>
      <c r="K1030" t="inlineStr"/>
      <c r="M1030" t="inlineStr">
        <is>
          <t>TN</t>
        </is>
      </c>
      <c r="N1030" t="inlineStr"/>
      <c r="P1030" t="inlineStr">
        <is>
          <t>20260430</t>
        </is>
      </c>
      <c r="Q1030" t="inlineStr">
        <is>
          <t>99991231</t>
        </is>
      </c>
    </row>
    <row r="1031">
      <c r="A1031" t="inlineStr">
        <is>
          <t>900006544DW70D07510275113</t>
        </is>
      </c>
      <c r="B1031" t="inlineStr">
        <is>
          <t>900006544</t>
        </is>
      </c>
      <c r="C1031" t="inlineStr">
        <is>
          <t>DW70</t>
        </is>
      </c>
      <c r="D1031" t="inlineStr">
        <is>
          <t>D075</t>
        </is>
      </c>
      <c r="E1031" t="inlineStr">
        <is>
          <t>1</t>
        </is>
      </c>
      <c r="F1031" t="inlineStr">
        <is>
          <t>10275113</t>
        </is>
      </c>
      <c r="H1031" t="inlineStr"/>
      <c r="J1031" t="n">
        <v>180.26</v>
      </c>
      <c r="K1031" t="inlineStr"/>
      <c r="M1031" t="inlineStr">
        <is>
          <t>TN</t>
        </is>
      </c>
      <c r="N1031" t="inlineStr"/>
      <c r="P1031" t="inlineStr">
        <is>
          <t>20260430</t>
        </is>
      </c>
      <c r="Q1031" t="inlineStr">
        <is>
          <t>99991231</t>
        </is>
      </c>
    </row>
    <row r="1032">
      <c r="A1032" t="inlineStr">
        <is>
          <t>900006544DW70D07710185476</t>
        </is>
      </c>
      <c r="B1032" t="inlineStr">
        <is>
          <t>900006544</t>
        </is>
      </c>
      <c r="C1032" t="inlineStr">
        <is>
          <t>DW70</t>
        </is>
      </c>
      <c r="D1032" t="inlineStr">
        <is>
          <t>D077</t>
        </is>
      </c>
      <c r="E1032" t="inlineStr">
        <is>
          <t>1</t>
        </is>
      </c>
      <c r="F1032" t="inlineStr">
        <is>
          <t>10185476</t>
        </is>
      </c>
      <c r="H1032" t="inlineStr"/>
      <c r="J1032" t="n">
        <v>70.42</v>
      </c>
      <c r="K1032" t="inlineStr"/>
      <c r="M1032" t="inlineStr">
        <is>
          <t>TN</t>
        </is>
      </c>
      <c r="N1032" t="inlineStr"/>
      <c r="P1032" t="inlineStr">
        <is>
          <t>20260115</t>
        </is>
      </c>
      <c r="Q1032" t="inlineStr">
        <is>
          <t>20260306</t>
        </is>
      </c>
    </row>
    <row r="1033">
      <c r="A1033" t="inlineStr">
        <is>
          <t>900006544DW70D07710185477</t>
        </is>
      </c>
      <c r="B1033" t="inlineStr">
        <is>
          <t>900006544</t>
        </is>
      </c>
      <c r="C1033" t="inlineStr">
        <is>
          <t>DW70</t>
        </is>
      </c>
      <c r="D1033" t="inlineStr">
        <is>
          <t>D077</t>
        </is>
      </c>
      <c r="E1033" t="inlineStr">
        <is>
          <t>1</t>
        </is>
      </c>
      <c r="F1033" t="inlineStr">
        <is>
          <t>10185477</t>
        </is>
      </c>
      <c r="H1033" t="inlineStr"/>
      <c r="J1033" t="n">
        <v>91.36</v>
      </c>
      <c r="K1033" t="inlineStr"/>
      <c r="M1033" t="inlineStr">
        <is>
          <t>TN</t>
        </is>
      </c>
      <c r="N1033" t="inlineStr"/>
      <c r="P1033" t="inlineStr">
        <is>
          <t>20260430</t>
        </is>
      </c>
      <c r="Q1033" t="inlineStr">
        <is>
          <t>99991231</t>
        </is>
      </c>
    </row>
    <row r="1034">
      <c r="A1034" t="inlineStr">
        <is>
          <t>900006544DW70D07710275113</t>
        </is>
      </c>
      <c r="B1034" t="inlineStr">
        <is>
          <t>900006544</t>
        </is>
      </c>
      <c r="C1034" t="inlineStr">
        <is>
          <t>DW70</t>
        </is>
      </c>
      <c r="D1034" t="inlineStr">
        <is>
          <t>D077</t>
        </is>
      </c>
      <c r="E1034" t="inlineStr">
        <is>
          <t>1</t>
        </is>
      </c>
      <c r="F1034" t="inlineStr">
        <is>
          <t>10275113</t>
        </is>
      </c>
      <c r="H1034" t="inlineStr"/>
      <c r="J1034" t="n">
        <v>90.13</v>
      </c>
      <c r="K1034" t="inlineStr"/>
      <c r="M1034" t="inlineStr">
        <is>
          <t>TN</t>
        </is>
      </c>
      <c r="N1034" t="inlineStr"/>
      <c r="P1034" t="inlineStr">
        <is>
          <t>20260430</t>
        </is>
      </c>
      <c r="Q1034" t="inlineStr">
        <is>
          <t>99991231</t>
        </is>
      </c>
    </row>
    <row r="1035">
      <c r="A1035" t="inlineStr">
        <is>
          <t>900006544DW70D07910185476</t>
        </is>
      </c>
      <c r="B1035" t="inlineStr">
        <is>
          <t>900006544</t>
        </is>
      </c>
      <c r="C1035" t="inlineStr">
        <is>
          <t>DW70</t>
        </is>
      </c>
      <c r="D1035" t="inlineStr">
        <is>
          <t>D079</t>
        </is>
      </c>
      <c r="E1035" t="inlineStr">
        <is>
          <t>1</t>
        </is>
      </c>
      <c r="F1035" t="inlineStr">
        <is>
          <t>10185476</t>
        </is>
      </c>
      <c r="H1035" t="inlineStr"/>
      <c r="J1035" t="n">
        <v>133.29</v>
      </c>
      <c r="K1035" t="inlineStr"/>
      <c r="M1035" t="inlineStr">
        <is>
          <t>TN</t>
        </is>
      </c>
      <c r="N1035" t="inlineStr"/>
      <c r="P1035" t="inlineStr">
        <is>
          <t>20260115</t>
        </is>
      </c>
      <c r="Q1035" t="inlineStr">
        <is>
          <t>20260306</t>
        </is>
      </c>
    </row>
    <row r="1036">
      <c r="A1036" t="inlineStr">
        <is>
          <t>900006544DW70D07910185477</t>
        </is>
      </c>
      <c r="B1036" t="inlineStr">
        <is>
          <t>900006544</t>
        </is>
      </c>
      <c r="C1036" t="inlineStr">
        <is>
          <t>DW70</t>
        </is>
      </c>
      <c r="D1036" t="inlineStr">
        <is>
          <t>D079</t>
        </is>
      </c>
      <c r="E1036" t="inlineStr">
        <is>
          <t>1</t>
        </is>
      </c>
      <c r="F1036" t="inlineStr">
        <is>
          <t>10185477</t>
        </is>
      </c>
      <c r="H1036" t="inlineStr"/>
      <c r="J1036" t="n">
        <v>172.94</v>
      </c>
      <c r="K1036" t="inlineStr"/>
      <c r="M1036" t="inlineStr">
        <is>
          <t>TN</t>
        </is>
      </c>
      <c r="N1036" t="inlineStr"/>
      <c r="P1036" t="inlineStr">
        <is>
          <t>20260430</t>
        </is>
      </c>
      <c r="Q1036" t="inlineStr">
        <is>
          <t>99991231</t>
        </is>
      </c>
    </row>
    <row r="1037">
      <c r="A1037" t="inlineStr">
        <is>
          <t>900006544DW70D07910275113</t>
        </is>
      </c>
      <c r="B1037" t="inlineStr">
        <is>
          <t>900006544</t>
        </is>
      </c>
      <c r="C1037" t="inlineStr">
        <is>
          <t>DW70</t>
        </is>
      </c>
      <c r="D1037" t="inlineStr">
        <is>
          <t>D079</t>
        </is>
      </c>
      <c r="E1037" t="inlineStr">
        <is>
          <t>1</t>
        </is>
      </c>
      <c r="F1037" t="inlineStr">
        <is>
          <t>10275113</t>
        </is>
      </c>
      <c r="H1037" t="inlineStr"/>
      <c r="J1037" t="n">
        <v>170.6</v>
      </c>
      <c r="K1037" t="inlineStr"/>
      <c r="M1037" t="inlineStr">
        <is>
          <t>TN</t>
        </is>
      </c>
      <c r="N1037" t="inlineStr"/>
      <c r="P1037" t="inlineStr">
        <is>
          <t>20260430</t>
        </is>
      </c>
      <c r="Q1037" t="inlineStr">
        <is>
          <t>99991231</t>
        </is>
      </c>
    </row>
    <row r="1038">
      <c r="A1038" t="inlineStr">
        <is>
          <t>900006544DW70D08010185476</t>
        </is>
      </c>
      <c r="B1038" t="inlineStr">
        <is>
          <t>900006544</t>
        </is>
      </c>
      <c r="C1038" t="inlineStr">
        <is>
          <t>DW70</t>
        </is>
      </c>
      <c r="D1038" t="inlineStr">
        <is>
          <t>D080</t>
        </is>
      </c>
      <c r="E1038" t="inlineStr">
        <is>
          <t>1</t>
        </is>
      </c>
      <c r="F1038" t="inlineStr">
        <is>
          <t>10185476</t>
        </is>
      </c>
      <c r="H1038" t="inlineStr"/>
      <c r="J1038" t="n">
        <v>140.84</v>
      </c>
      <c r="K1038" t="inlineStr"/>
      <c r="M1038" t="inlineStr">
        <is>
          <t>TN</t>
        </is>
      </c>
      <c r="N1038" t="inlineStr"/>
      <c r="P1038" t="inlineStr">
        <is>
          <t>20260115</t>
        </is>
      </c>
      <c r="Q1038" t="inlineStr">
        <is>
          <t>20260306</t>
        </is>
      </c>
    </row>
    <row r="1039">
      <c r="A1039" t="inlineStr">
        <is>
          <t>900006544DW70D08010185477</t>
        </is>
      </c>
      <c r="B1039" t="inlineStr">
        <is>
          <t>900006544</t>
        </is>
      </c>
      <c r="C1039" t="inlineStr">
        <is>
          <t>DW70</t>
        </is>
      </c>
      <c r="D1039" t="inlineStr">
        <is>
          <t>D080</t>
        </is>
      </c>
      <c r="E1039" t="inlineStr">
        <is>
          <t>1</t>
        </is>
      </c>
      <c r="F1039" t="inlineStr">
        <is>
          <t>10185477</t>
        </is>
      </c>
      <c r="H1039" t="inlineStr"/>
      <c r="J1039" t="n">
        <v>182.72</v>
      </c>
      <c r="K1039" t="inlineStr"/>
      <c r="M1039" t="inlineStr">
        <is>
          <t>TN</t>
        </is>
      </c>
      <c r="N1039" t="inlineStr"/>
      <c r="P1039" t="inlineStr">
        <is>
          <t>20260430</t>
        </is>
      </c>
      <c r="Q1039" t="inlineStr">
        <is>
          <t>99991231</t>
        </is>
      </c>
    </row>
    <row r="1040">
      <c r="A1040" t="inlineStr">
        <is>
          <t>900006544DW70D08010275113</t>
        </is>
      </c>
      <c r="B1040" t="inlineStr">
        <is>
          <t>900006544</t>
        </is>
      </c>
      <c r="C1040" t="inlineStr">
        <is>
          <t>DW70</t>
        </is>
      </c>
      <c r="D1040" t="inlineStr">
        <is>
          <t>D080</t>
        </is>
      </c>
      <c r="E1040" t="inlineStr">
        <is>
          <t>1</t>
        </is>
      </c>
      <c r="F1040" t="inlineStr">
        <is>
          <t>10275113</t>
        </is>
      </c>
      <c r="H1040" t="inlineStr"/>
      <c r="J1040" t="n">
        <v>180.26</v>
      </c>
      <c r="K1040" t="inlineStr"/>
      <c r="M1040" t="inlineStr">
        <is>
          <t>TN</t>
        </is>
      </c>
      <c r="N1040" t="inlineStr"/>
      <c r="P1040" t="inlineStr">
        <is>
          <t>20260430</t>
        </is>
      </c>
      <c r="Q1040" t="inlineStr">
        <is>
          <t>99991231</t>
        </is>
      </c>
    </row>
    <row r="1041">
      <c r="A1041" t="inlineStr">
        <is>
          <t>900006544DW70D08110185476</t>
        </is>
      </c>
      <c r="B1041" t="inlineStr">
        <is>
          <t>900006544</t>
        </is>
      </c>
      <c r="C1041" t="inlineStr">
        <is>
          <t>DW70</t>
        </is>
      </c>
      <c r="D1041" t="inlineStr">
        <is>
          <t>D081</t>
        </is>
      </c>
      <c r="E1041" t="inlineStr">
        <is>
          <t>1</t>
        </is>
      </c>
      <c r="F1041" t="inlineStr">
        <is>
          <t>10185476</t>
        </is>
      </c>
      <c r="H1041" t="inlineStr"/>
      <c r="J1041" t="n">
        <v>168.5</v>
      </c>
      <c r="K1041" t="inlineStr"/>
      <c r="M1041" t="inlineStr">
        <is>
          <t>TN</t>
        </is>
      </c>
      <c r="N1041" t="inlineStr"/>
      <c r="P1041" t="inlineStr">
        <is>
          <t>20260115</t>
        </is>
      </c>
      <c r="Q1041" t="inlineStr">
        <is>
          <t>20260306</t>
        </is>
      </c>
    </row>
    <row r="1042">
      <c r="A1042" t="inlineStr">
        <is>
          <t>900006544DW70D08110185477</t>
        </is>
      </c>
      <c r="B1042" t="inlineStr">
        <is>
          <t>900006544</t>
        </is>
      </c>
      <c r="C1042" t="inlineStr">
        <is>
          <t>DW70</t>
        </is>
      </c>
      <c r="D1042" t="inlineStr">
        <is>
          <t>D081</t>
        </is>
      </c>
      <c r="E1042" t="inlineStr">
        <is>
          <t>1</t>
        </is>
      </c>
      <c r="F1042" t="inlineStr">
        <is>
          <t>10185477</t>
        </is>
      </c>
      <c r="H1042" t="inlineStr"/>
      <c r="J1042" t="n">
        <v>218.61</v>
      </c>
      <c r="K1042" t="inlineStr"/>
      <c r="M1042" t="inlineStr">
        <is>
          <t>TN</t>
        </is>
      </c>
      <c r="N1042" t="inlineStr"/>
      <c r="P1042" t="inlineStr">
        <is>
          <t>20260430</t>
        </is>
      </c>
      <c r="Q1042" t="inlineStr">
        <is>
          <t>99991231</t>
        </is>
      </c>
    </row>
    <row r="1043">
      <c r="A1043" t="inlineStr">
        <is>
          <t>900006544DW70D08110275113</t>
        </is>
      </c>
      <c r="B1043" t="inlineStr">
        <is>
          <t>900006544</t>
        </is>
      </c>
      <c r="C1043" t="inlineStr">
        <is>
          <t>DW70</t>
        </is>
      </c>
      <c r="D1043" t="inlineStr">
        <is>
          <t>D081</t>
        </is>
      </c>
      <c r="E1043" t="inlineStr">
        <is>
          <t>1</t>
        </is>
      </c>
      <c r="F1043" t="inlineStr">
        <is>
          <t>10275113</t>
        </is>
      </c>
      <c r="H1043" t="inlineStr"/>
      <c r="J1043" t="n">
        <v>215.66</v>
      </c>
      <c r="K1043" t="inlineStr"/>
      <c r="M1043" t="inlineStr">
        <is>
          <t>TN</t>
        </is>
      </c>
      <c r="N1043" t="inlineStr"/>
      <c r="P1043" t="inlineStr">
        <is>
          <t>20260430</t>
        </is>
      </c>
      <c r="Q1043" t="inlineStr">
        <is>
          <t>99991231</t>
        </is>
      </c>
    </row>
    <row r="1044">
      <c r="A1044" t="inlineStr">
        <is>
          <t>900006544DW70D08310185476</t>
        </is>
      </c>
      <c r="B1044" t="inlineStr">
        <is>
          <t>900006544</t>
        </is>
      </c>
      <c r="C1044" t="inlineStr">
        <is>
          <t>DW70</t>
        </is>
      </c>
      <c r="D1044" t="inlineStr">
        <is>
          <t>D083</t>
        </is>
      </c>
      <c r="E1044" t="inlineStr">
        <is>
          <t>1</t>
        </is>
      </c>
      <c r="F1044" t="inlineStr">
        <is>
          <t>10185476</t>
        </is>
      </c>
      <c r="H1044" t="inlineStr"/>
      <c r="J1044" t="n">
        <v>135.81</v>
      </c>
      <c r="K1044" t="inlineStr"/>
      <c r="M1044" t="inlineStr">
        <is>
          <t>TN</t>
        </is>
      </c>
      <c r="N1044" t="inlineStr"/>
      <c r="P1044" t="inlineStr">
        <is>
          <t>20260115</t>
        </is>
      </c>
      <c r="Q1044" t="inlineStr">
        <is>
          <t>20260306</t>
        </is>
      </c>
    </row>
    <row r="1045">
      <c r="A1045" t="inlineStr">
        <is>
          <t>900006544DW70D08310185477</t>
        </is>
      </c>
      <c r="B1045" t="inlineStr">
        <is>
          <t>900006544</t>
        </is>
      </c>
      <c r="C1045" t="inlineStr">
        <is>
          <t>DW70</t>
        </is>
      </c>
      <c r="D1045" t="inlineStr">
        <is>
          <t>D083</t>
        </is>
      </c>
      <c r="E1045" t="inlineStr">
        <is>
          <t>1</t>
        </is>
      </c>
      <c r="F1045" t="inlineStr">
        <is>
          <t>10185477</t>
        </is>
      </c>
      <c r="H1045" t="inlineStr"/>
      <c r="J1045" t="n">
        <v>176.19</v>
      </c>
      <c r="K1045" t="inlineStr"/>
      <c r="M1045" t="inlineStr">
        <is>
          <t>TN</t>
        </is>
      </c>
      <c r="N1045" t="inlineStr"/>
      <c r="P1045" t="inlineStr">
        <is>
          <t>20260430</t>
        </is>
      </c>
      <c r="Q1045" t="inlineStr">
        <is>
          <t>99991231</t>
        </is>
      </c>
    </row>
    <row r="1046">
      <c r="A1046" t="inlineStr">
        <is>
          <t>900006544DW70D08310275113</t>
        </is>
      </c>
      <c r="B1046" t="inlineStr">
        <is>
          <t>900006544</t>
        </is>
      </c>
      <c r="C1046" t="inlineStr">
        <is>
          <t>DW70</t>
        </is>
      </c>
      <c r="D1046" t="inlineStr">
        <is>
          <t>D083</t>
        </is>
      </c>
      <c r="E1046" t="inlineStr">
        <is>
          <t>1</t>
        </is>
      </c>
      <c r="F1046" t="inlineStr">
        <is>
          <t>10275113</t>
        </is>
      </c>
      <c r="H1046" t="inlineStr"/>
      <c r="J1046" t="n">
        <v>173.82</v>
      </c>
      <c r="K1046" t="inlineStr"/>
      <c r="M1046" t="inlineStr">
        <is>
          <t>TN</t>
        </is>
      </c>
      <c r="N1046" t="inlineStr"/>
      <c r="P1046" t="inlineStr">
        <is>
          <t>20260430</t>
        </is>
      </c>
      <c r="Q1046" t="inlineStr">
        <is>
          <t>99991231</t>
        </is>
      </c>
    </row>
    <row r="1047">
      <c r="A1047" t="inlineStr">
        <is>
          <t>900006544DW70D08410185476</t>
        </is>
      </c>
      <c r="B1047" t="inlineStr">
        <is>
          <t>900006544</t>
        </is>
      </c>
      <c r="C1047" t="inlineStr">
        <is>
          <t>DW70</t>
        </is>
      </c>
      <c r="D1047" t="inlineStr">
        <is>
          <t>D084</t>
        </is>
      </c>
      <c r="E1047" t="inlineStr">
        <is>
          <t>1</t>
        </is>
      </c>
      <c r="F1047" t="inlineStr">
        <is>
          <t>10185476</t>
        </is>
      </c>
      <c r="H1047" t="inlineStr"/>
      <c r="J1047" t="n">
        <v>98.08</v>
      </c>
      <c r="K1047" t="inlineStr"/>
      <c r="M1047" t="inlineStr">
        <is>
          <t>TN</t>
        </is>
      </c>
      <c r="N1047" t="inlineStr"/>
      <c r="P1047" t="inlineStr">
        <is>
          <t>20260115</t>
        </is>
      </c>
      <c r="Q1047" t="inlineStr">
        <is>
          <t>20260306</t>
        </is>
      </c>
    </row>
    <row r="1048">
      <c r="A1048" t="inlineStr">
        <is>
          <t>900006544DW70D08410185477</t>
        </is>
      </c>
      <c r="B1048" t="inlineStr">
        <is>
          <t>900006544</t>
        </is>
      </c>
      <c r="C1048" t="inlineStr">
        <is>
          <t>DW70</t>
        </is>
      </c>
      <c r="D1048" t="inlineStr">
        <is>
          <t>D084</t>
        </is>
      </c>
      <c r="E1048" t="inlineStr">
        <is>
          <t>1</t>
        </is>
      </c>
      <c r="F1048" t="inlineStr">
        <is>
          <t>10185477</t>
        </is>
      </c>
      <c r="H1048" t="inlineStr"/>
      <c r="J1048" t="n">
        <v>84.76000000000001</v>
      </c>
      <c r="K1048" t="inlineStr"/>
      <c r="M1048" t="inlineStr">
        <is>
          <t>TN</t>
        </is>
      </c>
      <c r="N1048" t="inlineStr"/>
      <c r="P1048" t="inlineStr">
        <is>
          <t>20220331</t>
        </is>
      </c>
      <c r="Q1048" t="inlineStr">
        <is>
          <t>20250131</t>
        </is>
      </c>
    </row>
    <row r="1049">
      <c r="A1049" t="inlineStr">
        <is>
          <t>900006544DW70D08410275113</t>
        </is>
      </c>
      <c r="B1049" t="inlineStr">
        <is>
          <t>900006544</t>
        </is>
      </c>
      <c r="C1049" t="inlineStr">
        <is>
          <t>DW70</t>
        </is>
      </c>
      <c r="D1049" t="inlineStr">
        <is>
          <t>D084</t>
        </is>
      </c>
      <c r="E1049" t="inlineStr">
        <is>
          <t>1</t>
        </is>
      </c>
      <c r="F1049" t="inlineStr">
        <is>
          <t>10275113</t>
        </is>
      </c>
      <c r="H1049" t="inlineStr"/>
      <c r="J1049" t="n">
        <v>125.54</v>
      </c>
      <c r="K1049" t="inlineStr"/>
      <c r="M1049" t="inlineStr">
        <is>
          <t>TN</t>
        </is>
      </c>
      <c r="N1049" t="inlineStr"/>
      <c r="P1049" t="inlineStr">
        <is>
          <t>20260430</t>
        </is>
      </c>
      <c r="Q1049" t="inlineStr">
        <is>
          <t>99991231</t>
        </is>
      </c>
    </row>
    <row r="1050">
      <c r="A1050" t="inlineStr">
        <is>
          <t>900006544DW70D08510185476</t>
        </is>
      </c>
      <c r="B1050" t="inlineStr">
        <is>
          <t>900006544</t>
        </is>
      </c>
      <c r="C1050" t="inlineStr">
        <is>
          <t>DW70</t>
        </is>
      </c>
      <c r="D1050" t="inlineStr">
        <is>
          <t>D085</t>
        </is>
      </c>
      <c r="E1050" t="inlineStr">
        <is>
          <t>1</t>
        </is>
      </c>
      <c r="F1050" t="inlineStr">
        <is>
          <t>10185476</t>
        </is>
      </c>
      <c r="H1050" t="inlineStr"/>
      <c r="J1050" t="n">
        <v>103.11</v>
      </c>
      <c r="K1050" t="inlineStr"/>
      <c r="M1050" t="inlineStr">
        <is>
          <t>TN</t>
        </is>
      </c>
      <c r="N1050" t="inlineStr"/>
      <c r="P1050" t="inlineStr">
        <is>
          <t>20260115</t>
        </is>
      </c>
      <c r="Q1050" t="inlineStr">
        <is>
          <t>20260306</t>
        </is>
      </c>
    </row>
    <row r="1051">
      <c r="A1051" t="inlineStr">
        <is>
          <t>900006544DW70D08510185477</t>
        </is>
      </c>
      <c r="B1051" t="inlineStr">
        <is>
          <t>900006544</t>
        </is>
      </c>
      <c r="C1051" t="inlineStr">
        <is>
          <t>DW70</t>
        </is>
      </c>
      <c r="D1051" t="inlineStr">
        <is>
          <t>D085</t>
        </is>
      </c>
      <c r="E1051" t="inlineStr">
        <is>
          <t>1</t>
        </is>
      </c>
      <c r="F1051" t="inlineStr">
        <is>
          <t>10185477</t>
        </is>
      </c>
      <c r="H1051" t="inlineStr"/>
      <c r="J1051" t="n">
        <v>133.78</v>
      </c>
      <c r="K1051" t="inlineStr"/>
      <c r="M1051" t="inlineStr">
        <is>
          <t>TN</t>
        </is>
      </c>
      <c r="N1051" t="inlineStr"/>
      <c r="P1051" t="inlineStr">
        <is>
          <t>20260430</t>
        </is>
      </c>
      <c r="Q1051" t="inlineStr">
        <is>
          <t>99991231</t>
        </is>
      </c>
    </row>
    <row r="1052">
      <c r="A1052" t="inlineStr">
        <is>
          <t>900006544DW70D08510275113</t>
        </is>
      </c>
      <c r="B1052" t="inlineStr">
        <is>
          <t>900006544</t>
        </is>
      </c>
      <c r="C1052" t="inlineStr">
        <is>
          <t>DW70</t>
        </is>
      </c>
      <c r="D1052" t="inlineStr">
        <is>
          <t>D085</t>
        </is>
      </c>
      <c r="E1052" t="inlineStr">
        <is>
          <t>1</t>
        </is>
      </c>
      <c r="F1052" t="inlineStr">
        <is>
          <t>10275113</t>
        </is>
      </c>
      <c r="H1052" t="inlineStr"/>
      <c r="J1052" t="n">
        <v>131.97</v>
      </c>
      <c r="K1052" t="inlineStr"/>
      <c r="M1052" t="inlineStr">
        <is>
          <t>TN</t>
        </is>
      </c>
      <c r="N1052" t="inlineStr"/>
      <c r="P1052" t="inlineStr">
        <is>
          <t>20260430</t>
        </is>
      </c>
      <c r="Q1052" t="inlineStr">
        <is>
          <t>99991231</t>
        </is>
      </c>
    </row>
    <row r="1053">
      <c r="A1053" t="inlineStr">
        <is>
          <t>900006544DW70D08610185476</t>
        </is>
      </c>
      <c r="B1053" t="inlineStr">
        <is>
          <t>900006544</t>
        </is>
      </c>
      <c r="C1053" t="inlineStr">
        <is>
          <t>DW70</t>
        </is>
      </c>
      <c r="D1053" t="inlineStr">
        <is>
          <t>D086</t>
        </is>
      </c>
      <c r="E1053" t="inlineStr">
        <is>
          <t>1</t>
        </is>
      </c>
      <c r="F1053" t="inlineStr">
        <is>
          <t>10185476</t>
        </is>
      </c>
      <c r="H1053" t="inlineStr"/>
      <c r="J1053" t="n">
        <v>113.17</v>
      </c>
      <c r="K1053" t="inlineStr"/>
      <c r="M1053" t="inlineStr">
        <is>
          <t>TN</t>
        </is>
      </c>
      <c r="N1053" t="inlineStr"/>
      <c r="P1053" t="inlineStr">
        <is>
          <t>20260115</t>
        </is>
      </c>
      <c r="Q1053" t="inlineStr">
        <is>
          <t>20260306</t>
        </is>
      </c>
    </row>
    <row r="1054">
      <c r="A1054" t="inlineStr">
        <is>
          <t>900006544DW70D08610185477</t>
        </is>
      </c>
      <c r="B1054" t="inlineStr">
        <is>
          <t>900006544</t>
        </is>
      </c>
      <c r="C1054" t="inlineStr">
        <is>
          <t>DW70</t>
        </is>
      </c>
      <c r="D1054" t="inlineStr">
        <is>
          <t>D086</t>
        </is>
      </c>
      <c r="E1054" t="inlineStr">
        <is>
          <t>1</t>
        </is>
      </c>
      <c r="F1054" t="inlineStr">
        <is>
          <t>10185477</t>
        </is>
      </c>
      <c r="H1054" t="inlineStr"/>
      <c r="J1054" t="n">
        <v>146.83</v>
      </c>
      <c r="K1054" t="inlineStr"/>
      <c r="M1054" t="inlineStr">
        <is>
          <t>TN</t>
        </is>
      </c>
      <c r="N1054" t="inlineStr"/>
      <c r="P1054" t="inlineStr">
        <is>
          <t>20260430</t>
        </is>
      </c>
      <c r="Q1054" t="inlineStr">
        <is>
          <t>99991231</t>
        </is>
      </c>
    </row>
    <row r="1055">
      <c r="A1055" t="inlineStr">
        <is>
          <t>900006544DW70D08610275113</t>
        </is>
      </c>
      <c r="B1055" t="inlineStr">
        <is>
          <t>900006544</t>
        </is>
      </c>
      <c r="C1055" t="inlineStr">
        <is>
          <t>DW70</t>
        </is>
      </c>
      <c r="D1055" t="inlineStr">
        <is>
          <t>D086</t>
        </is>
      </c>
      <c r="E1055" t="inlineStr">
        <is>
          <t>1</t>
        </is>
      </c>
      <c r="F1055" t="inlineStr">
        <is>
          <t>10275113</t>
        </is>
      </c>
      <c r="H1055" t="inlineStr"/>
      <c r="J1055" t="n">
        <v>144.85</v>
      </c>
      <c r="K1055" t="inlineStr"/>
      <c r="M1055" t="inlineStr">
        <is>
          <t>TN</t>
        </is>
      </c>
      <c r="N1055" t="inlineStr"/>
      <c r="P1055" t="inlineStr">
        <is>
          <t>20260430</t>
        </is>
      </c>
      <c r="Q1055" t="inlineStr">
        <is>
          <t>99991231</t>
        </is>
      </c>
    </row>
    <row r="1056">
      <c r="A1056" t="inlineStr">
        <is>
          <t>900006544DW70D08810000651</t>
        </is>
      </c>
      <c r="B1056" t="inlineStr">
        <is>
          <t>900006544</t>
        </is>
      </c>
      <c r="C1056" t="inlineStr">
        <is>
          <t>DW70</t>
        </is>
      </c>
      <c r="D1056" t="inlineStr">
        <is>
          <t>D088</t>
        </is>
      </c>
      <c r="E1056" t="inlineStr">
        <is>
          <t>1</t>
        </is>
      </c>
      <c r="F1056" t="inlineStr">
        <is>
          <t>10000651</t>
        </is>
      </c>
      <c r="H1056" t="inlineStr"/>
      <c r="J1056" t="n">
        <v>213.74</v>
      </c>
      <c r="K1056" t="inlineStr"/>
      <c r="M1056" t="inlineStr">
        <is>
          <t>TN</t>
        </is>
      </c>
      <c r="N1056" t="inlineStr"/>
      <c r="P1056" t="inlineStr">
        <is>
          <t>20220331</t>
        </is>
      </c>
      <c r="Q1056" t="inlineStr">
        <is>
          <t>20250131</t>
        </is>
      </c>
    </row>
    <row r="1057">
      <c r="A1057" t="inlineStr">
        <is>
          <t>900006544DW70D08810185476</t>
        </is>
      </c>
      <c r="B1057" t="inlineStr">
        <is>
          <t>900006544</t>
        </is>
      </c>
      <c r="C1057" t="inlineStr">
        <is>
          <t>DW70</t>
        </is>
      </c>
      <c r="D1057" t="inlineStr">
        <is>
          <t>D088</t>
        </is>
      </c>
      <c r="E1057" t="inlineStr">
        <is>
          <t>1</t>
        </is>
      </c>
      <c r="F1057" t="inlineStr">
        <is>
          <t>10185476</t>
        </is>
      </c>
      <c r="H1057" t="inlineStr"/>
      <c r="J1057" t="n">
        <v>148.96</v>
      </c>
      <c r="K1057" t="inlineStr"/>
      <c r="M1057" t="inlineStr">
        <is>
          <t>TN</t>
        </is>
      </c>
      <c r="N1057" t="inlineStr"/>
      <c r="P1057" t="inlineStr">
        <is>
          <t>20250401</t>
        </is>
      </c>
      <c r="Q1057" t="inlineStr">
        <is>
          <t>20251031</t>
        </is>
      </c>
    </row>
    <row r="1058">
      <c r="A1058" t="inlineStr">
        <is>
          <t>900006544DW70D08810185477</t>
        </is>
      </c>
      <c r="B1058" t="inlineStr">
        <is>
          <t>900006544</t>
        </is>
      </c>
      <c r="C1058" t="inlineStr">
        <is>
          <t>DW70</t>
        </is>
      </c>
      <c r="D1058" t="inlineStr">
        <is>
          <t>D088</t>
        </is>
      </c>
      <c r="E1058" t="inlineStr">
        <is>
          <t>1</t>
        </is>
      </c>
      <c r="F1058" t="inlineStr">
        <is>
          <t>10185477</t>
        </is>
      </c>
      <c r="H1058" t="inlineStr"/>
      <c r="J1058" t="n">
        <v>179.61</v>
      </c>
      <c r="K1058" t="inlineStr"/>
      <c r="M1058" t="inlineStr">
        <is>
          <t>TN</t>
        </is>
      </c>
      <c r="N1058" t="inlineStr"/>
      <c r="P1058" t="inlineStr">
        <is>
          <t>20220331</t>
        </is>
      </c>
      <c r="Q1058" t="inlineStr">
        <is>
          <t>20250131</t>
        </is>
      </c>
    </row>
    <row r="1059">
      <c r="A1059" t="inlineStr">
        <is>
          <t>900006544DW70D09310000651</t>
        </is>
      </c>
      <c r="B1059" t="inlineStr">
        <is>
          <t>900006544</t>
        </is>
      </c>
      <c r="C1059" t="inlineStr">
        <is>
          <t>DW70</t>
        </is>
      </c>
      <c r="D1059" t="inlineStr">
        <is>
          <t>D093</t>
        </is>
      </c>
      <c r="E1059" t="inlineStr">
        <is>
          <t>1</t>
        </is>
      </c>
      <c r="F1059" t="inlineStr">
        <is>
          <t>10000651</t>
        </is>
      </c>
      <c r="H1059" t="inlineStr"/>
      <c r="J1059" t="n">
        <v>153.4</v>
      </c>
      <c r="K1059" t="inlineStr"/>
      <c r="M1059" t="inlineStr">
        <is>
          <t>TN</t>
        </is>
      </c>
      <c r="N1059" t="inlineStr"/>
      <c r="P1059" t="inlineStr">
        <is>
          <t>20220331</t>
        </is>
      </c>
      <c r="Q1059" t="inlineStr">
        <is>
          <t>20250131</t>
        </is>
      </c>
    </row>
    <row r="1060">
      <c r="A1060" t="inlineStr">
        <is>
          <t>900006544DW70D09310185476</t>
        </is>
      </c>
      <c r="B1060" t="inlineStr">
        <is>
          <t>900006544</t>
        </is>
      </c>
      <c r="C1060" t="inlineStr">
        <is>
          <t>DW70</t>
        </is>
      </c>
      <c r="D1060" t="inlineStr">
        <is>
          <t>D093</t>
        </is>
      </c>
      <c r="E1060" t="inlineStr">
        <is>
          <t>1</t>
        </is>
      </c>
      <c r="F1060" t="inlineStr">
        <is>
          <t>10185476</t>
        </is>
      </c>
      <c r="H1060" t="inlineStr"/>
      <c r="J1060" t="n">
        <v>155.92</v>
      </c>
      <c r="K1060" t="inlineStr"/>
      <c r="M1060" t="inlineStr">
        <is>
          <t>TN</t>
        </is>
      </c>
      <c r="N1060" t="inlineStr"/>
      <c r="P1060" t="inlineStr">
        <is>
          <t>20260115</t>
        </is>
      </c>
      <c r="Q1060" t="inlineStr">
        <is>
          <t>20260306</t>
        </is>
      </c>
    </row>
    <row r="1061">
      <c r="A1061" t="inlineStr">
        <is>
          <t>900006544DW70D09310185477</t>
        </is>
      </c>
      <c r="B1061" t="inlineStr">
        <is>
          <t>900006544</t>
        </is>
      </c>
      <c r="C1061" t="inlineStr">
        <is>
          <t>DW70</t>
        </is>
      </c>
      <c r="D1061" t="inlineStr">
        <is>
          <t>D093</t>
        </is>
      </c>
      <c r="E1061" t="inlineStr">
        <is>
          <t>1</t>
        </is>
      </c>
      <c r="F1061" t="inlineStr">
        <is>
          <t>10185477</t>
        </is>
      </c>
      <c r="H1061" t="inlineStr"/>
      <c r="J1061" t="n">
        <v>202.29</v>
      </c>
      <c r="K1061" t="inlineStr"/>
      <c r="M1061" t="inlineStr">
        <is>
          <t>TN</t>
        </is>
      </c>
      <c r="N1061" t="inlineStr"/>
      <c r="P1061" t="inlineStr">
        <is>
          <t>20260430</t>
        </is>
      </c>
      <c r="Q1061" t="inlineStr">
        <is>
          <t>99991231</t>
        </is>
      </c>
    </row>
    <row r="1062">
      <c r="A1062" t="inlineStr">
        <is>
          <t>900006544DW70D09310275113</t>
        </is>
      </c>
      <c r="B1062" t="inlineStr">
        <is>
          <t>900006544</t>
        </is>
      </c>
      <c r="C1062" t="inlineStr">
        <is>
          <t>DW70</t>
        </is>
      </c>
      <c r="D1062" t="inlineStr">
        <is>
          <t>D093</t>
        </is>
      </c>
      <c r="E1062" t="inlineStr">
        <is>
          <t>1</t>
        </is>
      </c>
      <c r="F1062" t="inlineStr">
        <is>
          <t>10275113</t>
        </is>
      </c>
      <c r="H1062" t="inlineStr"/>
      <c r="J1062" t="n">
        <v>199.57</v>
      </c>
      <c r="K1062" t="inlineStr"/>
      <c r="M1062" t="inlineStr">
        <is>
          <t>TN</t>
        </is>
      </c>
      <c r="N1062" t="inlineStr"/>
      <c r="P1062" t="inlineStr">
        <is>
          <t>20260430</t>
        </is>
      </c>
      <c r="Q1062" t="inlineStr">
        <is>
          <t>99991231</t>
        </is>
      </c>
    </row>
    <row r="1063">
      <c r="A1063" t="inlineStr">
        <is>
          <t>900006544DW70D09810185476</t>
        </is>
      </c>
      <c r="B1063" t="inlineStr">
        <is>
          <t>900006544</t>
        </is>
      </c>
      <c r="C1063" t="inlineStr">
        <is>
          <t>DW70</t>
        </is>
      </c>
      <c r="D1063" t="inlineStr">
        <is>
          <t>D098</t>
        </is>
      </c>
      <c r="E1063" t="inlineStr">
        <is>
          <t>1</t>
        </is>
      </c>
      <c r="F1063" t="inlineStr">
        <is>
          <t>10185476</t>
        </is>
      </c>
      <c r="H1063" t="inlineStr"/>
      <c r="J1063" t="n">
        <v>148.38</v>
      </c>
      <c r="K1063" t="inlineStr"/>
      <c r="M1063" t="inlineStr">
        <is>
          <t>TN</t>
        </is>
      </c>
      <c r="N1063" t="inlineStr"/>
      <c r="P1063" t="inlineStr">
        <is>
          <t>20260115</t>
        </is>
      </c>
      <c r="Q1063" t="inlineStr">
        <is>
          <t>20260306</t>
        </is>
      </c>
    </row>
    <row r="1064">
      <c r="A1064" t="inlineStr">
        <is>
          <t>900006544DW70D09810185477</t>
        </is>
      </c>
      <c r="B1064" t="inlineStr">
        <is>
          <t>900006544</t>
        </is>
      </c>
      <c r="C1064" t="inlineStr">
        <is>
          <t>DW70</t>
        </is>
      </c>
      <c r="D1064" t="inlineStr">
        <is>
          <t>D098</t>
        </is>
      </c>
      <c r="E1064" t="inlineStr">
        <is>
          <t>1</t>
        </is>
      </c>
      <c r="F1064" t="inlineStr">
        <is>
          <t>10185477</t>
        </is>
      </c>
      <c r="H1064" t="inlineStr"/>
      <c r="J1064" t="n">
        <v>192.51</v>
      </c>
      <c r="K1064" t="inlineStr"/>
      <c r="M1064" t="inlineStr">
        <is>
          <t>TN</t>
        </is>
      </c>
      <c r="N1064" t="inlineStr"/>
      <c r="P1064" t="inlineStr">
        <is>
          <t>20260430</t>
        </is>
      </c>
      <c r="Q1064" t="inlineStr">
        <is>
          <t>99991231</t>
        </is>
      </c>
    </row>
    <row r="1065">
      <c r="A1065" t="inlineStr">
        <is>
          <t>900006544DW70D09810275113</t>
        </is>
      </c>
      <c r="B1065" t="inlineStr">
        <is>
          <t>900006544</t>
        </is>
      </c>
      <c r="C1065" t="inlineStr">
        <is>
          <t>DW70</t>
        </is>
      </c>
      <c r="D1065" t="inlineStr">
        <is>
          <t>D098</t>
        </is>
      </c>
      <c r="E1065" t="inlineStr">
        <is>
          <t>1</t>
        </is>
      </c>
      <c r="F1065" t="inlineStr">
        <is>
          <t>10275113</t>
        </is>
      </c>
      <c r="H1065" t="inlineStr"/>
      <c r="J1065" t="n">
        <v>189.91</v>
      </c>
      <c r="K1065" t="inlineStr"/>
      <c r="M1065" t="inlineStr">
        <is>
          <t>TN</t>
        </is>
      </c>
      <c r="N1065" t="inlineStr"/>
      <c r="P1065" t="inlineStr">
        <is>
          <t>20260430</t>
        </is>
      </c>
      <c r="Q1065" t="inlineStr">
        <is>
          <t>99991231</t>
        </is>
      </c>
    </row>
    <row r="1066">
      <c r="A1066" t="inlineStr">
        <is>
          <t>900006544DW70D10510185476</t>
        </is>
      </c>
      <c r="B1066" t="inlineStr">
        <is>
          <t>900006544</t>
        </is>
      </c>
      <c r="C1066" t="inlineStr">
        <is>
          <t>DW70</t>
        </is>
      </c>
      <c r="D1066" t="inlineStr">
        <is>
          <t>D105</t>
        </is>
      </c>
      <c r="E1066" t="inlineStr">
        <is>
          <t>1</t>
        </is>
      </c>
      <c r="F1066" t="inlineStr">
        <is>
          <t>10185476</t>
        </is>
      </c>
      <c r="H1066" t="inlineStr"/>
      <c r="J1066" t="n">
        <v>181.07</v>
      </c>
      <c r="K1066" t="inlineStr"/>
      <c r="M1066" t="inlineStr">
        <is>
          <t>TN</t>
        </is>
      </c>
      <c r="N1066" t="inlineStr"/>
      <c r="P1066" t="inlineStr">
        <is>
          <t>20260115</t>
        </is>
      </c>
      <c r="Q1066" t="inlineStr">
        <is>
          <t>20260306</t>
        </is>
      </c>
    </row>
    <row r="1067">
      <c r="A1067" t="inlineStr">
        <is>
          <t>900006544DW70D10510185477</t>
        </is>
      </c>
      <c r="B1067" t="inlineStr">
        <is>
          <t>900006544</t>
        </is>
      </c>
      <c r="C1067" t="inlineStr">
        <is>
          <t>DW70</t>
        </is>
      </c>
      <c r="D1067" t="inlineStr">
        <is>
          <t>D105</t>
        </is>
      </c>
      <c r="E1067" t="inlineStr">
        <is>
          <t>1</t>
        </is>
      </c>
      <c r="F1067" t="inlineStr">
        <is>
          <t>10185477</t>
        </is>
      </c>
      <c r="H1067" t="inlineStr"/>
      <c r="J1067" t="n">
        <v>234.92</v>
      </c>
      <c r="K1067" t="inlineStr"/>
      <c r="M1067" t="inlineStr">
        <is>
          <t>TN</t>
        </is>
      </c>
      <c r="N1067" t="inlineStr"/>
      <c r="P1067" t="inlineStr">
        <is>
          <t>20260430</t>
        </is>
      </c>
      <c r="Q1067" t="inlineStr">
        <is>
          <t>99991231</t>
        </is>
      </c>
    </row>
    <row r="1068">
      <c r="A1068" t="inlineStr">
        <is>
          <t>900006544DW70D10510275113</t>
        </is>
      </c>
      <c r="B1068" t="inlineStr">
        <is>
          <t>900006544</t>
        </is>
      </c>
      <c r="C1068" t="inlineStr">
        <is>
          <t>DW70</t>
        </is>
      </c>
      <c r="D1068" t="inlineStr">
        <is>
          <t>D105</t>
        </is>
      </c>
      <c r="E1068" t="inlineStr">
        <is>
          <t>1</t>
        </is>
      </c>
      <c r="F1068" t="inlineStr">
        <is>
          <t>10275113</t>
        </is>
      </c>
      <c r="H1068" t="inlineStr"/>
      <c r="J1068" t="n">
        <v>231.75</v>
      </c>
      <c r="K1068" t="inlineStr"/>
      <c r="M1068" t="inlineStr">
        <is>
          <t>TN</t>
        </is>
      </c>
      <c r="N1068" t="inlineStr"/>
      <c r="P1068" t="inlineStr">
        <is>
          <t>20260430</t>
        </is>
      </c>
      <c r="Q1068" t="inlineStr">
        <is>
          <t>99991231</t>
        </is>
      </c>
    </row>
    <row r="1069">
      <c r="A1069" t="inlineStr">
        <is>
          <t>900006544DW70D11110185476</t>
        </is>
      </c>
      <c r="B1069" t="inlineStr">
        <is>
          <t>900006544</t>
        </is>
      </c>
      <c r="C1069" t="inlineStr">
        <is>
          <t>DW70</t>
        </is>
      </c>
      <c r="D1069" t="inlineStr">
        <is>
          <t>D111</t>
        </is>
      </c>
      <c r="E1069" t="inlineStr">
        <is>
          <t>1</t>
        </is>
      </c>
      <c r="F1069" t="inlineStr">
        <is>
          <t>10185476</t>
        </is>
      </c>
      <c r="H1069" t="inlineStr"/>
      <c r="J1069" t="n">
        <v>148.96</v>
      </c>
      <c r="K1069" t="inlineStr"/>
      <c r="M1069" t="inlineStr">
        <is>
          <t>TN</t>
        </is>
      </c>
      <c r="N1069" t="inlineStr"/>
      <c r="P1069" t="inlineStr">
        <is>
          <t>20260115</t>
        </is>
      </c>
      <c r="Q1069" t="inlineStr">
        <is>
          <t>20260306</t>
        </is>
      </c>
    </row>
    <row r="1070">
      <c r="A1070" t="inlineStr">
        <is>
          <t>900006544DW70D11110185477</t>
        </is>
      </c>
      <c r="B1070" t="inlineStr">
        <is>
          <t>900006544</t>
        </is>
      </c>
      <c r="C1070" t="inlineStr">
        <is>
          <t>DW70</t>
        </is>
      </c>
      <c r="D1070" t="inlineStr">
        <is>
          <t>D111</t>
        </is>
      </c>
      <c r="E1070" t="inlineStr">
        <is>
          <t>1</t>
        </is>
      </c>
      <c r="F1070" t="inlineStr">
        <is>
          <t>10185477</t>
        </is>
      </c>
      <c r="H1070" t="inlineStr"/>
      <c r="J1070" t="n">
        <v>179.61</v>
      </c>
      <c r="K1070" t="inlineStr"/>
      <c r="M1070" t="inlineStr">
        <is>
          <t>TN</t>
        </is>
      </c>
      <c r="N1070" t="inlineStr"/>
      <c r="P1070" t="inlineStr">
        <is>
          <t>20220331</t>
        </is>
      </c>
      <c r="Q1070" t="inlineStr">
        <is>
          <t>20250131</t>
        </is>
      </c>
    </row>
    <row r="1071">
      <c r="A1071" t="inlineStr">
        <is>
          <t>900006544DW70D11110275113</t>
        </is>
      </c>
      <c r="B1071" t="inlineStr">
        <is>
          <t>900006544</t>
        </is>
      </c>
      <c r="C1071" t="inlineStr">
        <is>
          <t>DW70</t>
        </is>
      </c>
      <c r="D1071" t="inlineStr">
        <is>
          <t>D111</t>
        </is>
      </c>
      <c r="E1071" t="inlineStr">
        <is>
          <t>1</t>
        </is>
      </c>
      <c r="F1071" t="inlineStr">
        <is>
          <t>10275113</t>
        </is>
      </c>
      <c r="H1071" t="inlineStr"/>
      <c r="J1071" t="n">
        <v>177.19</v>
      </c>
      <c r="K1071" t="inlineStr"/>
      <c r="M1071" t="inlineStr">
        <is>
          <t>TN</t>
        </is>
      </c>
      <c r="N1071" t="inlineStr"/>
      <c r="P1071" t="inlineStr">
        <is>
          <t>20260306</t>
        </is>
      </c>
      <c r="Q1071" t="inlineStr">
        <is>
          <t>99991231</t>
        </is>
      </c>
    </row>
    <row r="1072">
      <c r="A1072" t="inlineStr">
        <is>
          <t>900006544DW70D13610185476</t>
        </is>
      </c>
      <c r="B1072" t="inlineStr">
        <is>
          <t>900006544</t>
        </is>
      </c>
      <c r="C1072" t="inlineStr">
        <is>
          <t>DW70</t>
        </is>
      </c>
      <c r="D1072" t="inlineStr">
        <is>
          <t>D136</t>
        </is>
      </c>
      <c r="E1072" t="inlineStr">
        <is>
          <t>1</t>
        </is>
      </c>
      <c r="F1072" t="inlineStr">
        <is>
          <t>10185476</t>
        </is>
      </c>
      <c r="H1072" t="inlineStr"/>
      <c r="J1072" t="n">
        <v>193.65</v>
      </c>
      <c r="K1072" t="inlineStr"/>
      <c r="M1072" t="inlineStr">
        <is>
          <t>TN</t>
        </is>
      </c>
      <c r="N1072" t="inlineStr"/>
      <c r="P1072" t="inlineStr">
        <is>
          <t>20260115</t>
        </is>
      </c>
      <c r="Q1072" t="inlineStr">
        <is>
          <t>20260306</t>
        </is>
      </c>
    </row>
    <row r="1073">
      <c r="A1073" t="inlineStr">
        <is>
          <t>900006544DW70D13610185477</t>
        </is>
      </c>
      <c r="B1073" t="inlineStr">
        <is>
          <t>900006544</t>
        </is>
      </c>
      <c r="C1073" t="inlineStr">
        <is>
          <t>DW70</t>
        </is>
      </c>
      <c r="D1073" t="inlineStr">
        <is>
          <t>D136</t>
        </is>
      </c>
      <c r="E1073" t="inlineStr">
        <is>
          <t>1</t>
        </is>
      </c>
      <c r="F1073" t="inlineStr">
        <is>
          <t>10185477</t>
        </is>
      </c>
      <c r="H1073" t="inlineStr"/>
      <c r="J1073" t="n">
        <v>251.24</v>
      </c>
      <c r="K1073" t="inlineStr"/>
      <c r="M1073" t="inlineStr">
        <is>
          <t>TN</t>
        </is>
      </c>
      <c r="N1073" t="inlineStr"/>
      <c r="P1073" t="inlineStr">
        <is>
          <t>20260430</t>
        </is>
      </c>
      <c r="Q1073" t="inlineStr">
        <is>
          <t>99991231</t>
        </is>
      </c>
    </row>
    <row r="1074">
      <c r="A1074" t="inlineStr">
        <is>
          <t>900006544DW70D13610275113</t>
        </is>
      </c>
      <c r="B1074" t="inlineStr">
        <is>
          <t>900006544</t>
        </is>
      </c>
      <c r="C1074" t="inlineStr">
        <is>
          <t>DW70</t>
        </is>
      </c>
      <c r="D1074" t="inlineStr">
        <is>
          <t>D136</t>
        </is>
      </c>
      <c r="E1074" t="inlineStr">
        <is>
          <t>1</t>
        </is>
      </c>
      <c r="F1074" t="inlineStr">
        <is>
          <t>10275113</t>
        </is>
      </c>
      <c r="H1074" t="inlineStr"/>
      <c r="J1074" t="n">
        <v>247.86</v>
      </c>
      <c r="K1074" t="inlineStr"/>
      <c r="M1074" t="inlineStr">
        <is>
          <t>TN</t>
        </is>
      </c>
      <c r="N1074" t="inlineStr"/>
      <c r="P1074" t="inlineStr">
        <is>
          <t>20260430</t>
        </is>
      </c>
      <c r="Q1074" t="inlineStr">
        <is>
          <t>99991231</t>
        </is>
      </c>
    </row>
    <row r="1075">
      <c r="A1075" t="inlineStr">
        <is>
          <t>900006544DW70D14510000651</t>
        </is>
      </c>
      <c r="B1075" t="inlineStr">
        <is>
          <t>900006544</t>
        </is>
      </c>
      <c r="C1075" t="inlineStr">
        <is>
          <t>DW70</t>
        </is>
      </c>
      <c r="D1075" t="inlineStr">
        <is>
          <t>D145</t>
        </is>
      </c>
      <c r="E1075" t="inlineStr">
        <is>
          <t>1</t>
        </is>
      </c>
      <c r="F1075" t="inlineStr">
        <is>
          <t>10000651</t>
        </is>
      </c>
      <c r="H1075" t="inlineStr"/>
      <c r="J1075" t="n">
        <v>86.59999999999999</v>
      </c>
      <c r="K1075" t="inlineStr"/>
      <c r="M1075" t="inlineStr">
        <is>
          <t>TN</t>
        </is>
      </c>
      <c r="N1075" t="inlineStr"/>
      <c r="P1075" t="inlineStr">
        <is>
          <t>20220331</t>
        </is>
      </c>
      <c r="Q1075" t="inlineStr">
        <is>
          <t>20250131</t>
        </is>
      </c>
    </row>
    <row r="1076">
      <c r="A1076" t="inlineStr">
        <is>
          <t>900006544DW70D14510185476</t>
        </is>
      </c>
      <c r="B1076" t="inlineStr">
        <is>
          <t>900006544</t>
        </is>
      </c>
      <c r="C1076" t="inlineStr">
        <is>
          <t>DW70</t>
        </is>
      </c>
      <c r="D1076" t="inlineStr">
        <is>
          <t>D145</t>
        </is>
      </c>
      <c r="E1076" t="inlineStr">
        <is>
          <t>1</t>
        </is>
      </c>
      <c r="F1076" t="inlineStr">
        <is>
          <t>10185476</t>
        </is>
      </c>
      <c r="H1076" t="inlineStr"/>
      <c r="J1076" t="n">
        <v>88.02</v>
      </c>
      <c r="K1076" t="inlineStr"/>
      <c r="M1076" t="inlineStr">
        <is>
          <t>TN</t>
        </is>
      </c>
      <c r="N1076" t="inlineStr"/>
      <c r="P1076" t="inlineStr">
        <is>
          <t>20260115</t>
        </is>
      </c>
      <c r="Q1076" t="inlineStr">
        <is>
          <t>20260306</t>
        </is>
      </c>
    </row>
    <row r="1077">
      <c r="A1077" t="inlineStr">
        <is>
          <t>900006544DW70D14510185477</t>
        </is>
      </c>
      <c r="B1077" t="inlineStr">
        <is>
          <t>900006544</t>
        </is>
      </c>
      <c r="C1077" t="inlineStr">
        <is>
          <t>DW70</t>
        </is>
      </c>
      <c r="D1077" t="inlineStr">
        <is>
          <t>D145</t>
        </is>
      </c>
      <c r="E1077" t="inlineStr">
        <is>
          <t>1</t>
        </is>
      </c>
      <c r="F1077" t="inlineStr">
        <is>
          <t>10185477</t>
        </is>
      </c>
      <c r="H1077" t="inlineStr"/>
      <c r="J1077" t="n">
        <v>114.2</v>
      </c>
      <c r="K1077" t="inlineStr"/>
      <c r="M1077" t="inlineStr">
        <is>
          <t>TN</t>
        </is>
      </c>
      <c r="N1077" t="inlineStr"/>
      <c r="P1077" t="inlineStr">
        <is>
          <t>20260430</t>
        </is>
      </c>
      <c r="Q1077" t="inlineStr">
        <is>
          <t>99991231</t>
        </is>
      </c>
    </row>
    <row r="1078">
      <c r="A1078" t="inlineStr">
        <is>
          <t>900006544DW70D14510275113</t>
        </is>
      </c>
      <c r="B1078" t="inlineStr">
        <is>
          <t>900006544</t>
        </is>
      </c>
      <c r="C1078" t="inlineStr">
        <is>
          <t>DW70</t>
        </is>
      </c>
      <c r="D1078" t="inlineStr">
        <is>
          <t>D145</t>
        </is>
      </c>
      <c r="E1078" t="inlineStr">
        <is>
          <t>1</t>
        </is>
      </c>
      <c r="F1078" t="inlineStr">
        <is>
          <t>10275113</t>
        </is>
      </c>
      <c r="H1078" t="inlineStr"/>
      <c r="J1078" t="n">
        <v>112.66</v>
      </c>
      <c r="K1078" t="inlineStr"/>
      <c r="M1078" t="inlineStr">
        <is>
          <t>TN</t>
        </is>
      </c>
      <c r="N1078" t="inlineStr"/>
      <c r="P1078" t="inlineStr">
        <is>
          <t>20260430</t>
        </is>
      </c>
      <c r="Q1078" t="inlineStr">
        <is>
          <t>99991231</t>
        </is>
      </c>
    </row>
    <row r="1079">
      <c r="A1079" t="inlineStr">
        <is>
          <t>900006544DW70D68110185476</t>
        </is>
      </c>
      <c r="B1079" t="inlineStr">
        <is>
          <t>900006544</t>
        </is>
      </c>
      <c r="C1079" t="inlineStr">
        <is>
          <t>DW70</t>
        </is>
      </c>
      <c r="D1079" t="inlineStr">
        <is>
          <t>D681</t>
        </is>
      </c>
      <c r="E1079" t="inlineStr">
        <is>
          <t>1</t>
        </is>
      </c>
      <c r="F1079" t="inlineStr">
        <is>
          <t>10185476</t>
        </is>
      </c>
      <c r="H1079" t="inlineStr"/>
      <c r="J1079" t="n">
        <v>118.2</v>
      </c>
      <c r="K1079" t="inlineStr"/>
      <c r="M1079" t="inlineStr">
        <is>
          <t>TN</t>
        </is>
      </c>
      <c r="N1079" t="inlineStr"/>
      <c r="P1079" t="inlineStr">
        <is>
          <t>20260115</t>
        </is>
      </c>
      <c r="Q1079" t="inlineStr">
        <is>
          <t>20260306</t>
        </is>
      </c>
    </row>
    <row r="1080">
      <c r="A1080" t="inlineStr">
        <is>
          <t>900006544DW70D68110185477</t>
        </is>
      </c>
      <c r="B1080" t="inlineStr">
        <is>
          <t>900006544</t>
        </is>
      </c>
      <c r="C1080" t="inlineStr">
        <is>
          <t>DW70</t>
        </is>
      </c>
      <c r="D1080" t="inlineStr">
        <is>
          <t>D681</t>
        </is>
      </c>
      <c r="E1080" t="inlineStr">
        <is>
          <t>1</t>
        </is>
      </c>
      <c r="F1080" t="inlineStr">
        <is>
          <t>10185477</t>
        </is>
      </c>
      <c r="H1080" t="inlineStr"/>
      <c r="J1080" t="n">
        <v>153.36</v>
      </c>
      <c r="K1080" t="inlineStr"/>
      <c r="M1080" t="inlineStr">
        <is>
          <t>TN</t>
        </is>
      </c>
      <c r="N1080" t="inlineStr"/>
      <c r="P1080" t="inlineStr">
        <is>
          <t>20260430</t>
        </is>
      </c>
      <c r="Q1080" t="inlineStr">
        <is>
          <t>99991231</t>
        </is>
      </c>
    </row>
    <row r="1081">
      <c r="A1081" t="inlineStr">
        <is>
          <t>900006544DW70D68110275113</t>
        </is>
      </c>
      <c r="B1081" t="inlineStr">
        <is>
          <t>900006544</t>
        </is>
      </c>
      <c r="C1081" t="inlineStr">
        <is>
          <t>DW70</t>
        </is>
      </c>
      <c r="D1081" t="inlineStr">
        <is>
          <t>D681</t>
        </is>
      </c>
      <c r="E1081" t="inlineStr">
        <is>
          <t>1</t>
        </is>
      </c>
      <c r="F1081" t="inlineStr">
        <is>
          <t>10275113</t>
        </is>
      </c>
      <c r="H1081" t="inlineStr"/>
      <c r="J1081" t="n">
        <v>151.29</v>
      </c>
      <c r="K1081" t="inlineStr"/>
      <c r="M1081" t="inlineStr">
        <is>
          <t>TN</t>
        </is>
      </c>
      <c r="N1081" t="inlineStr"/>
      <c r="P1081" t="inlineStr">
        <is>
          <t>20260430</t>
        </is>
      </c>
      <c r="Q1081" t="inlineStr">
        <is>
          <t>99991231</t>
        </is>
      </c>
    </row>
    <row r="1082">
      <c r="A1082" t="inlineStr">
        <is>
          <t>900006544DW70EQ7510000651</t>
        </is>
      </c>
      <c r="B1082" t="inlineStr">
        <is>
          <t>900006544</t>
        </is>
      </c>
      <c r="C1082" t="inlineStr">
        <is>
          <t>DW70</t>
        </is>
      </c>
      <c r="D1082" t="inlineStr">
        <is>
          <t>EQ75</t>
        </is>
      </c>
      <c r="E1082" t="inlineStr">
        <is>
          <t>1</t>
        </is>
      </c>
      <c r="F1082" t="inlineStr">
        <is>
          <t>10000651</t>
        </is>
      </c>
      <c r="H1082" t="inlineStr"/>
      <c r="J1082" t="n">
        <v>156.85</v>
      </c>
      <c r="K1082" t="inlineStr"/>
      <c r="M1082" t="inlineStr">
        <is>
          <t>TN</t>
        </is>
      </c>
      <c r="N1082" t="inlineStr"/>
      <c r="P1082" t="inlineStr">
        <is>
          <t>20220331</t>
        </is>
      </c>
      <c r="Q1082" t="inlineStr">
        <is>
          <t>20250131</t>
        </is>
      </c>
    </row>
    <row r="1083">
      <c r="A1083" t="inlineStr">
        <is>
          <t>900006550DW70D08310198093</t>
        </is>
      </c>
      <c r="B1083" t="inlineStr">
        <is>
          <t>900006550</t>
        </is>
      </c>
      <c r="C1083" t="inlineStr">
        <is>
          <t>DW70</t>
        </is>
      </c>
      <c r="D1083" t="inlineStr">
        <is>
          <t>D083</t>
        </is>
      </c>
      <c r="E1083" t="inlineStr">
        <is>
          <t>1</t>
        </is>
      </c>
      <c r="F1083" t="inlineStr">
        <is>
          <t>10198093</t>
        </is>
      </c>
      <c r="H1083" t="inlineStr"/>
      <c r="J1083" t="n">
        <v>160.91</v>
      </c>
      <c r="K1083" t="inlineStr"/>
      <c r="M1083" t="inlineStr">
        <is>
          <t>TN</t>
        </is>
      </c>
      <c r="N1083" t="inlineStr"/>
      <c r="P1083" t="inlineStr">
        <is>
          <t>20220331</t>
        </is>
      </c>
      <c r="Q1083" t="inlineStr">
        <is>
          <t>20250131</t>
        </is>
      </c>
    </row>
    <row r="1084">
      <c r="A1084" t="inlineStr">
        <is>
          <t>900006765DW70D08110000829</t>
        </is>
      </c>
      <c r="B1084" t="inlineStr">
        <is>
          <t>900006765</t>
        </is>
      </c>
      <c r="C1084" t="inlineStr">
        <is>
          <t>DW70</t>
        </is>
      </c>
      <c r="D1084" t="inlineStr">
        <is>
          <t>D081</t>
        </is>
      </c>
      <c r="E1084" t="inlineStr">
        <is>
          <t>1</t>
        </is>
      </c>
      <c r="F1084" t="inlineStr">
        <is>
          <t>10000829</t>
        </is>
      </c>
      <c r="H1084" t="inlineStr"/>
      <c r="J1084" t="n">
        <v>301.31</v>
      </c>
      <c r="K1084" t="inlineStr"/>
      <c r="M1084" t="inlineStr">
        <is>
          <t>TN</t>
        </is>
      </c>
      <c r="N1084" t="inlineStr"/>
      <c r="P1084" t="inlineStr">
        <is>
          <t>20220331</t>
        </is>
      </c>
      <c r="Q1084" t="inlineStr">
        <is>
          <t>20250131</t>
        </is>
      </c>
    </row>
    <row r="1085">
      <c r="A1085" t="inlineStr">
        <is>
          <t>900006765DW70D08310000829</t>
        </is>
      </c>
      <c r="B1085" t="inlineStr">
        <is>
          <t>900006765</t>
        </is>
      </c>
      <c r="C1085" t="inlineStr">
        <is>
          <t>DW70</t>
        </is>
      </c>
      <c r="D1085" t="inlineStr">
        <is>
          <t>D083</t>
        </is>
      </c>
      <c r="E1085" t="inlineStr">
        <is>
          <t>1</t>
        </is>
      </c>
      <c r="F1085" t="inlineStr">
        <is>
          <t>10000829</t>
        </is>
      </c>
      <c r="H1085" t="inlineStr"/>
      <c r="J1085" t="n">
        <v>266.27</v>
      </c>
      <c r="K1085" t="inlineStr"/>
      <c r="M1085" t="inlineStr">
        <is>
          <t>TN</t>
        </is>
      </c>
      <c r="N1085" t="inlineStr"/>
      <c r="P1085" t="inlineStr">
        <is>
          <t>20220331</t>
        </is>
      </c>
      <c r="Q1085" t="inlineStr">
        <is>
          <t>20250131</t>
        </is>
      </c>
    </row>
    <row r="1086">
      <c r="A1086" t="inlineStr">
        <is>
          <t>900006783DW70D08110186274</t>
        </is>
      </c>
      <c r="B1086" t="inlineStr">
        <is>
          <t>900006783</t>
        </is>
      </c>
      <c r="C1086" t="inlineStr">
        <is>
          <t>DW70</t>
        </is>
      </c>
      <c r="D1086" t="inlineStr">
        <is>
          <t>D081</t>
        </is>
      </c>
      <c r="E1086" t="inlineStr">
        <is>
          <t>1</t>
        </is>
      </c>
      <c r="F1086" t="inlineStr">
        <is>
          <t>10186274</t>
        </is>
      </c>
      <c r="H1086" t="inlineStr"/>
      <c r="J1086" t="n">
        <v>202.7</v>
      </c>
      <c r="K1086" t="inlineStr"/>
      <c r="M1086" t="inlineStr">
        <is>
          <t>TN</t>
        </is>
      </c>
      <c r="N1086" t="inlineStr"/>
      <c r="P1086" t="inlineStr">
        <is>
          <t>20220331</t>
        </is>
      </c>
      <c r="Q1086" t="inlineStr">
        <is>
          <t>20250131</t>
        </is>
      </c>
    </row>
    <row r="1087">
      <c r="A1087" t="inlineStr">
        <is>
          <t>900006783DW70D09810186274</t>
        </is>
      </c>
      <c r="B1087" t="inlineStr">
        <is>
          <t>900006783</t>
        </is>
      </c>
      <c r="C1087" t="inlineStr">
        <is>
          <t>DW70</t>
        </is>
      </c>
      <c r="D1087" t="inlineStr">
        <is>
          <t>D098</t>
        </is>
      </c>
      <c r="E1087" t="inlineStr">
        <is>
          <t>1</t>
        </is>
      </c>
      <c r="F1087" t="inlineStr">
        <is>
          <t>10186274</t>
        </is>
      </c>
      <c r="H1087" t="inlineStr"/>
      <c r="J1087" t="n">
        <v>145.12</v>
      </c>
      <c r="K1087" t="inlineStr"/>
      <c r="M1087" t="inlineStr">
        <is>
          <t>TN</t>
        </is>
      </c>
      <c r="N1087" t="inlineStr"/>
      <c r="P1087" t="inlineStr">
        <is>
          <t>20220331</t>
        </is>
      </c>
      <c r="Q1087" t="inlineStr">
        <is>
          <t>20250131</t>
        </is>
      </c>
    </row>
    <row r="1088">
      <c r="A1088" t="inlineStr">
        <is>
          <t>900007079DW70ENDB10000160</t>
        </is>
      </c>
      <c r="B1088" t="inlineStr">
        <is>
          <t>900007079</t>
        </is>
      </c>
      <c r="C1088" t="inlineStr">
        <is>
          <t>DW70</t>
        </is>
      </c>
      <c r="D1088" t="inlineStr">
        <is>
          <t>ENDB</t>
        </is>
      </c>
      <c r="E1088" t="inlineStr">
        <is>
          <t>4</t>
        </is>
      </c>
      <c r="F1088" t="inlineStr">
        <is>
          <t>10000160</t>
        </is>
      </c>
      <c r="H1088" t="inlineStr"/>
      <c r="J1088" t="n">
        <v>106.46</v>
      </c>
      <c r="K1088" t="inlineStr"/>
      <c r="M1088" t="inlineStr">
        <is>
          <t>TN</t>
        </is>
      </c>
      <c r="N1088" t="inlineStr"/>
      <c r="P1088" t="inlineStr">
        <is>
          <t>20250401</t>
        </is>
      </c>
      <c r="Q1088" t="inlineStr">
        <is>
          <t>20251031</t>
        </is>
      </c>
    </row>
    <row r="1089">
      <c r="A1089" t="inlineStr">
        <is>
          <t>900007079DW70ENDB10000206</t>
        </is>
      </c>
      <c r="B1089" t="inlineStr">
        <is>
          <t>900007079</t>
        </is>
      </c>
      <c r="C1089" t="inlineStr">
        <is>
          <t>DW70</t>
        </is>
      </c>
      <c r="D1089" t="inlineStr">
        <is>
          <t>ENDB</t>
        </is>
      </c>
      <c r="E1089" t="inlineStr">
        <is>
          <t>4</t>
        </is>
      </c>
      <c r="F1089" t="inlineStr">
        <is>
          <t>10000206</t>
        </is>
      </c>
      <c r="H1089" t="inlineStr"/>
      <c r="J1089" t="n">
        <v>120.1</v>
      </c>
      <c r="K1089" t="inlineStr"/>
      <c r="M1089" t="inlineStr">
        <is>
          <t>TN</t>
        </is>
      </c>
      <c r="N1089" t="inlineStr"/>
      <c r="P1089" t="inlineStr">
        <is>
          <t>20250401</t>
        </is>
      </c>
      <c r="Q1089" t="inlineStr">
        <is>
          <t>99991231</t>
        </is>
      </c>
    </row>
    <row r="1090">
      <c r="A1090" t="inlineStr">
        <is>
          <t>900007079DW70ENDB10175723</t>
        </is>
      </c>
      <c r="B1090" t="inlineStr">
        <is>
          <t>900007079</t>
        </is>
      </c>
      <c r="C1090" t="inlineStr">
        <is>
          <t>DW70</t>
        </is>
      </c>
      <c r="D1090" t="inlineStr">
        <is>
          <t>ENDB</t>
        </is>
      </c>
      <c r="E1090" t="inlineStr">
        <is>
          <t>4</t>
        </is>
      </c>
      <c r="F1090" t="inlineStr">
        <is>
          <t>10175723</t>
        </is>
      </c>
      <c r="H1090" t="inlineStr"/>
      <c r="J1090" t="n">
        <v>90.91</v>
      </c>
      <c r="K1090" t="inlineStr"/>
      <c r="M1090" t="inlineStr">
        <is>
          <t>TN</t>
        </is>
      </c>
      <c r="N1090" t="inlineStr"/>
      <c r="P1090" t="inlineStr">
        <is>
          <t>20250401</t>
        </is>
      </c>
      <c r="Q1090" t="inlineStr">
        <is>
          <t>99991231</t>
        </is>
      </c>
    </row>
    <row r="1091">
      <c r="A1091" t="inlineStr">
        <is>
          <t>900007079DW70ENDC10000160</t>
        </is>
      </c>
      <c r="B1091" t="inlineStr">
        <is>
          <t>900007079</t>
        </is>
      </c>
      <c r="C1091" t="inlineStr">
        <is>
          <t>DW70</t>
        </is>
      </c>
      <c r="D1091" t="inlineStr">
        <is>
          <t>ENDC</t>
        </is>
      </c>
      <c r="E1091" t="inlineStr">
        <is>
          <t>4</t>
        </is>
      </c>
      <c r="F1091" t="inlineStr">
        <is>
          <t>10000160</t>
        </is>
      </c>
      <c r="H1091" t="inlineStr"/>
      <c r="J1091" t="n">
        <v>106.46</v>
      </c>
      <c r="K1091" t="inlineStr"/>
      <c r="M1091" t="inlineStr">
        <is>
          <t>TN</t>
        </is>
      </c>
      <c r="N1091" t="inlineStr"/>
      <c r="P1091" t="inlineStr">
        <is>
          <t>20250401</t>
        </is>
      </c>
      <c r="Q1091" t="inlineStr">
        <is>
          <t>20251031</t>
        </is>
      </c>
    </row>
    <row r="1092">
      <c r="A1092" t="inlineStr">
        <is>
          <t>900007079DW70ENDC10000206</t>
        </is>
      </c>
      <c r="B1092" t="inlineStr">
        <is>
          <t>900007079</t>
        </is>
      </c>
      <c r="C1092" t="inlineStr">
        <is>
          <t>DW70</t>
        </is>
      </c>
      <c r="D1092" t="inlineStr">
        <is>
          <t>ENDC</t>
        </is>
      </c>
      <c r="E1092" t="inlineStr">
        <is>
          <t>4</t>
        </is>
      </c>
      <c r="F1092" t="inlineStr">
        <is>
          <t>10000206</t>
        </is>
      </c>
      <c r="H1092" t="inlineStr"/>
      <c r="J1092" t="n">
        <v>120.1</v>
      </c>
      <c r="K1092" t="inlineStr"/>
      <c r="M1092" t="inlineStr">
        <is>
          <t>TN</t>
        </is>
      </c>
      <c r="N1092" t="inlineStr"/>
      <c r="P1092" t="inlineStr">
        <is>
          <t>20250401</t>
        </is>
      </c>
      <c r="Q1092" t="inlineStr">
        <is>
          <t>20251031</t>
        </is>
      </c>
    </row>
    <row r="1093">
      <c r="A1093" t="inlineStr">
        <is>
          <t>900007079DW70ENDC10175723</t>
        </is>
      </c>
      <c r="B1093" t="inlineStr">
        <is>
          <t>900007079</t>
        </is>
      </c>
      <c r="C1093" t="inlineStr">
        <is>
          <t>DW70</t>
        </is>
      </c>
      <c r="D1093" t="inlineStr">
        <is>
          <t>ENDC</t>
        </is>
      </c>
      <c r="E1093" t="inlineStr">
        <is>
          <t>4</t>
        </is>
      </c>
      <c r="F1093" t="inlineStr">
        <is>
          <t>10175723</t>
        </is>
      </c>
      <c r="H1093" t="inlineStr"/>
      <c r="J1093" t="n">
        <v>90.91</v>
      </c>
      <c r="K1093" t="inlineStr"/>
      <c r="M1093" t="inlineStr">
        <is>
          <t>TN</t>
        </is>
      </c>
      <c r="N1093" t="inlineStr"/>
      <c r="P1093" t="inlineStr">
        <is>
          <t>20250401</t>
        </is>
      </c>
      <c r="Q1093" t="inlineStr">
        <is>
          <t>99991231</t>
        </is>
      </c>
    </row>
    <row r="1094">
      <c r="A1094" t="inlineStr">
        <is>
          <t>900007079DW70ENXF10175723</t>
        </is>
      </c>
      <c r="B1094" t="inlineStr">
        <is>
          <t>900007079</t>
        </is>
      </c>
      <c r="C1094" t="inlineStr">
        <is>
          <t>DW70</t>
        </is>
      </c>
      <c r="D1094" t="inlineStr">
        <is>
          <t>ENXF</t>
        </is>
      </c>
      <c r="E1094" t="inlineStr">
        <is>
          <t>4</t>
        </is>
      </c>
      <c r="F1094" t="inlineStr">
        <is>
          <t>10175723</t>
        </is>
      </c>
      <c r="H1094" t="inlineStr"/>
      <c r="J1094" t="n">
        <v>116.97</v>
      </c>
      <c r="K1094" t="inlineStr"/>
      <c r="M1094" t="inlineStr">
        <is>
          <t>TN</t>
        </is>
      </c>
      <c r="N1094" t="inlineStr"/>
      <c r="P1094" t="inlineStr">
        <is>
          <t>20260401</t>
        </is>
      </c>
      <c r="Q1094" t="inlineStr">
        <is>
          <t>99991231</t>
        </is>
      </c>
    </row>
    <row r="1095">
      <c r="A1095" t="inlineStr">
        <is>
          <t>900007197DW70D09810000160</t>
        </is>
      </c>
      <c r="B1095" t="inlineStr">
        <is>
          <t>900007197</t>
        </is>
      </c>
      <c r="C1095" t="inlineStr">
        <is>
          <t>DW70</t>
        </is>
      </c>
      <c r="D1095" t="inlineStr">
        <is>
          <t>D098</t>
        </is>
      </c>
      <c r="E1095" t="inlineStr">
        <is>
          <t>1</t>
        </is>
      </c>
      <c r="F1095" t="inlineStr">
        <is>
          <t>10000160</t>
        </is>
      </c>
      <c r="H1095" t="inlineStr"/>
      <c r="J1095" t="n">
        <v>110.69</v>
      </c>
      <c r="K1095" t="inlineStr"/>
      <c r="M1095" t="inlineStr">
        <is>
          <t>TN</t>
        </is>
      </c>
      <c r="N1095" t="inlineStr"/>
      <c r="P1095" t="inlineStr">
        <is>
          <t>20260210</t>
        </is>
      </c>
      <c r="Q1095" t="inlineStr">
        <is>
          <t>20260310</t>
        </is>
      </c>
    </row>
    <row r="1096">
      <c r="A1096" t="inlineStr">
        <is>
          <t>900007197DW70D09810275118</t>
        </is>
      </c>
      <c r="B1096" t="inlineStr">
        <is>
          <t>900007197</t>
        </is>
      </c>
      <c r="C1096" t="inlineStr">
        <is>
          <t>DW70</t>
        </is>
      </c>
      <c r="D1096" t="inlineStr">
        <is>
          <t>D098</t>
        </is>
      </c>
      <c r="E1096" t="inlineStr">
        <is>
          <t>1</t>
        </is>
      </c>
      <c r="F1096" t="inlineStr">
        <is>
          <t>10275118</t>
        </is>
      </c>
      <c r="H1096" t="inlineStr"/>
      <c r="J1096" t="n">
        <v>119.78</v>
      </c>
      <c r="K1096" t="inlineStr"/>
      <c r="M1096" t="inlineStr">
        <is>
          <t>TN</t>
        </is>
      </c>
      <c r="N1096" t="inlineStr"/>
      <c r="P1096" t="inlineStr">
        <is>
          <t>20260430</t>
        </is>
      </c>
      <c r="Q1096" t="inlineStr">
        <is>
          <t>99991231</t>
        </is>
      </c>
    </row>
    <row r="1097">
      <c r="A1097" t="inlineStr">
        <is>
          <t>900007197DW70D13610000160</t>
        </is>
      </c>
      <c r="B1097" t="inlineStr">
        <is>
          <t>900007197</t>
        </is>
      </c>
      <c r="C1097" t="inlineStr">
        <is>
          <t>DW70</t>
        </is>
      </c>
      <c r="D1097" t="inlineStr">
        <is>
          <t>D136</t>
        </is>
      </c>
      <c r="E1097" t="inlineStr">
        <is>
          <t>1</t>
        </is>
      </c>
      <c r="F1097" t="inlineStr">
        <is>
          <t>10000160</t>
        </is>
      </c>
      <c r="H1097" t="inlineStr"/>
      <c r="J1097" t="n">
        <v>110.69</v>
      </c>
      <c r="K1097" t="inlineStr"/>
      <c r="M1097" t="inlineStr">
        <is>
          <t>TN</t>
        </is>
      </c>
      <c r="N1097" t="inlineStr"/>
      <c r="P1097" t="inlineStr">
        <is>
          <t>20260210</t>
        </is>
      </c>
      <c r="Q1097" t="inlineStr">
        <is>
          <t>20260310</t>
        </is>
      </c>
    </row>
    <row r="1098">
      <c r="A1098" t="inlineStr">
        <is>
          <t>900007197DW70D13610275118</t>
        </is>
      </c>
      <c r="B1098" t="inlineStr">
        <is>
          <t>900007197</t>
        </is>
      </c>
      <c r="C1098" t="inlineStr">
        <is>
          <t>DW70</t>
        </is>
      </c>
      <c r="D1098" t="inlineStr">
        <is>
          <t>D136</t>
        </is>
      </c>
      <c r="E1098" t="inlineStr">
        <is>
          <t>1</t>
        </is>
      </c>
      <c r="F1098" t="inlineStr">
        <is>
          <t>10275118</t>
        </is>
      </c>
      <c r="H1098" t="inlineStr"/>
      <c r="J1098" t="n">
        <v>119.78</v>
      </c>
      <c r="K1098" t="inlineStr"/>
      <c r="M1098" t="inlineStr">
        <is>
          <t>TN</t>
        </is>
      </c>
      <c r="N1098" t="inlineStr"/>
      <c r="P1098" t="inlineStr">
        <is>
          <t>20260430</t>
        </is>
      </c>
      <c r="Q1098" t="inlineStr">
        <is>
          <t>99991231</t>
        </is>
      </c>
    </row>
    <row r="1099">
      <c r="A1099" t="inlineStr">
        <is>
          <t>900007310DW70D09310186274</t>
        </is>
      </c>
      <c r="B1099" t="inlineStr">
        <is>
          <t>900007310</t>
        </is>
      </c>
      <c r="C1099" t="inlineStr">
        <is>
          <t>DW70</t>
        </is>
      </c>
      <c r="D1099" t="inlineStr">
        <is>
          <t>D093</t>
        </is>
      </c>
      <c r="E1099" t="inlineStr">
        <is>
          <t>4</t>
        </is>
      </c>
      <c r="F1099" t="inlineStr">
        <is>
          <t>10186274</t>
        </is>
      </c>
      <c r="H1099" t="inlineStr"/>
      <c r="J1099" t="n">
        <v>172.99</v>
      </c>
      <c r="K1099" t="inlineStr"/>
      <c r="M1099" t="inlineStr">
        <is>
          <t>TN</t>
        </is>
      </c>
      <c r="N1099" t="inlineStr"/>
      <c r="P1099" t="inlineStr">
        <is>
          <t>20220331</t>
        </is>
      </c>
      <c r="Q1099" t="inlineStr">
        <is>
          <t>20250131</t>
        </is>
      </c>
    </row>
    <row r="1100">
      <c r="A1100" t="inlineStr">
        <is>
          <t>900007310DW70D09810186274</t>
        </is>
      </c>
      <c r="B1100" t="inlineStr">
        <is>
          <t>900007310</t>
        </is>
      </c>
      <c r="C1100" t="inlineStr">
        <is>
          <t>DW70</t>
        </is>
      </c>
      <c r="D1100" t="inlineStr">
        <is>
          <t>D098</t>
        </is>
      </c>
      <c r="E1100" t="inlineStr">
        <is>
          <t>4</t>
        </is>
      </c>
      <c r="F1100" t="inlineStr">
        <is>
          <t>10186274</t>
        </is>
      </c>
      <c r="H1100" t="inlineStr"/>
      <c r="J1100" t="n">
        <v>178.05</v>
      </c>
      <c r="K1100" t="inlineStr"/>
      <c r="M1100" t="inlineStr">
        <is>
          <t>TN</t>
        </is>
      </c>
      <c r="N1100" t="inlineStr"/>
      <c r="P1100" t="inlineStr">
        <is>
          <t>20220331</t>
        </is>
      </c>
      <c r="Q1100" t="inlineStr">
        <is>
          <t>20250131</t>
        </is>
      </c>
    </row>
    <row r="1101">
      <c r="A1101" t="inlineStr">
        <is>
          <t>900007310DW70D68110186274</t>
        </is>
      </c>
      <c r="B1101" t="inlineStr">
        <is>
          <t>900007310</t>
        </is>
      </c>
      <c r="C1101" t="inlineStr">
        <is>
          <t>DW70</t>
        </is>
      </c>
      <c r="D1101" t="inlineStr">
        <is>
          <t>D681</t>
        </is>
      </c>
      <c r="E1101" t="inlineStr">
        <is>
          <t>4</t>
        </is>
      </c>
      <c r="F1101" t="inlineStr">
        <is>
          <t>10186274</t>
        </is>
      </c>
      <c r="H1101" t="inlineStr"/>
      <c r="J1101" t="n">
        <v>200.71</v>
      </c>
      <c r="K1101" t="inlineStr"/>
      <c r="M1101" t="inlineStr">
        <is>
          <t>TN</t>
        </is>
      </c>
      <c r="N1101" t="inlineStr"/>
      <c r="P1101" t="inlineStr">
        <is>
          <t>20220331</t>
        </is>
      </c>
      <c r="Q1101" t="inlineStr">
        <is>
          <t>20250131</t>
        </is>
      </c>
    </row>
    <row r="1102">
      <c r="A1102" t="inlineStr">
        <is>
          <t>900007455DW70E67310000624</t>
        </is>
      </c>
      <c r="B1102" t="inlineStr">
        <is>
          <t>900007455</t>
        </is>
      </c>
      <c r="C1102" t="inlineStr">
        <is>
          <t>DW70</t>
        </is>
      </c>
      <c r="D1102" t="inlineStr">
        <is>
          <t>E673</t>
        </is>
      </c>
      <c r="E1102" t="inlineStr">
        <is>
          <t>1</t>
        </is>
      </c>
      <c r="F1102" t="inlineStr">
        <is>
          <t>10000624</t>
        </is>
      </c>
      <c r="H1102" t="inlineStr"/>
      <c r="J1102" t="n">
        <v>193.83</v>
      </c>
      <c r="K1102" t="inlineStr"/>
      <c r="M1102" t="inlineStr">
        <is>
          <t>TN</t>
        </is>
      </c>
      <c r="N1102" t="inlineStr"/>
      <c r="P1102" t="inlineStr">
        <is>
          <t>20220331</t>
        </is>
      </c>
      <c r="Q1102" t="inlineStr">
        <is>
          <t>20250131</t>
        </is>
      </c>
    </row>
    <row r="1103">
      <c r="A1103" t="inlineStr">
        <is>
          <t>900007455DW70E67310170112</t>
        </is>
      </c>
      <c r="B1103" t="inlineStr">
        <is>
          <t>900007455</t>
        </is>
      </c>
      <c r="C1103" t="inlineStr">
        <is>
          <t>DW70</t>
        </is>
      </c>
      <c r="D1103" t="inlineStr">
        <is>
          <t>E673</t>
        </is>
      </c>
      <c r="E1103" t="inlineStr">
        <is>
          <t>1</t>
        </is>
      </c>
      <c r="F1103" t="inlineStr">
        <is>
          <t>10170112</t>
        </is>
      </c>
      <c r="H1103" t="inlineStr"/>
      <c r="J1103" t="n">
        <v>197.51</v>
      </c>
      <c r="K1103" t="inlineStr"/>
      <c r="M1103" t="inlineStr">
        <is>
          <t>TN</t>
        </is>
      </c>
      <c r="N1103" t="inlineStr"/>
      <c r="P1103" t="inlineStr">
        <is>
          <t>20220331</t>
        </is>
      </c>
      <c r="Q1103" t="inlineStr">
        <is>
          <t>20250131</t>
        </is>
      </c>
    </row>
    <row r="1104">
      <c r="A1104" t="inlineStr">
        <is>
          <t>900007455DW70EQ7510000624</t>
        </is>
      </c>
      <c r="B1104" t="inlineStr">
        <is>
          <t>900007455</t>
        </is>
      </c>
      <c r="C1104" t="inlineStr">
        <is>
          <t>DW70</t>
        </is>
      </c>
      <c r="D1104" t="inlineStr">
        <is>
          <t>EQ75</t>
        </is>
      </c>
      <c r="E1104" t="inlineStr">
        <is>
          <t>1</t>
        </is>
      </c>
      <c r="F1104" t="inlineStr">
        <is>
          <t>10000624</t>
        </is>
      </c>
      <c r="H1104" t="inlineStr"/>
      <c r="J1104" t="n">
        <v>183.21</v>
      </c>
      <c r="K1104" t="inlineStr"/>
      <c r="M1104" t="inlineStr">
        <is>
          <t>TN</t>
        </is>
      </c>
      <c r="N1104" t="inlineStr"/>
      <c r="P1104" t="inlineStr">
        <is>
          <t>20220331</t>
        </is>
      </c>
      <c r="Q1104" t="inlineStr">
        <is>
          <t>20250131</t>
        </is>
      </c>
    </row>
    <row r="1105">
      <c r="A1105" t="inlineStr">
        <is>
          <t>900007455DW70EQ7510170112</t>
        </is>
      </c>
      <c r="B1105" t="inlineStr">
        <is>
          <t>900007455</t>
        </is>
      </c>
      <c r="C1105" t="inlineStr">
        <is>
          <t>DW70</t>
        </is>
      </c>
      <c r="D1105" t="inlineStr">
        <is>
          <t>EQ75</t>
        </is>
      </c>
      <c r="E1105" t="inlineStr">
        <is>
          <t>1</t>
        </is>
      </c>
      <c r="F1105" t="inlineStr">
        <is>
          <t>10170112</t>
        </is>
      </c>
      <c r="H1105" t="inlineStr"/>
      <c r="J1105" t="n">
        <v>191.7</v>
      </c>
      <c r="K1105" t="inlineStr"/>
      <c r="M1105" t="inlineStr">
        <is>
          <t>TN</t>
        </is>
      </c>
      <c r="N1105" t="inlineStr"/>
      <c r="P1105" t="inlineStr">
        <is>
          <t>20220331</t>
        </is>
      </c>
      <c r="Q1105" t="inlineStr">
        <is>
          <t>20250131</t>
        </is>
      </c>
    </row>
    <row r="1106">
      <c r="A1106" t="inlineStr">
        <is>
          <t>900007504DW70D09810214980</t>
        </is>
      </c>
      <c r="B1106" t="inlineStr">
        <is>
          <t>900007504</t>
        </is>
      </c>
      <c r="C1106" t="inlineStr">
        <is>
          <t>DW70</t>
        </is>
      </c>
      <c r="D1106" t="inlineStr">
        <is>
          <t>D098</t>
        </is>
      </c>
      <c r="E1106" t="inlineStr">
        <is>
          <t>1</t>
        </is>
      </c>
      <c r="F1106" t="inlineStr">
        <is>
          <t>10214980</t>
        </is>
      </c>
      <c r="H1106" t="inlineStr"/>
      <c r="J1106" t="n">
        <v>75.01000000000001</v>
      </c>
      <c r="K1106" t="inlineStr"/>
      <c r="M1106" t="inlineStr">
        <is>
          <t>TN</t>
        </is>
      </c>
      <c r="N1106" t="inlineStr"/>
      <c r="P1106" t="inlineStr">
        <is>
          <t>20220331</t>
        </is>
      </c>
      <c r="Q1106" t="inlineStr">
        <is>
          <t>20250131</t>
        </is>
      </c>
    </row>
    <row r="1107">
      <c r="A1107" t="inlineStr">
        <is>
          <t>900007504DW70D09810214981</t>
        </is>
      </c>
      <c r="B1107" t="inlineStr">
        <is>
          <t>900007504</t>
        </is>
      </c>
      <c r="C1107" t="inlineStr">
        <is>
          <t>DW70</t>
        </is>
      </c>
      <c r="D1107" t="inlineStr">
        <is>
          <t>D098</t>
        </is>
      </c>
      <c r="E1107" t="inlineStr">
        <is>
          <t>1</t>
        </is>
      </c>
      <c r="F1107" t="inlineStr">
        <is>
          <t>10214981</t>
        </is>
      </c>
      <c r="H1107" t="inlineStr"/>
      <c r="J1107" t="n">
        <v>74.28</v>
      </c>
      <c r="K1107" t="inlineStr"/>
      <c r="M1107" t="inlineStr">
        <is>
          <t>TN</t>
        </is>
      </c>
      <c r="N1107" t="inlineStr"/>
      <c r="P1107" t="inlineStr">
        <is>
          <t>20220331</t>
        </is>
      </c>
      <c r="Q1107" t="inlineStr">
        <is>
          <t>20250131</t>
        </is>
      </c>
    </row>
    <row r="1108">
      <c r="A1108" t="inlineStr">
        <is>
          <t>900007504DW70D14510214980</t>
        </is>
      </c>
      <c r="B1108" t="inlineStr">
        <is>
          <t>900007504</t>
        </is>
      </c>
      <c r="C1108" t="inlineStr">
        <is>
          <t>DW70</t>
        </is>
      </c>
      <c r="D1108" t="inlineStr">
        <is>
          <t>D145</t>
        </is>
      </c>
      <c r="E1108" t="inlineStr">
        <is>
          <t>1</t>
        </is>
      </c>
      <c r="F1108" t="inlineStr">
        <is>
          <t>10214980</t>
        </is>
      </c>
      <c r="H1108" t="inlineStr"/>
      <c r="J1108" t="n">
        <v>135.95</v>
      </c>
      <c r="K1108" t="inlineStr"/>
      <c r="M1108" t="inlineStr">
        <is>
          <t>TN</t>
        </is>
      </c>
      <c r="N1108" t="inlineStr"/>
      <c r="P1108" t="inlineStr">
        <is>
          <t>20220331</t>
        </is>
      </c>
      <c r="Q1108" t="inlineStr">
        <is>
          <t>20250131</t>
        </is>
      </c>
    </row>
    <row r="1109">
      <c r="A1109" t="inlineStr">
        <is>
          <t>900007504DW70D14510214981</t>
        </is>
      </c>
      <c r="B1109" t="inlineStr">
        <is>
          <t>900007504</t>
        </is>
      </c>
      <c r="C1109" t="inlineStr">
        <is>
          <t>DW70</t>
        </is>
      </c>
      <c r="D1109" t="inlineStr">
        <is>
          <t>D145</t>
        </is>
      </c>
      <c r="E1109" t="inlineStr">
        <is>
          <t>1</t>
        </is>
      </c>
      <c r="F1109" t="inlineStr">
        <is>
          <t>10214981</t>
        </is>
      </c>
      <c r="H1109" t="inlineStr"/>
      <c r="J1109" t="n">
        <v>134.63</v>
      </c>
      <c r="K1109" t="inlineStr"/>
      <c r="M1109" t="inlineStr">
        <is>
          <t>TN</t>
        </is>
      </c>
      <c r="N1109" t="inlineStr"/>
      <c r="P1109" t="inlineStr">
        <is>
          <t>20220331</t>
        </is>
      </c>
      <c r="Q1109" t="inlineStr">
        <is>
          <t>20250131</t>
        </is>
      </c>
    </row>
    <row r="1110">
      <c r="A1110" t="inlineStr">
        <is>
          <t>900007605DW70D07410002802</t>
        </is>
      </c>
      <c r="B1110" t="inlineStr">
        <is>
          <t>900007605</t>
        </is>
      </c>
      <c r="C1110" t="inlineStr">
        <is>
          <t>DW70</t>
        </is>
      </c>
      <c r="D1110" t="inlineStr">
        <is>
          <t>D074</t>
        </is>
      </c>
      <c r="E1110" t="inlineStr">
        <is>
          <t>1</t>
        </is>
      </c>
      <c r="F1110" t="inlineStr">
        <is>
          <t>10002802</t>
        </is>
      </c>
      <c r="H1110" t="inlineStr"/>
      <c r="J1110" t="n">
        <v>152.7</v>
      </c>
      <c r="K1110" t="inlineStr"/>
      <c r="M1110" t="inlineStr">
        <is>
          <t>TN</t>
        </is>
      </c>
      <c r="N1110" t="inlineStr"/>
      <c r="P1110" t="inlineStr">
        <is>
          <t>20251111</t>
        </is>
      </c>
      <c r="Q1110" t="inlineStr">
        <is>
          <t>20260310</t>
        </is>
      </c>
    </row>
    <row r="1111">
      <c r="A1111" t="inlineStr">
        <is>
          <t>900007605DW70D07410227598</t>
        </is>
      </c>
      <c r="B1111" t="inlineStr">
        <is>
          <t>900007605</t>
        </is>
      </c>
      <c r="C1111" t="inlineStr">
        <is>
          <t>DW70</t>
        </is>
      </c>
      <c r="D1111" t="inlineStr">
        <is>
          <t>D074</t>
        </is>
      </c>
      <c r="E1111" t="inlineStr">
        <is>
          <t>1</t>
        </is>
      </c>
      <c r="F1111" t="inlineStr">
        <is>
          <t>10227598</t>
        </is>
      </c>
      <c r="H1111" t="inlineStr"/>
      <c r="J1111" t="n">
        <v>143.76</v>
      </c>
      <c r="K1111" t="inlineStr"/>
      <c r="M1111" t="inlineStr">
        <is>
          <t>TN</t>
        </is>
      </c>
      <c r="N1111" t="inlineStr"/>
      <c r="P1111" t="inlineStr">
        <is>
          <t>20220331</t>
        </is>
      </c>
      <c r="Q1111" t="inlineStr">
        <is>
          <t>20250131</t>
        </is>
      </c>
    </row>
    <row r="1112">
      <c r="A1112" t="inlineStr">
        <is>
          <t>900007605DW70D07410274754</t>
        </is>
      </c>
      <c r="B1112" t="inlineStr">
        <is>
          <t>900007605</t>
        </is>
      </c>
      <c r="C1112" t="inlineStr">
        <is>
          <t>DW70</t>
        </is>
      </c>
      <c r="D1112" t="inlineStr">
        <is>
          <t>D074</t>
        </is>
      </c>
      <c r="E1112" t="inlineStr">
        <is>
          <t>1</t>
        </is>
      </c>
      <c r="F1112" t="inlineStr">
        <is>
          <t>10274754</t>
        </is>
      </c>
      <c r="H1112" t="inlineStr"/>
      <c r="J1112" t="n">
        <v>172.07</v>
      </c>
      <c r="K1112" t="inlineStr"/>
      <c r="M1112" t="inlineStr">
        <is>
          <t>TN</t>
        </is>
      </c>
      <c r="N1112" t="inlineStr"/>
      <c r="P1112" t="inlineStr">
        <is>
          <t>20260430</t>
        </is>
      </c>
      <c r="Q1112" t="inlineStr">
        <is>
          <t>99991231</t>
        </is>
      </c>
    </row>
    <row r="1113">
      <c r="A1113" t="inlineStr">
        <is>
          <t>900007605DW70D07410275114</t>
        </is>
      </c>
      <c r="B1113" t="inlineStr">
        <is>
          <t>900007605</t>
        </is>
      </c>
      <c r="C1113" t="inlineStr">
        <is>
          <t>DW70</t>
        </is>
      </c>
      <c r="D1113" t="inlineStr">
        <is>
          <t>D074</t>
        </is>
      </c>
      <c r="E1113" t="inlineStr">
        <is>
          <t>1</t>
        </is>
      </c>
      <c r="F1113" t="inlineStr">
        <is>
          <t>10275114</t>
        </is>
      </c>
      <c r="H1113" t="inlineStr"/>
      <c r="J1113" t="n">
        <v>169.52</v>
      </c>
      <c r="K1113" t="inlineStr"/>
      <c r="M1113" t="inlineStr">
        <is>
          <t>TN</t>
        </is>
      </c>
      <c r="N1113" t="inlineStr"/>
      <c r="P1113" t="inlineStr">
        <is>
          <t>20260430</t>
        </is>
      </c>
      <c r="Q1113" t="inlineStr">
        <is>
          <t>99991231</t>
        </is>
      </c>
    </row>
    <row r="1114">
      <c r="A1114" t="inlineStr">
        <is>
          <t>900007605DW70D07510002802</t>
        </is>
      </c>
      <c r="B1114" t="inlineStr">
        <is>
          <t>900007605</t>
        </is>
      </c>
      <c r="C1114" t="inlineStr">
        <is>
          <t>DW70</t>
        </is>
      </c>
      <c r="D1114" t="inlineStr">
        <is>
          <t>D075</t>
        </is>
      </c>
      <c r="E1114" t="inlineStr">
        <is>
          <t>1</t>
        </is>
      </c>
      <c r="F1114" t="inlineStr">
        <is>
          <t>10002802</t>
        </is>
      </c>
      <c r="H1114" t="inlineStr"/>
      <c r="J1114" t="n">
        <v>158.46</v>
      </c>
      <c r="K1114" t="inlineStr"/>
      <c r="M1114" t="inlineStr">
        <is>
          <t>TN</t>
        </is>
      </c>
      <c r="N1114" t="inlineStr"/>
      <c r="P1114" t="inlineStr">
        <is>
          <t>20250401</t>
        </is>
      </c>
      <c r="Q1114" t="inlineStr">
        <is>
          <t>20251031</t>
        </is>
      </c>
    </row>
    <row r="1115">
      <c r="A1115" t="inlineStr">
        <is>
          <t>900007605DW70D07510274754</t>
        </is>
      </c>
      <c r="B1115" t="inlineStr">
        <is>
          <t>900007605</t>
        </is>
      </c>
      <c r="C1115" t="inlineStr">
        <is>
          <t>DW70</t>
        </is>
      </c>
      <c r="D1115" t="inlineStr">
        <is>
          <t>D075</t>
        </is>
      </c>
      <c r="E1115" t="inlineStr">
        <is>
          <t>1</t>
        </is>
      </c>
      <c r="F1115" t="inlineStr">
        <is>
          <t>10274754</t>
        </is>
      </c>
      <c r="H1115" t="inlineStr"/>
      <c r="J1115" t="n">
        <v>178.56</v>
      </c>
      <c r="K1115" t="inlineStr"/>
      <c r="M1115" t="inlineStr">
        <is>
          <t>TN</t>
        </is>
      </c>
      <c r="N1115" t="inlineStr"/>
      <c r="P1115" t="inlineStr">
        <is>
          <t>20260430</t>
        </is>
      </c>
      <c r="Q1115" t="inlineStr">
        <is>
          <t>99991231</t>
        </is>
      </c>
    </row>
    <row r="1116">
      <c r="A1116" t="inlineStr">
        <is>
          <t>900007605DW70D07510275114</t>
        </is>
      </c>
      <c r="B1116" t="inlineStr">
        <is>
          <t>900007605</t>
        </is>
      </c>
      <c r="C1116" t="inlineStr">
        <is>
          <t>DW70</t>
        </is>
      </c>
      <c r="D1116" t="inlineStr">
        <is>
          <t>D075</t>
        </is>
      </c>
      <c r="E1116" t="inlineStr">
        <is>
          <t>1</t>
        </is>
      </c>
      <c r="F1116" t="inlineStr">
        <is>
          <t>10275114</t>
        </is>
      </c>
      <c r="H1116" t="inlineStr"/>
      <c r="J1116" t="n">
        <v>175.92</v>
      </c>
      <c r="K1116" t="inlineStr"/>
      <c r="M1116" t="inlineStr">
        <is>
          <t>TN</t>
        </is>
      </c>
      <c r="N1116" t="inlineStr"/>
      <c r="P1116" t="inlineStr">
        <is>
          <t>20260430</t>
        </is>
      </c>
      <c r="Q1116" t="inlineStr">
        <is>
          <t>99991231</t>
        </is>
      </c>
    </row>
    <row r="1117">
      <c r="A1117" t="inlineStr">
        <is>
          <t>900007605DW70D07710002802</t>
        </is>
      </c>
      <c r="B1117" t="inlineStr">
        <is>
          <t>900007605</t>
        </is>
      </c>
      <c r="C1117" t="inlineStr">
        <is>
          <t>DW70</t>
        </is>
      </c>
      <c r="D1117" t="inlineStr">
        <is>
          <t>D077</t>
        </is>
      </c>
      <c r="E1117" t="inlineStr">
        <is>
          <t>1</t>
        </is>
      </c>
      <c r="F1117" t="inlineStr">
        <is>
          <t>10002802</t>
        </is>
      </c>
      <c r="H1117" t="inlineStr"/>
      <c r="J1117" t="n">
        <v>80.67</v>
      </c>
      <c r="K1117" t="inlineStr"/>
      <c r="M1117" t="inlineStr">
        <is>
          <t>TN</t>
        </is>
      </c>
      <c r="N1117" t="inlineStr"/>
      <c r="P1117" t="inlineStr">
        <is>
          <t>20250401</t>
        </is>
      </c>
      <c r="Q1117" t="inlineStr">
        <is>
          <t>20260310</t>
        </is>
      </c>
    </row>
    <row r="1118">
      <c r="A1118" t="inlineStr">
        <is>
          <t>900007605DW70D07710274754</t>
        </is>
      </c>
      <c r="B1118" t="inlineStr">
        <is>
          <t>900007605</t>
        </is>
      </c>
      <c r="C1118" t="inlineStr">
        <is>
          <t>DW70</t>
        </is>
      </c>
      <c r="D1118" t="inlineStr">
        <is>
          <t>D077</t>
        </is>
      </c>
      <c r="E1118" t="inlineStr">
        <is>
          <t>1</t>
        </is>
      </c>
      <c r="F1118" t="inlineStr">
        <is>
          <t>10274754</t>
        </is>
      </c>
      <c r="H1118" t="inlineStr"/>
      <c r="J1118" t="n">
        <v>90.90000000000001</v>
      </c>
      <c r="K1118" t="inlineStr"/>
      <c r="M1118" t="inlineStr">
        <is>
          <t>TN</t>
        </is>
      </c>
      <c r="N1118" t="inlineStr"/>
      <c r="P1118" t="inlineStr">
        <is>
          <t>20260430</t>
        </is>
      </c>
      <c r="Q1118" t="inlineStr">
        <is>
          <t>99991231</t>
        </is>
      </c>
    </row>
    <row r="1119">
      <c r="A1119" t="inlineStr">
        <is>
          <t>900007605DW70D07710275114</t>
        </is>
      </c>
      <c r="B1119" t="inlineStr">
        <is>
          <t>900007605</t>
        </is>
      </c>
      <c r="C1119" t="inlineStr">
        <is>
          <t>DW70</t>
        </is>
      </c>
      <c r="D1119" t="inlineStr">
        <is>
          <t>D077</t>
        </is>
      </c>
      <c r="E1119" t="inlineStr">
        <is>
          <t>1</t>
        </is>
      </c>
      <c r="F1119" t="inlineStr">
        <is>
          <t>10275114</t>
        </is>
      </c>
      <c r="H1119" t="inlineStr"/>
      <c r="J1119" t="n">
        <v>89.56</v>
      </c>
      <c r="K1119" t="inlineStr"/>
      <c r="M1119" t="inlineStr">
        <is>
          <t>TN</t>
        </is>
      </c>
      <c r="N1119" t="inlineStr"/>
      <c r="P1119" t="inlineStr">
        <is>
          <t>20260430</t>
        </is>
      </c>
      <c r="Q1119" t="inlineStr">
        <is>
          <t>99991231</t>
        </is>
      </c>
    </row>
    <row r="1120">
      <c r="A1120" t="inlineStr">
        <is>
          <t>900007605DW70D07910002802</t>
        </is>
      </c>
      <c r="B1120" t="inlineStr">
        <is>
          <t>900007605</t>
        </is>
      </c>
      <c r="C1120" t="inlineStr">
        <is>
          <t>DW70</t>
        </is>
      </c>
      <c r="D1120" t="inlineStr">
        <is>
          <t>D079</t>
        </is>
      </c>
      <c r="E1120" t="inlineStr">
        <is>
          <t>1</t>
        </is>
      </c>
      <c r="F1120" t="inlineStr">
        <is>
          <t>10002802</t>
        </is>
      </c>
      <c r="H1120" t="inlineStr"/>
      <c r="J1120" t="n">
        <v>152.7</v>
      </c>
      <c r="K1120" t="inlineStr"/>
      <c r="M1120" t="inlineStr">
        <is>
          <t>TN</t>
        </is>
      </c>
      <c r="N1120" t="inlineStr"/>
      <c r="P1120" t="inlineStr">
        <is>
          <t>20250401</t>
        </is>
      </c>
      <c r="Q1120" t="inlineStr">
        <is>
          <t>20260310</t>
        </is>
      </c>
    </row>
    <row r="1121">
      <c r="A1121" t="inlineStr">
        <is>
          <t>900007605DW70D07910274754</t>
        </is>
      </c>
      <c r="B1121" t="inlineStr">
        <is>
          <t>900007605</t>
        </is>
      </c>
      <c r="C1121" t="inlineStr">
        <is>
          <t>DW70</t>
        </is>
      </c>
      <c r="D1121" t="inlineStr">
        <is>
          <t>D079</t>
        </is>
      </c>
      <c r="E1121" t="inlineStr">
        <is>
          <t>1</t>
        </is>
      </c>
      <c r="F1121" t="inlineStr">
        <is>
          <t>10274754</t>
        </is>
      </c>
      <c r="H1121" t="inlineStr"/>
      <c r="J1121" t="n">
        <v>172.07</v>
      </c>
      <c r="K1121" t="inlineStr"/>
      <c r="M1121" t="inlineStr">
        <is>
          <t>TN</t>
        </is>
      </c>
      <c r="N1121" t="inlineStr"/>
      <c r="P1121" t="inlineStr">
        <is>
          <t>20260430</t>
        </is>
      </c>
      <c r="Q1121" t="inlineStr">
        <is>
          <t>99991231</t>
        </is>
      </c>
    </row>
    <row r="1122">
      <c r="A1122" t="inlineStr">
        <is>
          <t>900007605DW70D07910275114</t>
        </is>
      </c>
      <c r="B1122" t="inlineStr">
        <is>
          <t>900007605</t>
        </is>
      </c>
      <c r="C1122" t="inlineStr">
        <is>
          <t>DW70</t>
        </is>
      </c>
      <c r="D1122" t="inlineStr">
        <is>
          <t>D079</t>
        </is>
      </c>
      <c r="E1122" t="inlineStr">
        <is>
          <t>1</t>
        </is>
      </c>
      <c r="F1122" t="inlineStr">
        <is>
          <t>10275114</t>
        </is>
      </c>
      <c r="H1122" t="inlineStr"/>
      <c r="J1122" t="n">
        <v>169.52</v>
      </c>
      <c r="K1122" t="inlineStr"/>
      <c r="M1122" t="inlineStr">
        <is>
          <t>TN</t>
        </is>
      </c>
      <c r="N1122" t="inlineStr"/>
      <c r="P1122" t="inlineStr">
        <is>
          <t>20260430</t>
        </is>
      </c>
      <c r="Q1122" t="inlineStr">
        <is>
          <t>99991231</t>
        </is>
      </c>
    </row>
    <row r="1123">
      <c r="A1123" t="inlineStr">
        <is>
          <t>900007605DW70D08010002802</t>
        </is>
      </c>
      <c r="B1123" t="inlineStr">
        <is>
          <t>900007605</t>
        </is>
      </c>
      <c r="C1123" t="inlineStr">
        <is>
          <t>DW70</t>
        </is>
      </c>
      <c r="D1123" t="inlineStr">
        <is>
          <t>D080</t>
        </is>
      </c>
      <c r="E1123" t="inlineStr">
        <is>
          <t>1</t>
        </is>
      </c>
      <c r="F1123" t="inlineStr">
        <is>
          <t>10002802</t>
        </is>
      </c>
      <c r="H1123" t="inlineStr"/>
      <c r="J1123" t="n">
        <v>167.1</v>
      </c>
      <c r="K1123" t="inlineStr"/>
      <c r="M1123" t="inlineStr">
        <is>
          <t>TN</t>
        </is>
      </c>
      <c r="N1123" t="inlineStr"/>
      <c r="P1123" t="inlineStr">
        <is>
          <t>20250401</t>
        </is>
      </c>
      <c r="Q1123" t="inlineStr">
        <is>
          <t>20251031</t>
        </is>
      </c>
    </row>
    <row r="1124">
      <c r="A1124" t="inlineStr">
        <is>
          <t>900007605DW70D08010227598</t>
        </is>
      </c>
      <c r="B1124" t="inlineStr">
        <is>
          <t>900007605</t>
        </is>
      </c>
      <c r="C1124" t="inlineStr">
        <is>
          <t>DW70</t>
        </is>
      </c>
      <c r="D1124" t="inlineStr">
        <is>
          <t>D080</t>
        </is>
      </c>
      <c r="E1124" t="inlineStr">
        <is>
          <t>1</t>
        </is>
      </c>
      <c r="F1124" t="inlineStr">
        <is>
          <t>10227598</t>
        </is>
      </c>
      <c r="H1124" t="inlineStr"/>
      <c r="J1124" t="n">
        <v>163.49</v>
      </c>
      <c r="K1124" t="inlineStr"/>
      <c r="M1124" t="inlineStr">
        <is>
          <t>TN</t>
        </is>
      </c>
      <c r="N1124" t="inlineStr"/>
      <c r="P1124" t="inlineStr">
        <is>
          <t>20220331</t>
        </is>
      </c>
      <c r="Q1124" t="inlineStr">
        <is>
          <t>20250131</t>
        </is>
      </c>
    </row>
    <row r="1125">
      <c r="A1125" t="inlineStr">
        <is>
          <t>900007605DW70D08010274754</t>
        </is>
      </c>
      <c r="B1125" t="inlineStr">
        <is>
          <t>900007605</t>
        </is>
      </c>
      <c r="C1125" t="inlineStr">
        <is>
          <t>DW70</t>
        </is>
      </c>
      <c r="D1125" t="inlineStr">
        <is>
          <t>D080</t>
        </is>
      </c>
      <c r="E1125" t="inlineStr">
        <is>
          <t>1</t>
        </is>
      </c>
      <c r="F1125" t="inlineStr">
        <is>
          <t>10274754</t>
        </is>
      </c>
      <c r="H1125" t="inlineStr"/>
      <c r="J1125" t="n">
        <v>188.3</v>
      </c>
      <c r="K1125" t="inlineStr"/>
      <c r="M1125" t="inlineStr">
        <is>
          <t>TN</t>
        </is>
      </c>
      <c r="N1125" t="inlineStr"/>
      <c r="P1125" t="inlineStr">
        <is>
          <t>20260430</t>
        </is>
      </c>
      <c r="Q1125" t="inlineStr">
        <is>
          <t>99991231</t>
        </is>
      </c>
    </row>
    <row r="1126">
      <c r="A1126" t="inlineStr">
        <is>
          <t>900007605DW70D08010275114</t>
        </is>
      </c>
      <c r="B1126" t="inlineStr">
        <is>
          <t>900007605</t>
        </is>
      </c>
      <c r="C1126" t="inlineStr">
        <is>
          <t>DW70</t>
        </is>
      </c>
      <c r="D1126" t="inlineStr">
        <is>
          <t>D080</t>
        </is>
      </c>
      <c r="E1126" t="inlineStr">
        <is>
          <t>1</t>
        </is>
      </c>
      <c r="F1126" t="inlineStr">
        <is>
          <t>10275114</t>
        </is>
      </c>
      <c r="H1126" t="inlineStr"/>
      <c r="J1126" t="n">
        <v>185.51</v>
      </c>
      <c r="K1126" t="inlineStr"/>
      <c r="M1126" t="inlineStr">
        <is>
          <t>TN</t>
        </is>
      </c>
      <c r="N1126" t="inlineStr"/>
      <c r="P1126" t="inlineStr">
        <is>
          <t>20260430</t>
        </is>
      </c>
      <c r="Q1126" t="inlineStr">
        <is>
          <t>99991231</t>
        </is>
      </c>
    </row>
    <row r="1127">
      <c r="A1127" t="inlineStr">
        <is>
          <t>900007605DW70D08110002802</t>
        </is>
      </c>
      <c r="B1127" t="inlineStr">
        <is>
          <t>900007605</t>
        </is>
      </c>
      <c r="C1127" t="inlineStr">
        <is>
          <t>DW70</t>
        </is>
      </c>
      <c r="D1127" t="inlineStr">
        <is>
          <t>D081</t>
        </is>
      </c>
      <c r="E1127" t="inlineStr">
        <is>
          <t>1</t>
        </is>
      </c>
      <c r="F1127" t="inlineStr">
        <is>
          <t>10002802</t>
        </is>
      </c>
      <c r="H1127" t="inlineStr"/>
      <c r="J1127" t="n">
        <v>178.63</v>
      </c>
      <c r="K1127" t="inlineStr"/>
      <c r="M1127" t="inlineStr">
        <is>
          <t>TN</t>
        </is>
      </c>
      <c r="N1127" t="inlineStr"/>
      <c r="P1127" t="inlineStr">
        <is>
          <t>20250401</t>
        </is>
      </c>
      <c r="Q1127" t="inlineStr">
        <is>
          <t>20260310</t>
        </is>
      </c>
    </row>
    <row r="1128">
      <c r="A1128" t="inlineStr">
        <is>
          <t>900007605DW70D08110227598</t>
        </is>
      </c>
      <c r="B1128" t="inlineStr">
        <is>
          <t>900007605</t>
        </is>
      </c>
      <c r="C1128" t="inlineStr">
        <is>
          <t>DW70</t>
        </is>
      </c>
      <c r="D1128" t="inlineStr">
        <is>
          <t>D081</t>
        </is>
      </c>
      <c r="E1128" t="inlineStr">
        <is>
          <t>1</t>
        </is>
      </c>
      <c r="F1128" t="inlineStr">
        <is>
          <t>10227598</t>
        </is>
      </c>
      <c r="H1128" t="inlineStr"/>
      <c r="J1128" t="n">
        <v>191.18</v>
      </c>
      <c r="K1128" t="inlineStr"/>
      <c r="M1128" t="inlineStr">
        <is>
          <t>TN</t>
        </is>
      </c>
      <c r="N1128" t="inlineStr"/>
      <c r="P1128" t="inlineStr">
        <is>
          <t>20220331</t>
        </is>
      </c>
      <c r="Q1128" t="inlineStr">
        <is>
          <t>20250131</t>
        </is>
      </c>
    </row>
    <row r="1129">
      <c r="A1129" t="inlineStr">
        <is>
          <t>900007605DW70D08110274754</t>
        </is>
      </c>
      <c r="B1129" t="inlineStr">
        <is>
          <t>900007605</t>
        </is>
      </c>
      <c r="C1129" t="inlineStr">
        <is>
          <t>DW70</t>
        </is>
      </c>
      <c r="D1129" t="inlineStr">
        <is>
          <t>D081</t>
        </is>
      </c>
      <c r="E1129" t="inlineStr">
        <is>
          <t>1</t>
        </is>
      </c>
      <c r="F1129" t="inlineStr">
        <is>
          <t>10274754</t>
        </is>
      </c>
      <c r="H1129" t="inlineStr"/>
      <c r="J1129" t="n">
        <v>201.28</v>
      </c>
      <c r="K1129" t="inlineStr"/>
      <c r="M1129" t="inlineStr">
        <is>
          <t>TN</t>
        </is>
      </c>
      <c r="N1129" t="inlineStr"/>
      <c r="P1129" t="inlineStr">
        <is>
          <t>20260430</t>
        </is>
      </c>
      <c r="Q1129" t="inlineStr">
        <is>
          <t>99991231</t>
        </is>
      </c>
    </row>
    <row r="1130">
      <c r="A1130" t="inlineStr">
        <is>
          <t>900007605DW70D08110275114</t>
        </is>
      </c>
      <c r="B1130" t="inlineStr">
        <is>
          <t>900007605</t>
        </is>
      </c>
      <c r="C1130" t="inlineStr">
        <is>
          <t>DW70</t>
        </is>
      </c>
      <c r="D1130" t="inlineStr">
        <is>
          <t>D081</t>
        </is>
      </c>
      <c r="E1130" t="inlineStr">
        <is>
          <t>1</t>
        </is>
      </c>
      <c r="F1130" t="inlineStr">
        <is>
          <t>10275114</t>
        </is>
      </c>
      <c r="H1130" t="inlineStr"/>
      <c r="J1130" t="n">
        <v>198.3</v>
      </c>
      <c r="K1130" t="inlineStr"/>
      <c r="M1130" t="inlineStr">
        <is>
          <t>TN</t>
        </is>
      </c>
      <c r="N1130" t="inlineStr"/>
      <c r="P1130" t="inlineStr">
        <is>
          <t>20260430</t>
        </is>
      </c>
      <c r="Q1130" t="inlineStr">
        <is>
          <t>99991231</t>
        </is>
      </c>
    </row>
    <row r="1131">
      <c r="A1131" t="inlineStr">
        <is>
          <t>900007605DW70D08310002802</t>
        </is>
      </c>
      <c r="B1131" t="inlineStr">
        <is>
          <t>900007605</t>
        </is>
      </c>
      <c r="C1131" t="inlineStr">
        <is>
          <t>DW70</t>
        </is>
      </c>
      <c r="D1131" t="inlineStr">
        <is>
          <t>D083</t>
        </is>
      </c>
      <c r="E1131" t="inlineStr">
        <is>
          <t>1</t>
        </is>
      </c>
      <c r="F1131" t="inlineStr">
        <is>
          <t>10002802</t>
        </is>
      </c>
      <c r="H1131" t="inlineStr"/>
      <c r="J1131" t="n">
        <v>155.58</v>
      </c>
      <c r="K1131" t="inlineStr"/>
      <c r="M1131" t="inlineStr">
        <is>
          <t>TN</t>
        </is>
      </c>
      <c r="N1131" t="inlineStr"/>
      <c r="P1131" t="inlineStr">
        <is>
          <t>20250401</t>
        </is>
      </c>
      <c r="Q1131" t="inlineStr">
        <is>
          <t>20251031</t>
        </is>
      </c>
    </row>
    <row r="1132">
      <c r="A1132" t="inlineStr">
        <is>
          <t>900007605DW70D08310274754</t>
        </is>
      </c>
      <c r="B1132" t="inlineStr">
        <is>
          <t>900007605</t>
        </is>
      </c>
      <c r="C1132" t="inlineStr">
        <is>
          <t>DW70</t>
        </is>
      </c>
      <c r="D1132" t="inlineStr">
        <is>
          <t>D083</t>
        </is>
      </c>
      <c r="E1132" t="inlineStr">
        <is>
          <t>1</t>
        </is>
      </c>
      <c r="F1132" t="inlineStr">
        <is>
          <t>10274754</t>
        </is>
      </c>
      <c r="H1132" t="inlineStr"/>
      <c r="J1132" t="n">
        <v>175.31</v>
      </c>
      <c r="K1132" t="inlineStr"/>
      <c r="M1132" t="inlineStr">
        <is>
          <t>TN</t>
        </is>
      </c>
      <c r="N1132" t="inlineStr"/>
      <c r="P1132" t="inlineStr">
        <is>
          <t>20260430</t>
        </is>
      </c>
      <c r="Q1132" t="inlineStr">
        <is>
          <t>99991231</t>
        </is>
      </c>
    </row>
    <row r="1133">
      <c r="A1133" t="inlineStr">
        <is>
          <t>900007605DW70D08310275114</t>
        </is>
      </c>
      <c r="B1133" t="inlineStr">
        <is>
          <t>900007605</t>
        </is>
      </c>
      <c r="C1133" t="inlineStr">
        <is>
          <t>DW70</t>
        </is>
      </c>
      <c r="D1133" t="inlineStr">
        <is>
          <t>D083</t>
        </is>
      </c>
      <c r="E1133" t="inlineStr">
        <is>
          <t>1</t>
        </is>
      </c>
      <c r="F1133" t="inlineStr">
        <is>
          <t>10275114</t>
        </is>
      </c>
      <c r="H1133" t="inlineStr"/>
      <c r="J1133" t="n">
        <v>172.72</v>
      </c>
      <c r="K1133" t="inlineStr"/>
      <c r="M1133" t="inlineStr">
        <is>
          <t>TN</t>
        </is>
      </c>
      <c r="N1133" t="inlineStr"/>
      <c r="P1133" t="inlineStr">
        <is>
          <t>20260430</t>
        </is>
      </c>
      <c r="Q1133" t="inlineStr">
        <is>
          <t>99991231</t>
        </is>
      </c>
    </row>
    <row r="1134">
      <c r="A1134" t="inlineStr">
        <is>
          <t>900007605DW70D08410227598</t>
        </is>
      </c>
      <c r="B1134" t="inlineStr">
        <is>
          <t>900007605</t>
        </is>
      </c>
      <c r="C1134" t="inlineStr">
        <is>
          <t>DW70</t>
        </is>
      </c>
      <c r="D1134" t="inlineStr">
        <is>
          <t>D084</t>
        </is>
      </c>
      <c r="E1134" t="inlineStr">
        <is>
          <t>1</t>
        </is>
      </c>
      <c r="F1134" t="inlineStr">
        <is>
          <t>10227598</t>
        </is>
      </c>
      <c r="H1134" t="inlineStr"/>
      <c r="J1134" t="n">
        <v>118.39</v>
      </c>
      <c r="K1134" t="inlineStr"/>
      <c r="M1134" t="inlineStr">
        <is>
          <t>TN</t>
        </is>
      </c>
      <c r="N1134" t="inlineStr"/>
      <c r="P1134" t="inlineStr">
        <is>
          <t>20220331</t>
        </is>
      </c>
      <c r="Q1134" t="inlineStr">
        <is>
          <t>20250131</t>
        </is>
      </c>
    </row>
    <row r="1135">
      <c r="A1135" t="inlineStr">
        <is>
          <t>900007605DW70D08410274754</t>
        </is>
      </c>
      <c r="B1135" t="inlineStr">
        <is>
          <t>900007605</t>
        </is>
      </c>
      <c r="C1135" t="inlineStr">
        <is>
          <t>DW70</t>
        </is>
      </c>
      <c r="D1135" t="inlineStr">
        <is>
          <t>D084</t>
        </is>
      </c>
      <c r="E1135" t="inlineStr">
        <is>
          <t>1</t>
        </is>
      </c>
      <c r="F1135" t="inlineStr">
        <is>
          <t>10274754</t>
        </is>
      </c>
      <c r="H1135" t="inlineStr"/>
      <c r="J1135" t="n">
        <v>136.35</v>
      </c>
      <c r="K1135" t="inlineStr"/>
      <c r="M1135" t="inlineStr">
        <is>
          <t>TN</t>
        </is>
      </c>
      <c r="N1135" t="inlineStr"/>
      <c r="P1135" t="inlineStr">
        <is>
          <t>20260430</t>
        </is>
      </c>
      <c r="Q1135" t="inlineStr">
        <is>
          <t>99991231</t>
        </is>
      </c>
    </row>
    <row r="1136">
      <c r="A1136" t="inlineStr">
        <is>
          <t>900007605DW70D08410275114</t>
        </is>
      </c>
      <c r="B1136" t="inlineStr">
        <is>
          <t>900007605</t>
        </is>
      </c>
      <c r="C1136" t="inlineStr">
        <is>
          <t>DW70</t>
        </is>
      </c>
      <c r="D1136" t="inlineStr">
        <is>
          <t>D084</t>
        </is>
      </c>
      <c r="E1136" t="inlineStr">
        <is>
          <t>1</t>
        </is>
      </c>
      <c r="F1136" t="inlineStr">
        <is>
          <t>10275114</t>
        </is>
      </c>
      <c r="H1136" t="inlineStr"/>
      <c r="J1136" t="n">
        <v>134.33</v>
      </c>
      <c r="K1136" t="inlineStr"/>
      <c r="M1136" t="inlineStr">
        <is>
          <t>TN</t>
        </is>
      </c>
      <c r="N1136" t="inlineStr"/>
      <c r="P1136" t="inlineStr">
        <is>
          <t>20260430</t>
        </is>
      </c>
      <c r="Q1136" t="inlineStr">
        <is>
          <t>99991231</t>
        </is>
      </c>
    </row>
    <row r="1137">
      <c r="A1137" t="inlineStr">
        <is>
          <t>900007605DW70D08510002802</t>
        </is>
      </c>
      <c r="B1137" t="inlineStr">
        <is>
          <t>900007605</t>
        </is>
      </c>
      <c r="C1137" t="inlineStr">
        <is>
          <t>DW70</t>
        </is>
      </c>
      <c r="D1137" t="inlineStr">
        <is>
          <t>D085</t>
        </is>
      </c>
      <c r="E1137" t="inlineStr">
        <is>
          <t>1</t>
        </is>
      </c>
      <c r="F1137" t="inlineStr">
        <is>
          <t>10002802</t>
        </is>
      </c>
      <c r="H1137" t="inlineStr"/>
      <c r="J1137" t="n">
        <v>118.12</v>
      </c>
      <c r="K1137" t="inlineStr"/>
      <c r="M1137" t="inlineStr">
        <is>
          <t>TN</t>
        </is>
      </c>
      <c r="N1137" t="inlineStr"/>
      <c r="P1137" t="inlineStr">
        <is>
          <t>20250401</t>
        </is>
      </c>
      <c r="Q1137" t="inlineStr">
        <is>
          <t>20251031</t>
        </is>
      </c>
    </row>
    <row r="1138">
      <c r="A1138" t="inlineStr">
        <is>
          <t>900007605DW70D08510227598</t>
        </is>
      </c>
      <c r="B1138" t="inlineStr">
        <is>
          <t>900007605</t>
        </is>
      </c>
      <c r="C1138" t="inlineStr">
        <is>
          <t>DW70</t>
        </is>
      </c>
      <c r="D1138" t="inlineStr">
        <is>
          <t>D085</t>
        </is>
      </c>
      <c r="E1138" t="inlineStr">
        <is>
          <t>1</t>
        </is>
      </c>
      <c r="F1138" t="inlineStr">
        <is>
          <t>10227598</t>
        </is>
      </c>
      <c r="H1138" t="inlineStr"/>
      <c r="J1138" t="n">
        <v>126.43</v>
      </c>
      <c r="K1138" t="inlineStr"/>
      <c r="M1138" t="inlineStr">
        <is>
          <t>TN</t>
        </is>
      </c>
      <c r="N1138" t="inlineStr"/>
      <c r="P1138" t="inlineStr">
        <is>
          <t>20220331</t>
        </is>
      </c>
      <c r="Q1138" t="inlineStr">
        <is>
          <t>20250131</t>
        </is>
      </c>
    </row>
    <row r="1139">
      <c r="A1139" t="inlineStr">
        <is>
          <t>900007605DW70D08510274754</t>
        </is>
      </c>
      <c r="B1139" t="inlineStr">
        <is>
          <t>900007605</t>
        </is>
      </c>
      <c r="C1139" t="inlineStr">
        <is>
          <t>DW70</t>
        </is>
      </c>
      <c r="D1139" t="inlineStr">
        <is>
          <t>D085</t>
        </is>
      </c>
      <c r="E1139" t="inlineStr">
        <is>
          <t>1</t>
        </is>
      </c>
      <c r="F1139" t="inlineStr">
        <is>
          <t>10274754</t>
        </is>
      </c>
      <c r="H1139" t="inlineStr"/>
      <c r="J1139" t="n">
        <v>133.11</v>
      </c>
      <c r="K1139" t="inlineStr"/>
      <c r="M1139" t="inlineStr">
        <is>
          <t>TN</t>
        </is>
      </c>
      <c r="N1139" t="inlineStr"/>
      <c r="P1139" t="inlineStr">
        <is>
          <t>20260430</t>
        </is>
      </c>
      <c r="Q1139" t="inlineStr">
        <is>
          <t>99991231</t>
        </is>
      </c>
    </row>
    <row r="1140">
      <c r="A1140" t="inlineStr">
        <is>
          <t>900007605DW70D08510275114</t>
        </is>
      </c>
      <c r="B1140" t="inlineStr">
        <is>
          <t>900007605</t>
        </is>
      </c>
      <c r="C1140" t="inlineStr">
        <is>
          <t>DW70</t>
        </is>
      </c>
      <c r="D1140" t="inlineStr">
        <is>
          <t>D085</t>
        </is>
      </c>
      <c r="E1140" t="inlineStr">
        <is>
          <t>1</t>
        </is>
      </c>
      <c r="F1140" t="inlineStr">
        <is>
          <t>10275114</t>
        </is>
      </c>
      <c r="H1140" t="inlineStr"/>
      <c r="J1140" t="n">
        <v>131.14</v>
      </c>
      <c r="K1140" t="inlineStr"/>
      <c r="M1140" t="inlineStr">
        <is>
          <t>TN</t>
        </is>
      </c>
      <c r="N1140" t="inlineStr"/>
      <c r="P1140" t="inlineStr">
        <is>
          <t>20260430</t>
        </is>
      </c>
      <c r="Q1140" t="inlineStr">
        <is>
          <t>99991231</t>
        </is>
      </c>
    </row>
    <row r="1141">
      <c r="A1141" t="inlineStr">
        <is>
          <t>900007605DW70D08610002802</t>
        </is>
      </c>
      <c r="B1141" t="inlineStr">
        <is>
          <t>900007605</t>
        </is>
      </c>
      <c r="C1141" t="inlineStr">
        <is>
          <t>DW70</t>
        </is>
      </c>
      <c r="D1141" t="inlineStr">
        <is>
          <t>D086</t>
        </is>
      </c>
      <c r="E1141" t="inlineStr">
        <is>
          <t>1</t>
        </is>
      </c>
      <c r="F1141" t="inlineStr">
        <is>
          <t>10002802</t>
        </is>
      </c>
      <c r="H1141" t="inlineStr"/>
      <c r="J1141" t="n">
        <v>126.77</v>
      </c>
      <c r="K1141" t="inlineStr"/>
      <c r="M1141" t="inlineStr">
        <is>
          <t>TN</t>
        </is>
      </c>
      <c r="N1141" t="inlineStr"/>
      <c r="P1141" t="inlineStr">
        <is>
          <t>20250401</t>
        </is>
      </c>
      <c r="Q1141" t="inlineStr">
        <is>
          <t>20251031</t>
        </is>
      </c>
    </row>
    <row r="1142">
      <c r="A1142" t="inlineStr">
        <is>
          <t>900007605DW70D08610227598</t>
        </is>
      </c>
      <c r="B1142" t="inlineStr">
        <is>
          <t>900007605</t>
        </is>
      </c>
      <c r="C1142" t="inlineStr">
        <is>
          <t>DW70</t>
        </is>
      </c>
      <c r="D1142" t="inlineStr">
        <is>
          <t>D086</t>
        </is>
      </c>
      <c r="E1142" t="inlineStr">
        <is>
          <t>1</t>
        </is>
      </c>
      <c r="F1142" t="inlineStr">
        <is>
          <t>10227598</t>
        </is>
      </c>
      <c r="H1142" t="inlineStr"/>
      <c r="J1142" t="n">
        <v>173.64</v>
      </c>
      <c r="K1142" t="inlineStr"/>
      <c r="M1142" t="inlineStr">
        <is>
          <t>TN</t>
        </is>
      </c>
      <c r="N1142" t="inlineStr"/>
      <c r="P1142" t="inlineStr">
        <is>
          <t>20220331</t>
        </is>
      </c>
      <c r="Q1142" t="inlineStr">
        <is>
          <t>20250131</t>
        </is>
      </c>
    </row>
    <row r="1143">
      <c r="A1143" t="inlineStr">
        <is>
          <t>900007605DW70D08610274754</t>
        </is>
      </c>
      <c r="B1143" t="inlineStr">
        <is>
          <t>900007605</t>
        </is>
      </c>
      <c r="C1143" t="inlineStr">
        <is>
          <t>DW70</t>
        </is>
      </c>
      <c r="D1143" t="inlineStr">
        <is>
          <t>D086</t>
        </is>
      </c>
      <c r="E1143" t="inlineStr">
        <is>
          <t>1</t>
        </is>
      </c>
      <c r="F1143" t="inlineStr">
        <is>
          <t>10274754</t>
        </is>
      </c>
      <c r="H1143" t="inlineStr"/>
      <c r="J1143" t="n">
        <v>142.84</v>
      </c>
      <c r="K1143" t="inlineStr"/>
      <c r="M1143" t="inlineStr">
        <is>
          <t>TN</t>
        </is>
      </c>
      <c r="N1143" t="inlineStr"/>
      <c r="P1143" t="inlineStr">
        <is>
          <t>20260430</t>
        </is>
      </c>
      <c r="Q1143" t="inlineStr">
        <is>
          <t>99991231</t>
        </is>
      </c>
    </row>
    <row r="1144">
      <c r="A1144" t="inlineStr">
        <is>
          <t>900007605DW70D08610275114</t>
        </is>
      </c>
      <c r="B1144" t="inlineStr">
        <is>
          <t>900007605</t>
        </is>
      </c>
      <c r="C1144" t="inlineStr">
        <is>
          <t>DW70</t>
        </is>
      </c>
      <c r="D1144" t="inlineStr">
        <is>
          <t>D086</t>
        </is>
      </c>
      <c r="E1144" t="inlineStr">
        <is>
          <t>1</t>
        </is>
      </c>
      <c r="F1144" t="inlineStr">
        <is>
          <t>10275114</t>
        </is>
      </c>
      <c r="H1144" t="inlineStr"/>
      <c r="J1144" t="n">
        <v>140.73</v>
      </c>
      <c r="K1144" t="inlineStr"/>
      <c r="M1144" t="inlineStr">
        <is>
          <t>TN</t>
        </is>
      </c>
      <c r="N1144" t="inlineStr"/>
      <c r="P1144" t="inlineStr">
        <is>
          <t>20260430</t>
        </is>
      </c>
      <c r="Q1144" t="inlineStr">
        <is>
          <t>99991231</t>
        </is>
      </c>
    </row>
    <row r="1145">
      <c r="A1145" t="inlineStr">
        <is>
          <t>900007605DW70D09310002802</t>
        </is>
      </c>
      <c r="B1145" t="inlineStr">
        <is>
          <t>900007605</t>
        </is>
      </c>
      <c r="C1145" t="inlineStr">
        <is>
          <t>DW70</t>
        </is>
      </c>
      <c r="D1145" t="inlineStr">
        <is>
          <t>D093</t>
        </is>
      </c>
      <c r="E1145" t="inlineStr">
        <is>
          <t>1</t>
        </is>
      </c>
      <c r="F1145" t="inlineStr">
        <is>
          <t>10002802</t>
        </is>
      </c>
      <c r="H1145" t="inlineStr"/>
      <c r="J1145" t="n">
        <v>178.63</v>
      </c>
      <c r="K1145" t="inlineStr"/>
      <c r="M1145" t="inlineStr">
        <is>
          <t>TN</t>
        </is>
      </c>
      <c r="N1145" t="inlineStr"/>
      <c r="P1145" t="inlineStr">
        <is>
          <t>20250401</t>
        </is>
      </c>
      <c r="Q1145" t="inlineStr">
        <is>
          <t>20260310</t>
        </is>
      </c>
    </row>
    <row r="1146">
      <c r="A1146" t="inlineStr">
        <is>
          <t>900007605DW70D09310274754</t>
        </is>
      </c>
      <c r="B1146" t="inlineStr">
        <is>
          <t>900007605</t>
        </is>
      </c>
      <c r="C1146" t="inlineStr">
        <is>
          <t>DW70</t>
        </is>
      </c>
      <c r="D1146" t="inlineStr">
        <is>
          <t>D093</t>
        </is>
      </c>
      <c r="E1146" t="inlineStr">
        <is>
          <t>1</t>
        </is>
      </c>
      <c r="F1146" t="inlineStr">
        <is>
          <t>10274754</t>
        </is>
      </c>
      <c r="H1146" t="inlineStr"/>
      <c r="J1146" t="n">
        <v>201.28</v>
      </c>
      <c r="K1146" t="inlineStr"/>
      <c r="M1146" t="inlineStr">
        <is>
          <t>TN</t>
        </is>
      </c>
      <c r="N1146" t="inlineStr"/>
      <c r="P1146" t="inlineStr">
        <is>
          <t>20260430</t>
        </is>
      </c>
      <c r="Q1146" t="inlineStr">
        <is>
          <t>99991231</t>
        </is>
      </c>
    </row>
    <row r="1147">
      <c r="A1147" t="inlineStr">
        <is>
          <t>900007605DW70D09310275114</t>
        </is>
      </c>
      <c r="B1147" t="inlineStr">
        <is>
          <t>900007605</t>
        </is>
      </c>
      <c r="C1147" t="inlineStr">
        <is>
          <t>DW70</t>
        </is>
      </c>
      <c r="D1147" t="inlineStr">
        <is>
          <t>D093</t>
        </is>
      </c>
      <c r="E1147" t="inlineStr">
        <is>
          <t>1</t>
        </is>
      </c>
      <c r="F1147" t="inlineStr">
        <is>
          <t>10275114</t>
        </is>
      </c>
      <c r="H1147" t="inlineStr"/>
      <c r="J1147" t="n">
        <v>198.3</v>
      </c>
      <c r="K1147" t="inlineStr"/>
      <c r="M1147" t="inlineStr">
        <is>
          <t>TN</t>
        </is>
      </c>
      <c r="N1147" t="inlineStr"/>
      <c r="P1147" t="inlineStr">
        <is>
          <t>20260430</t>
        </is>
      </c>
      <c r="Q1147" t="inlineStr">
        <is>
          <t>99991231</t>
        </is>
      </c>
    </row>
    <row r="1148">
      <c r="A1148" t="inlineStr">
        <is>
          <t>900007605DW70D09810002802</t>
        </is>
      </c>
      <c r="B1148" t="inlineStr">
        <is>
          <t>900007605</t>
        </is>
      </c>
      <c r="C1148" t="inlineStr">
        <is>
          <t>DW70</t>
        </is>
      </c>
      <c r="D1148" t="inlineStr">
        <is>
          <t>D098</t>
        </is>
      </c>
      <c r="E1148" t="inlineStr">
        <is>
          <t>1</t>
        </is>
      </c>
      <c r="F1148" t="inlineStr">
        <is>
          <t>10002802</t>
        </is>
      </c>
      <c r="H1148" t="inlineStr"/>
      <c r="J1148" t="n">
        <v>169.98</v>
      </c>
      <c r="K1148" t="inlineStr"/>
      <c r="M1148" t="inlineStr">
        <is>
          <t>TN</t>
        </is>
      </c>
      <c r="N1148" t="inlineStr"/>
      <c r="P1148" t="inlineStr">
        <is>
          <t>20250401</t>
        </is>
      </c>
      <c r="Q1148" t="inlineStr">
        <is>
          <t>20260310</t>
        </is>
      </c>
    </row>
    <row r="1149">
      <c r="A1149" t="inlineStr">
        <is>
          <t>900007605DW70D09810274754</t>
        </is>
      </c>
      <c r="B1149" t="inlineStr">
        <is>
          <t>900007605</t>
        </is>
      </c>
      <c r="C1149" t="inlineStr">
        <is>
          <t>DW70</t>
        </is>
      </c>
      <c r="D1149" t="inlineStr">
        <is>
          <t>D098</t>
        </is>
      </c>
      <c r="E1149" t="inlineStr">
        <is>
          <t>1</t>
        </is>
      </c>
      <c r="F1149" t="inlineStr">
        <is>
          <t>10274754</t>
        </is>
      </c>
      <c r="H1149" t="inlineStr"/>
      <c r="J1149" t="n">
        <v>191.55</v>
      </c>
      <c r="K1149" t="inlineStr"/>
      <c r="M1149" t="inlineStr">
        <is>
          <t>TN</t>
        </is>
      </c>
      <c r="N1149" t="inlineStr"/>
      <c r="P1149" t="inlineStr">
        <is>
          <t>20260430</t>
        </is>
      </c>
      <c r="Q1149" t="inlineStr">
        <is>
          <t>99991231</t>
        </is>
      </c>
    </row>
    <row r="1150">
      <c r="A1150" t="inlineStr">
        <is>
          <t>900007605DW70D09810275114</t>
        </is>
      </c>
      <c r="B1150" t="inlineStr">
        <is>
          <t>900007605</t>
        </is>
      </c>
      <c r="C1150" t="inlineStr">
        <is>
          <t>DW70</t>
        </is>
      </c>
      <c r="D1150" t="inlineStr">
        <is>
          <t>D098</t>
        </is>
      </c>
      <c r="E1150" t="inlineStr">
        <is>
          <t>1</t>
        </is>
      </c>
      <c r="F1150" t="inlineStr">
        <is>
          <t>10275114</t>
        </is>
      </c>
      <c r="H1150" t="inlineStr"/>
      <c r="J1150" t="n">
        <v>188.71</v>
      </c>
      <c r="K1150" t="inlineStr"/>
      <c r="M1150" t="inlineStr">
        <is>
          <t>TN</t>
        </is>
      </c>
      <c r="N1150" t="inlineStr"/>
      <c r="P1150" t="inlineStr">
        <is>
          <t>20260430</t>
        </is>
      </c>
      <c r="Q1150" t="inlineStr">
        <is>
          <t>99991231</t>
        </is>
      </c>
    </row>
    <row r="1151">
      <c r="A1151" t="inlineStr">
        <is>
          <t>900007605DW70D10510002802</t>
        </is>
      </c>
      <c r="B1151" t="inlineStr">
        <is>
          <t>900007605</t>
        </is>
      </c>
      <c r="C1151" t="inlineStr">
        <is>
          <t>DW70</t>
        </is>
      </c>
      <c r="D1151" t="inlineStr">
        <is>
          <t>D105</t>
        </is>
      </c>
      <c r="E1151" t="inlineStr">
        <is>
          <t>1</t>
        </is>
      </c>
      <c r="F1151" t="inlineStr">
        <is>
          <t>10002802</t>
        </is>
      </c>
      <c r="H1151" t="inlineStr"/>
      <c r="J1151" t="n">
        <v>169.98</v>
      </c>
      <c r="K1151" t="inlineStr"/>
      <c r="M1151" t="inlineStr">
        <is>
          <t>TN</t>
        </is>
      </c>
      <c r="N1151" t="inlineStr"/>
      <c r="P1151" t="inlineStr">
        <is>
          <t>20250401</t>
        </is>
      </c>
      <c r="Q1151" t="inlineStr">
        <is>
          <t>20251031</t>
        </is>
      </c>
    </row>
    <row r="1152">
      <c r="A1152" t="inlineStr">
        <is>
          <t>900007605DW70D10510227598</t>
        </is>
      </c>
      <c r="B1152" t="inlineStr">
        <is>
          <t>900007605</t>
        </is>
      </c>
      <c r="C1152" t="inlineStr">
        <is>
          <t>DW70</t>
        </is>
      </c>
      <c r="D1152" t="inlineStr">
        <is>
          <t>D105</t>
        </is>
      </c>
      <c r="E1152" t="inlineStr">
        <is>
          <t>1</t>
        </is>
      </c>
      <c r="F1152" t="inlineStr">
        <is>
          <t>10227598</t>
        </is>
      </c>
      <c r="H1152" t="inlineStr"/>
      <c r="J1152" t="n">
        <v>181.93</v>
      </c>
      <c r="K1152" t="inlineStr"/>
      <c r="M1152" t="inlineStr">
        <is>
          <t>TN</t>
        </is>
      </c>
      <c r="N1152" t="inlineStr"/>
      <c r="P1152" t="inlineStr">
        <is>
          <t>20220331</t>
        </is>
      </c>
      <c r="Q1152" t="inlineStr">
        <is>
          <t>20250131</t>
        </is>
      </c>
    </row>
    <row r="1153">
      <c r="A1153" t="inlineStr">
        <is>
          <t>900007605DW70D10510274754</t>
        </is>
      </c>
      <c r="B1153" t="inlineStr">
        <is>
          <t>900007605</t>
        </is>
      </c>
      <c r="C1153" t="inlineStr">
        <is>
          <t>DW70</t>
        </is>
      </c>
      <c r="D1153" t="inlineStr">
        <is>
          <t>D105</t>
        </is>
      </c>
      <c r="E1153" t="inlineStr">
        <is>
          <t>1</t>
        </is>
      </c>
      <c r="F1153" t="inlineStr">
        <is>
          <t>10274754</t>
        </is>
      </c>
      <c r="H1153" t="inlineStr"/>
      <c r="J1153" t="n">
        <v>191.55</v>
      </c>
      <c r="K1153" t="inlineStr"/>
      <c r="M1153" t="inlineStr">
        <is>
          <t>TN</t>
        </is>
      </c>
      <c r="N1153" t="inlineStr"/>
      <c r="P1153" t="inlineStr">
        <is>
          <t>20260430</t>
        </is>
      </c>
      <c r="Q1153" t="inlineStr">
        <is>
          <t>99991231</t>
        </is>
      </c>
    </row>
    <row r="1154">
      <c r="A1154" t="inlineStr">
        <is>
          <t>900007605DW70D10510275114</t>
        </is>
      </c>
      <c r="B1154" t="inlineStr">
        <is>
          <t>900007605</t>
        </is>
      </c>
      <c r="C1154" t="inlineStr">
        <is>
          <t>DW70</t>
        </is>
      </c>
      <c r="D1154" t="inlineStr">
        <is>
          <t>D105</t>
        </is>
      </c>
      <c r="E1154" t="inlineStr">
        <is>
          <t>1</t>
        </is>
      </c>
      <c r="F1154" t="inlineStr">
        <is>
          <t>10275114</t>
        </is>
      </c>
      <c r="H1154" t="inlineStr"/>
      <c r="J1154" t="n">
        <v>188.71</v>
      </c>
      <c r="K1154" t="inlineStr"/>
      <c r="M1154" t="inlineStr">
        <is>
          <t>TN</t>
        </is>
      </c>
      <c r="N1154" t="inlineStr"/>
      <c r="P1154" t="inlineStr">
        <is>
          <t>20260430</t>
        </is>
      </c>
      <c r="Q1154" t="inlineStr">
        <is>
          <t>99991231</t>
        </is>
      </c>
    </row>
    <row r="1155">
      <c r="A1155" t="inlineStr">
        <is>
          <t>900007605DW70D13610002802</t>
        </is>
      </c>
      <c r="B1155" t="inlineStr">
        <is>
          <t>900007605</t>
        </is>
      </c>
      <c r="C1155" t="inlineStr">
        <is>
          <t>DW70</t>
        </is>
      </c>
      <c r="D1155" t="inlineStr">
        <is>
          <t>D136</t>
        </is>
      </c>
      <c r="E1155" t="inlineStr">
        <is>
          <t>1</t>
        </is>
      </c>
      <c r="F1155" t="inlineStr">
        <is>
          <t>10002802</t>
        </is>
      </c>
      <c r="H1155" t="inlineStr"/>
      <c r="J1155" t="n">
        <v>221.84</v>
      </c>
      <c r="K1155" t="inlineStr"/>
      <c r="M1155" t="inlineStr">
        <is>
          <t>TN</t>
        </is>
      </c>
      <c r="N1155" t="inlineStr"/>
      <c r="P1155" t="inlineStr">
        <is>
          <t>20250401</t>
        </is>
      </c>
      <c r="Q1155" t="inlineStr">
        <is>
          <t>20251031</t>
        </is>
      </c>
    </row>
    <row r="1156">
      <c r="A1156" t="inlineStr">
        <is>
          <t>900007605DW70D13610274754</t>
        </is>
      </c>
      <c r="B1156" t="inlineStr">
        <is>
          <t>900007605</t>
        </is>
      </c>
      <c r="C1156" t="inlineStr">
        <is>
          <t>DW70</t>
        </is>
      </c>
      <c r="D1156" t="inlineStr">
        <is>
          <t>D136</t>
        </is>
      </c>
      <c r="E1156" t="inlineStr">
        <is>
          <t>1</t>
        </is>
      </c>
      <c r="F1156" t="inlineStr">
        <is>
          <t>10274754</t>
        </is>
      </c>
      <c r="H1156" t="inlineStr"/>
      <c r="J1156" t="n">
        <v>249.99</v>
      </c>
      <c r="K1156" t="inlineStr"/>
      <c r="M1156" t="inlineStr">
        <is>
          <t>TN</t>
        </is>
      </c>
      <c r="N1156" t="inlineStr"/>
      <c r="P1156" t="inlineStr">
        <is>
          <t>20260430</t>
        </is>
      </c>
      <c r="Q1156" t="inlineStr">
        <is>
          <t>99991231</t>
        </is>
      </c>
    </row>
    <row r="1157">
      <c r="A1157" t="inlineStr">
        <is>
          <t>900007605DW70D13610275114</t>
        </is>
      </c>
      <c r="B1157" t="inlineStr">
        <is>
          <t>900007605</t>
        </is>
      </c>
      <c r="C1157" t="inlineStr">
        <is>
          <t>DW70</t>
        </is>
      </c>
      <c r="D1157" t="inlineStr">
        <is>
          <t>D136</t>
        </is>
      </c>
      <c r="E1157" t="inlineStr">
        <is>
          <t>1</t>
        </is>
      </c>
      <c r="F1157" t="inlineStr">
        <is>
          <t>10275114</t>
        </is>
      </c>
      <c r="H1157" t="inlineStr"/>
      <c r="J1157" t="n">
        <v>246.28</v>
      </c>
      <c r="K1157" t="inlineStr"/>
      <c r="M1157" t="inlineStr">
        <is>
          <t>TN</t>
        </is>
      </c>
      <c r="N1157" t="inlineStr"/>
      <c r="P1157" t="inlineStr">
        <is>
          <t>20260430</t>
        </is>
      </c>
      <c r="Q1157" t="inlineStr">
        <is>
          <t>99991231</t>
        </is>
      </c>
    </row>
    <row r="1158">
      <c r="A1158" t="inlineStr">
        <is>
          <t>900007605DW70D14510002802</t>
        </is>
      </c>
      <c r="B1158" t="inlineStr">
        <is>
          <t>900007605</t>
        </is>
      </c>
      <c r="C1158" t="inlineStr">
        <is>
          <t>DW70</t>
        </is>
      </c>
      <c r="D1158" t="inlineStr">
        <is>
          <t>D145</t>
        </is>
      </c>
      <c r="E1158" t="inlineStr">
        <is>
          <t>1</t>
        </is>
      </c>
      <c r="F1158" t="inlineStr">
        <is>
          <t>10002802</t>
        </is>
      </c>
      <c r="H1158" t="inlineStr"/>
      <c r="J1158" t="n">
        <v>100.84</v>
      </c>
      <c r="K1158" t="inlineStr"/>
      <c r="M1158" t="inlineStr">
        <is>
          <t>TN</t>
        </is>
      </c>
      <c r="N1158" t="inlineStr"/>
      <c r="P1158" t="inlineStr">
        <is>
          <t>20250401</t>
        </is>
      </c>
      <c r="Q1158" t="inlineStr">
        <is>
          <t>20260310</t>
        </is>
      </c>
    </row>
    <row r="1159">
      <c r="A1159" t="inlineStr">
        <is>
          <t>900007605DW70D14510227598</t>
        </is>
      </c>
      <c r="B1159" t="inlineStr">
        <is>
          <t>900007605</t>
        </is>
      </c>
      <c r="C1159" t="inlineStr">
        <is>
          <t>DW70</t>
        </is>
      </c>
      <c r="D1159" t="inlineStr">
        <is>
          <t>D145</t>
        </is>
      </c>
      <c r="E1159" t="inlineStr">
        <is>
          <t>1</t>
        </is>
      </c>
      <c r="F1159" t="inlineStr">
        <is>
          <t>10227598</t>
        </is>
      </c>
      <c r="H1159" t="inlineStr"/>
      <c r="J1159" t="n">
        <v>107.11</v>
      </c>
      <c r="K1159" t="inlineStr"/>
      <c r="M1159" t="inlineStr">
        <is>
          <t>TN</t>
        </is>
      </c>
      <c r="N1159" t="inlineStr"/>
      <c r="P1159" t="inlineStr">
        <is>
          <t>20220331</t>
        </is>
      </c>
      <c r="Q1159" t="inlineStr">
        <is>
          <t>20250131</t>
        </is>
      </c>
    </row>
    <row r="1160">
      <c r="A1160" t="inlineStr">
        <is>
          <t>900007605DW70D14510274754</t>
        </is>
      </c>
      <c r="B1160" t="inlineStr">
        <is>
          <t>900007605</t>
        </is>
      </c>
      <c r="C1160" t="inlineStr">
        <is>
          <t>DW70</t>
        </is>
      </c>
      <c r="D1160" t="inlineStr">
        <is>
          <t>D145</t>
        </is>
      </c>
      <c r="E1160" t="inlineStr">
        <is>
          <t>1</t>
        </is>
      </c>
      <c r="F1160" t="inlineStr">
        <is>
          <t>10274754</t>
        </is>
      </c>
      <c r="H1160" t="inlineStr"/>
      <c r="J1160" t="n">
        <v>113.63</v>
      </c>
      <c r="K1160" t="inlineStr"/>
      <c r="M1160" t="inlineStr">
        <is>
          <t>TN</t>
        </is>
      </c>
      <c r="N1160" t="inlineStr"/>
      <c r="P1160" t="inlineStr">
        <is>
          <t>20260430</t>
        </is>
      </c>
      <c r="Q1160" t="inlineStr">
        <is>
          <t>99991231</t>
        </is>
      </c>
    </row>
    <row r="1161">
      <c r="A1161" t="inlineStr">
        <is>
          <t>900007605DW70D14510275114</t>
        </is>
      </c>
      <c r="B1161" t="inlineStr">
        <is>
          <t>900007605</t>
        </is>
      </c>
      <c r="C1161" t="inlineStr">
        <is>
          <t>DW70</t>
        </is>
      </c>
      <c r="D1161" t="inlineStr">
        <is>
          <t>D145</t>
        </is>
      </c>
      <c r="E1161" t="inlineStr">
        <is>
          <t>1</t>
        </is>
      </c>
      <c r="F1161" t="inlineStr">
        <is>
          <t>10275114</t>
        </is>
      </c>
      <c r="H1161" t="inlineStr"/>
      <c r="J1161" t="n">
        <v>111.95</v>
      </c>
      <c r="K1161" t="inlineStr"/>
      <c r="M1161" t="inlineStr">
        <is>
          <t>TN</t>
        </is>
      </c>
      <c r="N1161" t="inlineStr"/>
      <c r="P1161" t="inlineStr">
        <is>
          <t>20260430</t>
        </is>
      </c>
      <c r="Q1161" t="inlineStr">
        <is>
          <t>99991231</t>
        </is>
      </c>
    </row>
    <row r="1162">
      <c r="A1162" t="inlineStr">
        <is>
          <t>900007605DW70D68110002802</t>
        </is>
      </c>
      <c r="B1162" t="inlineStr">
        <is>
          <t>900007605</t>
        </is>
      </c>
      <c r="C1162" t="inlineStr">
        <is>
          <t>DW70</t>
        </is>
      </c>
      <c r="D1162" t="inlineStr">
        <is>
          <t>D681</t>
        </is>
      </c>
      <c r="E1162" t="inlineStr">
        <is>
          <t>1</t>
        </is>
      </c>
      <c r="F1162" t="inlineStr">
        <is>
          <t>10002802</t>
        </is>
      </c>
      <c r="H1162" t="inlineStr"/>
      <c r="J1162" t="n">
        <v>132.53</v>
      </c>
      <c r="K1162" t="inlineStr"/>
      <c r="M1162" t="inlineStr">
        <is>
          <t>TN</t>
        </is>
      </c>
      <c r="N1162" t="inlineStr"/>
      <c r="P1162" t="inlineStr">
        <is>
          <t>20250401</t>
        </is>
      </c>
      <c r="Q1162" t="inlineStr">
        <is>
          <t>20260310</t>
        </is>
      </c>
    </row>
    <row r="1163">
      <c r="A1163" t="inlineStr">
        <is>
          <t>900007605DW70D68110227598</t>
        </is>
      </c>
      <c r="B1163" t="inlineStr">
        <is>
          <t>900007605</t>
        </is>
      </c>
      <c r="C1163" t="inlineStr">
        <is>
          <t>DW70</t>
        </is>
      </c>
      <c r="D1163" t="inlineStr">
        <is>
          <t>D681</t>
        </is>
      </c>
      <c r="E1163" t="inlineStr">
        <is>
          <t>1</t>
        </is>
      </c>
      <c r="F1163" t="inlineStr">
        <is>
          <t>10227598</t>
        </is>
      </c>
      <c r="H1163" t="inlineStr"/>
      <c r="J1163" t="n">
        <v>141.84</v>
      </c>
      <c r="K1163" t="inlineStr"/>
      <c r="M1163" t="inlineStr">
        <is>
          <t>TN</t>
        </is>
      </c>
      <c r="N1163" t="inlineStr"/>
      <c r="P1163" t="inlineStr">
        <is>
          <t>20220331</t>
        </is>
      </c>
      <c r="Q1163" t="inlineStr">
        <is>
          <t>20250131</t>
        </is>
      </c>
    </row>
    <row r="1164">
      <c r="A1164" t="inlineStr">
        <is>
          <t>900007605DW70D68110274754</t>
        </is>
      </c>
      <c r="B1164" t="inlineStr">
        <is>
          <t>900007605</t>
        </is>
      </c>
      <c r="C1164" t="inlineStr">
        <is>
          <t>DW70</t>
        </is>
      </c>
      <c r="D1164" t="inlineStr">
        <is>
          <t>D681</t>
        </is>
      </c>
      <c r="E1164" t="inlineStr">
        <is>
          <t>1</t>
        </is>
      </c>
      <c r="F1164" t="inlineStr">
        <is>
          <t>10274754</t>
        </is>
      </c>
      <c r="H1164" t="inlineStr"/>
      <c r="J1164" t="n">
        <v>149.34</v>
      </c>
      <c r="K1164" t="inlineStr"/>
      <c r="M1164" t="inlineStr">
        <is>
          <t>TN</t>
        </is>
      </c>
      <c r="N1164" t="inlineStr"/>
      <c r="P1164" t="inlineStr">
        <is>
          <t>20260430</t>
        </is>
      </c>
      <c r="Q1164" t="inlineStr">
        <is>
          <t>99991231</t>
        </is>
      </c>
    </row>
    <row r="1165">
      <c r="A1165" t="inlineStr">
        <is>
          <t>900007605DW70D68110275114</t>
        </is>
      </c>
      <c r="B1165" t="inlineStr">
        <is>
          <t>900007605</t>
        </is>
      </c>
      <c r="C1165" t="inlineStr">
        <is>
          <t>DW70</t>
        </is>
      </c>
      <c r="D1165" t="inlineStr">
        <is>
          <t>D681</t>
        </is>
      </c>
      <c r="E1165" t="inlineStr">
        <is>
          <t>1</t>
        </is>
      </c>
      <c r="F1165" t="inlineStr">
        <is>
          <t>10275114</t>
        </is>
      </c>
      <c r="H1165" t="inlineStr"/>
      <c r="J1165" t="n">
        <v>147.13</v>
      </c>
      <c r="K1165" t="inlineStr"/>
      <c r="M1165" t="inlineStr">
        <is>
          <t>TN</t>
        </is>
      </c>
      <c r="N1165" t="inlineStr"/>
      <c r="P1165" t="inlineStr">
        <is>
          <t>20260430</t>
        </is>
      </c>
      <c r="Q1165" t="inlineStr">
        <is>
          <t>99991231</t>
        </is>
      </c>
    </row>
    <row r="1166">
      <c r="A1166" t="inlineStr">
        <is>
          <t>900008234DW70D07410227598</t>
        </is>
      </c>
      <c r="B1166" t="inlineStr">
        <is>
          <t>900008234</t>
        </is>
      </c>
      <c r="C1166" t="inlineStr">
        <is>
          <t>DW70</t>
        </is>
      </c>
      <c r="D1166" t="inlineStr">
        <is>
          <t>D074</t>
        </is>
      </c>
      <c r="E1166" t="inlineStr">
        <is>
          <t>1</t>
        </is>
      </c>
      <c r="F1166" t="inlineStr">
        <is>
          <t>10227598</t>
        </is>
      </c>
      <c r="H1166" t="inlineStr"/>
      <c r="J1166" t="n">
        <v>188.52</v>
      </c>
      <c r="K1166" t="inlineStr"/>
      <c r="M1166" t="inlineStr">
        <is>
          <t>TN</t>
        </is>
      </c>
      <c r="N1166" t="inlineStr"/>
      <c r="P1166" t="inlineStr">
        <is>
          <t>20250401</t>
        </is>
      </c>
      <c r="Q1166" t="inlineStr">
        <is>
          <t>20251031</t>
        </is>
      </c>
    </row>
    <row r="1167">
      <c r="A1167" t="inlineStr">
        <is>
          <t>900008234DW70D08610227598</t>
        </is>
      </c>
      <c r="B1167" t="inlineStr">
        <is>
          <t>900008234</t>
        </is>
      </c>
      <c r="C1167" t="inlineStr">
        <is>
          <t>DW70</t>
        </is>
      </c>
      <c r="D1167" t="inlineStr">
        <is>
          <t>D086</t>
        </is>
      </c>
      <c r="E1167" t="inlineStr">
        <is>
          <t>1</t>
        </is>
      </c>
      <c r="F1167" t="inlineStr">
        <is>
          <t>10227598</t>
        </is>
      </c>
      <c r="H1167" t="inlineStr"/>
      <c r="J1167" t="n">
        <v>156.51</v>
      </c>
      <c r="K1167" t="inlineStr"/>
      <c r="M1167" t="inlineStr">
        <is>
          <t>TN</t>
        </is>
      </c>
      <c r="N1167" t="inlineStr"/>
      <c r="P1167" t="inlineStr">
        <is>
          <t>20250401</t>
        </is>
      </c>
      <c r="Q1167" t="inlineStr">
        <is>
          <t>20251031</t>
        </is>
      </c>
    </row>
    <row r="1168">
      <c r="A1168" t="inlineStr">
        <is>
          <t>900008234DW70D14510227598</t>
        </is>
      </c>
      <c r="B1168" t="inlineStr">
        <is>
          <t>900008234</t>
        </is>
      </c>
      <c r="C1168" t="inlineStr">
        <is>
          <t>DW70</t>
        </is>
      </c>
      <c r="D1168" t="inlineStr">
        <is>
          <t>D145</t>
        </is>
      </c>
      <c r="E1168" t="inlineStr">
        <is>
          <t>1</t>
        </is>
      </c>
      <c r="F1168" t="inlineStr">
        <is>
          <t>10227598</t>
        </is>
      </c>
      <c r="H1168" t="inlineStr"/>
      <c r="J1168" t="n">
        <v>120.26</v>
      </c>
      <c r="K1168" t="inlineStr"/>
      <c r="M1168" t="inlineStr">
        <is>
          <t>TN</t>
        </is>
      </c>
      <c r="N1168" t="inlineStr"/>
      <c r="P1168" t="inlineStr">
        <is>
          <t>20220331</t>
        </is>
      </c>
      <c r="Q1168" t="inlineStr">
        <is>
          <t>20250131</t>
        </is>
      </c>
    </row>
    <row r="1169">
      <c r="A1169" t="inlineStr">
        <is>
          <t>900008265DW70ENXE10000432</t>
        </is>
      </c>
      <c r="B1169" t="inlineStr">
        <is>
          <t>900008265</t>
        </is>
      </c>
      <c r="C1169" t="inlineStr">
        <is>
          <t>DW70</t>
        </is>
      </c>
      <c r="D1169" t="inlineStr">
        <is>
          <t>ENXE</t>
        </is>
      </c>
      <c r="E1169" t="inlineStr">
        <is>
          <t>4</t>
        </is>
      </c>
      <c r="F1169" t="inlineStr">
        <is>
          <t>10000432</t>
        </is>
      </c>
      <c r="H1169" t="inlineStr"/>
      <c r="J1169" t="n">
        <v>200</v>
      </c>
      <c r="K1169" t="inlineStr"/>
      <c r="M1169" t="inlineStr">
        <is>
          <t>TN</t>
        </is>
      </c>
      <c r="N1169" t="inlineStr"/>
      <c r="P1169" t="inlineStr">
        <is>
          <t>20250401</t>
        </is>
      </c>
      <c r="Q1169" t="inlineStr">
        <is>
          <t>20251031</t>
        </is>
      </c>
    </row>
    <row r="1170">
      <c r="A1170" t="inlineStr">
        <is>
          <t>900008265DW70ENXE10215074</t>
        </is>
      </c>
      <c r="B1170" t="inlineStr">
        <is>
          <t>900008265</t>
        </is>
      </c>
      <c r="C1170" t="inlineStr">
        <is>
          <t>DW70</t>
        </is>
      </c>
      <c r="D1170" t="inlineStr">
        <is>
          <t>ENXE</t>
        </is>
      </c>
      <c r="E1170" t="inlineStr">
        <is>
          <t>4</t>
        </is>
      </c>
      <c r="F1170" t="inlineStr">
        <is>
          <t>10215074</t>
        </is>
      </c>
      <c r="H1170" t="inlineStr"/>
      <c r="J1170" t="n">
        <v>246.15</v>
      </c>
      <c r="K1170" t="inlineStr"/>
      <c r="M1170" t="inlineStr">
        <is>
          <t>TN</t>
        </is>
      </c>
      <c r="N1170" t="inlineStr"/>
      <c r="P1170" t="inlineStr">
        <is>
          <t>20250807</t>
        </is>
      </c>
      <c r="Q1170" t="inlineStr">
        <is>
          <t>99991231</t>
        </is>
      </c>
    </row>
    <row r="1171">
      <c r="A1171" t="inlineStr">
        <is>
          <t>900008265DW70ENXE10216851</t>
        </is>
      </c>
      <c r="B1171" t="inlineStr">
        <is>
          <t>900008265</t>
        </is>
      </c>
      <c r="C1171" t="inlineStr">
        <is>
          <t>DW70</t>
        </is>
      </c>
      <c r="D1171" t="inlineStr">
        <is>
          <t>ENXE</t>
        </is>
      </c>
      <c r="E1171" t="inlineStr">
        <is>
          <t>4</t>
        </is>
      </c>
      <c r="F1171" t="inlineStr">
        <is>
          <t>10216851</t>
        </is>
      </c>
      <c r="H1171" t="inlineStr"/>
      <c r="J1171" t="n">
        <v>158.53</v>
      </c>
      <c r="K1171" t="inlineStr"/>
      <c r="M1171" t="inlineStr">
        <is>
          <t>TN</t>
        </is>
      </c>
      <c r="N1171" t="inlineStr"/>
      <c r="P1171" t="inlineStr">
        <is>
          <t>20250401</t>
        </is>
      </c>
      <c r="Q1171" t="inlineStr">
        <is>
          <t>20251031</t>
        </is>
      </c>
    </row>
    <row r="1172">
      <c r="A1172" t="inlineStr">
        <is>
          <t>900008265DW70ENXE10260055</t>
        </is>
      </c>
      <c r="B1172" t="inlineStr">
        <is>
          <t>900008265</t>
        </is>
      </c>
      <c r="C1172" t="inlineStr">
        <is>
          <t>DW70</t>
        </is>
      </c>
      <c r="D1172" t="inlineStr">
        <is>
          <t>ENXE</t>
        </is>
      </c>
      <c r="E1172" t="inlineStr">
        <is>
          <t>4</t>
        </is>
      </c>
      <c r="F1172" t="inlineStr">
        <is>
          <t>10260055</t>
        </is>
      </c>
      <c r="H1172" t="inlineStr"/>
      <c r="J1172" t="n">
        <v>128</v>
      </c>
      <c r="K1172" t="inlineStr"/>
      <c r="M1172" t="inlineStr">
        <is>
          <t>TN</t>
        </is>
      </c>
      <c r="N1172" t="inlineStr"/>
      <c r="P1172" t="inlineStr">
        <is>
          <t>20250821</t>
        </is>
      </c>
      <c r="Q1172" t="inlineStr">
        <is>
          <t>99991231</t>
        </is>
      </c>
    </row>
    <row r="1173">
      <c r="A1173" t="inlineStr">
        <is>
          <t>900008265DW70ENXE10271724</t>
        </is>
      </c>
      <c r="B1173" t="inlineStr">
        <is>
          <t>900008265</t>
        </is>
      </c>
      <c r="C1173" t="inlineStr">
        <is>
          <t>DW70</t>
        </is>
      </c>
      <c r="D1173" t="inlineStr">
        <is>
          <t>ENXE</t>
        </is>
      </c>
      <c r="E1173" t="inlineStr">
        <is>
          <t>4</t>
        </is>
      </c>
      <c r="F1173" t="inlineStr">
        <is>
          <t>10271724</t>
        </is>
      </c>
      <c r="H1173" t="inlineStr"/>
      <c r="J1173" t="n">
        <v>105.26</v>
      </c>
      <c r="K1173" t="inlineStr"/>
      <c r="M1173" t="inlineStr">
        <is>
          <t>TN</t>
        </is>
      </c>
      <c r="N1173" t="inlineStr"/>
      <c r="P1173" t="inlineStr">
        <is>
          <t>20251218</t>
        </is>
      </c>
      <c r="Q1173" t="inlineStr">
        <is>
          <t>99991231</t>
        </is>
      </c>
    </row>
    <row r="1174">
      <c r="A1174" t="inlineStr">
        <is>
          <t>900008570DW70D07410248830</t>
        </is>
      </c>
      <c r="B1174" t="inlineStr">
        <is>
          <t>900008570</t>
        </is>
      </c>
      <c r="C1174" t="inlineStr">
        <is>
          <t>DW70</t>
        </is>
      </c>
      <c r="D1174" t="inlineStr">
        <is>
          <t>D074</t>
        </is>
      </c>
      <c r="E1174" t="inlineStr">
        <is>
          <t>1</t>
        </is>
      </c>
      <c r="F1174" t="inlineStr">
        <is>
          <t>10248830</t>
        </is>
      </c>
      <c r="H1174" t="inlineStr"/>
      <c r="J1174" t="n">
        <v>169.62</v>
      </c>
      <c r="K1174" t="inlineStr"/>
      <c r="M1174" t="inlineStr">
        <is>
          <t>TN</t>
        </is>
      </c>
      <c r="N1174" t="inlineStr"/>
      <c r="P1174" t="inlineStr">
        <is>
          <t>20250401</t>
        </is>
      </c>
      <c r="Q1174" t="inlineStr">
        <is>
          <t>20251031</t>
        </is>
      </c>
    </row>
    <row r="1175">
      <c r="A1175" t="inlineStr">
        <is>
          <t>900008570DW70D07510248830</t>
        </is>
      </c>
      <c r="B1175" t="inlineStr">
        <is>
          <t>900008570</t>
        </is>
      </c>
      <c r="C1175" t="inlineStr">
        <is>
          <t>DW70</t>
        </is>
      </c>
      <c r="D1175" t="inlineStr">
        <is>
          <t>D075</t>
        </is>
      </c>
      <c r="E1175" t="inlineStr">
        <is>
          <t>1</t>
        </is>
      </c>
      <c r="F1175" t="inlineStr">
        <is>
          <t>10248830</t>
        </is>
      </c>
      <c r="H1175" t="inlineStr"/>
      <c r="J1175" t="n">
        <v>161.14</v>
      </c>
      <c r="K1175" t="inlineStr"/>
      <c r="M1175" t="inlineStr">
        <is>
          <t>TN</t>
        </is>
      </c>
      <c r="N1175" t="inlineStr"/>
      <c r="P1175" t="inlineStr">
        <is>
          <t>20250401</t>
        </is>
      </c>
      <c r="Q1175" t="inlineStr">
        <is>
          <t>20251031</t>
        </is>
      </c>
    </row>
    <row r="1176">
      <c r="A1176" t="inlineStr">
        <is>
          <t>900008570DW70D07710248830</t>
        </is>
      </c>
      <c r="B1176" t="inlineStr">
        <is>
          <t>900008570</t>
        </is>
      </c>
      <c r="C1176" t="inlineStr">
        <is>
          <t>DW70</t>
        </is>
      </c>
      <c r="D1176" t="inlineStr">
        <is>
          <t>D077</t>
        </is>
      </c>
      <c r="E1176" t="inlineStr">
        <is>
          <t>1</t>
        </is>
      </c>
      <c r="F1176" t="inlineStr">
        <is>
          <t>10248830</t>
        </is>
      </c>
      <c r="H1176" t="inlineStr"/>
      <c r="J1176" t="n">
        <v>114.9</v>
      </c>
      <c r="K1176" t="inlineStr"/>
      <c r="M1176" t="inlineStr">
        <is>
          <t>TN</t>
        </is>
      </c>
      <c r="N1176" t="inlineStr"/>
      <c r="P1176" t="inlineStr">
        <is>
          <t>20260430</t>
        </is>
      </c>
      <c r="Q1176" t="inlineStr">
        <is>
          <t>99991231</t>
        </is>
      </c>
    </row>
    <row r="1177">
      <c r="A1177" t="inlineStr">
        <is>
          <t>900008570DW70D07910248830</t>
        </is>
      </c>
      <c r="B1177" t="inlineStr">
        <is>
          <t>900008570</t>
        </is>
      </c>
      <c r="C1177" t="inlineStr">
        <is>
          <t>DW70</t>
        </is>
      </c>
      <c r="D1177" t="inlineStr">
        <is>
          <t>D079</t>
        </is>
      </c>
      <c r="E1177" t="inlineStr">
        <is>
          <t>1</t>
        </is>
      </c>
      <c r="F1177" t="inlineStr">
        <is>
          <t>10248830</t>
        </is>
      </c>
      <c r="H1177" t="inlineStr"/>
      <c r="J1177" t="n">
        <v>191.5</v>
      </c>
      <c r="K1177" t="inlineStr"/>
      <c r="M1177" t="inlineStr">
        <is>
          <t>TN</t>
        </is>
      </c>
      <c r="N1177" t="inlineStr"/>
      <c r="P1177" t="inlineStr">
        <is>
          <t>20260430</t>
        </is>
      </c>
      <c r="Q1177" t="inlineStr">
        <is>
          <t>99991231</t>
        </is>
      </c>
    </row>
    <row r="1178">
      <c r="A1178" t="inlineStr">
        <is>
          <t>900008570DW70D08010248830</t>
        </is>
      </c>
      <c r="B1178" t="inlineStr">
        <is>
          <t>900008570</t>
        </is>
      </c>
      <c r="C1178" t="inlineStr">
        <is>
          <t>DW70</t>
        </is>
      </c>
      <c r="D1178" t="inlineStr">
        <is>
          <t>D080</t>
        </is>
      </c>
      <c r="E1178" t="inlineStr">
        <is>
          <t>1</t>
        </is>
      </c>
      <c r="F1178" t="inlineStr">
        <is>
          <t>10248830</t>
        </is>
      </c>
      <c r="H1178" t="inlineStr"/>
      <c r="J1178" t="n">
        <v>178.1</v>
      </c>
      <c r="K1178" t="inlineStr"/>
      <c r="M1178" t="inlineStr">
        <is>
          <t>TN</t>
        </is>
      </c>
      <c r="N1178" t="inlineStr"/>
      <c r="P1178" t="inlineStr">
        <is>
          <t>20250401</t>
        </is>
      </c>
      <c r="Q1178" t="inlineStr">
        <is>
          <t>20251031</t>
        </is>
      </c>
    </row>
    <row r="1179">
      <c r="A1179" t="inlineStr">
        <is>
          <t>900008570DW70D08110248830</t>
        </is>
      </c>
      <c r="B1179" t="inlineStr">
        <is>
          <t>900008570</t>
        </is>
      </c>
      <c r="C1179" t="inlineStr">
        <is>
          <t>DW70</t>
        </is>
      </c>
      <c r="D1179" t="inlineStr">
        <is>
          <t>D081</t>
        </is>
      </c>
      <c r="E1179" t="inlineStr">
        <is>
          <t>1</t>
        </is>
      </c>
      <c r="F1179" t="inlineStr">
        <is>
          <t>10248830</t>
        </is>
      </c>
      <c r="H1179" t="inlineStr"/>
      <c r="J1179" t="n">
        <v>207.46</v>
      </c>
      <c r="K1179" t="inlineStr"/>
      <c r="M1179" t="inlineStr">
        <is>
          <t>TN</t>
        </is>
      </c>
      <c r="N1179" t="inlineStr"/>
      <c r="P1179" t="inlineStr">
        <is>
          <t>20260430</t>
        </is>
      </c>
      <c r="Q1179" t="inlineStr">
        <is>
          <t>99991231</t>
        </is>
      </c>
    </row>
    <row r="1180">
      <c r="A1180" t="inlineStr">
        <is>
          <t>900008570DW70D08310248830</t>
        </is>
      </c>
      <c r="B1180" t="inlineStr">
        <is>
          <t>900008570</t>
        </is>
      </c>
      <c r="C1180" t="inlineStr">
        <is>
          <t>DW70</t>
        </is>
      </c>
      <c r="D1180" t="inlineStr">
        <is>
          <t>D083</t>
        </is>
      </c>
      <c r="E1180" t="inlineStr">
        <is>
          <t>1</t>
        </is>
      </c>
      <c r="F1180" t="inlineStr">
        <is>
          <t>10248830</t>
        </is>
      </c>
      <c r="H1180" t="inlineStr"/>
      <c r="J1180" t="n">
        <v>200.71</v>
      </c>
      <c r="K1180" t="inlineStr"/>
      <c r="M1180" t="inlineStr">
        <is>
          <t>TN</t>
        </is>
      </c>
      <c r="N1180" t="inlineStr"/>
      <c r="P1180" t="inlineStr">
        <is>
          <t>20250401</t>
        </is>
      </c>
      <c r="Q1180" t="inlineStr">
        <is>
          <t>20251031</t>
        </is>
      </c>
    </row>
    <row r="1181">
      <c r="A1181" t="inlineStr">
        <is>
          <t>900008570DW70D08410248830</t>
        </is>
      </c>
      <c r="B1181" t="inlineStr">
        <is>
          <t>900008570</t>
        </is>
      </c>
      <c r="C1181" t="inlineStr">
        <is>
          <t>DW70</t>
        </is>
      </c>
      <c r="D1181" t="inlineStr">
        <is>
          <t>D084</t>
        </is>
      </c>
      <c r="E1181" t="inlineStr">
        <is>
          <t>1</t>
        </is>
      </c>
      <c r="F1181" t="inlineStr">
        <is>
          <t>10248830</t>
        </is>
      </c>
      <c r="H1181" t="inlineStr"/>
      <c r="J1181" t="n">
        <v>130.04</v>
      </c>
      <c r="K1181" t="inlineStr"/>
      <c r="M1181" t="inlineStr">
        <is>
          <t>TN</t>
        </is>
      </c>
      <c r="N1181" t="inlineStr"/>
      <c r="P1181" t="inlineStr">
        <is>
          <t>20250401</t>
        </is>
      </c>
      <c r="Q1181" t="inlineStr">
        <is>
          <t>20251031</t>
        </is>
      </c>
    </row>
    <row r="1182">
      <c r="A1182" t="inlineStr">
        <is>
          <t>900008570DW70D08510248830</t>
        </is>
      </c>
      <c r="B1182" t="inlineStr">
        <is>
          <t>900008570</t>
        </is>
      </c>
      <c r="C1182" t="inlineStr">
        <is>
          <t>DW70</t>
        </is>
      </c>
      <c r="D1182" t="inlineStr">
        <is>
          <t>D085</t>
        </is>
      </c>
      <c r="E1182" t="inlineStr">
        <is>
          <t>1</t>
        </is>
      </c>
      <c r="F1182" t="inlineStr">
        <is>
          <t>10248830</t>
        </is>
      </c>
      <c r="H1182" t="inlineStr"/>
      <c r="J1182" t="n">
        <v>150.01</v>
      </c>
      <c r="K1182" t="inlineStr"/>
      <c r="M1182" t="inlineStr">
        <is>
          <t>TN</t>
        </is>
      </c>
      <c r="N1182" t="inlineStr"/>
      <c r="P1182" t="inlineStr">
        <is>
          <t>20260430</t>
        </is>
      </c>
      <c r="Q1182" t="inlineStr">
        <is>
          <t>99991231</t>
        </is>
      </c>
    </row>
    <row r="1183">
      <c r="A1183" t="inlineStr">
        <is>
          <t>900008570DW70D08610248830</t>
        </is>
      </c>
      <c r="B1183" t="inlineStr">
        <is>
          <t>900008570</t>
        </is>
      </c>
      <c r="C1183" t="inlineStr">
        <is>
          <t>DW70</t>
        </is>
      </c>
      <c r="D1183" t="inlineStr">
        <is>
          <t>D086</t>
        </is>
      </c>
      <c r="E1183" t="inlineStr">
        <is>
          <t>1</t>
        </is>
      </c>
      <c r="F1183" t="inlineStr">
        <is>
          <t>10248830</t>
        </is>
      </c>
      <c r="H1183" t="inlineStr"/>
      <c r="J1183" t="n">
        <v>137.25</v>
      </c>
      <c r="K1183" t="inlineStr"/>
      <c r="M1183" t="inlineStr">
        <is>
          <t>TN</t>
        </is>
      </c>
      <c r="N1183" t="inlineStr"/>
      <c r="P1183" t="inlineStr">
        <is>
          <t>20260430</t>
        </is>
      </c>
      <c r="Q1183" t="inlineStr">
        <is>
          <t>99991231</t>
        </is>
      </c>
    </row>
    <row r="1184">
      <c r="A1184" t="inlineStr">
        <is>
          <t>900008570DW70D09310248830</t>
        </is>
      </c>
      <c r="B1184" t="inlineStr">
        <is>
          <t>900008570</t>
        </is>
      </c>
      <c r="C1184" t="inlineStr">
        <is>
          <t>DW70</t>
        </is>
      </c>
      <c r="D1184" t="inlineStr">
        <is>
          <t>D093</t>
        </is>
      </c>
      <c r="E1184" t="inlineStr">
        <is>
          <t>1</t>
        </is>
      </c>
      <c r="F1184" t="inlineStr">
        <is>
          <t>10248830</t>
        </is>
      </c>
      <c r="H1184" t="inlineStr"/>
      <c r="J1184" t="n">
        <v>188.31</v>
      </c>
      <c r="K1184" t="inlineStr"/>
      <c r="M1184" t="inlineStr">
        <is>
          <t>TN</t>
        </is>
      </c>
      <c r="N1184" t="inlineStr"/>
      <c r="P1184" t="inlineStr">
        <is>
          <t>20260430</t>
        </is>
      </c>
      <c r="Q1184" t="inlineStr">
        <is>
          <t>99991231</t>
        </is>
      </c>
    </row>
    <row r="1185">
      <c r="A1185" t="inlineStr">
        <is>
          <t>900008570DW70D09810248830</t>
        </is>
      </c>
      <c r="B1185" t="inlineStr">
        <is>
          <t>900008570</t>
        </is>
      </c>
      <c r="C1185" t="inlineStr">
        <is>
          <t>DW70</t>
        </is>
      </c>
      <c r="D1185" t="inlineStr">
        <is>
          <t>D098</t>
        </is>
      </c>
      <c r="E1185" t="inlineStr">
        <is>
          <t>1</t>
        </is>
      </c>
      <c r="F1185" t="inlineStr">
        <is>
          <t>10248830</t>
        </is>
      </c>
      <c r="H1185" t="inlineStr"/>
      <c r="J1185" t="n">
        <v>188.31</v>
      </c>
      <c r="K1185" t="inlineStr"/>
      <c r="M1185" t="inlineStr">
        <is>
          <t>TN</t>
        </is>
      </c>
      <c r="N1185" t="inlineStr"/>
      <c r="P1185" t="inlineStr">
        <is>
          <t>20260430</t>
        </is>
      </c>
      <c r="Q1185" t="inlineStr">
        <is>
          <t>99991231</t>
        </is>
      </c>
    </row>
    <row r="1186">
      <c r="A1186" t="inlineStr">
        <is>
          <t>900008570DW70D10510248830</t>
        </is>
      </c>
      <c r="B1186" t="inlineStr">
        <is>
          <t>900008570</t>
        </is>
      </c>
      <c r="C1186" t="inlineStr">
        <is>
          <t>DW70</t>
        </is>
      </c>
      <c r="D1186" t="inlineStr">
        <is>
          <t>D105</t>
        </is>
      </c>
      <c r="E1186" t="inlineStr">
        <is>
          <t>1</t>
        </is>
      </c>
      <c r="F1186" t="inlineStr">
        <is>
          <t>10248830</t>
        </is>
      </c>
      <c r="H1186" t="inlineStr"/>
      <c r="J1186" t="n">
        <v>226.61</v>
      </c>
      <c r="K1186" t="inlineStr"/>
      <c r="M1186" t="inlineStr">
        <is>
          <t>TN</t>
        </is>
      </c>
      <c r="N1186" t="inlineStr"/>
      <c r="P1186" t="inlineStr">
        <is>
          <t>20260430</t>
        </is>
      </c>
      <c r="Q1186" t="inlineStr">
        <is>
          <t>99991231</t>
        </is>
      </c>
    </row>
    <row r="1187">
      <c r="A1187" t="inlineStr">
        <is>
          <t>900008570DW70D13610248830</t>
        </is>
      </c>
      <c r="B1187" t="inlineStr">
        <is>
          <t>900008570</t>
        </is>
      </c>
      <c r="C1187" t="inlineStr">
        <is>
          <t>DW70</t>
        </is>
      </c>
      <c r="D1187" t="inlineStr">
        <is>
          <t>D136</t>
        </is>
      </c>
      <c r="E1187" t="inlineStr">
        <is>
          <t>1</t>
        </is>
      </c>
      <c r="F1187" t="inlineStr">
        <is>
          <t>10248830</t>
        </is>
      </c>
      <c r="H1187" t="inlineStr"/>
      <c r="J1187" t="n">
        <v>240.29</v>
      </c>
      <c r="K1187" t="inlineStr"/>
      <c r="M1187" t="inlineStr">
        <is>
          <t>TN</t>
        </is>
      </c>
      <c r="N1187" t="inlineStr"/>
      <c r="P1187" t="inlineStr">
        <is>
          <t>20250401</t>
        </is>
      </c>
      <c r="Q1187" t="inlineStr">
        <is>
          <t>20251031</t>
        </is>
      </c>
    </row>
    <row r="1188">
      <c r="A1188" t="inlineStr">
        <is>
          <t>900008570DW70D14510248830</t>
        </is>
      </c>
      <c r="B1188" t="inlineStr">
        <is>
          <t>900008570</t>
        </is>
      </c>
      <c r="C1188" t="inlineStr">
        <is>
          <t>DW70</t>
        </is>
      </c>
      <c r="D1188" t="inlineStr">
        <is>
          <t>D145</t>
        </is>
      </c>
      <c r="E1188" t="inlineStr">
        <is>
          <t>1</t>
        </is>
      </c>
      <c r="F1188" t="inlineStr">
        <is>
          <t>10248830</t>
        </is>
      </c>
      <c r="H1188" t="inlineStr"/>
      <c r="J1188" t="n">
        <v>114.9</v>
      </c>
      <c r="K1188" t="inlineStr"/>
      <c r="M1188" t="inlineStr">
        <is>
          <t>TN</t>
        </is>
      </c>
      <c r="N1188" t="inlineStr"/>
      <c r="P1188" t="inlineStr">
        <is>
          <t>20260430</t>
        </is>
      </c>
      <c r="Q1188" t="inlineStr">
        <is>
          <t>99991231</t>
        </is>
      </c>
    </row>
    <row r="1189">
      <c r="A1189" t="inlineStr">
        <is>
          <t>900008570DW70D68110248830</t>
        </is>
      </c>
      <c r="B1189" t="inlineStr">
        <is>
          <t>900008570</t>
        </is>
      </c>
      <c r="C1189" t="inlineStr">
        <is>
          <t>DW70</t>
        </is>
      </c>
      <c r="D1189" t="inlineStr">
        <is>
          <t>D681</t>
        </is>
      </c>
      <c r="E1189" t="inlineStr">
        <is>
          <t>1</t>
        </is>
      </c>
      <c r="F1189" t="inlineStr">
        <is>
          <t>10248830</t>
        </is>
      </c>
      <c r="H1189" t="inlineStr"/>
      <c r="J1189" t="n">
        <v>153.2</v>
      </c>
      <c r="K1189" t="inlineStr"/>
      <c r="M1189" t="inlineStr">
        <is>
          <t>TN</t>
        </is>
      </c>
      <c r="N1189" t="inlineStr"/>
      <c r="P1189" t="inlineStr">
        <is>
          <t>20260430</t>
        </is>
      </c>
      <c r="Q1189" t="inlineStr">
        <is>
          <t>99991231</t>
        </is>
      </c>
    </row>
    <row r="1190">
      <c r="A1190" t="inlineStr">
        <is>
          <t>900008619DW70D08510019515</t>
        </is>
      </c>
      <c r="B1190" t="inlineStr">
        <is>
          <t>900008619</t>
        </is>
      </c>
      <c r="C1190" t="inlineStr">
        <is>
          <t>DW70</t>
        </is>
      </c>
      <c r="D1190" t="inlineStr">
        <is>
          <t>D085</t>
        </is>
      </c>
      <c r="E1190" t="inlineStr">
        <is>
          <t>4</t>
        </is>
      </c>
      <c r="F1190" t="inlineStr">
        <is>
          <t>10019515</t>
        </is>
      </c>
      <c r="H1190" t="inlineStr"/>
      <c r="J1190" t="n">
        <v>230.77</v>
      </c>
      <c r="K1190" t="inlineStr"/>
      <c r="M1190" t="inlineStr">
        <is>
          <t>TN</t>
        </is>
      </c>
      <c r="N1190" t="inlineStr"/>
      <c r="P1190" t="inlineStr">
        <is>
          <t>20260107</t>
        </is>
      </c>
      <c r="Q1190" t="inlineStr">
        <is>
          <t>99991231</t>
        </is>
      </c>
    </row>
    <row r="1191">
      <c r="A1191" t="inlineStr">
        <is>
          <t>900009292DW70D07410000630</t>
        </is>
      </c>
      <c r="B1191" t="inlineStr">
        <is>
          <t>900009292</t>
        </is>
      </c>
      <c r="C1191" t="inlineStr">
        <is>
          <t>DW70</t>
        </is>
      </c>
      <c r="D1191" t="inlineStr">
        <is>
          <t>D074</t>
        </is>
      </c>
      <c r="E1191" t="inlineStr">
        <is>
          <t>1</t>
        </is>
      </c>
      <c r="F1191" t="inlineStr">
        <is>
          <t>10000630</t>
        </is>
      </c>
      <c r="H1191" t="inlineStr"/>
      <c r="J1191" t="n">
        <v>267.96</v>
      </c>
      <c r="K1191" t="inlineStr"/>
      <c r="M1191" t="inlineStr">
        <is>
          <t>TN</t>
        </is>
      </c>
      <c r="N1191" t="inlineStr"/>
      <c r="P1191" t="inlineStr">
        <is>
          <t>20250401</t>
        </is>
      </c>
      <c r="Q1191" t="inlineStr">
        <is>
          <t>20251031</t>
        </is>
      </c>
    </row>
    <row r="1192">
      <c r="A1192" t="inlineStr">
        <is>
          <t>900009292DW70D07410000811</t>
        </is>
      </c>
      <c r="B1192" t="inlineStr">
        <is>
          <t>900009292</t>
        </is>
      </c>
      <c r="C1192" t="inlineStr">
        <is>
          <t>DW70</t>
        </is>
      </c>
      <c r="D1192" t="inlineStr">
        <is>
          <t>D074</t>
        </is>
      </c>
      <c r="E1192" t="inlineStr">
        <is>
          <t>1</t>
        </is>
      </c>
      <c r="F1192" t="inlineStr">
        <is>
          <t>10000811</t>
        </is>
      </c>
      <c r="H1192" t="inlineStr"/>
      <c r="J1192" t="n">
        <v>259.25</v>
      </c>
      <c r="K1192" t="inlineStr"/>
      <c r="M1192" t="inlineStr">
        <is>
          <t>TN</t>
        </is>
      </c>
      <c r="N1192" t="inlineStr"/>
      <c r="P1192" t="inlineStr">
        <is>
          <t>20250401</t>
        </is>
      </c>
      <c r="Q1192" t="inlineStr">
        <is>
          <t>20251031</t>
        </is>
      </c>
    </row>
    <row r="1193">
      <c r="A1193" t="inlineStr">
        <is>
          <t>900009292DW70D07410269245</t>
        </is>
      </c>
      <c r="B1193" t="inlineStr">
        <is>
          <t>900009292</t>
        </is>
      </c>
      <c r="C1193" t="inlineStr">
        <is>
          <t>DW70</t>
        </is>
      </c>
      <c r="D1193" t="inlineStr">
        <is>
          <t>D074</t>
        </is>
      </c>
      <c r="E1193" t="inlineStr">
        <is>
          <t>1</t>
        </is>
      </c>
      <c r="F1193" t="inlineStr">
        <is>
          <t>10269245</t>
        </is>
      </c>
      <c r="H1193" t="inlineStr"/>
      <c r="J1193" t="n">
        <v>266.06</v>
      </c>
      <c r="K1193" t="inlineStr"/>
      <c r="M1193" t="inlineStr">
        <is>
          <t>TN</t>
        </is>
      </c>
      <c r="N1193" t="inlineStr"/>
      <c r="P1193" t="inlineStr">
        <is>
          <t>20250401</t>
        </is>
      </c>
      <c r="Q1193" t="inlineStr">
        <is>
          <t>20251031</t>
        </is>
      </c>
    </row>
    <row r="1194">
      <c r="A1194" t="inlineStr">
        <is>
          <t>900009292DW70D07410269246</t>
        </is>
      </c>
      <c r="B1194" t="inlineStr">
        <is>
          <t>900009292</t>
        </is>
      </c>
      <c r="C1194" t="inlineStr">
        <is>
          <t>DW70</t>
        </is>
      </c>
      <c r="D1194" t="inlineStr">
        <is>
          <t>D074</t>
        </is>
      </c>
      <c r="E1194" t="inlineStr">
        <is>
          <t>1</t>
        </is>
      </c>
      <c r="F1194" t="inlineStr">
        <is>
          <t>10269246</t>
        </is>
      </c>
      <c r="H1194" t="inlineStr"/>
      <c r="J1194" t="n">
        <v>267.96</v>
      </c>
      <c r="K1194" t="inlineStr"/>
      <c r="M1194" t="inlineStr">
        <is>
          <t>TN</t>
        </is>
      </c>
      <c r="N1194" t="inlineStr"/>
      <c r="P1194" t="inlineStr">
        <is>
          <t>20250401</t>
        </is>
      </c>
      <c r="Q1194" t="inlineStr">
        <is>
          <t>20251031</t>
        </is>
      </c>
    </row>
    <row r="1195">
      <c r="A1195" t="inlineStr">
        <is>
          <t>900009292DW70D07410269247</t>
        </is>
      </c>
      <c r="B1195" t="inlineStr">
        <is>
          <t>900009292</t>
        </is>
      </c>
      <c r="C1195" t="inlineStr">
        <is>
          <t>DW70</t>
        </is>
      </c>
      <c r="D1195" t="inlineStr">
        <is>
          <t>D074</t>
        </is>
      </c>
      <c r="E1195" t="inlineStr">
        <is>
          <t>1</t>
        </is>
      </c>
      <c r="F1195" t="inlineStr">
        <is>
          <t>10269247</t>
        </is>
      </c>
      <c r="H1195" t="inlineStr"/>
      <c r="J1195" t="n">
        <v>240.47</v>
      </c>
      <c r="K1195" t="inlineStr"/>
      <c r="M1195" t="inlineStr">
        <is>
          <t>TN</t>
        </is>
      </c>
      <c r="N1195" t="inlineStr"/>
      <c r="P1195" t="inlineStr">
        <is>
          <t>20250401</t>
        </is>
      </c>
      <c r="Q1195" t="inlineStr">
        <is>
          <t>20251031</t>
        </is>
      </c>
    </row>
    <row r="1196">
      <c r="A1196" t="inlineStr">
        <is>
          <t>900009292DW70D07510000630</t>
        </is>
      </c>
      <c r="B1196" t="inlineStr">
        <is>
          <t>900009292</t>
        </is>
      </c>
      <c r="C1196" t="inlineStr">
        <is>
          <t>DW70</t>
        </is>
      </c>
      <c r="D1196" t="inlineStr">
        <is>
          <t>D075</t>
        </is>
      </c>
      <c r="E1196" t="inlineStr">
        <is>
          <t>1</t>
        </is>
      </c>
      <c r="F1196" t="inlineStr">
        <is>
          <t>10000630</t>
        </is>
      </c>
      <c r="H1196" t="inlineStr"/>
      <c r="J1196" t="n">
        <v>240.86</v>
      </c>
      <c r="K1196" t="inlineStr"/>
      <c r="M1196" t="inlineStr">
        <is>
          <t>TN</t>
        </is>
      </c>
      <c r="N1196" t="inlineStr"/>
      <c r="P1196" t="inlineStr">
        <is>
          <t>20250401</t>
        </is>
      </c>
      <c r="Q1196" t="inlineStr">
        <is>
          <t>20251031</t>
        </is>
      </c>
    </row>
    <row r="1197">
      <c r="A1197" t="inlineStr">
        <is>
          <t>900009292DW70D07510000811</t>
        </is>
      </c>
      <c r="B1197" t="inlineStr">
        <is>
          <t>900009292</t>
        </is>
      </c>
      <c r="C1197" t="inlineStr">
        <is>
          <t>DW70</t>
        </is>
      </c>
      <c r="D1197" t="inlineStr">
        <is>
          <t>D075</t>
        </is>
      </c>
      <c r="E1197" t="inlineStr">
        <is>
          <t>1</t>
        </is>
      </c>
      <c r="F1197" t="inlineStr">
        <is>
          <t>10000811</t>
        </is>
      </c>
      <c r="H1197" t="inlineStr"/>
      <c r="J1197" t="n">
        <v>233.03</v>
      </c>
      <c r="K1197" t="inlineStr"/>
      <c r="M1197" t="inlineStr">
        <is>
          <t>TN</t>
        </is>
      </c>
      <c r="N1197" t="inlineStr"/>
      <c r="P1197" t="inlineStr">
        <is>
          <t>20250401</t>
        </is>
      </c>
      <c r="Q1197" t="inlineStr">
        <is>
          <t>20251031</t>
        </is>
      </c>
    </row>
    <row r="1198">
      <c r="A1198" t="inlineStr">
        <is>
          <t>900009292DW70D07510269245</t>
        </is>
      </c>
      <c r="B1198" t="inlineStr">
        <is>
          <t>900009292</t>
        </is>
      </c>
      <c r="C1198" t="inlineStr">
        <is>
          <t>DW70</t>
        </is>
      </c>
      <c r="D1198" t="inlineStr">
        <is>
          <t>D075</t>
        </is>
      </c>
      <c r="E1198" t="inlineStr">
        <is>
          <t>1</t>
        </is>
      </c>
      <c r="F1198" t="inlineStr">
        <is>
          <t>10269245</t>
        </is>
      </c>
      <c r="H1198" t="inlineStr"/>
      <c r="J1198" t="n">
        <v>239.15</v>
      </c>
      <c r="K1198" t="inlineStr"/>
      <c r="M1198" t="inlineStr">
        <is>
          <t>TN</t>
        </is>
      </c>
      <c r="N1198" t="inlineStr"/>
      <c r="P1198" t="inlineStr">
        <is>
          <t>20250401</t>
        </is>
      </c>
      <c r="Q1198" t="inlineStr">
        <is>
          <t>20251031</t>
        </is>
      </c>
    </row>
    <row r="1199">
      <c r="A1199" t="inlineStr">
        <is>
          <t>900009292DW70D07510269246</t>
        </is>
      </c>
      <c r="B1199" t="inlineStr">
        <is>
          <t>900009292</t>
        </is>
      </c>
      <c r="C1199" t="inlineStr">
        <is>
          <t>DW70</t>
        </is>
      </c>
      <c r="D1199" t="inlineStr">
        <is>
          <t>D075</t>
        </is>
      </c>
      <c r="E1199" t="inlineStr">
        <is>
          <t>1</t>
        </is>
      </c>
      <c r="F1199" t="inlineStr">
        <is>
          <t>10269246</t>
        </is>
      </c>
      <c r="H1199" t="inlineStr"/>
      <c r="J1199" t="n">
        <v>240.86</v>
      </c>
      <c r="K1199" t="inlineStr"/>
      <c r="M1199" t="inlineStr">
        <is>
          <t>TN</t>
        </is>
      </c>
      <c r="N1199" t="inlineStr"/>
      <c r="P1199" t="inlineStr">
        <is>
          <t>20250401</t>
        </is>
      </c>
      <c r="Q1199" t="inlineStr">
        <is>
          <t>20251031</t>
        </is>
      </c>
    </row>
    <row r="1200">
      <c r="A1200" t="inlineStr">
        <is>
          <t>900009292DW70D07510269247</t>
        </is>
      </c>
      <c r="B1200" t="inlineStr">
        <is>
          <t>900009292</t>
        </is>
      </c>
      <c r="C1200" t="inlineStr">
        <is>
          <t>DW70</t>
        </is>
      </c>
      <c r="D1200" t="inlineStr">
        <is>
          <t>D075</t>
        </is>
      </c>
      <c r="E1200" t="inlineStr">
        <is>
          <t>1</t>
        </is>
      </c>
      <c r="F1200" t="inlineStr">
        <is>
          <t>10269247</t>
        </is>
      </c>
      <c r="H1200" t="inlineStr"/>
      <c r="J1200" t="n">
        <v>216.15</v>
      </c>
      <c r="K1200" t="inlineStr"/>
      <c r="M1200" t="inlineStr">
        <is>
          <t>TN</t>
        </is>
      </c>
      <c r="N1200" t="inlineStr"/>
      <c r="P1200" t="inlineStr">
        <is>
          <t>20250401</t>
        </is>
      </c>
      <c r="Q1200" t="inlineStr">
        <is>
          <t>20251031</t>
        </is>
      </c>
    </row>
    <row r="1201">
      <c r="A1201" t="inlineStr">
        <is>
          <t>900009292DW70D07710000630</t>
        </is>
      </c>
      <c r="B1201" t="inlineStr">
        <is>
          <t>900009292</t>
        </is>
      </c>
      <c r="C1201" t="inlineStr">
        <is>
          <t>DW70</t>
        </is>
      </c>
      <c r="D1201" t="inlineStr">
        <is>
          <t>D077</t>
        </is>
      </c>
      <c r="E1201" t="inlineStr">
        <is>
          <t>1</t>
        </is>
      </c>
      <c r="F1201" t="inlineStr">
        <is>
          <t>10000630</t>
        </is>
      </c>
      <c r="H1201" t="inlineStr"/>
      <c r="J1201" t="n">
        <v>346.24</v>
      </c>
      <c r="K1201" t="inlineStr"/>
      <c r="M1201" t="inlineStr">
        <is>
          <t>TN</t>
        </is>
      </c>
      <c r="N1201" t="inlineStr"/>
      <c r="P1201" t="inlineStr">
        <is>
          <t>20250401</t>
        </is>
      </c>
      <c r="Q1201" t="inlineStr">
        <is>
          <t>20251031</t>
        </is>
      </c>
    </row>
    <row r="1202">
      <c r="A1202" t="inlineStr">
        <is>
          <t>900009292DW70D07710000811</t>
        </is>
      </c>
      <c r="B1202" t="inlineStr">
        <is>
          <t>900009292</t>
        </is>
      </c>
      <c r="C1202" t="inlineStr">
        <is>
          <t>DW70</t>
        </is>
      </c>
      <c r="D1202" t="inlineStr">
        <is>
          <t>D077</t>
        </is>
      </c>
      <c r="E1202" t="inlineStr">
        <is>
          <t>1</t>
        </is>
      </c>
      <c r="F1202" t="inlineStr">
        <is>
          <t>10000811</t>
        </is>
      </c>
      <c r="H1202" t="inlineStr"/>
      <c r="J1202" t="n">
        <v>334.99</v>
      </c>
      <c r="K1202" t="inlineStr"/>
      <c r="M1202" t="inlineStr">
        <is>
          <t>TN</t>
        </is>
      </c>
      <c r="N1202" t="inlineStr"/>
      <c r="P1202" t="inlineStr">
        <is>
          <t>20250401</t>
        </is>
      </c>
      <c r="Q1202" t="inlineStr">
        <is>
          <t>20251031</t>
        </is>
      </c>
    </row>
    <row r="1203">
      <c r="A1203" t="inlineStr">
        <is>
          <t>900009292DW70D07710269245</t>
        </is>
      </c>
      <c r="B1203" t="inlineStr">
        <is>
          <t>900009292</t>
        </is>
      </c>
      <c r="C1203" t="inlineStr">
        <is>
          <t>DW70</t>
        </is>
      </c>
      <c r="D1203" t="inlineStr">
        <is>
          <t>D077</t>
        </is>
      </c>
      <c r="E1203" t="inlineStr">
        <is>
          <t>1</t>
        </is>
      </c>
      <c r="F1203" t="inlineStr">
        <is>
          <t>10269245</t>
        </is>
      </c>
      <c r="H1203" t="inlineStr"/>
      <c r="J1203" t="n">
        <v>343.78</v>
      </c>
      <c r="K1203" t="inlineStr"/>
      <c r="M1203" t="inlineStr">
        <is>
          <t>TN</t>
        </is>
      </c>
      <c r="N1203" t="inlineStr"/>
      <c r="P1203" t="inlineStr">
        <is>
          <t>20250401</t>
        </is>
      </c>
      <c r="Q1203" t="inlineStr">
        <is>
          <t>20251031</t>
        </is>
      </c>
    </row>
    <row r="1204">
      <c r="A1204" t="inlineStr">
        <is>
          <t>900009292DW70D07710269246</t>
        </is>
      </c>
      <c r="B1204" t="inlineStr">
        <is>
          <t>900009292</t>
        </is>
      </c>
      <c r="C1204" t="inlineStr">
        <is>
          <t>DW70</t>
        </is>
      </c>
      <c r="D1204" t="inlineStr">
        <is>
          <t>D077</t>
        </is>
      </c>
      <c r="E1204" t="inlineStr">
        <is>
          <t>1</t>
        </is>
      </c>
      <c r="F1204" t="inlineStr">
        <is>
          <t>10269246</t>
        </is>
      </c>
      <c r="H1204" t="inlineStr"/>
      <c r="J1204" t="n">
        <v>346.24</v>
      </c>
      <c r="K1204" t="inlineStr"/>
      <c r="M1204" t="inlineStr">
        <is>
          <t>TN</t>
        </is>
      </c>
      <c r="N1204" t="inlineStr"/>
      <c r="P1204" t="inlineStr">
        <is>
          <t>20250401</t>
        </is>
      </c>
      <c r="Q1204" t="inlineStr">
        <is>
          <t>20251031</t>
        </is>
      </c>
    </row>
    <row r="1205">
      <c r="A1205" t="inlineStr">
        <is>
          <t>900009292DW70D07710269247</t>
        </is>
      </c>
      <c r="B1205" t="inlineStr">
        <is>
          <t>900009292</t>
        </is>
      </c>
      <c r="C1205" t="inlineStr">
        <is>
          <t>DW70</t>
        </is>
      </c>
      <c r="D1205" t="inlineStr">
        <is>
          <t>D077</t>
        </is>
      </c>
      <c r="E1205" t="inlineStr">
        <is>
          <t>1</t>
        </is>
      </c>
      <c r="F1205" t="inlineStr">
        <is>
          <t>10269247</t>
        </is>
      </c>
      <c r="H1205" t="inlineStr"/>
      <c r="J1205" t="n">
        <v>310.72</v>
      </c>
      <c r="K1205" t="inlineStr"/>
      <c r="M1205" t="inlineStr">
        <is>
          <t>TN</t>
        </is>
      </c>
      <c r="N1205" t="inlineStr"/>
      <c r="P1205" t="inlineStr">
        <is>
          <t>20250401</t>
        </is>
      </c>
      <c r="Q1205" t="inlineStr">
        <is>
          <t>20251031</t>
        </is>
      </c>
    </row>
    <row r="1206">
      <c r="A1206" t="inlineStr">
        <is>
          <t>900009292DW70D07910000630</t>
        </is>
      </c>
      <c r="B1206" t="inlineStr">
        <is>
          <t>900009292</t>
        </is>
      </c>
      <c r="C1206" t="inlineStr">
        <is>
          <t>DW70</t>
        </is>
      </c>
      <c r="D1206" t="inlineStr">
        <is>
          <t>D079</t>
        </is>
      </c>
      <c r="E1206" t="inlineStr">
        <is>
          <t>1</t>
        </is>
      </c>
      <c r="F1206" t="inlineStr">
        <is>
          <t>10000630</t>
        </is>
      </c>
      <c r="H1206" t="inlineStr"/>
      <c r="J1206" t="n">
        <v>370.32</v>
      </c>
      <c r="K1206" t="inlineStr"/>
      <c r="M1206" t="inlineStr">
        <is>
          <t>TN</t>
        </is>
      </c>
      <c r="N1206" t="inlineStr"/>
      <c r="P1206" t="inlineStr">
        <is>
          <t>20250401</t>
        </is>
      </c>
      <c r="Q1206" t="inlineStr">
        <is>
          <t>20251031</t>
        </is>
      </c>
    </row>
    <row r="1207">
      <c r="A1207" t="inlineStr">
        <is>
          <t>900009292DW70D07910000811</t>
        </is>
      </c>
      <c r="B1207" t="inlineStr">
        <is>
          <t>900009292</t>
        </is>
      </c>
      <c r="C1207" t="inlineStr">
        <is>
          <t>DW70</t>
        </is>
      </c>
      <c r="D1207" t="inlineStr">
        <is>
          <t>D079</t>
        </is>
      </c>
      <c r="E1207" t="inlineStr">
        <is>
          <t>1</t>
        </is>
      </c>
      <c r="F1207" t="inlineStr">
        <is>
          <t>10000811</t>
        </is>
      </c>
      <c r="H1207" t="inlineStr"/>
      <c r="J1207" t="n">
        <v>358.29</v>
      </c>
      <c r="K1207" t="inlineStr"/>
      <c r="M1207" t="inlineStr">
        <is>
          <t>TN</t>
        </is>
      </c>
      <c r="N1207" t="inlineStr"/>
      <c r="P1207" t="inlineStr">
        <is>
          <t>20250401</t>
        </is>
      </c>
      <c r="Q1207" t="inlineStr">
        <is>
          <t>20251031</t>
        </is>
      </c>
    </row>
    <row r="1208">
      <c r="A1208" t="inlineStr">
        <is>
          <t>900009292DW70D07910269245</t>
        </is>
      </c>
      <c r="B1208" t="inlineStr">
        <is>
          <t>900009292</t>
        </is>
      </c>
      <c r="C1208" t="inlineStr">
        <is>
          <t>DW70</t>
        </is>
      </c>
      <c r="D1208" t="inlineStr">
        <is>
          <t>D079</t>
        </is>
      </c>
      <c r="E1208" t="inlineStr">
        <is>
          <t>1</t>
        </is>
      </c>
      <c r="F1208" t="inlineStr">
        <is>
          <t>10269245</t>
        </is>
      </c>
      <c r="H1208" t="inlineStr"/>
      <c r="J1208" t="n">
        <v>367.7</v>
      </c>
      <c r="K1208" t="inlineStr"/>
      <c r="M1208" t="inlineStr">
        <is>
          <t>TN</t>
        </is>
      </c>
      <c r="N1208" t="inlineStr"/>
      <c r="P1208" t="inlineStr">
        <is>
          <t>20250401</t>
        </is>
      </c>
      <c r="Q1208" t="inlineStr">
        <is>
          <t>20251031</t>
        </is>
      </c>
    </row>
    <row r="1209">
      <c r="A1209" t="inlineStr">
        <is>
          <t>900009292DW70D07910269246</t>
        </is>
      </c>
      <c r="B1209" t="inlineStr">
        <is>
          <t>900009292</t>
        </is>
      </c>
      <c r="C1209" t="inlineStr">
        <is>
          <t>DW70</t>
        </is>
      </c>
      <c r="D1209" t="inlineStr">
        <is>
          <t>D079</t>
        </is>
      </c>
      <c r="E1209" t="inlineStr">
        <is>
          <t>1</t>
        </is>
      </c>
      <c r="F1209" t="inlineStr">
        <is>
          <t>10269246</t>
        </is>
      </c>
      <c r="H1209" t="inlineStr"/>
      <c r="J1209" t="n">
        <v>370.32</v>
      </c>
      <c r="K1209" t="inlineStr"/>
      <c r="M1209" t="inlineStr">
        <is>
          <t>TN</t>
        </is>
      </c>
      <c r="N1209" t="inlineStr"/>
      <c r="P1209" t="inlineStr">
        <is>
          <t>20250401</t>
        </is>
      </c>
      <c r="Q1209" t="inlineStr">
        <is>
          <t>20251031</t>
        </is>
      </c>
    </row>
    <row r="1210">
      <c r="A1210" t="inlineStr">
        <is>
          <t>900009292DW70D07910269247</t>
        </is>
      </c>
      <c r="B1210" t="inlineStr">
        <is>
          <t>900009292</t>
        </is>
      </c>
      <c r="C1210" t="inlineStr">
        <is>
          <t>DW70</t>
        </is>
      </c>
      <c r="D1210" t="inlineStr">
        <is>
          <t>D079</t>
        </is>
      </c>
      <c r="E1210" t="inlineStr">
        <is>
          <t>1</t>
        </is>
      </c>
      <c r="F1210" t="inlineStr">
        <is>
          <t>10269247</t>
        </is>
      </c>
      <c r="H1210" t="inlineStr"/>
      <c r="J1210" t="n">
        <v>332.34</v>
      </c>
      <c r="K1210" t="inlineStr"/>
      <c r="M1210" t="inlineStr">
        <is>
          <t>TN</t>
        </is>
      </c>
      <c r="N1210" t="inlineStr"/>
      <c r="P1210" t="inlineStr">
        <is>
          <t>20250401</t>
        </is>
      </c>
      <c r="Q1210" t="inlineStr">
        <is>
          <t>20251031</t>
        </is>
      </c>
    </row>
    <row r="1211">
      <c r="A1211" t="inlineStr">
        <is>
          <t>900009292DW70D08010000630</t>
        </is>
      </c>
      <c r="B1211" t="inlineStr">
        <is>
          <t>900009292</t>
        </is>
      </c>
      <c r="C1211" t="inlineStr">
        <is>
          <t>DW70</t>
        </is>
      </c>
      <c r="D1211" t="inlineStr">
        <is>
          <t>D080</t>
        </is>
      </c>
      <c r="E1211" t="inlineStr">
        <is>
          <t>1</t>
        </is>
      </c>
      <c r="F1211" t="inlineStr">
        <is>
          <t>10000630</t>
        </is>
      </c>
      <c r="H1211" t="inlineStr"/>
      <c r="J1211" t="n">
        <v>240.86</v>
      </c>
      <c r="K1211" t="inlineStr"/>
      <c r="M1211" t="inlineStr">
        <is>
          <t>TN</t>
        </is>
      </c>
      <c r="N1211" t="inlineStr"/>
      <c r="P1211" t="inlineStr">
        <is>
          <t>20250401</t>
        </is>
      </c>
      <c r="Q1211" t="inlineStr">
        <is>
          <t>20251031</t>
        </is>
      </c>
    </row>
    <row r="1212">
      <c r="A1212" t="inlineStr">
        <is>
          <t>900009292DW70D08010000811</t>
        </is>
      </c>
      <c r="B1212" t="inlineStr">
        <is>
          <t>900009292</t>
        </is>
      </c>
      <c r="C1212" t="inlineStr">
        <is>
          <t>DW70</t>
        </is>
      </c>
      <c r="D1212" t="inlineStr">
        <is>
          <t>D080</t>
        </is>
      </c>
      <c r="E1212" t="inlineStr">
        <is>
          <t>1</t>
        </is>
      </c>
      <c r="F1212" t="inlineStr">
        <is>
          <t>10000811</t>
        </is>
      </c>
      <c r="H1212" t="inlineStr"/>
      <c r="J1212" t="n">
        <v>233.03</v>
      </c>
      <c r="K1212" t="inlineStr"/>
      <c r="M1212" t="inlineStr">
        <is>
          <t>TN</t>
        </is>
      </c>
      <c r="N1212" t="inlineStr"/>
      <c r="P1212" t="inlineStr">
        <is>
          <t>20250401</t>
        </is>
      </c>
      <c r="Q1212" t="inlineStr">
        <is>
          <t>20251031</t>
        </is>
      </c>
    </row>
    <row r="1213">
      <c r="A1213" t="inlineStr">
        <is>
          <t>900009292DW70D08010269245</t>
        </is>
      </c>
      <c r="B1213" t="inlineStr">
        <is>
          <t>900009292</t>
        </is>
      </c>
      <c r="C1213" t="inlineStr">
        <is>
          <t>DW70</t>
        </is>
      </c>
      <c r="D1213" t="inlineStr">
        <is>
          <t>D080</t>
        </is>
      </c>
      <c r="E1213" t="inlineStr">
        <is>
          <t>1</t>
        </is>
      </c>
      <c r="F1213" t="inlineStr">
        <is>
          <t>10269245</t>
        </is>
      </c>
      <c r="H1213" t="inlineStr"/>
      <c r="J1213" t="n">
        <v>239.15</v>
      </c>
      <c r="K1213" t="inlineStr"/>
      <c r="M1213" t="inlineStr">
        <is>
          <t>TN</t>
        </is>
      </c>
      <c r="N1213" t="inlineStr"/>
      <c r="P1213" t="inlineStr">
        <is>
          <t>20250401</t>
        </is>
      </c>
      <c r="Q1213" t="inlineStr">
        <is>
          <t>20251031</t>
        </is>
      </c>
    </row>
    <row r="1214">
      <c r="A1214" t="inlineStr">
        <is>
          <t>900009292DW70D08010269246</t>
        </is>
      </c>
      <c r="B1214" t="inlineStr">
        <is>
          <t>900009292</t>
        </is>
      </c>
      <c r="C1214" t="inlineStr">
        <is>
          <t>DW70</t>
        </is>
      </c>
      <c r="D1214" t="inlineStr">
        <is>
          <t>D080</t>
        </is>
      </c>
      <c r="E1214" t="inlineStr">
        <is>
          <t>1</t>
        </is>
      </c>
      <c r="F1214" t="inlineStr">
        <is>
          <t>10269246</t>
        </is>
      </c>
      <c r="H1214" t="inlineStr"/>
      <c r="J1214" t="n">
        <v>240.86</v>
      </c>
      <c r="K1214" t="inlineStr"/>
      <c r="M1214" t="inlineStr">
        <is>
          <t>TN</t>
        </is>
      </c>
      <c r="N1214" t="inlineStr"/>
      <c r="P1214" t="inlineStr">
        <is>
          <t>20250401</t>
        </is>
      </c>
      <c r="Q1214" t="inlineStr">
        <is>
          <t>20251031</t>
        </is>
      </c>
    </row>
    <row r="1215">
      <c r="A1215" t="inlineStr">
        <is>
          <t>900009292DW70D08010269247</t>
        </is>
      </c>
      <c r="B1215" t="inlineStr">
        <is>
          <t>900009292</t>
        </is>
      </c>
      <c r="C1215" t="inlineStr">
        <is>
          <t>DW70</t>
        </is>
      </c>
      <c r="D1215" t="inlineStr">
        <is>
          <t>D080</t>
        </is>
      </c>
      <c r="E1215" t="inlineStr">
        <is>
          <t>1</t>
        </is>
      </c>
      <c r="F1215" t="inlineStr">
        <is>
          <t>10269247</t>
        </is>
      </c>
      <c r="H1215" t="inlineStr"/>
      <c r="J1215" t="n">
        <v>216.15</v>
      </c>
      <c r="K1215" t="inlineStr"/>
      <c r="M1215" t="inlineStr">
        <is>
          <t>TN</t>
        </is>
      </c>
      <c r="N1215" t="inlineStr"/>
      <c r="P1215" t="inlineStr">
        <is>
          <t>20250401</t>
        </is>
      </c>
      <c r="Q1215" t="inlineStr">
        <is>
          <t>20251031</t>
        </is>
      </c>
    </row>
    <row r="1216">
      <c r="A1216" t="inlineStr">
        <is>
          <t>900009292DW70D08110000630</t>
        </is>
      </c>
      <c r="B1216" t="inlineStr">
        <is>
          <t>900009292</t>
        </is>
      </c>
      <c r="C1216" t="inlineStr">
        <is>
          <t>DW70</t>
        </is>
      </c>
      <c r="D1216" t="inlineStr">
        <is>
          <t>D081</t>
        </is>
      </c>
      <c r="E1216" t="inlineStr">
        <is>
          <t>1</t>
        </is>
      </c>
      <c r="F1216" t="inlineStr">
        <is>
          <t>10000630</t>
        </is>
      </c>
      <c r="H1216" t="inlineStr"/>
      <c r="J1216" t="n">
        <v>222.79</v>
      </c>
      <c r="K1216" t="inlineStr"/>
      <c r="M1216" t="inlineStr">
        <is>
          <t>TN</t>
        </is>
      </c>
      <c r="N1216" t="inlineStr"/>
      <c r="P1216" t="inlineStr">
        <is>
          <t>20250401</t>
        </is>
      </c>
      <c r="Q1216" t="inlineStr">
        <is>
          <t>20251031</t>
        </is>
      </c>
    </row>
    <row r="1217">
      <c r="A1217" t="inlineStr">
        <is>
          <t>900009292DW70D08110000811</t>
        </is>
      </c>
      <c r="B1217" t="inlineStr">
        <is>
          <t>900009292</t>
        </is>
      </c>
      <c r="C1217" t="inlineStr">
        <is>
          <t>DW70</t>
        </is>
      </c>
      <c r="D1217" t="inlineStr">
        <is>
          <t>D081</t>
        </is>
      </c>
      <c r="E1217" t="inlineStr">
        <is>
          <t>1</t>
        </is>
      </c>
      <c r="F1217" t="inlineStr">
        <is>
          <t>10000811</t>
        </is>
      </c>
      <c r="H1217" t="inlineStr"/>
      <c r="J1217" t="n">
        <v>215.56</v>
      </c>
      <c r="K1217" t="inlineStr"/>
      <c r="M1217" t="inlineStr">
        <is>
          <t>TN</t>
        </is>
      </c>
      <c r="N1217" t="inlineStr"/>
      <c r="P1217" t="inlineStr">
        <is>
          <t>20250401</t>
        </is>
      </c>
      <c r="Q1217" t="inlineStr">
        <is>
          <t>20251031</t>
        </is>
      </c>
    </row>
    <row r="1218">
      <c r="A1218" t="inlineStr">
        <is>
          <t>900009292DW70D08110269245</t>
        </is>
      </c>
      <c r="B1218" t="inlineStr">
        <is>
          <t>900009292</t>
        </is>
      </c>
      <c r="C1218" t="inlineStr">
        <is>
          <t>DW70</t>
        </is>
      </c>
      <c r="D1218" t="inlineStr">
        <is>
          <t>D081</t>
        </is>
      </c>
      <c r="E1218" t="inlineStr">
        <is>
          <t>1</t>
        </is>
      </c>
      <c r="F1218" t="inlineStr">
        <is>
          <t>10269245</t>
        </is>
      </c>
      <c r="H1218" t="inlineStr"/>
      <c r="J1218" t="n">
        <v>221.21</v>
      </c>
      <c r="K1218" t="inlineStr"/>
      <c r="M1218" t="inlineStr">
        <is>
          <t>TN</t>
        </is>
      </c>
      <c r="N1218" t="inlineStr"/>
      <c r="P1218" t="inlineStr">
        <is>
          <t>20250401</t>
        </is>
      </c>
      <c r="Q1218" t="inlineStr">
        <is>
          <t>20251031</t>
        </is>
      </c>
    </row>
    <row r="1219">
      <c r="A1219" t="inlineStr">
        <is>
          <t>900009292DW70D08110269246</t>
        </is>
      </c>
      <c r="B1219" t="inlineStr">
        <is>
          <t>900009292</t>
        </is>
      </c>
      <c r="C1219" t="inlineStr">
        <is>
          <t>DW70</t>
        </is>
      </c>
      <c r="D1219" t="inlineStr">
        <is>
          <t>D081</t>
        </is>
      </c>
      <c r="E1219" t="inlineStr">
        <is>
          <t>1</t>
        </is>
      </c>
      <c r="F1219" t="inlineStr">
        <is>
          <t>10269246</t>
        </is>
      </c>
      <c r="H1219" t="inlineStr"/>
      <c r="J1219" t="n">
        <v>222.79</v>
      </c>
      <c r="K1219" t="inlineStr"/>
      <c r="M1219" t="inlineStr">
        <is>
          <t>TN</t>
        </is>
      </c>
      <c r="N1219" t="inlineStr"/>
      <c r="P1219" t="inlineStr">
        <is>
          <t>20250401</t>
        </is>
      </c>
      <c r="Q1219" t="inlineStr">
        <is>
          <t>20251031</t>
        </is>
      </c>
    </row>
    <row r="1220">
      <c r="A1220" t="inlineStr">
        <is>
          <t>900009292DW70D08110269247</t>
        </is>
      </c>
      <c r="B1220" t="inlineStr">
        <is>
          <t>900009292</t>
        </is>
      </c>
      <c r="C1220" t="inlineStr">
        <is>
          <t>DW70</t>
        </is>
      </c>
      <c r="D1220" t="inlineStr">
        <is>
          <t>D081</t>
        </is>
      </c>
      <c r="E1220" t="inlineStr">
        <is>
          <t>1</t>
        </is>
      </c>
      <c r="F1220" t="inlineStr">
        <is>
          <t>10269247</t>
        </is>
      </c>
      <c r="H1220" t="inlineStr"/>
      <c r="J1220" t="n">
        <v>199.94</v>
      </c>
      <c r="K1220" t="inlineStr"/>
      <c r="M1220" t="inlineStr">
        <is>
          <t>TN</t>
        </is>
      </c>
      <c r="N1220" t="inlineStr"/>
      <c r="P1220" t="inlineStr">
        <is>
          <t>20250401</t>
        </is>
      </c>
      <c r="Q1220" t="inlineStr">
        <is>
          <t>20251031</t>
        </is>
      </c>
    </row>
    <row r="1221">
      <c r="A1221" t="inlineStr">
        <is>
          <t>900009292DW70D08310000630</t>
        </is>
      </c>
      <c r="B1221" t="inlineStr">
        <is>
          <t>900009292</t>
        </is>
      </c>
      <c r="C1221" t="inlineStr">
        <is>
          <t>DW70</t>
        </is>
      </c>
      <c r="D1221" t="inlineStr">
        <is>
          <t>D083</t>
        </is>
      </c>
      <c r="E1221" t="inlineStr">
        <is>
          <t>1</t>
        </is>
      </c>
      <c r="F1221" t="inlineStr">
        <is>
          <t>10000630</t>
        </is>
      </c>
      <c r="H1221" t="inlineStr"/>
      <c r="J1221" t="n">
        <v>270.96</v>
      </c>
      <c r="K1221" t="inlineStr"/>
      <c r="M1221" t="inlineStr">
        <is>
          <t>TN</t>
        </is>
      </c>
      <c r="N1221" t="inlineStr"/>
      <c r="P1221" t="inlineStr">
        <is>
          <t>20250401</t>
        </is>
      </c>
      <c r="Q1221" t="inlineStr">
        <is>
          <t>20251031</t>
        </is>
      </c>
    </row>
    <row r="1222">
      <c r="A1222" t="inlineStr">
        <is>
          <t>900009292DW70D08310000811</t>
        </is>
      </c>
      <c r="B1222" t="inlineStr">
        <is>
          <t>900009292</t>
        </is>
      </c>
      <c r="C1222" t="inlineStr">
        <is>
          <t>DW70</t>
        </is>
      </c>
      <c r="D1222" t="inlineStr">
        <is>
          <t>D083</t>
        </is>
      </c>
      <c r="E1222" t="inlineStr">
        <is>
          <t>1</t>
        </is>
      </c>
      <c r="F1222" t="inlineStr">
        <is>
          <t>10000811</t>
        </is>
      </c>
      <c r="H1222" t="inlineStr"/>
      <c r="J1222" t="n">
        <v>262.16</v>
      </c>
      <c r="K1222" t="inlineStr"/>
      <c r="M1222" t="inlineStr">
        <is>
          <t>TN</t>
        </is>
      </c>
      <c r="N1222" t="inlineStr"/>
      <c r="P1222" t="inlineStr">
        <is>
          <t>20250401</t>
        </is>
      </c>
      <c r="Q1222" t="inlineStr">
        <is>
          <t>20251031</t>
        </is>
      </c>
    </row>
    <row r="1223">
      <c r="A1223" t="inlineStr">
        <is>
          <t>900009292DW70D08310269245</t>
        </is>
      </c>
      <c r="B1223" t="inlineStr">
        <is>
          <t>900009292</t>
        </is>
      </c>
      <c r="C1223" t="inlineStr">
        <is>
          <t>DW70</t>
        </is>
      </c>
      <c r="D1223" t="inlineStr">
        <is>
          <t>D083</t>
        </is>
      </c>
      <c r="E1223" t="inlineStr">
        <is>
          <t>1</t>
        </is>
      </c>
      <c r="F1223" t="inlineStr">
        <is>
          <t>10269245</t>
        </is>
      </c>
      <c r="H1223" t="inlineStr"/>
      <c r="J1223" t="n">
        <v>269.04</v>
      </c>
      <c r="K1223" t="inlineStr"/>
      <c r="M1223" t="inlineStr">
        <is>
          <t>TN</t>
        </is>
      </c>
      <c r="N1223" t="inlineStr"/>
      <c r="P1223" t="inlineStr">
        <is>
          <t>20250401</t>
        </is>
      </c>
      <c r="Q1223" t="inlineStr">
        <is>
          <t>20251031</t>
        </is>
      </c>
    </row>
    <row r="1224">
      <c r="A1224" t="inlineStr">
        <is>
          <t>900009292DW70D08310269246</t>
        </is>
      </c>
      <c r="B1224" t="inlineStr">
        <is>
          <t>900009292</t>
        </is>
      </c>
      <c r="C1224" t="inlineStr">
        <is>
          <t>DW70</t>
        </is>
      </c>
      <c r="D1224" t="inlineStr">
        <is>
          <t>D083</t>
        </is>
      </c>
      <c r="E1224" t="inlineStr">
        <is>
          <t>1</t>
        </is>
      </c>
      <c r="F1224" t="inlineStr">
        <is>
          <t>10269246</t>
        </is>
      </c>
      <c r="H1224" t="inlineStr"/>
      <c r="J1224" t="n">
        <v>270.96</v>
      </c>
      <c r="K1224" t="inlineStr"/>
      <c r="M1224" t="inlineStr">
        <is>
          <t>TN</t>
        </is>
      </c>
      <c r="N1224" t="inlineStr"/>
      <c r="P1224" t="inlineStr">
        <is>
          <t>20250401</t>
        </is>
      </c>
      <c r="Q1224" t="inlineStr">
        <is>
          <t>20251031</t>
        </is>
      </c>
    </row>
    <row r="1225">
      <c r="A1225" t="inlineStr">
        <is>
          <t>900009292DW70D08310269247</t>
        </is>
      </c>
      <c r="B1225" t="inlineStr">
        <is>
          <t>900009292</t>
        </is>
      </c>
      <c r="C1225" t="inlineStr">
        <is>
          <t>DW70</t>
        </is>
      </c>
      <c r="D1225" t="inlineStr">
        <is>
          <t>D083</t>
        </is>
      </c>
      <c r="E1225" t="inlineStr">
        <is>
          <t>1</t>
        </is>
      </c>
      <c r="F1225" t="inlineStr">
        <is>
          <t>10269247</t>
        </is>
      </c>
      <c r="H1225" t="inlineStr"/>
      <c r="J1225" t="n">
        <v>243.17</v>
      </c>
      <c r="K1225" t="inlineStr"/>
      <c r="M1225" t="inlineStr">
        <is>
          <t>TN</t>
        </is>
      </c>
      <c r="N1225" t="inlineStr"/>
      <c r="P1225" t="inlineStr">
        <is>
          <t>20250401</t>
        </is>
      </c>
      <c r="Q1225" t="inlineStr">
        <is>
          <t>20251031</t>
        </is>
      </c>
    </row>
    <row r="1226">
      <c r="A1226" t="inlineStr">
        <is>
          <t>900009292DW70D08410000630</t>
        </is>
      </c>
      <c r="B1226" t="inlineStr">
        <is>
          <t>900009292</t>
        </is>
      </c>
      <c r="C1226" t="inlineStr">
        <is>
          <t>DW70</t>
        </is>
      </c>
      <c r="D1226" t="inlineStr">
        <is>
          <t>D084</t>
        </is>
      </c>
      <c r="E1226" t="inlineStr">
        <is>
          <t>1</t>
        </is>
      </c>
      <c r="F1226" t="inlineStr">
        <is>
          <t>10000630</t>
        </is>
      </c>
      <c r="H1226" t="inlineStr"/>
      <c r="J1226" t="n">
        <v>325.16</v>
      </c>
      <c r="K1226" t="inlineStr"/>
      <c r="M1226" t="inlineStr">
        <is>
          <t>TN</t>
        </is>
      </c>
      <c r="N1226" t="inlineStr"/>
      <c r="P1226" t="inlineStr">
        <is>
          <t>20250401</t>
        </is>
      </c>
      <c r="Q1226" t="inlineStr">
        <is>
          <t>20251031</t>
        </is>
      </c>
    </row>
    <row r="1227">
      <c r="A1227" t="inlineStr">
        <is>
          <t>900009292DW70D08410000811</t>
        </is>
      </c>
      <c r="B1227" t="inlineStr">
        <is>
          <t>900009292</t>
        </is>
      </c>
      <c r="C1227" t="inlineStr">
        <is>
          <t>DW70</t>
        </is>
      </c>
      <c r="D1227" t="inlineStr">
        <is>
          <t>D084</t>
        </is>
      </c>
      <c r="E1227" t="inlineStr">
        <is>
          <t>1</t>
        </is>
      </c>
      <c r="F1227" t="inlineStr">
        <is>
          <t>10000811</t>
        </is>
      </c>
      <c r="H1227" t="inlineStr"/>
      <c r="J1227" t="n">
        <v>314.6</v>
      </c>
      <c r="K1227" t="inlineStr"/>
      <c r="M1227" t="inlineStr">
        <is>
          <t>TN</t>
        </is>
      </c>
      <c r="N1227" t="inlineStr"/>
      <c r="P1227" t="inlineStr">
        <is>
          <t>20250401</t>
        </is>
      </c>
      <c r="Q1227" t="inlineStr">
        <is>
          <t>20251031</t>
        </is>
      </c>
    </row>
    <row r="1228">
      <c r="A1228" t="inlineStr">
        <is>
          <t>900009292DW70D08410269245</t>
        </is>
      </c>
      <c r="B1228" t="inlineStr">
        <is>
          <t>900009292</t>
        </is>
      </c>
      <c r="C1228" t="inlineStr">
        <is>
          <t>DW70</t>
        </is>
      </c>
      <c r="D1228" t="inlineStr">
        <is>
          <t>D084</t>
        </is>
      </c>
      <c r="E1228" t="inlineStr">
        <is>
          <t>1</t>
        </is>
      </c>
      <c r="F1228" t="inlineStr">
        <is>
          <t>10269245</t>
        </is>
      </c>
      <c r="H1228" t="inlineStr"/>
      <c r="J1228" t="n">
        <v>322.85</v>
      </c>
      <c r="K1228" t="inlineStr"/>
      <c r="M1228" t="inlineStr">
        <is>
          <t>TN</t>
        </is>
      </c>
      <c r="N1228" t="inlineStr"/>
      <c r="P1228" t="inlineStr">
        <is>
          <t>20250401</t>
        </is>
      </c>
      <c r="Q1228" t="inlineStr">
        <is>
          <t>20251031</t>
        </is>
      </c>
    </row>
    <row r="1229">
      <c r="A1229" t="inlineStr">
        <is>
          <t>900009292DW70D08410269246</t>
        </is>
      </c>
      <c r="B1229" t="inlineStr">
        <is>
          <t>900009292</t>
        </is>
      </c>
      <c r="C1229" t="inlineStr">
        <is>
          <t>DW70</t>
        </is>
      </c>
      <c r="D1229" t="inlineStr">
        <is>
          <t>D084</t>
        </is>
      </c>
      <c r="E1229" t="inlineStr">
        <is>
          <t>1</t>
        </is>
      </c>
      <c r="F1229" t="inlineStr">
        <is>
          <t>10269246</t>
        </is>
      </c>
      <c r="H1229" t="inlineStr"/>
      <c r="J1229" t="n">
        <v>325.16</v>
      </c>
      <c r="K1229" t="inlineStr"/>
      <c r="M1229" t="inlineStr">
        <is>
          <t>TN</t>
        </is>
      </c>
      <c r="N1229" t="inlineStr"/>
      <c r="P1229" t="inlineStr">
        <is>
          <t>20250401</t>
        </is>
      </c>
      <c r="Q1229" t="inlineStr">
        <is>
          <t>20251031</t>
        </is>
      </c>
    </row>
    <row r="1230">
      <c r="A1230" t="inlineStr">
        <is>
          <t>900009292DW70D08410269247</t>
        </is>
      </c>
      <c r="B1230" t="inlineStr">
        <is>
          <t>900009292</t>
        </is>
      </c>
      <c r="C1230" t="inlineStr">
        <is>
          <t>DW70</t>
        </is>
      </c>
      <c r="D1230" t="inlineStr">
        <is>
          <t>D084</t>
        </is>
      </c>
      <c r="E1230" t="inlineStr">
        <is>
          <t>1</t>
        </is>
      </c>
      <c r="F1230" t="inlineStr">
        <is>
          <t>10269247</t>
        </is>
      </c>
      <c r="H1230" t="inlineStr"/>
      <c r="J1230" t="n">
        <v>291.81</v>
      </c>
      <c r="K1230" t="inlineStr"/>
      <c r="M1230" t="inlineStr">
        <is>
          <t>TN</t>
        </is>
      </c>
      <c r="N1230" t="inlineStr"/>
      <c r="P1230" t="inlineStr">
        <is>
          <t>20250401</t>
        </is>
      </c>
      <c r="Q1230" t="inlineStr">
        <is>
          <t>20251031</t>
        </is>
      </c>
    </row>
    <row r="1231">
      <c r="A1231" t="inlineStr">
        <is>
          <t>900009292DW70D08510000630</t>
        </is>
      </c>
      <c r="B1231" t="inlineStr">
        <is>
          <t>900009292</t>
        </is>
      </c>
      <c r="C1231" t="inlineStr">
        <is>
          <t>DW70</t>
        </is>
      </c>
      <c r="D1231" t="inlineStr">
        <is>
          <t>D085</t>
        </is>
      </c>
      <c r="E1231" t="inlineStr">
        <is>
          <t>1</t>
        </is>
      </c>
      <c r="F1231" t="inlineStr">
        <is>
          <t>10000630</t>
        </is>
      </c>
      <c r="H1231" t="inlineStr"/>
      <c r="J1231" t="n">
        <v>319.14</v>
      </c>
      <c r="K1231" t="inlineStr"/>
      <c r="M1231" t="inlineStr">
        <is>
          <t>TN</t>
        </is>
      </c>
      <c r="N1231" t="inlineStr"/>
      <c r="P1231" t="inlineStr">
        <is>
          <t>20250401</t>
        </is>
      </c>
      <c r="Q1231" t="inlineStr">
        <is>
          <t>20251031</t>
        </is>
      </c>
    </row>
    <row r="1232">
      <c r="A1232" t="inlineStr">
        <is>
          <t>900009292DW70D08510000811</t>
        </is>
      </c>
      <c r="B1232" t="inlineStr">
        <is>
          <t>900009292</t>
        </is>
      </c>
      <c r="C1232" t="inlineStr">
        <is>
          <t>DW70</t>
        </is>
      </c>
      <c r="D1232" t="inlineStr">
        <is>
          <t>D085</t>
        </is>
      </c>
      <c r="E1232" t="inlineStr">
        <is>
          <t>1</t>
        </is>
      </c>
      <c r="F1232" t="inlineStr">
        <is>
          <t>10000811</t>
        </is>
      </c>
      <c r="H1232" t="inlineStr"/>
      <c r="J1232" t="n">
        <v>308.77</v>
      </c>
      <c r="K1232" t="inlineStr"/>
      <c r="M1232" t="inlineStr">
        <is>
          <t>TN</t>
        </is>
      </c>
      <c r="N1232" t="inlineStr"/>
      <c r="P1232" t="inlineStr">
        <is>
          <t>20250401</t>
        </is>
      </c>
      <c r="Q1232" t="inlineStr">
        <is>
          <t>20251031</t>
        </is>
      </c>
    </row>
    <row r="1233">
      <c r="A1233" t="inlineStr">
        <is>
          <t>900009292DW70D08510269245</t>
        </is>
      </c>
      <c r="B1233" t="inlineStr">
        <is>
          <t>900009292</t>
        </is>
      </c>
      <c r="C1233" t="inlineStr">
        <is>
          <t>DW70</t>
        </is>
      </c>
      <c r="D1233" t="inlineStr">
        <is>
          <t>D085</t>
        </is>
      </c>
      <c r="E1233" t="inlineStr">
        <is>
          <t>1</t>
        </is>
      </c>
      <c r="F1233" t="inlineStr">
        <is>
          <t>10269245</t>
        </is>
      </c>
      <c r="H1233" t="inlineStr"/>
      <c r="J1233" t="n">
        <v>316.87</v>
      </c>
      <c r="K1233" t="inlineStr"/>
      <c r="M1233" t="inlineStr">
        <is>
          <t>TN</t>
        </is>
      </c>
      <c r="N1233" t="inlineStr"/>
      <c r="P1233" t="inlineStr">
        <is>
          <t>20250401</t>
        </is>
      </c>
      <c r="Q1233" t="inlineStr">
        <is>
          <t>20251031</t>
        </is>
      </c>
    </row>
    <row r="1234">
      <c r="A1234" t="inlineStr">
        <is>
          <t>900009292DW70D08510269246</t>
        </is>
      </c>
      <c r="B1234" t="inlineStr">
        <is>
          <t>900009292</t>
        </is>
      </c>
      <c r="C1234" t="inlineStr">
        <is>
          <t>DW70</t>
        </is>
      </c>
      <c r="D1234" t="inlineStr">
        <is>
          <t>D085</t>
        </is>
      </c>
      <c r="E1234" t="inlineStr">
        <is>
          <t>1</t>
        </is>
      </c>
      <c r="F1234" t="inlineStr">
        <is>
          <t>10269246</t>
        </is>
      </c>
      <c r="H1234" t="inlineStr"/>
      <c r="J1234" t="n">
        <v>319.14</v>
      </c>
      <c r="K1234" t="inlineStr"/>
      <c r="M1234" t="inlineStr">
        <is>
          <t>TN</t>
        </is>
      </c>
      <c r="N1234" t="inlineStr"/>
      <c r="P1234" t="inlineStr">
        <is>
          <t>20250401</t>
        </is>
      </c>
      <c r="Q1234" t="inlineStr">
        <is>
          <t>20251031</t>
        </is>
      </c>
    </row>
    <row r="1235">
      <c r="A1235" t="inlineStr">
        <is>
          <t>900009292DW70D08510269247</t>
        </is>
      </c>
      <c r="B1235" t="inlineStr">
        <is>
          <t>900009292</t>
        </is>
      </c>
      <c r="C1235" t="inlineStr">
        <is>
          <t>DW70</t>
        </is>
      </c>
      <c r="D1235" t="inlineStr">
        <is>
          <t>D085</t>
        </is>
      </c>
      <c r="E1235" t="inlineStr">
        <is>
          <t>1</t>
        </is>
      </c>
      <c r="F1235" t="inlineStr">
        <is>
          <t>10269247</t>
        </is>
      </c>
      <c r="H1235" t="inlineStr"/>
      <c r="J1235" t="n">
        <v>286.4</v>
      </c>
      <c r="K1235" t="inlineStr"/>
      <c r="M1235" t="inlineStr">
        <is>
          <t>TN</t>
        </is>
      </c>
      <c r="N1235" t="inlineStr"/>
      <c r="P1235" t="inlineStr">
        <is>
          <t>20250401</t>
        </is>
      </c>
      <c r="Q1235" t="inlineStr">
        <is>
          <t>20251031</t>
        </is>
      </c>
    </row>
    <row r="1236">
      <c r="A1236" t="inlineStr">
        <is>
          <t>900009292DW70D08610000630</t>
        </is>
      </c>
      <c r="B1236" t="inlineStr">
        <is>
          <t>900009292</t>
        </is>
      </c>
      <c r="C1236" t="inlineStr">
        <is>
          <t>DW70</t>
        </is>
      </c>
      <c r="D1236" t="inlineStr">
        <is>
          <t>D086</t>
        </is>
      </c>
      <c r="E1236" t="inlineStr">
        <is>
          <t>1</t>
        </is>
      </c>
      <c r="F1236" t="inlineStr">
        <is>
          <t>10000630</t>
        </is>
      </c>
      <c r="H1236" t="inlineStr"/>
      <c r="J1236" t="n">
        <v>273.98</v>
      </c>
      <c r="K1236" t="inlineStr"/>
      <c r="M1236" t="inlineStr">
        <is>
          <t>TN</t>
        </is>
      </c>
      <c r="N1236" t="inlineStr"/>
      <c r="P1236" t="inlineStr">
        <is>
          <t>20250401</t>
        </is>
      </c>
      <c r="Q1236" t="inlineStr">
        <is>
          <t>20251031</t>
        </is>
      </c>
    </row>
    <row r="1237">
      <c r="A1237" t="inlineStr">
        <is>
          <t>900009292DW70D08610000811</t>
        </is>
      </c>
      <c r="B1237" t="inlineStr">
        <is>
          <t>900009292</t>
        </is>
      </c>
      <c r="C1237" t="inlineStr">
        <is>
          <t>DW70</t>
        </is>
      </c>
      <c r="D1237" t="inlineStr">
        <is>
          <t>D086</t>
        </is>
      </c>
      <c r="E1237" t="inlineStr">
        <is>
          <t>1</t>
        </is>
      </c>
      <c r="F1237" t="inlineStr">
        <is>
          <t>10000811</t>
        </is>
      </c>
      <c r="H1237" t="inlineStr"/>
      <c r="J1237" t="n">
        <v>265.08</v>
      </c>
      <c r="K1237" t="inlineStr"/>
      <c r="M1237" t="inlineStr">
        <is>
          <t>TN</t>
        </is>
      </c>
      <c r="N1237" t="inlineStr"/>
      <c r="P1237" t="inlineStr">
        <is>
          <t>20250401</t>
        </is>
      </c>
      <c r="Q1237" t="inlineStr">
        <is>
          <t>20251031</t>
        </is>
      </c>
    </row>
    <row r="1238">
      <c r="A1238" t="inlineStr">
        <is>
          <t>900009292DW70D08610269245</t>
        </is>
      </c>
      <c r="B1238" t="inlineStr">
        <is>
          <t>900009292</t>
        </is>
      </c>
      <c r="C1238" t="inlineStr">
        <is>
          <t>DW70</t>
        </is>
      </c>
      <c r="D1238" t="inlineStr">
        <is>
          <t>D086</t>
        </is>
      </c>
      <c r="E1238" t="inlineStr">
        <is>
          <t>1</t>
        </is>
      </c>
      <c r="F1238" t="inlineStr">
        <is>
          <t>10269245</t>
        </is>
      </c>
      <c r="H1238" t="inlineStr"/>
      <c r="J1238" t="n">
        <v>272.04</v>
      </c>
      <c r="K1238" t="inlineStr"/>
      <c r="M1238" t="inlineStr">
        <is>
          <t>TN</t>
        </is>
      </c>
      <c r="N1238" t="inlineStr"/>
      <c r="P1238" t="inlineStr">
        <is>
          <t>20250401</t>
        </is>
      </c>
      <c r="Q1238" t="inlineStr">
        <is>
          <t>20251031</t>
        </is>
      </c>
    </row>
    <row r="1239">
      <c r="A1239" t="inlineStr">
        <is>
          <t>900009292DW70D08610269246</t>
        </is>
      </c>
      <c r="B1239" t="inlineStr">
        <is>
          <t>900009292</t>
        </is>
      </c>
      <c r="C1239" t="inlineStr">
        <is>
          <t>DW70</t>
        </is>
      </c>
      <c r="D1239" t="inlineStr">
        <is>
          <t>D086</t>
        </is>
      </c>
      <c r="E1239" t="inlineStr">
        <is>
          <t>1</t>
        </is>
      </c>
      <c r="F1239" t="inlineStr">
        <is>
          <t>10269246</t>
        </is>
      </c>
      <c r="H1239" t="inlineStr"/>
      <c r="J1239" t="n">
        <v>273.98</v>
      </c>
      <c r="K1239" t="inlineStr"/>
      <c r="M1239" t="inlineStr">
        <is>
          <t>TN</t>
        </is>
      </c>
      <c r="N1239" t="inlineStr"/>
      <c r="P1239" t="inlineStr">
        <is>
          <t>20250401</t>
        </is>
      </c>
      <c r="Q1239" t="inlineStr">
        <is>
          <t>20251031</t>
        </is>
      </c>
    </row>
    <row r="1240">
      <c r="A1240" t="inlineStr">
        <is>
          <t>900009292DW70D08610269247</t>
        </is>
      </c>
      <c r="B1240" t="inlineStr">
        <is>
          <t>900009292</t>
        </is>
      </c>
      <c r="C1240" t="inlineStr">
        <is>
          <t>DW70</t>
        </is>
      </c>
      <c r="D1240" t="inlineStr">
        <is>
          <t>D086</t>
        </is>
      </c>
      <c r="E1240" t="inlineStr">
        <is>
          <t>1</t>
        </is>
      </c>
      <c r="F1240" t="inlineStr">
        <is>
          <t>10269247</t>
        </is>
      </c>
      <c r="H1240" t="inlineStr"/>
      <c r="J1240" t="n">
        <v>245.88</v>
      </c>
      <c r="K1240" t="inlineStr"/>
      <c r="M1240" t="inlineStr">
        <is>
          <t>TN</t>
        </is>
      </c>
      <c r="N1240" t="inlineStr"/>
      <c r="P1240" t="inlineStr">
        <is>
          <t>20250401</t>
        </is>
      </c>
      <c r="Q1240" t="inlineStr">
        <is>
          <t>20251031</t>
        </is>
      </c>
    </row>
    <row r="1241">
      <c r="A1241" t="inlineStr">
        <is>
          <t>900009292DW70D09310000630</t>
        </is>
      </c>
      <c r="B1241" t="inlineStr">
        <is>
          <t>900009292</t>
        </is>
      </c>
      <c r="C1241" t="inlineStr">
        <is>
          <t>DW70</t>
        </is>
      </c>
      <c r="D1241" t="inlineStr">
        <is>
          <t>D093</t>
        </is>
      </c>
      <c r="E1241" t="inlineStr">
        <is>
          <t>1</t>
        </is>
      </c>
      <c r="F1241" t="inlineStr">
        <is>
          <t>10000630</t>
        </is>
      </c>
      <c r="H1241" t="inlineStr"/>
      <c r="J1241" t="n">
        <v>156.56</v>
      </c>
      <c r="K1241" t="inlineStr"/>
      <c r="M1241" t="inlineStr">
        <is>
          <t>TN</t>
        </is>
      </c>
      <c r="N1241" t="inlineStr"/>
      <c r="P1241" t="inlineStr">
        <is>
          <t>20250401</t>
        </is>
      </c>
      <c r="Q1241" t="inlineStr">
        <is>
          <t>20251031</t>
        </is>
      </c>
    </row>
    <row r="1242">
      <c r="A1242" t="inlineStr">
        <is>
          <t>900009292DW70D09310000811</t>
        </is>
      </c>
      <c r="B1242" t="inlineStr">
        <is>
          <t>900009292</t>
        </is>
      </c>
      <c r="C1242" t="inlineStr">
        <is>
          <t>DW70</t>
        </is>
      </c>
      <c r="D1242" t="inlineStr">
        <is>
          <t>D093</t>
        </is>
      </c>
      <c r="E1242" t="inlineStr">
        <is>
          <t>1</t>
        </is>
      </c>
      <c r="F1242" t="inlineStr">
        <is>
          <t>10000811</t>
        </is>
      </c>
      <c r="H1242" t="inlineStr"/>
      <c r="J1242" t="n">
        <v>151.47</v>
      </c>
      <c r="K1242" t="inlineStr"/>
      <c r="M1242" t="inlineStr">
        <is>
          <t>TN</t>
        </is>
      </c>
      <c r="N1242" t="inlineStr"/>
      <c r="P1242" t="inlineStr">
        <is>
          <t>20250401</t>
        </is>
      </c>
      <c r="Q1242" t="inlineStr">
        <is>
          <t>20251031</t>
        </is>
      </c>
    </row>
    <row r="1243">
      <c r="A1243" t="inlineStr">
        <is>
          <t>900009292DW70D09310269245</t>
        </is>
      </c>
      <c r="B1243" t="inlineStr">
        <is>
          <t>900009292</t>
        </is>
      </c>
      <c r="C1243" t="inlineStr">
        <is>
          <t>DW70</t>
        </is>
      </c>
      <c r="D1243" t="inlineStr">
        <is>
          <t>D093</t>
        </is>
      </c>
      <c r="E1243" t="inlineStr">
        <is>
          <t>1</t>
        </is>
      </c>
      <c r="F1243" t="inlineStr">
        <is>
          <t>10269245</t>
        </is>
      </c>
      <c r="H1243" t="inlineStr"/>
      <c r="J1243" t="n">
        <v>155.45</v>
      </c>
      <c r="K1243" t="inlineStr"/>
      <c r="M1243" t="inlineStr">
        <is>
          <t>TN</t>
        </is>
      </c>
      <c r="N1243" t="inlineStr"/>
      <c r="P1243" t="inlineStr">
        <is>
          <t>20250401</t>
        </is>
      </c>
      <c r="Q1243" t="inlineStr">
        <is>
          <t>20251031</t>
        </is>
      </c>
    </row>
    <row r="1244">
      <c r="A1244" t="inlineStr">
        <is>
          <t>900009292DW70D09310269246</t>
        </is>
      </c>
      <c r="B1244" t="inlineStr">
        <is>
          <t>900009292</t>
        </is>
      </c>
      <c r="C1244" t="inlineStr">
        <is>
          <t>DW70</t>
        </is>
      </c>
      <c r="D1244" t="inlineStr">
        <is>
          <t>D093</t>
        </is>
      </c>
      <c r="E1244" t="inlineStr">
        <is>
          <t>1</t>
        </is>
      </c>
      <c r="F1244" t="inlineStr">
        <is>
          <t>10269246</t>
        </is>
      </c>
      <c r="H1244" t="inlineStr"/>
      <c r="J1244" t="n">
        <v>156.56</v>
      </c>
      <c r="K1244" t="inlineStr"/>
      <c r="M1244" t="inlineStr">
        <is>
          <t>TN</t>
        </is>
      </c>
      <c r="N1244" t="inlineStr"/>
      <c r="P1244" t="inlineStr">
        <is>
          <t>20250401</t>
        </is>
      </c>
      <c r="Q1244" t="inlineStr">
        <is>
          <t>20251031</t>
        </is>
      </c>
    </row>
    <row r="1245">
      <c r="A1245" t="inlineStr">
        <is>
          <t>900009292DW70D09310269247</t>
        </is>
      </c>
      <c r="B1245" t="inlineStr">
        <is>
          <t>900009292</t>
        </is>
      </c>
      <c r="C1245" t="inlineStr">
        <is>
          <t>DW70</t>
        </is>
      </c>
      <c r="D1245" t="inlineStr">
        <is>
          <t>D093</t>
        </is>
      </c>
      <c r="E1245" t="inlineStr">
        <is>
          <t>1</t>
        </is>
      </c>
      <c r="F1245" t="inlineStr">
        <is>
          <t>10269247</t>
        </is>
      </c>
      <c r="H1245" t="inlineStr"/>
      <c r="J1245" t="n">
        <v>140.5</v>
      </c>
      <c r="K1245" t="inlineStr"/>
      <c r="M1245" t="inlineStr">
        <is>
          <t>TN</t>
        </is>
      </c>
      <c r="N1245" t="inlineStr"/>
      <c r="P1245" t="inlineStr">
        <is>
          <t>20250401</t>
        </is>
      </c>
      <c r="Q1245" t="inlineStr">
        <is>
          <t>20251031</t>
        </is>
      </c>
    </row>
    <row r="1246">
      <c r="A1246" t="inlineStr">
        <is>
          <t>900009292DW70D09810000630</t>
        </is>
      </c>
      <c r="B1246" t="inlineStr">
        <is>
          <t>900009292</t>
        </is>
      </c>
      <c r="C1246" t="inlineStr">
        <is>
          <t>DW70</t>
        </is>
      </c>
      <c r="D1246" t="inlineStr">
        <is>
          <t>D098</t>
        </is>
      </c>
      <c r="E1246" t="inlineStr">
        <is>
          <t>1</t>
        </is>
      </c>
      <c r="F1246" t="inlineStr">
        <is>
          <t>10000630</t>
        </is>
      </c>
      <c r="H1246" t="inlineStr"/>
      <c r="J1246" t="n">
        <v>168.6</v>
      </c>
      <c r="K1246" t="inlineStr"/>
      <c r="M1246" t="inlineStr">
        <is>
          <t>TN</t>
        </is>
      </c>
      <c r="N1246" t="inlineStr"/>
      <c r="P1246" t="inlineStr">
        <is>
          <t>20250401</t>
        </is>
      </c>
      <c r="Q1246" t="inlineStr">
        <is>
          <t>20251031</t>
        </is>
      </c>
    </row>
    <row r="1247">
      <c r="A1247" t="inlineStr">
        <is>
          <t>900009292DW70D09810000811</t>
        </is>
      </c>
      <c r="B1247" t="inlineStr">
        <is>
          <t>900009292</t>
        </is>
      </c>
      <c r="C1247" t="inlineStr">
        <is>
          <t>DW70</t>
        </is>
      </c>
      <c r="D1247" t="inlineStr">
        <is>
          <t>D098</t>
        </is>
      </c>
      <c r="E1247" t="inlineStr">
        <is>
          <t>1</t>
        </is>
      </c>
      <c r="F1247" t="inlineStr">
        <is>
          <t>10000811</t>
        </is>
      </c>
      <c r="H1247" t="inlineStr"/>
      <c r="J1247" t="n">
        <v>163.12</v>
      </c>
      <c r="K1247" t="inlineStr"/>
      <c r="M1247" t="inlineStr">
        <is>
          <t>TN</t>
        </is>
      </c>
      <c r="N1247" t="inlineStr"/>
      <c r="P1247" t="inlineStr">
        <is>
          <t>20250401</t>
        </is>
      </c>
      <c r="Q1247" t="inlineStr">
        <is>
          <t>20251031</t>
        </is>
      </c>
    </row>
    <row r="1248">
      <c r="A1248" t="inlineStr">
        <is>
          <t>900009292DW70D09810269245</t>
        </is>
      </c>
      <c r="B1248" t="inlineStr">
        <is>
          <t>900009292</t>
        </is>
      </c>
      <c r="C1248" t="inlineStr">
        <is>
          <t>DW70</t>
        </is>
      </c>
      <c r="D1248" t="inlineStr">
        <is>
          <t>D098</t>
        </is>
      </c>
      <c r="E1248" t="inlineStr">
        <is>
          <t>1</t>
        </is>
      </c>
      <c r="F1248" t="inlineStr">
        <is>
          <t>10269245</t>
        </is>
      </c>
      <c r="H1248" t="inlineStr"/>
      <c r="J1248" t="n">
        <v>167.4</v>
      </c>
      <c r="K1248" t="inlineStr"/>
      <c r="M1248" t="inlineStr">
        <is>
          <t>TN</t>
        </is>
      </c>
      <c r="N1248" t="inlineStr"/>
      <c r="P1248" t="inlineStr">
        <is>
          <t>20250401</t>
        </is>
      </c>
      <c r="Q1248" t="inlineStr">
        <is>
          <t>20251031</t>
        </is>
      </c>
    </row>
    <row r="1249">
      <c r="A1249" t="inlineStr">
        <is>
          <t>900009292DW70D09810269246</t>
        </is>
      </c>
      <c r="B1249" t="inlineStr">
        <is>
          <t>900009292</t>
        </is>
      </c>
      <c r="C1249" t="inlineStr">
        <is>
          <t>DW70</t>
        </is>
      </c>
      <c r="D1249" t="inlineStr">
        <is>
          <t>D098</t>
        </is>
      </c>
      <c r="E1249" t="inlineStr">
        <is>
          <t>1</t>
        </is>
      </c>
      <c r="F1249" t="inlineStr">
        <is>
          <t>10269246</t>
        </is>
      </c>
      <c r="H1249" t="inlineStr"/>
      <c r="J1249" t="n">
        <v>168.6</v>
      </c>
      <c r="K1249" t="inlineStr"/>
      <c r="M1249" t="inlineStr">
        <is>
          <t>TN</t>
        </is>
      </c>
      <c r="N1249" t="inlineStr"/>
      <c r="P1249" t="inlineStr">
        <is>
          <t>20250401</t>
        </is>
      </c>
      <c r="Q1249" t="inlineStr">
        <is>
          <t>20251031</t>
        </is>
      </c>
    </row>
    <row r="1250">
      <c r="A1250" t="inlineStr">
        <is>
          <t>900009292DW70D09810269247</t>
        </is>
      </c>
      <c r="B1250" t="inlineStr">
        <is>
          <t>900009292</t>
        </is>
      </c>
      <c r="C1250" t="inlineStr">
        <is>
          <t>DW70</t>
        </is>
      </c>
      <c r="D1250" t="inlineStr">
        <is>
          <t>D098</t>
        </is>
      </c>
      <c r="E1250" t="inlineStr">
        <is>
          <t>1</t>
        </is>
      </c>
      <c r="F1250" t="inlineStr">
        <is>
          <t>10269247</t>
        </is>
      </c>
      <c r="H1250" t="inlineStr"/>
      <c r="J1250" t="n">
        <v>151.31</v>
      </c>
      <c r="K1250" t="inlineStr"/>
      <c r="M1250" t="inlineStr">
        <is>
          <t>TN</t>
        </is>
      </c>
      <c r="N1250" t="inlineStr"/>
      <c r="P1250" t="inlineStr">
        <is>
          <t>20250401</t>
        </is>
      </c>
      <c r="Q1250" t="inlineStr">
        <is>
          <t>20251031</t>
        </is>
      </c>
    </row>
    <row r="1251">
      <c r="A1251" t="inlineStr">
        <is>
          <t>900009292DW70D10510000630</t>
        </is>
      </c>
      <c r="B1251" t="inlineStr">
        <is>
          <t>900009292</t>
        </is>
      </c>
      <c r="C1251" t="inlineStr">
        <is>
          <t>DW70</t>
        </is>
      </c>
      <c r="D1251" t="inlineStr">
        <is>
          <t>D105</t>
        </is>
      </c>
      <c r="E1251" t="inlineStr">
        <is>
          <t>1</t>
        </is>
      </c>
      <c r="F1251" t="inlineStr">
        <is>
          <t>10000630</t>
        </is>
      </c>
      <c r="H1251" t="inlineStr"/>
      <c r="J1251" t="n">
        <v>225.81</v>
      </c>
      <c r="K1251" t="inlineStr"/>
      <c r="M1251" t="inlineStr">
        <is>
          <t>TN</t>
        </is>
      </c>
      <c r="N1251" t="inlineStr"/>
      <c r="P1251" t="inlineStr">
        <is>
          <t>20250401</t>
        </is>
      </c>
      <c r="Q1251" t="inlineStr">
        <is>
          <t>20251031</t>
        </is>
      </c>
    </row>
    <row r="1252">
      <c r="A1252" t="inlineStr">
        <is>
          <t>900009292DW70D10510000811</t>
        </is>
      </c>
      <c r="B1252" t="inlineStr">
        <is>
          <t>900009292</t>
        </is>
      </c>
      <c r="C1252" t="inlineStr">
        <is>
          <t>DW70</t>
        </is>
      </c>
      <c r="D1252" t="inlineStr">
        <is>
          <t>D105</t>
        </is>
      </c>
      <c r="E1252" t="inlineStr">
        <is>
          <t>1</t>
        </is>
      </c>
      <c r="F1252" t="inlineStr">
        <is>
          <t>10000811</t>
        </is>
      </c>
      <c r="H1252" t="inlineStr"/>
      <c r="J1252" t="n">
        <v>218.47</v>
      </c>
      <c r="K1252" t="inlineStr"/>
      <c r="M1252" t="inlineStr">
        <is>
          <t>TN</t>
        </is>
      </c>
      <c r="N1252" t="inlineStr"/>
      <c r="P1252" t="inlineStr">
        <is>
          <t>20250401</t>
        </is>
      </c>
      <c r="Q1252" t="inlineStr">
        <is>
          <t>20251031</t>
        </is>
      </c>
    </row>
    <row r="1253">
      <c r="A1253" t="inlineStr">
        <is>
          <t>900009292DW70D10510269245</t>
        </is>
      </c>
      <c r="B1253" t="inlineStr">
        <is>
          <t>900009292</t>
        </is>
      </c>
      <c r="C1253" t="inlineStr">
        <is>
          <t>DW70</t>
        </is>
      </c>
      <c r="D1253" t="inlineStr">
        <is>
          <t>D105</t>
        </is>
      </c>
      <c r="E1253" t="inlineStr">
        <is>
          <t>1</t>
        </is>
      </c>
      <c r="F1253" t="inlineStr">
        <is>
          <t>10269245</t>
        </is>
      </c>
      <c r="H1253" t="inlineStr"/>
      <c r="J1253" t="n">
        <v>224.21</v>
      </c>
      <c r="K1253" t="inlineStr"/>
      <c r="M1253" t="inlineStr">
        <is>
          <t>TN</t>
        </is>
      </c>
      <c r="N1253" t="inlineStr"/>
      <c r="P1253" t="inlineStr">
        <is>
          <t>20250401</t>
        </is>
      </c>
      <c r="Q1253" t="inlineStr">
        <is>
          <t>20251031</t>
        </is>
      </c>
    </row>
    <row r="1254">
      <c r="A1254" t="inlineStr">
        <is>
          <t>900009292DW70D10510269246</t>
        </is>
      </c>
      <c r="B1254" t="inlineStr">
        <is>
          <t>900009292</t>
        </is>
      </c>
      <c r="C1254" t="inlineStr">
        <is>
          <t>DW70</t>
        </is>
      </c>
      <c r="D1254" t="inlineStr">
        <is>
          <t>D105</t>
        </is>
      </c>
      <c r="E1254" t="inlineStr">
        <is>
          <t>1</t>
        </is>
      </c>
      <c r="F1254" t="inlineStr">
        <is>
          <t>10269246</t>
        </is>
      </c>
      <c r="H1254" t="inlineStr"/>
      <c r="J1254" t="n">
        <v>225.81</v>
      </c>
      <c r="K1254" t="inlineStr"/>
      <c r="M1254" t="inlineStr">
        <is>
          <t>TN</t>
        </is>
      </c>
      <c r="N1254" t="inlineStr"/>
      <c r="P1254" t="inlineStr">
        <is>
          <t>20250401</t>
        </is>
      </c>
      <c r="Q1254" t="inlineStr">
        <is>
          <t>20251031</t>
        </is>
      </c>
    </row>
    <row r="1255">
      <c r="A1255" t="inlineStr">
        <is>
          <t>900009292DW70D10510269247</t>
        </is>
      </c>
      <c r="B1255" t="inlineStr">
        <is>
          <t>900009292</t>
        </is>
      </c>
      <c r="C1255" t="inlineStr">
        <is>
          <t>DW70</t>
        </is>
      </c>
      <c r="D1255" t="inlineStr">
        <is>
          <t>D105</t>
        </is>
      </c>
      <c r="E1255" t="inlineStr">
        <is>
          <t>1</t>
        </is>
      </c>
      <c r="F1255" t="inlineStr">
        <is>
          <t>10269247</t>
        </is>
      </c>
      <c r="H1255" t="inlineStr"/>
      <c r="J1255" t="n">
        <v>202.65</v>
      </c>
      <c r="K1255" t="inlineStr"/>
      <c r="M1255" t="inlineStr">
        <is>
          <t>TN</t>
        </is>
      </c>
      <c r="N1255" t="inlineStr"/>
      <c r="P1255" t="inlineStr">
        <is>
          <t>20250401</t>
        </is>
      </c>
      <c r="Q1255" t="inlineStr">
        <is>
          <t>20251031</t>
        </is>
      </c>
    </row>
    <row r="1256">
      <c r="A1256" t="inlineStr">
        <is>
          <t>900009292DW70D13610000630</t>
        </is>
      </c>
      <c r="B1256" t="inlineStr">
        <is>
          <t>900009292</t>
        </is>
      </c>
      <c r="C1256" t="inlineStr">
        <is>
          <t>DW70</t>
        </is>
      </c>
      <c r="D1256" t="inlineStr">
        <is>
          <t>D136</t>
        </is>
      </c>
      <c r="E1256" t="inlineStr">
        <is>
          <t>1</t>
        </is>
      </c>
      <c r="F1256" t="inlineStr">
        <is>
          <t>10000630</t>
        </is>
      </c>
      <c r="H1256" t="inlineStr"/>
      <c r="J1256" t="n">
        <v>273.98</v>
      </c>
      <c r="K1256" t="inlineStr"/>
      <c r="M1256" t="inlineStr">
        <is>
          <t>TN</t>
        </is>
      </c>
      <c r="N1256" t="inlineStr"/>
      <c r="P1256" t="inlineStr">
        <is>
          <t>20250401</t>
        </is>
      </c>
      <c r="Q1256" t="inlineStr">
        <is>
          <t>20251031</t>
        </is>
      </c>
    </row>
    <row r="1257">
      <c r="A1257" t="inlineStr">
        <is>
          <t>900009292DW70D13610000811</t>
        </is>
      </c>
      <c r="B1257" t="inlineStr">
        <is>
          <t>900009292</t>
        </is>
      </c>
      <c r="C1257" t="inlineStr">
        <is>
          <t>DW70</t>
        </is>
      </c>
      <c r="D1257" t="inlineStr">
        <is>
          <t>D136</t>
        </is>
      </c>
      <c r="E1257" t="inlineStr">
        <is>
          <t>1</t>
        </is>
      </c>
      <c r="F1257" t="inlineStr">
        <is>
          <t>10000811</t>
        </is>
      </c>
      <c r="H1257" t="inlineStr"/>
      <c r="J1257" t="n">
        <v>265.08</v>
      </c>
      <c r="K1257" t="inlineStr"/>
      <c r="M1257" t="inlineStr">
        <is>
          <t>TN</t>
        </is>
      </c>
      <c r="N1257" t="inlineStr"/>
      <c r="P1257" t="inlineStr">
        <is>
          <t>20250401</t>
        </is>
      </c>
      <c r="Q1257" t="inlineStr">
        <is>
          <t>20251031</t>
        </is>
      </c>
    </row>
    <row r="1258">
      <c r="A1258" t="inlineStr">
        <is>
          <t>900009292DW70D13610269245</t>
        </is>
      </c>
      <c r="B1258" t="inlineStr">
        <is>
          <t>900009292</t>
        </is>
      </c>
      <c r="C1258" t="inlineStr">
        <is>
          <t>DW70</t>
        </is>
      </c>
      <c r="D1258" t="inlineStr">
        <is>
          <t>D136</t>
        </is>
      </c>
      <c r="E1258" t="inlineStr">
        <is>
          <t>1</t>
        </is>
      </c>
      <c r="F1258" t="inlineStr">
        <is>
          <t>10269245</t>
        </is>
      </c>
      <c r="H1258" t="inlineStr"/>
      <c r="J1258" t="n">
        <v>272.04</v>
      </c>
      <c r="K1258" t="inlineStr"/>
      <c r="M1258" t="inlineStr">
        <is>
          <t>TN</t>
        </is>
      </c>
      <c r="N1258" t="inlineStr"/>
      <c r="P1258" t="inlineStr">
        <is>
          <t>20250401</t>
        </is>
      </c>
      <c r="Q1258" t="inlineStr">
        <is>
          <t>20251031</t>
        </is>
      </c>
    </row>
    <row r="1259">
      <c r="A1259" t="inlineStr">
        <is>
          <t>900009292DW70D13610269246</t>
        </is>
      </c>
      <c r="B1259" t="inlineStr">
        <is>
          <t>900009292</t>
        </is>
      </c>
      <c r="C1259" t="inlineStr">
        <is>
          <t>DW70</t>
        </is>
      </c>
      <c r="D1259" t="inlineStr">
        <is>
          <t>D136</t>
        </is>
      </c>
      <c r="E1259" t="inlineStr">
        <is>
          <t>1</t>
        </is>
      </c>
      <c r="F1259" t="inlineStr">
        <is>
          <t>10269246</t>
        </is>
      </c>
      <c r="H1259" t="inlineStr"/>
      <c r="J1259" t="n">
        <v>273.98</v>
      </c>
      <c r="K1259" t="inlineStr"/>
      <c r="M1259" t="inlineStr">
        <is>
          <t>TN</t>
        </is>
      </c>
      <c r="N1259" t="inlineStr"/>
      <c r="P1259" t="inlineStr">
        <is>
          <t>20250401</t>
        </is>
      </c>
      <c r="Q1259" t="inlineStr">
        <is>
          <t>20251031</t>
        </is>
      </c>
    </row>
    <row r="1260">
      <c r="A1260" t="inlineStr">
        <is>
          <t>900009292DW70D13610269247</t>
        </is>
      </c>
      <c r="B1260" t="inlineStr">
        <is>
          <t>900009292</t>
        </is>
      </c>
      <c r="C1260" t="inlineStr">
        <is>
          <t>DW70</t>
        </is>
      </c>
      <c r="D1260" t="inlineStr">
        <is>
          <t>D136</t>
        </is>
      </c>
      <c r="E1260" t="inlineStr">
        <is>
          <t>1</t>
        </is>
      </c>
      <c r="F1260" t="inlineStr">
        <is>
          <t>10269247</t>
        </is>
      </c>
      <c r="H1260" t="inlineStr"/>
      <c r="J1260" t="n">
        <v>245.88</v>
      </c>
      <c r="K1260" t="inlineStr"/>
      <c r="M1260" t="inlineStr">
        <is>
          <t>TN</t>
        </is>
      </c>
      <c r="N1260" t="inlineStr"/>
      <c r="P1260" t="inlineStr">
        <is>
          <t>20250401</t>
        </is>
      </c>
      <c r="Q1260" t="inlineStr">
        <is>
          <t>20251031</t>
        </is>
      </c>
    </row>
    <row r="1261">
      <c r="A1261" t="inlineStr">
        <is>
          <t>900009292DW70D14510000630</t>
        </is>
      </c>
      <c r="B1261" t="inlineStr">
        <is>
          <t>900009292</t>
        </is>
      </c>
      <c r="C1261" t="inlineStr">
        <is>
          <t>DW70</t>
        </is>
      </c>
      <c r="D1261" t="inlineStr">
        <is>
          <t>D145</t>
        </is>
      </c>
      <c r="E1261" t="inlineStr">
        <is>
          <t>1</t>
        </is>
      </c>
      <c r="F1261" t="inlineStr">
        <is>
          <t>10000630</t>
        </is>
      </c>
      <c r="H1261" t="inlineStr"/>
      <c r="J1261" t="n">
        <v>246.88</v>
      </c>
      <c r="K1261" t="inlineStr"/>
      <c r="M1261" t="inlineStr">
        <is>
          <t>TN</t>
        </is>
      </c>
      <c r="N1261" t="inlineStr"/>
      <c r="P1261" t="inlineStr">
        <is>
          <t>20250401</t>
        </is>
      </c>
      <c r="Q1261" t="inlineStr">
        <is>
          <t>20251031</t>
        </is>
      </c>
    </row>
    <row r="1262">
      <c r="A1262" t="inlineStr">
        <is>
          <t>900009292DW70D14510000811</t>
        </is>
      </c>
      <c r="B1262" t="inlineStr">
        <is>
          <t>900009292</t>
        </is>
      </c>
      <c r="C1262" t="inlineStr">
        <is>
          <t>DW70</t>
        </is>
      </c>
      <c r="D1262" t="inlineStr">
        <is>
          <t>D145</t>
        </is>
      </c>
      <c r="E1262" t="inlineStr">
        <is>
          <t>1</t>
        </is>
      </c>
      <c r="F1262" t="inlineStr">
        <is>
          <t>10000811</t>
        </is>
      </c>
      <c r="H1262" t="inlineStr"/>
      <c r="J1262" t="n">
        <v>238.86</v>
      </c>
      <c r="K1262" t="inlineStr"/>
      <c r="M1262" t="inlineStr">
        <is>
          <t>TN</t>
        </is>
      </c>
      <c r="N1262" t="inlineStr"/>
      <c r="P1262" t="inlineStr">
        <is>
          <t>20250401</t>
        </is>
      </c>
      <c r="Q1262" t="inlineStr">
        <is>
          <t>20251031</t>
        </is>
      </c>
    </row>
    <row r="1263">
      <c r="A1263" t="inlineStr">
        <is>
          <t>900009292DW70D14510269245</t>
        </is>
      </c>
      <c r="B1263" t="inlineStr">
        <is>
          <t>900009292</t>
        </is>
      </c>
      <c r="C1263" t="inlineStr">
        <is>
          <t>DW70</t>
        </is>
      </c>
      <c r="D1263" t="inlineStr">
        <is>
          <t>D145</t>
        </is>
      </c>
      <c r="E1263" t="inlineStr">
        <is>
          <t>1</t>
        </is>
      </c>
      <c r="F1263" t="inlineStr">
        <is>
          <t>10269245</t>
        </is>
      </c>
      <c r="H1263" t="inlineStr"/>
      <c r="J1263" t="n">
        <v>245.13</v>
      </c>
      <c r="K1263" t="inlineStr"/>
      <c r="M1263" t="inlineStr">
        <is>
          <t>TN</t>
        </is>
      </c>
      <c r="N1263" t="inlineStr"/>
      <c r="P1263" t="inlineStr">
        <is>
          <t>20250401</t>
        </is>
      </c>
      <c r="Q1263" t="inlineStr">
        <is>
          <t>20251031</t>
        </is>
      </c>
    </row>
    <row r="1264">
      <c r="A1264" t="inlineStr">
        <is>
          <t>900009292DW70D14510269246</t>
        </is>
      </c>
      <c r="B1264" t="inlineStr">
        <is>
          <t>900009292</t>
        </is>
      </c>
      <c r="C1264" t="inlineStr">
        <is>
          <t>DW70</t>
        </is>
      </c>
      <c r="D1264" t="inlineStr">
        <is>
          <t>D145</t>
        </is>
      </c>
      <c r="E1264" t="inlineStr">
        <is>
          <t>1</t>
        </is>
      </c>
      <c r="F1264" t="inlineStr">
        <is>
          <t>10269246</t>
        </is>
      </c>
      <c r="H1264" t="inlineStr"/>
      <c r="J1264" t="n">
        <v>246.88</v>
      </c>
      <c r="K1264" t="inlineStr"/>
      <c r="M1264" t="inlineStr">
        <is>
          <t>TN</t>
        </is>
      </c>
      <c r="N1264" t="inlineStr"/>
      <c r="P1264" t="inlineStr">
        <is>
          <t>20250401</t>
        </is>
      </c>
      <c r="Q1264" t="inlineStr">
        <is>
          <t>20251031</t>
        </is>
      </c>
    </row>
    <row r="1265">
      <c r="A1265" t="inlineStr">
        <is>
          <t>900009292DW70D14510269247</t>
        </is>
      </c>
      <c r="B1265" t="inlineStr">
        <is>
          <t>900009292</t>
        </is>
      </c>
      <c r="C1265" t="inlineStr">
        <is>
          <t>DW70</t>
        </is>
      </c>
      <c r="D1265" t="inlineStr">
        <is>
          <t>D145</t>
        </is>
      </c>
      <c r="E1265" t="inlineStr">
        <is>
          <t>1</t>
        </is>
      </c>
      <c r="F1265" t="inlineStr">
        <is>
          <t>10269247</t>
        </is>
      </c>
      <c r="H1265" t="inlineStr"/>
      <c r="J1265" t="n">
        <v>221.56</v>
      </c>
      <c r="K1265" t="inlineStr"/>
      <c r="M1265" t="inlineStr">
        <is>
          <t>TN</t>
        </is>
      </c>
      <c r="N1265" t="inlineStr"/>
      <c r="P1265" t="inlineStr">
        <is>
          <t>20250401</t>
        </is>
      </c>
      <c r="Q1265" t="inlineStr">
        <is>
          <t>20251031</t>
        </is>
      </c>
    </row>
    <row r="1266">
      <c r="A1266" t="inlineStr">
        <is>
          <t>900009292DW70D68110000630</t>
        </is>
      </c>
      <c r="B1266" t="inlineStr">
        <is>
          <t>900009292</t>
        </is>
      </c>
      <c r="C1266" t="inlineStr">
        <is>
          <t>DW70</t>
        </is>
      </c>
      <c r="D1266" t="inlineStr">
        <is>
          <t>D681</t>
        </is>
      </c>
      <c r="E1266" t="inlineStr">
        <is>
          <t>1</t>
        </is>
      </c>
      <c r="F1266" t="inlineStr">
        <is>
          <t>10000630</t>
        </is>
      </c>
      <c r="H1266" t="inlineStr"/>
      <c r="J1266" t="n">
        <v>201.72</v>
      </c>
      <c r="K1266" t="inlineStr"/>
      <c r="M1266" t="inlineStr">
        <is>
          <t>TN</t>
        </is>
      </c>
      <c r="N1266" t="inlineStr"/>
      <c r="P1266" t="inlineStr">
        <is>
          <t>20250401</t>
        </is>
      </c>
      <c r="Q1266" t="inlineStr">
        <is>
          <t>20251031</t>
        </is>
      </c>
    </row>
    <row r="1267">
      <c r="A1267" t="inlineStr">
        <is>
          <t>900009292DW70D68110000811</t>
        </is>
      </c>
      <c r="B1267" t="inlineStr">
        <is>
          <t>900009292</t>
        </is>
      </c>
      <c r="C1267" t="inlineStr">
        <is>
          <t>DW70</t>
        </is>
      </c>
      <c r="D1267" t="inlineStr">
        <is>
          <t>D681</t>
        </is>
      </c>
      <c r="E1267" t="inlineStr">
        <is>
          <t>1</t>
        </is>
      </c>
      <c r="F1267" t="inlineStr">
        <is>
          <t>10000811</t>
        </is>
      </c>
      <c r="H1267" t="inlineStr"/>
      <c r="J1267" t="n">
        <v>195.17</v>
      </c>
      <c r="K1267" t="inlineStr"/>
      <c r="M1267" t="inlineStr">
        <is>
          <t>TN</t>
        </is>
      </c>
      <c r="N1267" t="inlineStr"/>
      <c r="P1267" t="inlineStr">
        <is>
          <t>20250401</t>
        </is>
      </c>
      <c r="Q1267" t="inlineStr">
        <is>
          <t>20251031</t>
        </is>
      </c>
    </row>
    <row r="1268">
      <c r="A1268" t="inlineStr">
        <is>
          <t>900009292DW70D68110269245</t>
        </is>
      </c>
      <c r="B1268" t="inlineStr">
        <is>
          <t>900009292</t>
        </is>
      </c>
      <c r="C1268" t="inlineStr">
        <is>
          <t>DW70</t>
        </is>
      </c>
      <c r="D1268" t="inlineStr">
        <is>
          <t>D681</t>
        </is>
      </c>
      <c r="E1268" t="inlineStr">
        <is>
          <t>1</t>
        </is>
      </c>
      <c r="F1268" t="inlineStr">
        <is>
          <t>10269245</t>
        </is>
      </c>
      <c r="H1268" t="inlineStr"/>
      <c r="J1268" t="n">
        <v>200.29</v>
      </c>
      <c r="K1268" t="inlineStr"/>
      <c r="M1268" t="inlineStr">
        <is>
          <t>TN</t>
        </is>
      </c>
      <c r="N1268" t="inlineStr"/>
      <c r="P1268" t="inlineStr">
        <is>
          <t>20250401</t>
        </is>
      </c>
      <c r="Q1268" t="inlineStr">
        <is>
          <t>20251031</t>
        </is>
      </c>
    </row>
    <row r="1269">
      <c r="A1269" t="inlineStr">
        <is>
          <t>900009292DW70D68110269246</t>
        </is>
      </c>
      <c r="B1269" t="inlineStr">
        <is>
          <t>900009292</t>
        </is>
      </c>
      <c r="C1269" t="inlineStr">
        <is>
          <t>DW70</t>
        </is>
      </c>
      <c r="D1269" t="inlineStr">
        <is>
          <t>D681</t>
        </is>
      </c>
      <c r="E1269" t="inlineStr">
        <is>
          <t>1</t>
        </is>
      </c>
      <c r="F1269" t="inlineStr">
        <is>
          <t>10269246</t>
        </is>
      </c>
      <c r="H1269" t="inlineStr"/>
      <c r="J1269" t="n">
        <v>201.72</v>
      </c>
      <c r="K1269" t="inlineStr"/>
      <c r="M1269" t="inlineStr">
        <is>
          <t>TN</t>
        </is>
      </c>
      <c r="N1269" t="inlineStr"/>
      <c r="P1269" t="inlineStr">
        <is>
          <t>20250401</t>
        </is>
      </c>
      <c r="Q1269" t="inlineStr">
        <is>
          <t>20251031</t>
        </is>
      </c>
    </row>
    <row r="1270">
      <c r="A1270" t="inlineStr">
        <is>
          <t>900009292DW70D68110269247</t>
        </is>
      </c>
      <c r="B1270" t="inlineStr">
        <is>
          <t>900009292</t>
        </is>
      </c>
      <c r="C1270" t="inlineStr">
        <is>
          <t>DW70</t>
        </is>
      </c>
      <c r="D1270" t="inlineStr">
        <is>
          <t>D681</t>
        </is>
      </c>
      <c r="E1270" t="inlineStr">
        <is>
          <t>1</t>
        </is>
      </c>
      <c r="F1270" t="inlineStr">
        <is>
          <t>10269247</t>
        </is>
      </c>
      <c r="H1270" t="inlineStr"/>
      <c r="J1270" t="n">
        <v>181.03</v>
      </c>
      <c r="K1270" t="inlineStr"/>
      <c r="M1270" t="inlineStr">
        <is>
          <t>TN</t>
        </is>
      </c>
      <c r="N1270" t="inlineStr"/>
      <c r="P1270" t="inlineStr">
        <is>
          <t>20250401</t>
        </is>
      </c>
      <c r="Q1270" t="inlineStr">
        <is>
          <t>20251031</t>
        </is>
      </c>
    </row>
    <row r="1271">
      <c r="A1271" t="inlineStr">
        <is>
          <t>900009480DW70D07410000160</t>
        </is>
      </c>
      <c r="B1271" t="inlineStr">
        <is>
          <t>900009480</t>
        </is>
      </c>
      <c r="C1271" t="inlineStr">
        <is>
          <t>DW70</t>
        </is>
      </c>
      <c r="D1271" t="inlineStr">
        <is>
          <t>D074</t>
        </is>
      </c>
      <c r="E1271" t="inlineStr">
        <is>
          <t>1</t>
        </is>
      </c>
      <c r="F1271" t="inlineStr">
        <is>
          <t>10000160</t>
        </is>
      </c>
      <c r="H1271" t="inlineStr"/>
      <c r="J1271" t="n">
        <v>167.52</v>
      </c>
      <c r="K1271" t="inlineStr"/>
      <c r="M1271" t="inlineStr">
        <is>
          <t>TN</t>
        </is>
      </c>
      <c r="N1271" t="inlineStr"/>
      <c r="P1271" t="inlineStr">
        <is>
          <t>20260211</t>
        </is>
      </c>
      <c r="Q1271" t="inlineStr">
        <is>
          <t>20260309</t>
        </is>
      </c>
    </row>
    <row r="1272">
      <c r="A1272" t="inlineStr">
        <is>
          <t>900009480DW70D07410000357</t>
        </is>
      </c>
      <c r="B1272" t="inlineStr">
        <is>
          <t>900009480</t>
        </is>
      </c>
      <c r="C1272" t="inlineStr">
        <is>
          <t>DW70</t>
        </is>
      </c>
      <c r="D1272" t="inlineStr">
        <is>
          <t>D074</t>
        </is>
      </c>
      <c r="E1272" t="inlineStr">
        <is>
          <t>1</t>
        </is>
      </c>
      <c r="F1272" t="inlineStr">
        <is>
          <t>10000357</t>
        </is>
      </c>
      <c r="H1272" t="inlineStr"/>
      <c r="J1272" t="n">
        <v>184.7</v>
      </c>
      <c r="K1272" t="inlineStr"/>
      <c r="M1272" t="inlineStr">
        <is>
          <t>TN</t>
        </is>
      </c>
      <c r="N1272" t="inlineStr"/>
      <c r="P1272" t="inlineStr">
        <is>
          <t>20260430</t>
        </is>
      </c>
      <c r="Q1272" t="inlineStr">
        <is>
          <t>99991231</t>
        </is>
      </c>
    </row>
    <row r="1273">
      <c r="A1273" t="inlineStr">
        <is>
          <t>900009480DW70D07410275115</t>
        </is>
      </c>
      <c r="B1273" t="inlineStr">
        <is>
          <t>900009480</t>
        </is>
      </c>
      <c r="C1273" t="inlineStr">
        <is>
          <t>DW70</t>
        </is>
      </c>
      <c r="D1273" t="inlineStr">
        <is>
          <t>D074</t>
        </is>
      </c>
      <c r="E1273" t="inlineStr">
        <is>
          <t>1</t>
        </is>
      </c>
      <c r="F1273" t="inlineStr">
        <is>
          <t>10275115</t>
        </is>
      </c>
      <c r="H1273" t="inlineStr"/>
      <c r="J1273" t="n">
        <v>194.53</v>
      </c>
      <c r="K1273" t="inlineStr"/>
      <c r="M1273" t="inlineStr">
        <is>
          <t>TN</t>
        </is>
      </c>
      <c r="N1273" t="inlineStr"/>
      <c r="P1273" t="inlineStr">
        <is>
          <t>20260430</t>
        </is>
      </c>
      <c r="Q1273" t="inlineStr">
        <is>
          <t>99991231</t>
        </is>
      </c>
    </row>
    <row r="1274">
      <c r="A1274" t="inlineStr">
        <is>
          <t>900009480DW70D07510000160</t>
        </is>
      </c>
      <c r="B1274" t="inlineStr">
        <is>
          <t>900009480</t>
        </is>
      </c>
      <c r="C1274" t="inlineStr">
        <is>
          <t>DW70</t>
        </is>
      </c>
      <c r="D1274" t="inlineStr">
        <is>
          <t>D075</t>
        </is>
      </c>
      <c r="E1274" t="inlineStr">
        <is>
          <t>1</t>
        </is>
      </c>
      <c r="F1274" t="inlineStr">
        <is>
          <t>10000160</t>
        </is>
      </c>
      <c r="H1274" t="inlineStr"/>
      <c r="J1274" t="n">
        <v>221.37</v>
      </c>
      <c r="K1274" t="inlineStr"/>
      <c r="M1274" t="inlineStr">
        <is>
          <t>TN</t>
        </is>
      </c>
      <c r="N1274" t="inlineStr"/>
      <c r="P1274" t="inlineStr">
        <is>
          <t>20260211</t>
        </is>
      </c>
      <c r="Q1274" t="inlineStr">
        <is>
          <t>20260309</t>
        </is>
      </c>
    </row>
    <row r="1275">
      <c r="A1275" t="inlineStr">
        <is>
          <t>900009480DW70D07510000357</t>
        </is>
      </c>
      <c r="B1275" t="inlineStr">
        <is>
          <t>900009480</t>
        </is>
      </c>
      <c r="C1275" t="inlineStr">
        <is>
          <t>DW70</t>
        </is>
      </c>
      <c r="D1275" t="inlineStr">
        <is>
          <t>D075</t>
        </is>
      </c>
      <c r="E1275" t="inlineStr">
        <is>
          <t>1</t>
        </is>
      </c>
      <c r="F1275" t="inlineStr">
        <is>
          <t>10000357</t>
        </is>
      </c>
      <c r="H1275" t="inlineStr"/>
      <c r="J1275" t="n">
        <v>208.64</v>
      </c>
      <c r="K1275" t="inlineStr"/>
      <c r="M1275" t="inlineStr">
        <is>
          <t>TN</t>
        </is>
      </c>
      <c r="N1275" t="inlineStr"/>
      <c r="P1275" t="inlineStr">
        <is>
          <t>20260430</t>
        </is>
      </c>
      <c r="Q1275" t="inlineStr">
        <is>
          <t>99991231</t>
        </is>
      </c>
    </row>
    <row r="1276">
      <c r="A1276" t="inlineStr">
        <is>
          <t>900009480DW70D07510275115</t>
        </is>
      </c>
      <c r="B1276" t="inlineStr">
        <is>
          <t>900009480</t>
        </is>
      </c>
      <c r="C1276" t="inlineStr">
        <is>
          <t>DW70</t>
        </is>
      </c>
      <c r="D1276" t="inlineStr">
        <is>
          <t>D075</t>
        </is>
      </c>
      <c r="E1276" t="inlineStr">
        <is>
          <t>1</t>
        </is>
      </c>
      <c r="F1276" t="inlineStr">
        <is>
          <t>10275115</t>
        </is>
      </c>
      <c r="H1276" t="inlineStr"/>
      <c r="J1276" t="n">
        <v>219.75</v>
      </c>
      <c r="K1276" t="inlineStr"/>
      <c r="M1276" t="inlineStr">
        <is>
          <t>TN</t>
        </is>
      </c>
      <c r="N1276" t="inlineStr"/>
      <c r="P1276" t="inlineStr">
        <is>
          <t>20260430</t>
        </is>
      </c>
      <c r="Q1276" t="inlineStr">
        <is>
          <t>99991231</t>
        </is>
      </c>
    </row>
    <row r="1277">
      <c r="A1277" t="inlineStr">
        <is>
          <t>900009480DW70D07710000160</t>
        </is>
      </c>
      <c r="B1277" t="inlineStr">
        <is>
          <t>900009480</t>
        </is>
      </c>
      <c r="C1277" t="inlineStr">
        <is>
          <t>DW70</t>
        </is>
      </c>
      <c r="D1277" t="inlineStr">
        <is>
          <t>D077</t>
        </is>
      </c>
      <c r="E1277" t="inlineStr">
        <is>
          <t>1</t>
        </is>
      </c>
      <c r="F1277" t="inlineStr">
        <is>
          <t>10000160</t>
        </is>
      </c>
      <c r="H1277" t="inlineStr"/>
      <c r="J1277" t="n">
        <v>92.73999999999999</v>
      </c>
      <c r="K1277" t="inlineStr"/>
      <c r="M1277" t="inlineStr">
        <is>
          <t>TN</t>
        </is>
      </c>
      <c r="N1277" t="inlineStr"/>
      <c r="P1277" t="inlineStr">
        <is>
          <t>20260211</t>
        </is>
      </c>
      <c r="Q1277" t="inlineStr">
        <is>
          <t>20260309</t>
        </is>
      </c>
    </row>
    <row r="1278">
      <c r="A1278" t="inlineStr">
        <is>
          <t>900009480DW70D07710000357</t>
        </is>
      </c>
      <c r="B1278" t="inlineStr">
        <is>
          <t>900009480</t>
        </is>
      </c>
      <c r="C1278" t="inlineStr">
        <is>
          <t>DW70</t>
        </is>
      </c>
      <c r="D1278" t="inlineStr">
        <is>
          <t>D077</t>
        </is>
      </c>
      <c r="E1278" t="inlineStr">
        <is>
          <t>1</t>
        </is>
      </c>
      <c r="F1278" t="inlineStr">
        <is>
          <t>10000357</t>
        </is>
      </c>
      <c r="H1278" t="inlineStr"/>
      <c r="J1278" t="n">
        <v>85.51000000000001</v>
      </c>
      <c r="K1278" t="inlineStr"/>
      <c r="M1278" t="inlineStr">
        <is>
          <t>TN</t>
        </is>
      </c>
      <c r="N1278" t="inlineStr"/>
      <c r="P1278" t="inlineStr">
        <is>
          <t>20260430</t>
        </is>
      </c>
      <c r="Q1278" t="inlineStr">
        <is>
          <t>99991231</t>
        </is>
      </c>
    </row>
    <row r="1279">
      <c r="A1279" t="inlineStr">
        <is>
          <t>900009480DW70D07710275115</t>
        </is>
      </c>
      <c r="B1279" t="inlineStr">
        <is>
          <t>900009480</t>
        </is>
      </c>
      <c r="C1279" t="inlineStr">
        <is>
          <t>DW70</t>
        </is>
      </c>
      <c r="D1279" t="inlineStr">
        <is>
          <t>D077</t>
        </is>
      </c>
      <c r="E1279" t="inlineStr">
        <is>
          <t>1</t>
        </is>
      </c>
      <c r="F1279" t="inlineStr">
        <is>
          <t>10275115</t>
        </is>
      </c>
      <c r="H1279" t="inlineStr"/>
      <c r="J1279" t="n">
        <v>90.06</v>
      </c>
      <c r="K1279" t="inlineStr"/>
      <c r="M1279" t="inlineStr">
        <is>
          <t>TN</t>
        </is>
      </c>
      <c r="N1279" t="inlineStr"/>
      <c r="P1279" t="inlineStr">
        <is>
          <t>20260430</t>
        </is>
      </c>
      <c r="Q1279" t="inlineStr">
        <is>
          <t>99991231</t>
        </is>
      </c>
    </row>
    <row r="1280">
      <c r="A1280" t="inlineStr">
        <is>
          <t>900009480DW70D07910000160</t>
        </is>
      </c>
      <c r="B1280" t="inlineStr">
        <is>
          <t>900009480</t>
        </is>
      </c>
      <c r="C1280" t="inlineStr">
        <is>
          <t>DW70</t>
        </is>
      </c>
      <c r="D1280" t="inlineStr">
        <is>
          <t>D079</t>
        </is>
      </c>
      <c r="E1280" t="inlineStr">
        <is>
          <t>1</t>
        </is>
      </c>
      <c r="F1280" t="inlineStr">
        <is>
          <t>10000160</t>
        </is>
      </c>
      <c r="H1280" t="inlineStr"/>
      <c r="J1280" t="n">
        <v>164.54</v>
      </c>
      <c r="K1280" t="inlineStr"/>
      <c r="M1280" t="inlineStr">
        <is>
          <t>TN</t>
        </is>
      </c>
      <c r="N1280" t="inlineStr"/>
      <c r="P1280" t="inlineStr">
        <is>
          <t>20260211</t>
        </is>
      </c>
      <c r="Q1280" t="inlineStr">
        <is>
          <t>20260309</t>
        </is>
      </c>
    </row>
    <row r="1281">
      <c r="A1281" t="inlineStr">
        <is>
          <t>900009480DW70D07910000357</t>
        </is>
      </c>
      <c r="B1281" t="inlineStr">
        <is>
          <t>900009480</t>
        </is>
      </c>
      <c r="C1281" t="inlineStr">
        <is>
          <t>DW70</t>
        </is>
      </c>
      <c r="D1281" t="inlineStr">
        <is>
          <t>D079</t>
        </is>
      </c>
      <c r="E1281" t="inlineStr">
        <is>
          <t>1</t>
        </is>
      </c>
      <c r="F1281" t="inlineStr">
        <is>
          <t>10000357</t>
        </is>
      </c>
      <c r="H1281" t="inlineStr"/>
      <c r="J1281" t="n">
        <v>167.6</v>
      </c>
      <c r="K1281" t="inlineStr"/>
      <c r="M1281" t="inlineStr">
        <is>
          <t>TN</t>
        </is>
      </c>
      <c r="N1281" t="inlineStr"/>
      <c r="P1281" t="inlineStr">
        <is>
          <t>20260430</t>
        </is>
      </c>
      <c r="Q1281" t="inlineStr">
        <is>
          <t>99991231</t>
        </is>
      </c>
    </row>
    <row r="1282">
      <c r="A1282" t="inlineStr">
        <is>
          <t>900009480DW70D07910275115</t>
        </is>
      </c>
      <c r="B1282" t="inlineStr">
        <is>
          <t>900009480</t>
        </is>
      </c>
      <c r="C1282" t="inlineStr">
        <is>
          <t>DW70</t>
        </is>
      </c>
      <c r="D1282" t="inlineStr">
        <is>
          <t>D079</t>
        </is>
      </c>
      <c r="E1282" t="inlineStr">
        <is>
          <t>1</t>
        </is>
      </c>
      <c r="F1282" t="inlineStr">
        <is>
          <t>10275115</t>
        </is>
      </c>
      <c r="H1282" t="inlineStr"/>
      <c r="J1282" t="n">
        <v>176.52</v>
      </c>
      <c r="K1282" t="inlineStr"/>
      <c r="M1282" t="inlineStr">
        <is>
          <t>TN</t>
        </is>
      </c>
      <c r="N1282" t="inlineStr"/>
      <c r="P1282" t="inlineStr">
        <is>
          <t>20260430</t>
        </is>
      </c>
      <c r="Q1282" t="inlineStr">
        <is>
          <t>99991231</t>
        </is>
      </c>
    </row>
    <row r="1283">
      <c r="A1283" t="inlineStr">
        <is>
          <t>900009480DW70D08010000160</t>
        </is>
      </c>
      <c r="B1283" t="inlineStr">
        <is>
          <t>900009480</t>
        </is>
      </c>
      <c r="C1283" t="inlineStr">
        <is>
          <t>DW70</t>
        </is>
      </c>
      <c r="D1283" t="inlineStr">
        <is>
          <t>D080</t>
        </is>
      </c>
      <c r="E1283" t="inlineStr">
        <is>
          <t>1</t>
        </is>
      </c>
      <c r="F1283" t="inlineStr">
        <is>
          <t>10000160</t>
        </is>
      </c>
      <c r="H1283" t="inlineStr"/>
      <c r="J1283" t="n">
        <v>170.52</v>
      </c>
      <c r="K1283" t="inlineStr"/>
      <c r="M1283" t="inlineStr">
        <is>
          <t>TN</t>
        </is>
      </c>
      <c r="N1283" t="inlineStr"/>
      <c r="P1283" t="inlineStr">
        <is>
          <t>20260211</t>
        </is>
      </c>
      <c r="Q1283" t="inlineStr">
        <is>
          <t>20260309</t>
        </is>
      </c>
    </row>
    <row r="1284">
      <c r="A1284" t="inlineStr">
        <is>
          <t>900009480DW70D08010000357</t>
        </is>
      </c>
      <c r="B1284" t="inlineStr">
        <is>
          <t>900009480</t>
        </is>
      </c>
      <c r="C1284" t="inlineStr">
        <is>
          <t>DW70</t>
        </is>
      </c>
      <c r="D1284" t="inlineStr">
        <is>
          <t>D080</t>
        </is>
      </c>
      <c r="E1284" t="inlineStr">
        <is>
          <t>1</t>
        </is>
      </c>
      <c r="F1284" t="inlineStr">
        <is>
          <t>10000357</t>
        </is>
      </c>
      <c r="H1284" t="inlineStr"/>
      <c r="J1284" t="n">
        <v>177.86</v>
      </c>
      <c r="K1284" t="inlineStr"/>
      <c r="M1284" t="inlineStr">
        <is>
          <t>TN</t>
        </is>
      </c>
      <c r="N1284" t="inlineStr"/>
      <c r="P1284" t="inlineStr">
        <is>
          <t>20260430</t>
        </is>
      </c>
      <c r="Q1284" t="inlineStr">
        <is>
          <t>99991231</t>
        </is>
      </c>
    </row>
    <row r="1285">
      <c r="A1285" t="inlineStr">
        <is>
          <t>900009480DW70D08010275115</t>
        </is>
      </c>
      <c r="B1285" t="inlineStr">
        <is>
          <t>900009480</t>
        </is>
      </c>
      <c r="C1285" t="inlineStr">
        <is>
          <t>DW70</t>
        </is>
      </c>
      <c r="D1285" t="inlineStr">
        <is>
          <t>D080</t>
        </is>
      </c>
      <c r="E1285" t="inlineStr">
        <is>
          <t>1</t>
        </is>
      </c>
      <c r="F1285" t="inlineStr">
        <is>
          <t>10275115</t>
        </is>
      </c>
      <c r="H1285" t="inlineStr"/>
      <c r="J1285" t="n">
        <v>187.32</v>
      </c>
      <c r="K1285" t="inlineStr"/>
      <c r="M1285" t="inlineStr">
        <is>
          <t>TN</t>
        </is>
      </c>
      <c r="N1285" t="inlineStr"/>
      <c r="P1285" t="inlineStr">
        <is>
          <t>20260430</t>
        </is>
      </c>
      <c r="Q1285" t="inlineStr">
        <is>
          <t>99991231</t>
        </is>
      </c>
    </row>
    <row r="1286">
      <c r="A1286" t="inlineStr">
        <is>
          <t>900009480DW70D08110000160</t>
        </is>
      </c>
      <c r="B1286" t="inlineStr">
        <is>
          <t>900009480</t>
        </is>
      </c>
      <c r="C1286" t="inlineStr">
        <is>
          <t>DW70</t>
        </is>
      </c>
      <c r="D1286" t="inlineStr">
        <is>
          <t>D081</t>
        </is>
      </c>
      <c r="E1286" t="inlineStr">
        <is>
          <t>1</t>
        </is>
      </c>
      <c r="F1286" t="inlineStr">
        <is>
          <t>10000160</t>
        </is>
      </c>
      <c r="H1286" t="inlineStr"/>
      <c r="J1286" t="n">
        <v>224.36</v>
      </c>
      <c r="K1286" t="inlineStr"/>
      <c r="M1286" t="inlineStr">
        <is>
          <t>TN</t>
        </is>
      </c>
      <c r="N1286" t="inlineStr"/>
      <c r="P1286" t="inlineStr">
        <is>
          <t>20260211</t>
        </is>
      </c>
      <c r="Q1286" t="inlineStr">
        <is>
          <t>20260309</t>
        </is>
      </c>
    </row>
    <row r="1287">
      <c r="A1287" t="inlineStr">
        <is>
          <t>900009480DW70D08110000357</t>
        </is>
      </c>
      <c r="B1287" t="inlineStr">
        <is>
          <t>900009480</t>
        </is>
      </c>
      <c r="C1287" t="inlineStr">
        <is>
          <t>DW70</t>
        </is>
      </c>
      <c r="D1287" t="inlineStr">
        <is>
          <t>D081</t>
        </is>
      </c>
      <c r="E1287" t="inlineStr">
        <is>
          <t>1</t>
        </is>
      </c>
      <c r="F1287" t="inlineStr">
        <is>
          <t>10000357</t>
        </is>
      </c>
      <c r="H1287" t="inlineStr"/>
      <c r="J1287" t="n">
        <v>218.9</v>
      </c>
      <c r="K1287" t="inlineStr"/>
      <c r="M1287" t="inlineStr">
        <is>
          <t>TN</t>
        </is>
      </c>
      <c r="N1287" t="inlineStr"/>
      <c r="P1287" t="inlineStr">
        <is>
          <t>20260430</t>
        </is>
      </c>
      <c r="Q1287" t="inlineStr">
        <is>
          <t>99991231</t>
        </is>
      </c>
    </row>
    <row r="1288">
      <c r="A1288" t="inlineStr">
        <is>
          <t>900009480DW70D08110275115</t>
        </is>
      </c>
      <c r="B1288" t="inlineStr">
        <is>
          <t>900009480</t>
        </is>
      </c>
      <c r="C1288" t="inlineStr">
        <is>
          <t>DW70</t>
        </is>
      </c>
      <c r="D1288" t="inlineStr">
        <is>
          <t>D081</t>
        </is>
      </c>
      <c r="E1288" t="inlineStr">
        <is>
          <t>1</t>
        </is>
      </c>
      <c r="F1288" t="inlineStr">
        <is>
          <t>10275115</t>
        </is>
      </c>
      <c r="H1288" t="inlineStr"/>
      <c r="J1288" t="n">
        <v>230.55</v>
      </c>
      <c r="K1288" t="inlineStr"/>
      <c r="M1288" t="inlineStr">
        <is>
          <t>TN</t>
        </is>
      </c>
      <c r="N1288" t="inlineStr"/>
      <c r="P1288" t="inlineStr">
        <is>
          <t>20260430</t>
        </is>
      </c>
      <c r="Q1288" t="inlineStr">
        <is>
          <t>99991231</t>
        </is>
      </c>
    </row>
    <row r="1289">
      <c r="A1289" t="inlineStr">
        <is>
          <t>900009480DW70D08310000160</t>
        </is>
      </c>
      <c r="B1289" t="inlineStr">
        <is>
          <t>900009480</t>
        </is>
      </c>
      <c r="C1289" t="inlineStr">
        <is>
          <t>DW70</t>
        </is>
      </c>
      <c r="D1289" t="inlineStr">
        <is>
          <t>D083</t>
        </is>
      </c>
      <c r="E1289" t="inlineStr">
        <is>
          <t>1</t>
        </is>
      </c>
      <c r="F1289" t="inlineStr">
        <is>
          <t>10000160</t>
        </is>
      </c>
      <c r="H1289" t="inlineStr"/>
      <c r="J1289" t="n">
        <v>170.52</v>
      </c>
      <c r="K1289" t="inlineStr"/>
      <c r="M1289" t="inlineStr">
        <is>
          <t>TN</t>
        </is>
      </c>
      <c r="N1289" t="inlineStr"/>
      <c r="P1289" t="inlineStr">
        <is>
          <t>20260211</t>
        </is>
      </c>
      <c r="Q1289" t="inlineStr">
        <is>
          <t>20260309</t>
        </is>
      </c>
    </row>
    <row r="1290">
      <c r="A1290" t="inlineStr">
        <is>
          <t>900009480DW70D08310000357</t>
        </is>
      </c>
      <c r="B1290" t="inlineStr">
        <is>
          <t>900009480</t>
        </is>
      </c>
      <c r="C1290" t="inlineStr">
        <is>
          <t>DW70</t>
        </is>
      </c>
      <c r="D1290" t="inlineStr">
        <is>
          <t>D083</t>
        </is>
      </c>
      <c r="E1290" t="inlineStr">
        <is>
          <t>1</t>
        </is>
      </c>
      <c r="F1290" t="inlineStr">
        <is>
          <t>10000357</t>
        </is>
      </c>
      <c r="H1290" t="inlineStr"/>
      <c r="J1290" t="n">
        <v>184.7</v>
      </c>
      <c r="K1290" t="inlineStr"/>
      <c r="M1290" t="inlineStr">
        <is>
          <t>TN</t>
        </is>
      </c>
      <c r="N1290" t="inlineStr"/>
      <c r="P1290" t="inlineStr">
        <is>
          <t>20260430</t>
        </is>
      </c>
      <c r="Q1290" t="inlineStr">
        <is>
          <t>99991231</t>
        </is>
      </c>
    </row>
    <row r="1291">
      <c r="A1291" t="inlineStr">
        <is>
          <t>900009480DW70D08310275115</t>
        </is>
      </c>
      <c r="B1291" t="inlineStr">
        <is>
          <t>900009480</t>
        </is>
      </c>
      <c r="C1291" t="inlineStr">
        <is>
          <t>DW70</t>
        </is>
      </c>
      <c r="D1291" t="inlineStr">
        <is>
          <t>D083</t>
        </is>
      </c>
      <c r="E1291" t="inlineStr">
        <is>
          <t>1</t>
        </is>
      </c>
      <c r="F1291" t="inlineStr">
        <is>
          <t>10275115</t>
        </is>
      </c>
      <c r="H1291" t="inlineStr"/>
      <c r="J1291" t="n">
        <v>194.53</v>
      </c>
      <c r="K1291" t="inlineStr"/>
      <c r="M1291" t="inlineStr">
        <is>
          <t>TN</t>
        </is>
      </c>
      <c r="N1291" t="inlineStr"/>
      <c r="P1291" t="inlineStr">
        <is>
          <t>20260430</t>
        </is>
      </c>
      <c r="Q1291" t="inlineStr">
        <is>
          <t>99991231</t>
        </is>
      </c>
    </row>
    <row r="1292">
      <c r="A1292" t="inlineStr">
        <is>
          <t>900009480DW70D08410000160</t>
        </is>
      </c>
      <c r="B1292" t="inlineStr">
        <is>
          <t>900009480</t>
        </is>
      </c>
      <c r="C1292" t="inlineStr">
        <is>
          <t>DW70</t>
        </is>
      </c>
      <c r="D1292" t="inlineStr">
        <is>
          <t>D084</t>
        </is>
      </c>
      <c r="E1292" t="inlineStr">
        <is>
          <t>1</t>
        </is>
      </c>
      <c r="F1292" t="inlineStr">
        <is>
          <t>10000160</t>
        </is>
      </c>
      <c r="H1292" t="inlineStr"/>
      <c r="J1292" t="n">
        <v>122.65</v>
      </c>
      <c r="K1292" t="inlineStr"/>
      <c r="M1292" t="inlineStr">
        <is>
          <t>TN</t>
        </is>
      </c>
      <c r="N1292" t="inlineStr"/>
      <c r="P1292" t="inlineStr">
        <is>
          <t>20260211</t>
        </is>
      </c>
      <c r="Q1292" t="inlineStr">
        <is>
          <t>20260309</t>
        </is>
      </c>
    </row>
    <row r="1293">
      <c r="A1293" t="inlineStr">
        <is>
          <t>900009480DW70D08410000357</t>
        </is>
      </c>
      <c r="B1293" t="inlineStr">
        <is>
          <t>900009480</t>
        </is>
      </c>
      <c r="C1293" t="inlineStr">
        <is>
          <t>DW70</t>
        </is>
      </c>
      <c r="D1293" t="inlineStr">
        <is>
          <t>D084</t>
        </is>
      </c>
      <c r="E1293" t="inlineStr">
        <is>
          <t>1</t>
        </is>
      </c>
      <c r="F1293" t="inlineStr">
        <is>
          <t>10000357</t>
        </is>
      </c>
      <c r="H1293" t="inlineStr"/>
      <c r="J1293" t="n">
        <v>133.39</v>
      </c>
      <c r="K1293" t="inlineStr"/>
      <c r="M1293" t="inlineStr">
        <is>
          <t>TN</t>
        </is>
      </c>
      <c r="N1293" t="inlineStr"/>
      <c r="P1293" t="inlineStr">
        <is>
          <t>20260430</t>
        </is>
      </c>
      <c r="Q1293" t="inlineStr">
        <is>
          <t>99991231</t>
        </is>
      </c>
    </row>
    <row r="1294">
      <c r="A1294" t="inlineStr">
        <is>
          <t>900009480DW70D08410275115</t>
        </is>
      </c>
      <c r="B1294" t="inlineStr">
        <is>
          <t>900009480</t>
        </is>
      </c>
      <c r="C1294" t="inlineStr">
        <is>
          <t>DW70</t>
        </is>
      </c>
      <c r="D1294" t="inlineStr">
        <is>
          <t>D084</t>
        </is>
      </c>
      <c r="E1294" t="inlineStr">
        <is>
          <t>1</t>
        </is>
      </c>
      <c r="F1294" t="inlineStr">
        <is>
          <t>10275115</t>
        </is>
      </c>
      <c r="H1294" t="inlineStr"/>
      <c r="J1294" t="n">
        <v>140.49</v>
      </c>
      <c r="K1294" t="inlineStr"/>
      <c r="M1294" t="inlineStr">
        <is>
          <t>TN</t>
        </is>
      </c>
      <c r="N1294" t="inlineStr"/>
      <c r="P1294" t="inlineStr">
        <is>
          <t>20260430</t>
        </is>
      </c>
      <c r="Q1294" t="inlineStr">
        <is>
          <t>99991231</t>
        </is>
      </c>
    </row>
    <row r="1295">
      <c r="A1295" t="inlineStr">
        <is>
          <t>900009480DW70D08510000160</t>
        </is>
      </c>
      <c r="B1295" t="inlineStr">
        <is>
          <t>900009480</t>
        </is>
      </c>
      <c r="C1295" t="inlineStr">
        <is>
          <t>DW70</t>
        </is>
      </c>
      <c r="D1295" t="inlineStr">
        <is>
          <t>D085</t>
        </is>
      </c>
      <c r="E1295" t="inlineStr">
        <is>
          <t>1</t>
        </is>
      </c>
      <c r="F1295" t="inlineStr">
        <is>
          <t>10000160</t>
        </is>
      </c>
      <c r="H1295" t="inlineStr"/>
      <c r="J1295" t="n">
        <v>128.64</v>
      </c>
      <c r="K1295" t="inlineStr"/>
      <c r="M1295" t="inlineStr">
        <is>
          <t>TN</t>
        </is>
      </c>
      <c r="N1295" t="inlineStr"/>
      <c r="P1295" t="inlineStr">
        <is>
          <t>20260211</t>
        </is>
      </c>
      <c r="Q1295" t="inlineStr">
        <is>
          <t>20260309</t>
        </is>
      </c>
    </row>
    <row r="1296">
      <c r="A1296" t="inlineStr">
        <is>
          <t>900009480DW70D08510000357</t>
        </is>
      </c>
      <c r="B1296" t="inlineStr">
        <is>
          <t>900009480</t>
        </is>
      </c>
      <c r="C1296" t="inlineStr">
        <is>
          <t>DW70</t>
        </is>
      </c>
      <c r="D1296" t="inlineStr">
        <is>
          <t>D085</t>
        </is>
      </c>
      <c r="E1296" t="inlineStr">
        <is>
          <t>1</t>
        </is>
      </c>
      <c r="F1296" t="inlineStr">
        <is>
          <t>10000357</t>
        </is>
      </c>
      <c r="H1296" t="inlineStr"/>
      <c r="J1296" t="n">
        <v>160.76</v>
      </c>
      <c r="K1296" t="inlineStr"/>
      <c r="M1296" t="inlineStr">
        <is>
          <t>TN</t>
        </is>
      </c>
      <c r="N1296" t="inlineStr"/>
      <c r="P1296" t="inlineStr">
        <is>
          <t>20260430</t>
        </is>
      </c>
      <c r="Q1296" t="inlineStr">
        <is>
          <t>99991231</t>
        </is>
      </c>
    </row>
    <row r="1297">
      <c r="A1297" t="inlineStr">
        <is>
          <t>900009480DW70D08510275115</t>
        </is>
      </c>
      <c r="B1297" t="inlineStr">
        <is>
          <t>900009480</t>
        </is>
      </c>
      <c r="C1297" t="inlineStr">
        <is>
          <t>DW70</t>
        </is>
      </c>
      <c r="D1297" t="inlineStr">
        <is>
          <t>D085</t>
        </is>
      </c>
      <c r="E1297" t="inlineStr">
        <is>
          <t>1</t>
        </is>
      </c>
      <c r="F1297" t="inlineStr">
        <is>
          <t>10275115</t>
        </is>
      </c>
      <c r="H1297" t="inlineStr"/>
      <c r="J1297" t="n">
        <v>169.32</v>
      </c>
      <c r="K1297" t="inlineStr"/>
      <c r="M1297" t="inlineStr">
        <is>
          <t>TN</t>
        </is>
      </c>
      <c r="N1297" t="inlineStr"/>
      <c r="P1297" t="inlineStr">
        <is>
          <t>20260430</t>
        </is>
      </c>
      <c r="Q1297" t="inlineStr">
        <is>
          <t>99991231</t>
        </is>
      </c>
    </row>
    <row r="1298">
      <c r="A1298" t="inlineStr">
        <is>
          <t>900009480DW70D08610000160</t>
        </is>
      </c>
      <c r="B1298" t="inlineStr">
        <is>
          <t>900009480</t>
        </is>
      </c>
      <c r="C1298" t="inlineStr">
        <is>
          <t>DW70</t>
        </is>
      </c>
      <c r="D1298" t="inlineStr">
        <is>
          <t>D086</t>
        </is>
      </c>
      <c r="E1298" t="inlineStr">
        <is>
          <t>1</t>
        </is>
      </c>
      <c r="F1298" t="inlineStr">
        <is>
          <t>10000160</t>
        </is>
      </c>
      <c r="H1298" t="inlineStr"/>
      <c r="J1298" t="n">
        <v>191.45</v>
      </c>
      <c r="K1298" t="inlineStr"/>
      <c r="M1298" t="inlineStr">
        <is>
          <t>TN</t>
        </is>
      </c>
      <c r="N1298" t="inlineStr"/>
      <c r="P1298" t="inlineStr">
        <is>
          <t>20260211</t>
        </is>
      </c>
      <c r="Q1298" t="inlineStr">
        <is>
          <t>20260309</t>
        </is>
      </c>
    </row>
    <row r="1299">
      <c r="A1299" t="inlineStr">
        <is>
          <t>900009480DW70D08610000357</t>
        </is>
      </c>
      <c r="B1299" t="inlineStr">
        <is>
          <t>900009480</t>
        </is>
      </c>
      <c r="C1299" t="inlineStr">
        <is>
          <t>DW70</t>
        </is>
      </c>
      <c r="D1299" t="inlineStr">
        <is>
          <t>D086</t>
        </is>
      </c>
      <c r="E1299" t="inlineStr">
        <is>
          <t>1</t>
        </is>
      </c>
      <c r="F1299" t="inlineStr">
        <is>
          <t>10000357</t>
        </is>
      </c>
      <c r="H1299" t="inlineStr"/>
      <c r="J1299" t="n">
        <v>194.96</v>
      </c>
      <c r="K1299" t="inlineStr"/>
      <c r="M1299" t="inlineStr">
        <is>
          <t>TN</t>
        </is>
      </c>
      <c r="N1299" t="inlineStr"/>
      <c r="P1299" t="inlineStr">
        <is>
          <t>20260430</t>
        </is>
      </c>
      <c r="Q1299" t="inlineStr">
        <is>
          <t>99991231</t>
        </is>
      </c>
    </row>
    <row r="1300">
      <c r="A1300" t="inlineStr">
        <is>
          <t>900009480DW70D08610275115</t>
        </is>
      </c>
      <c r="B1300" t="inlineStr">
        <is>
          <t>900009480</t>
        </is>
      </c>
      <c r="C1300" t="inlineStr">
        <is>
          <t>DW70</t>
        </is>
      </c>
      <c r="D1300" t="inlineStr">
        <is>
          <t>D086</t>
        </is>
      </c>
      <c r="E1300" t="inlineStr">
        <is>
          <t>1</t>
        </is>
      </c>
      <c r="F1300" t="inlineStr">
        <is>
          <t>10275115</t>
        </is>
      </c>
      <c r="H1300" t="inlineStr"/>
      <c r="J1300" t="n">
        <v>205.34</v>
      </c>
      <c r="K1300" t="inlineStr"/>
      <c r="M1300" t="inlineStr">
        <is>
          <t>TN</t>
        </is>
      </c>
      <c r="N1300" t="inlineStr"/>
      <c r="P1300" t="inlineStr">
        <is>
          <t>20260430</t>
        </is>
      </c>
      <c r="Q1300" t="inlineStr">
        <is>
          <t>99991231</t>
        </is>
      </c>
    </row>
    <row r="1301">
      <c r="A1301" t="inlineStr">
        <is>
          <t>900009480DW70D09310000160</t>
        </is>
      </c>
      <c r="B1301" t="inlineStr">
        <is>
          <t>900009480</t>
        </is>
      </c>
      <c r="C1301" t="inlineStr">
        <is>
          <t>DW70</t>
        </is>
      </c>
      <c r="D1301" t="inlineStr">
        <is>
          <t>D093</t>
        </is>
      </c>
      <c r="E1301" t="inlineStr">
        <is>
          <t>1</t>
        </is>
      </c>
      <c r="F1301" t="inlineStr">
        <is>
          <t>10000160</t>
        </is>
      </c>
      <c r="H1301" t="inlineStr"/>
      <c r="J1301" t="n">
        <v>293.17</v>
      </c>
      <c r="K1301" t="inlineStr"/>
      <c r="M1301" t="inlineStr">
        <is>
          <t>TN</t>
        </is>
      </c>
      <c r="N1301" t="inlineStr"/>
      <c r="P1301" t="inlineStr">
        <is>
          <t>20260211</t>
        </is>
      </c>
      <c r="Q1301" t="inlineStr">
        <is>
          <t>20260309</t>
        </is>
      </c>
    </row>
    <row r="1302">
      <c r="A1302" t="inlineStr">
        <is>
          <t>900009480DW70D09310000357</t>
        </is>
      </c>
      <c r="B1302" t="inlineStr">
        <is>
          <t>900009480</t>
        </is>
      </c>
      <c r="C1302" t="inlineStr">
        <is>
          <t>DW70</t>
        </is>
      </c>
      <c r="D1302" t="inlineStr">
        <is>
          <t>D093</t>
        </is>
      </c>
      <c r="E1302" t="inlineStr">
        <is>
          <t>1</t>
        </is>
      </c>
      <c r="F1302" t="inlineStr">
        <is>
          <t>10000357</t>
        </is>
      </c>
      <c r="H1302" t="inlineStr"/>
      <c r="J1302" t="n">
        <v>297.57</v>
      </c>
      <c r="K1302" t="inlineStr"/>
      <c r="M1302" t="inlineStr">
        <is>
          <t>TN</t>
        </is>
      </c>
      <c r="N1302" t="inlineStr"/>
      <c r="P1302" t="inlineStr">
        <is>
          <t>20260430</t>
        </is>
      </c>
      <c r="Q1302" t="inlineStr">
        <is>
          <t>99991231</t>
        </is>
      </c>
    </row>
    <row r="1303">
      <c r="A1303" t="inlineStr">
        <is>
          <t>900009480DW70D09310275115</t>
        </is>
      </c>
      <c r="B1303" t="inlineStr">
        <is>
          <t>900009480</t>
        </is>
      </c>
      <c r="C1303" t="inlineStr">
        <is>
          <t>DW70</t>
        </is>
      </c>
      <c r="D1303" t="inlineStr">
        <is>
          <t>D093</t>
        </is>
      </c>
      <c r="E1303" t="inlineStr">
        <is>
          <t>1</t>
        </is>
      </c>
      <c r="F1303" t="inlineStr">
        <is>
          <t>10275115</t>
        </is>
      </c>
      <c r="H1303" t="inlineStr"/>
      <c r="J1303" t="n">
        <v>313.41</v>
      </c>
      <c r="K1303" t="inlineStr"/>
      <c r="M1303" t="inlineStr">
        <is>
          <t>TN</t>
        </is>
      </c>
      <c r="N1303" t="inlineStr"/>
      <c r="P1303" t="inlineStr">
        <is>
          <t>20260430</t>
        </is>
      </c>
      <c r="Q1303" t="inlineStr">
        <is>
          <t>99991231</t>
        </is>
      </c>
    </row>
    <row r="1304">
      <c r="A1304" t="inlineStr">
        <is>
          <t>900009480DW70D09810000160</t>
        </is>
      </c>
      <c r="B1304" t="inlineStr">
        <is>
          <t>900009480</t>
        </is>
      </c>
      <c r="C1304" t="inlineStr">
        <is>
          <t>DW70</t>
        </is>
      </c>
      <c r="D1304" t="inlineStr">
        <is>
          <t>D098</t>
        </is>
      </c>
      <c r="E1304" t="inlineStr">
        <is>
          <t>1</t>
        </is>
      </c>
      <c r="F1304" t="inlineStr">
        <is>
          <t>10000160</t>
        </is>
      </c>
      <c r="H1304" t="inlineStr"/>
      <c r="J1304" t="n">
        <v>299.15</v>
      </c>
      <c r="K1304" t="inlineStr"/>
      <c r="M1304" t="inlineStr">
        <is>
          <t>TN</t>
        </is>
      </c>
      <c r="N1304" t="inlineStr"/>
      <c r="P1304" t="inlineStr">
        <is>
          <t>20260211</t>
        </is>
      </c>
      <c r="Q1304" t="inlineStr">
        <is>
          <t>20260309</t>
        </is>
      </c>
    </row>
    <row r="1305">
      <c r="A1305" t="inlineStr">
        <is>
          <t>900009480DW70D09810000357</t>
        </is>
      </c>
      <c r="B1305" t="inlineStr">
        <is>
          <t>900009480</t>
        </is>
      </c>
      <c r="C1305" t="inlineStr">
        <is>
          <t>DW70</t>
        </is>
      </c>
      <c r="D1305" t="inlineStr">
        <is>
          <t>D098</t>
        </is>
      </c>
      <c r="E1305" t="inlineStr">
        <is>
          <t>1</t>
        </is>
      </c>
      <c r="F1305" t="inlineStr">
        <is>
          <t>10000357</t>
        </is>
      </c>
      <c r="H1305" t="inlineStr"/>
      <c r="J1305" t="n">
        <v>324.93</v>
      </c>
      <c r="K1305" t="inlineStr"/>
      <c r="M1305" t="inlineStr">
        <is>
          <t>TN</t>
        </is>
      </c>
      <c r="N1305" t="inlineStr"/>
      <c r="P1305" t="inlineStr">
        <is>
          <t>20260430</t>
        </is>
      </c>
      <c r="Q1305" t="inlineStr">
        <is>
          <t>99991231</t>
        </is>
      </c>
    </row>
    <row r="1306">
      <c r="A1306" t="inlineStr">
        <is>
          <t>900009480DW70D09810275115</t>
        </is>
      </c>
      <c r="B1306" t="inlineStr">
        <is>
          <t>900009480</t>
        </is>
      </c>
      <c r="C1306" t="inlineStr">
        <is>
          <t>DW70</t>
        </is>
      </c>
      <c r="D1306" t="inlineStr">
        <is>
          <t>D098</t>
        </is>
      </c>
      <c r="E1306" t="inlineStr">
        <is>
          <t>1</t>
        </is>
      </c>
      <c r="F1306" t="inlineStr">
        <is>
          <t>10275115</t>
        </is>
      </c>
      <c r="H1306" t="inlineStr"/>
      <c r="J1306" t="n">
        <v>342.22</v>
      </c>
      <c r="K1306" t="inlineStr"/>
      <c r="M1306" t="inlineStr">
        <is>
          <t>TN</t>
        </is>
      </c>
      <c r="N1306" t="inlineStr"/>
      <c r="P1306" t="inlineStr">
        <is>
          <t>20260430</t>
        </is>
      </c>
      <c r="Q1306" t="inlineStr">
        <is>
          <t>99991231</t>
        </is>
      </c>
    </row>
    <row r="1307">
      <c r="A1307" t="inlineStr">
        <is>
          <t>900009480DW70D10510000160</t>
        </is>
      </c>
      <c r="B1307" t="inlineStr">
        <is>
          <t>900009480</t>
        </is>
      </c>
      <c r="C1307" t="inlineStr">
        <is>
          <t>DW70</t>
        </is>
      </c>
      <c r="D1307" t="inlineStr">
        <is>
          <t>D105</t>
        </is>
      </c>
      <c r="E1307" t="inlineStr">
        <is>
          <t>1</t>
        </is>
      </c>
      <c r="F1307" t="inlineStr">
        <is>
          <t>10000160</t>
        </is>
      </c>
      <c r="H1307" t="inlineStr"/>
      <c r="J1307" t="n">
        <v>191.45</v>
      </c>
      <c r="K1307" t="inlineStr"/>
      <c r="M1307" t="inlineStr">
        <is>
          <t>TN</t>
        </is>
      </c>
      <c r="N1307" t="inlineStr"/>
      <c r="P1307" t="inlineStr">
        <is>
          <t>20260211</t>
        </is>
      </c>
      <c r="Q1307" t="inlineStr">
        <is>
          <t>20260309</t>
        </is>
      </c>
    </row>
    <row r="1308">
      <c r="A1308" t="inlineStr">
        <is>
          <t>900009480DW70D10510000357</t>
        </is>
      </c>
      <c r="B1308" t="inlineStr">
        <is>
          <t>900009480</t>
        </is>
      </c>
      <c r="C1308" t="inlineStr">
        <is>
          <t>DW70</t>
        </is>
      </c>
      <c r="D1308" t="inlineStr">
        <is>
          <t>D105</t>
        </is>
      </c>
      <c r="E1308" t="inlineStr">
        <is>
          <t>1</t>
        </is>
      </c>
      <c r="F1308" t="inlineStr">
        <is>
          <t>10000357</t>
        </is>
      </c>
      <c r="H1308" t="inlineStr"/>
      <c r="J1308" t="n">
        <v>198.38</v>
      </c>
      <c r="K1308" t="inlineStr"/>
      <c r="M1308" t="inlineStr">
        <is>
          <t>TN</t>
        </is>
      </c>
      <c r="N1308" t="inlineStr"/>
      <c r="P1308" t="inlineStr">
        <is>
          <t>20260430</t>
        </is>
      </c>
      <c r="Q1308" t="inlineStr">
        <is>
          <t>99991231</t>
        </is>
      </c>
    </row>
    <row r="1309">
      <c r="A1309" t="inlineStr">
        <is>
          <t>900009480DW70D10510275115</t>
        </is>
      </c>
      <c r="B1309" t="inlineStr">
        <is>
          <t>900009480</t>
        </is>
      </c>
      <c r="C1309" t="inlineStr">
        <is>
          <t>DW70</t>
        </is>
      </c>
      <c r="D1309" t="inlineStr">
        <is>
          <t>D105</t>
        </is>
      </c>
      <c r="E1309" t="inlineStr">
        <is>
          <t>1</t>
        </is>
      </c>
      <c r="F1309" t="inlineStr">
        <is>
          <t>10275115</t>
        </is>
      </c>
      <c r="H1309" t="inlineStr"/>
      <c r="J1309" t="n">
        <v>208.94</v>
      </c>
      <c r="K1309" t="inlineStr"/>
      <c r="M1309" t="inlineStr">
        <is>
          <t>TN</t>
        </is>
      </c>
      <c r="N1309" t="inlineStr"/>
      <c r="P1309" t="inlineStr">
        <is>
          <t>20260430</t>
        </is>
      </c>
      <c r="Q1309" t="inlineStr">
        <is>
          <t>99991231</t>
        </is>
      </c>
    </row>
    <row r="1310">
      <c r="A1310" t="inlineStr">
        <is>
          <t>900009480DW70D13610000160</t>
        </is>
      </c>
      <c r="B1310" t="inlineStr">
        <is>
          <t>900009480</t>
        </is>
      </c>
      <c r="C1310" t="inlineStr">
        <is>
          <t>DW70</t>
        </is>
      </c>
      <c r="D1310" t="inlineStr">
        <is>
          <t>D136</t>
        </is>
      </c>
      <c r="E1310" t="inlineStr">
        <is>
          <t>1</t>
        </is>
      </c>
      <c r="F1310" t="inlineStr">
        <is>
          <t>10000160</t>
        </is>
      </c>
      <c r="H1310" t="inlineStr"/>
      <c r="J1310" t="n">
        <v>245.3</v>
      </c>
      <c r="K1310" t="inlineStr"/>
      <c r="M1310" t="inlineStr">
        <is>
          <t>TN</t>
        </is>
      </c>
      <c r="N1310" t="inlineStr"/>
      <c r="P1310" t="inlineStr">
        <is>
          <t>20260211</t>
        </is>
      </c>
      <c r="Q1310" t="inlineStr">
        <is>
          <t>20260309</t>
        </is>
      </c>
    </row>
    <row r="1311">
      <c r="A1311" t="inlineStr">
        <is>
          <t>900009480DW70D13610000357</t>
        </is>
      </c>
      <c r="B1311" t="inlineStr">
        <is>
          <t>900009480</t>
        </is>
      </c>
      <c r="C1311" t="inlineStr">
        <is>
          <t>DW70</t>
        </is>
      </c>
      <c r="D1311" t="inlineStr">
        <is>
          <t>D136</t>
        </is>
      </c>
      <c r="E1311" t="inlineStr">
        <is>
          <t>1</t>
        </is>
      </c>
      <c r="F1311" t="inlineStr">
        <is>
          <t>10000357</t>
        </is>
      </c>
      <c r="H1311" t="inlineStr"/>
      <c r="J1311" t="n">
        <v>246.26</v>
      </c>
      <c r="K1311" t="inlineStr"/>
      <c r="M1311" t="inlineStr">
        <is>
          <t>TN</t>
        </is>
      </c>
      <c r="N1311" t="inlineStr"/>
      <c r="P1311" t="inlineStr">
        <is>
          <t>20260430</t>
        </is>
      </c>
      <c r="Q1311" t="inlineStr">
        <is>
          <t>99991231</t>
        </is>
      </c>
    </row>
    <row r="1312">
      <c r="A1312" t="inlineStr">
        <is>
          <t>900009480DW70D13610275115</t>
        </is>
      </c>
      <c r="B1312" t="inlineStr">
        <is>
          <t>900009480</t>
        </is>
      </c>
      <c r="C1312" t="inlineStr">
        <is>
          <t>DW70</t>
        </is>
      </c>
      <c r="D1312" t="inlineStr">
        <is>
          <t>D136</t>
        </is>
      </c>
      <c r="E1312" t="inlineStr">
        <is>
          <t>1</t>
        </is>
      </c>
      <c r="F1312" t="inlineStr">
        <is>
          <t>10275115</t>
        </is>
      </c>
      <c r="H1312" t="inlineStr"/>
      <c r="J1312" t="n">
        <v>259.36</v>
      </c>
      <c r="K1312" t="inlineStr"/>
      <c r="M1312" t="inlineStr">
        <is>
          <t>TN</t>
        </is>
      </c>
      <c r="N1312" t="inlineStr"/>
      <c r="P1312" t="inlineStr">
        <is>
          <t>20260430</t>
        </is>
      </c>
      <c r="Q1312" t="inlineStr">
        <is>
          <t>99991231</t>
        </is>
      </c>
    </row>
    <row r="1313">
      <c r="A1313" t="inlineStr">
        <is>
          <t>900009480DW70D14510000160</t>
        </is>
      </c>
      <c r="B1313" t="inlineStr">
        <is>
          <t>900009480</t>
        </is>
      </c>
      <c r="C1313" t="inlineStr">
        <is>
          <t>DW70</t>
        </is>
      </c>
      <c r="D1313" t="inlineStr">
        <is>
          <t>D145</t>
        </is>
      </c>
      <c r="E1313" t="inlineStr">
        <is>
          <t>1</t>
        </is>
      </c>
      <c r="F1313" t="inlineStr">
        <is>
          <t>10000160</t>
        </is>
      </c>
      <c r="H1313" t="inlineStr"/>
      <c r="J1313" t="n">
        <v>203.42</v>
      </c>
      <c r="K1313" t="inlineStr"/>
      <c r="M1313" t="inlineStr">
        <is>
          <t>TN</t>
        </is>
      </c>
      <c r="N1313" t="inlineStr"/>
      <c r="P1313" t="inlineStr">
        <is>
          <t>20260211</t>
        </is>
      </c>
      <c r="Q1313" t="inlineStr">
        <is>
          <t>20260309</t>
        </is>
      </c>
    </row>
    <row r="1314">
      <c r="A1314" t="inlineStr">
        <is>
          <t>900009480DW70D14510000357</t>
        </is>
      </c>
      <c r="B1314" t="inlineStr">
        <is>
          <t>900009480</t>
        </is>
      </c>
      <c r="C1314" t="inlineStr">
        <is>
          <t>DW70</t>
        </is>
      </c>
      <c r="D1314" t="inlineStr">
        <is>
          <t>D145</t>
        </is>
      </c>
      <c r="E1314" t="inlineStr">
        <is>
          <t>1</t>
        </is>
      </c>
      <c r="F1314" t="inlineStr">
        <is>
          <t>10000357</t>
        </is>
      </c>
      <c r="H1314" t="inlineStr"/>
      <c r="J1314" t="n">
        <v>201.8</v>
      </c>
      <c r="K1314" t="inlineStr"/>
      <c r="M1314" t="inlineStr">
        <is>
          <t>TN</t>
        </is>
      </c>
      <c r="N1314" t="inlineStr"/>
      <c r="P1314" t="inlineStr">
        <is>
          <t>20260430</t>
        </is>
      </c>
      <c r="Q1314" t="inlineStr">
        <is>
          <t>99991231</t>
        </is>
      </c>
    </row>
    <row r="1315">
      <c r="A1315" t="inlineStr">
        <is>
          <t>900009480DW70D14510275115</t>
        </is>
      </c>
      <c r="B1315" t="inlineStr">
        <is>
          <t>900009480</t>
        </is>
      </c>
      <c r="C1315" t="inlineStr">
        <is>
          <t>DW70</t>
        </is>
      </c>
      <c r="D1315" t="inlineStr">
        <is>
          <t>D145</t>
        </is>
      </c>
      <c r="E1315" t="inlineStr">
        <is>
          <t>1</t>
        </is>
      </c>
      <c r="F1315" t="inlineStr">
        <is>
          <t>10275115</t>
        </is>
      </c>
      <c r="H1315" t="inlineStr"/>
      <c r="J1315" t="n">
        <v>212.54</v>
      </c>
      <c r="K1315" t="inlineStr"/>
      <c r="M1315" t="inlineStr">
        <is>
          <t>TN</t>
        </is>
      </c>
      <c r="N1315" t="inlineStr"/>
      <c r="P1315" t="inlineStr">
        <is>
          <t>20260430</t>
        </is>
      </c>
      <c r="Q1315" t="inlineStr">
        <is>
          <t>99991231</t>
        </is>
      </c>
    </row>
    <row r="1316">
      <c r="A1316" t="inlineStr">
        <is>
          <t>900009480DW70D68110000160</t>
        </is>
      </c>
      <c r="B1316" t="inlineStr">
        <is>
          <t>900009480</t>
        </is>
      </c>
      <c r="C1316" t="inlineStr">
        <is>
          <t>DW70</t>
        </is>
      </c>
      <c r="D1316" t="inlineStr">
        <is>
          <t>D681</t>
        </is>
      </c>
      <c r="E1316" t="inlineStr">
        <is>
          <t>1</t>
        </is>
      </c>
      <c r="F1316" t="inlineStr">
        <is>
          <t>10000160</t>
        </is>
      </c>
      <c r="H1316" t="inlineStr"/>
      <c r="J1316" t="n">
        <v>260.26</v>
      </c>
      <c r="K1316" t="inlineStr"/>
      <c r="M1316" t="inlineStr">
        <is>
          <t>TN</t>
        </is>
      </c>
      <c r="N1316" t="inlineStr"/>
      <c r="P1316" t="inlineStr">
        <is>
          <t>20260211</t>
        </is>
      </c>
      <c r="Q1316" t="inlineStr">
        <is>
          <t>20260309</t>
        </is>
      </c>
    </row>
    <row r="1317">
      <c r="A1317" t="inlineStr">
        <is>
          <t>900009480DW70D68110000357</t>
        </is>
      </c>
      <c r="B1317" t="inlineStr">
        <is>
          <t>900009480</t>
        </is>
      </c>
      <c r="C1317" t="inlineStr">
        <is>
          <t>DW70</t>
        </is>
      </c>
      <c r="D1317" t="inlineStr">
        <is>
          <t>D681</t>
        </is>
      </c>
      <c r="E1317" t="inlineStr">
        <is>
          <t>1</t>
        </is>
      </c>
      <c r="F1317" t="inlineStr">
        <is>
          <t>10000357</t>
        </is>
      </c>
      <c r="H1317" t="inlineStr"/>
      <c r="J1317" t="n">
        <v>249.69</v>
      </c>
      <c r="K1317" t="inlineStr"/>
      <c r="M1317" t="inlineStr">
        <is>
          <t>TN</t>
        </is>
      </c>
      <c r="N1317" t="inlineStr"/>
      <c r="P1317" t="inlineStr">
        <is>
          <t>20260430</t>
        </is>
      </c>
      <c r="Q1317" t="inlineStr">
        <is>
          <t>99991231</t>
        </is>
      </c>
    </row>
    <row r="1318">
      <c r="A1318" t="inlineStr">
        <is>
          <t>900009480DW70D68110275115</t>
        </is>
      </c>
      <c r="B1318" t="inlineStr">
        <is>
          <t>900009480</t>
        </is>
      </c>
      <c r="C1318" t="inlineStr">
        <is>
          <t>DW70</t>
        </is>
      </c>
      <c r="D1318" t="inlineStr">
        <is>
          <t>D681</t>
        </is>
      </c>
      <c r="E1318" t="inlineStr">
        <is>
          <t>1</t>
        </is>
      </c>
      <c r="F1318" t="inlineStr">
        <is>
          <t>10275115</t>
        </is>
      </c>
      <c r="H1318" t="inlineStr"/>
      <c r="J1318" t="n">
        <v>262.98</v>
      </c>
      <c r="K1318" t="inlineStr"/>
      <c r="M1318" t="inlineStr">
        <is>
          <t>TN</t>
        </is>
      </c>
      <c r="N1318" t="inlineStr"/>
      <c r="P1318" t="inlineStr">
        <is>
          <t>20260430</t>
        </is>
      </c>
      <c r="Q131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900006172DW70D07410000811</t>
        </is>
      </c>
      <c r="B2" t="inlineStr">
        <is>
          <t>4600072309-160</t>
        </is>
      </c>
      <c r="C2" t="n">
        <v>4600072309</v>
      </c>
      <c r="D2" t="n">
        <v>160</v>
      </c>
      <c r="E2" t="inlineStr">
        <is>
          <t>MXPO</t>
        </is>
      </c>
      <c r="F2" t="inlineStr">
        <is>
          <t>MXL</t>
        </is>
      </c>
      <c r="G2" t="n">
        <v>900006172</v>
      </c>
      <c r="H2" t="inlineStr">
        <is>
          <t>SF TC-ED ESTRATEGIAS SANTA CALIZA</t>
        </is>
      </c>
      <c r="I2" t="n">
        <v>5049458</v>
      </c>
      <c r="J2" t="inlineStr">
        <is>
          <t>ESTRATEGIAS AVANZADAS PARA OBTEN</t>
        </is>
      </c>
      <c r="K2" t="inlineStr">
        <is>
          <t>Z03</t>
        </is>
      </c>
      <c r="L2" t="inlineStr">
        <is>
          <t>(AP) 15 Dias</t>
        </is>
      </c>
      <c r="M2" t="n">
        <v>10000811</v>
      </c>
      <c r="N2" t="inlineStr">
        <is>
          <t>Grava Triturada Caliza 20 mm - 3/4"</t>
        </is>
      </c>
      <c r="O2" t="inlineStr">
        <is>
          <t>DW70</t>
        </is>
      </c>
      <c r="P2" t="inlineStr">
        <is>
          <t>MX-CED. CENTRO</t>
        </is>
      </c>
      <c r="Q2" t="n">
        <v>20260616</v>
      </c>
      <c r="R2" t="n">
        <v>20301231</v>
      </c>
      <c r="S2" t="n">
        <v>20260805</v>
      </c>
      <c r="T2" t="n">
        <v>20301231</v>
      </c>
      <c r="U2" t="n">
        <v>569</v>
      </c>
      <c r="V2" t="inlineStr">
        <is>
          <t>MXN</t>
        </is>
      </c>
      <c r="W2" t="inlineStr">
        <is>
          <t>M3</t>
        </is>
      </c>
      <c r="X2" t="n">
        <v>413</v>
      </c>
      <c r="Y2" t="inlineStr">
        <is>
          <t>MXN</t>
        </is>
      </c>
      <c r="Z2" t="inlineStr">
        <is>
          <t>M3</t>
        </is>
      </c>
      <c r="AA2" t="inlineStr">
        <is>
          <t>D074</t>
        </is>
      </c>
      <c r="AB2" t="inlineStr">
        <is>
          <t>PD0063 CENTRAL</t>
        </is>
      </c>
      <c r="AC2" t="n">
        <v>56103637</v>
      </c>
      <c r="AD2" t="n">
        <v>6644261540</v>
      </c>
      <c r="AE2" t="n">
        <v>4</v>
      </c>
      <c r="AF2" t="inlineStr">
        <is>
          <t>ENTREGA DIRECTA</t>
        </is>
      </c>
      <c r="AG2" t="n">
        <v>1.447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20260811</v>
      </c>
      <c r="AM2" t="inlineStr">
        <is>
          <t>DW70-900006172-D074-10000811-4</t>
        </is>
      </c>
    </row>
    <row r="3">
      <c r="A3" t="inlineStr">
        <is>
          <t>900006172DW70D09810000811</t>
        </is>
      </c>
      <c r="B3" t="inlineStr">
        <is>
          <t>4600072309-250</t>
        </is>
      </c>
      <c r="C3" t="n">
        <v>4600072309</v>
      </c>
      <c r="D3" t="n">
        <v>250</v>
      </c>
      <c r="E3" t="inlineStr">
        <is>
          <t>MXPO</t>
        </is>
      </c>
      <c r="F3" t="inlineStr">
        <is>
          <t>MXL</t>
        </is>
      </c>
      <c r="G3" t="n">
        <v>900006172</v>
      </c>
      <c r="H3" t="inlineStr">
        <is>
          <t>SF TC-ED ESTRATEGIAS SANTA CALIZA</t>
        </is>
      </c>
      <c r="I3" t="n">
        <v>5049458</v>
      </c>
      <c r="J3" t="inlineStr">
        <is>
          <t>ESTRATEGIAS AVANZADAS PARA OBTEN</t>
        </is>
      </c>
      <c r="K3" t="inlineStr">
        <is>
          <t>Z03</t>
        </is>
      </c>
      <c r="L3" t="inlineStr">
        <is>
          <t>(AP) 15 Dias</t>
        </is>
      </c>
      <c r="M3" t="n">
        <v>10000811</v>
      </c>
      <c r="N3" t="inlineStr">
        <is>
          <t>Grava Triturada Caliza 20 mm - 3/4"</t>
        </is>
      </c>
      <c r="O3" t="inlineStr">
        <is>
          <t>DW70</t>
        </is>
      </c>
      <c r="P3" t="inlineStr">
        <is>
          <t>MX-CED. CENTRO</t>
        </is>
      </c>
      <c r="Q3" t="n">
        <v>20260616</v>
      </c>
      <c r="R3" t="n">
        <v>20301231</v>
      </c>
      <c r="S3" t="n">
        <v>20260805</v>
      </c>
      <c r="T3" t="n">
        <v>20301231</v>
      </c>
      <c r="U3" t="n">
        <v>405</v>
      </c>
      <c r="V3" t="inlineStr">
        <is>
          <t>MXN</t>
        </is>
      </c>
      <c r="W3" t="inlineStr">
        <is>
          <t>M3</t>
        </is>
      </c>
      <c r="X3" t="n">
        <v>249</v>
      </c>
      <c r="Y3" t="inlineStr">
        <is>
          <t>MXN</t>
        </is>
      </c>
      <c r="Z3" t="inlineStr">
        <is>
          <t>M3</t>
        </is>
      </c>
      <c r="AA3" t="inlineStr">
        <is>
          <t>D098</t>
        </is>
      </c>
      <c r="AB3" t="inlineStr">
        <is>
          <t>PD0315 CUAUTITLAN II</t>
        </is>
      </c>
      <c r="AC3" t="n">
        <v>56103637</v>
      </c>
      <c r="AD3" t="n">
        <v>6644261540</v>
      </c>
      <c r="AE3" t="n">
        <v>4</v>
      </c>
      <c r="AF3" t="inlineStr">
        <is>
          <t>ENTREGA DIRECTA</t>
        </is>
      </c>
      <c r="AG3" t="n">
        <v>1.447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20260811</v>
      </c>
      <c r="AM3" t="inlineStr">
        <is>
          <t>DW70-900006172-D098-10000811-4</t>
        </is>
      </c>
    </row>
    <row r="4">
      <c r="A4" t="inlineStr">
        <is>
          <t>900006172DW70D09310000811</t>
        </is>
      </c>
      <c r="B4" t="inlineStr">
        <is>
          <t>4600072309-280</t>
        </is>
      </c>
      <c r="C4" t="n">
        <v>4600072309</v>
      </c>
      <c r="D4" t="n">
        <v>280</v>
      </c>
      <c r="E4" t="inlineStr">
        <is>
          <t>MXPO</t>
        </is>
      </c>
      <c r="F4" t="inlineStr">
        <is>
          <t>MXL</t>
        </is>
      </c>
      <c r="G4" t="n">
        <v>900006172</v>
      </c>
      <c r="H4" t="inlineStr">
        <is>
          <t>SF TC-ED ESTRATEGIAS SANTA CALIZA</t>
        </is>
      </c>
      <c r="I4" t="n">
        <v>5049458</v>
      </c>
      <c r="J4" t="inlineStr">
        <is>
          <t>ESTRATEGIAS AVANZADAS PARA OBTEN</t>
        </is>
      </c>
      <c r="K4" t="inlineStr">
        <is>
          <t>Z03</t>
        </is>
      </c>
      <c r="L4" t="inlineStr">
        <is>
          <t>(AP) 15 Dias</t>
        </is>
      </c>
      <c r="M4" t="n">
        <v>10000811</v>
      </c>
      <c r="N4" t="inlineStr">
        <is>
          <t>Grava Triturada Caliza 20 mm - 3/4"</t>
        </is>
      </c>
      <c r="O4" t="inlineStr">
        <is>
          <t>DW70</t>
        </is>
      </c>
      <c r="P4" t="inlineStr">
        <is>
          <t>MX-CED. CENTRO</t>
        </is>
      </c>
      <c r="Q4" t="n">
        <v>20260616</v>
      </c>
      <c r="R4" t="n">
        <v>20301231</v>
      </c>
      <c r="S4" t="n">
        <v>20260805</v>
      </c>
      <c r="T4" t="n">
        <v>20301231</v>
      </c>
      <c r="U4" t="n">
        <v>347</v>
      </c>
      <c r="V4" t="inlineStr">
        <is>
          <t>MXN</t>
        </is>
      </c>
      <c r="W4" t="inlineStr">
        <is>
          <t>M3</t>
        </is>
      </c>
      <c r="X4" t="n">
        <v>191</v>
      </c>
      <c r="Y4" t="inlineStr">
        <is>
          <t>MXN</t>
        </is>
      </c>
      <c r="Z4" t="inlineStr">
        <is>
          <t>M3</t>
        </is>
      </c>
      <c r="AA4" t="inlineStr">
        <is>
          <t>D093</t>
        </is>
      </c>
      <c r="AB4" t="inlineStr">
        <is>
          <t>PD0556 ZUMPANGO</t>
        </is>
      </c>
      <c r="AC4" t="n">
        <v>56103637</v>
      </c>
      <c r="AD4" t="n">
        <v>6644261540</v>
      </c>
      <c r="AE4" t="n">
        <v>4</v>
      </c>
      <c r="AF4" t="inlineStr">
        <is>
          <t>ENTREGA DIRECTA</t>
        </is>
      </c>
      <c r="AG4" t="n">
        <v>1.447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20260811</v>
      </c>
      <c r="AM4" t="inlineStr">
        <is>
          <t>DW70-900006172-D093-10000811-4</t>
        </is>
      </c>
    </row>
    <row r="5">
      <c r="A5" t="inlineStr">
        <is>
          <t>900003438DW70D68110000811</t>
        </is>
      </c>
      <c r="B5" t="inlineStr">
        <is>
          <t>4600050497-950</t>
        </is>
      </c>
      <c r="C5" t="n">
        <v>4600050497</v>
      </c>
      <c r="D5" t="n">
        <v>950</v>
      </c>
      <c r="E5" t="inlineStr">
        <is>
          <t>MXPO</t>
        </is>
      </c>
      <c r="F5" t="inlineStr">
        <is>
          <t>MXL</t>
        </is>
      </c>
      <c r="G5" t="n">
        <v>900003438</v>
      </c>
      <c r="H5" t="inlineStr">
        <is>
          <t>TC-ED-ESTRATEGIAS AVANZADAS</t>
        </is>
      </c>
      <c r="I5" t="n">
        <v>5049458</v>
      </c>
      <c r="J5" t="inlineStr">
        <is>
          <t>ESTRATEGIAS AVANZADAS PARA OBTEN</t>
        </is>
      </c>
      <c r="K5" t="inlineStr">
        <is>
          <t>Z03</t>
        </is>
      </c>
      <c r="L5" t="inlineStr">
        <is>
          <t>(AP) 15 Dias</t>
        </is>
      </c>
      <c r="M5" t="n">
        <v>10000811</v>
      </c>
      <c r="N5" t="inlineStr">
        <is>
          <t>Grava Triturada Caliza 20 mm - 3/4"</t>
        </is>
      </c>
      <c r="O5" t="inlineStr">
        <is>
          <t>DW70</t>
        </is>
      </c>
      <c r="P5" t="inlineStr">
        <is>
          <t>MX-CED. CENTRO</t>
        </is>
      </c>
      <c r="Q5" t="n">
        <v>20210712</v>
      </c>
      <c r="R5" t="n">
        <v>20281231</v>
      </c>
      <c r="S5" t="n">
        <v>20260819</v>
      </c>
      <c r="T5" t="n">
        <v>20301231</v>
      </c>
      <c r="U5" t="n">
        <v>522</v>
      </c>
      <c r="V5" t="inlineStr">
        <is>
          <t>MXN</t>
        </is>
      </c>
      <c r="W5" t="inlineStr">
        <is>
          <t>M3</t>
        </is>
      </c>
      <c r="X5" t="n">
        <v>322</v>
      </c>
      <c r="Y5" t="inlineStr">
        <is>
          <t>MXN</t>
        </is>
      </c>
      <c r="Z5" t="inlineStr">
        <is>
          <t>M3</t>
        </is>
      </c>
      <c r="AA5" t="inlineStr">
        <is>
          <t>D681</t>
        </is>
      </c>
      <c r="AB5" t="inlineStr">
        <is>
          <t>PD0639 TULTEPEC</t>
        </is>
      </c>
      <c r="AC5" t="n">
        <v>56103637</v>
      </c>
      <c r="AD5" t="n">
        <v>6644261540</v>
      </c>
      <c r="AE5" t="n">
        <v>4</v>
      </c>
      <c r="AF5" t="inlineStr">
        <is>
          <t>ENTREGA DIRECTA</t>
        </is>
      </c>
      <c r="AG5" t="n">
        <v>1.447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20260821</v>
      </c>
      <c r="AM5" t="inlineStr">
        <is>
          <t>DW70-900003438-D681-10000811-4</t>
        </is>
      </c>
    </row>
    <row r="6">
      <c r="A6" t="inlineStr">
        <is>
          <t>900009585DW70D68110000811</t>
        </is>
      </c>
      <c r="B6" t="inlineStr">
        <is>
          <t>4600072549-30</t>
        </is>
      </c>
      <c r="C6" t="n">
        <v>4600072549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900009585</v>
      </c>
      <c r="H6" t="inlineStr">
        <is>
          <t>SF TC-ED ESTRATEGIAS MAQ Y CANTERAS</t>
        </is>
      </c>
      <c r="I6" t="n">
        <v>5049458</v>
      </c>
      <c r="J6" t="inlineStr">
        <is>
          <t>ESTRATEGIAS AVANZADAS PARA OBTEN</t>
        </is>
      </c>
      <c r="K6" t="inlineStr">
        <is>
          <t>Z03</t>
        </is>
      </c>
      <c r="L6" t="inlineStr">
        <is>
          <t>(AP) 15 Dias</t>
        </is>
      </c>
      <c r="M6" t="n">
        <v>10000811</v>
      </c>
      <c r="N6" t="inlineStr">
        <is>
          <t>Grava Triturada Caliza 20 mm - 3/4"</t>
        </is>
      </c>
      <c r="O6" t="inlineStr">
        <is>
          <t>DW70</t>
        </is>
      </c>
      <c r="P6" t="inlineStr">
        <is>
          <t>MX-CED. CENTRO</t>
        </is>
      </c>
      <c r="Q6" t="n">
        <v>20260814</v>
      </c>
      <c r="R6" t="n">
        <v>20301231</v>
      </c>
      <c r="S6" t="n">
        <v>20260814</v>
      </c>
      <c r="T6" t="n">
        <v>20301231</v>
      </c>
      <c r="U6" t="n">
        <v>492.4</v>
      </c>
      <c r="V6" t="inlineStr">
        <is>
          <t>MXN</t>
        </is>
      </c>
      <c r="W6" t="inlineStr">
        <is>
          <t>M3</t>
        </is>
      </c>
      <c r="X6" t="n">
        <v>267.4</v>
      </c>
      <c r="Y6" t="inlineStr">
        <is>
          <t>MXN</t>
        </is>
      </c>
      <c r="Z6" t="inlineStr">
        <is>
          <t>M3</t>
        </is>
      </c>
      <c r="AA6" t="inlineStr">
        <is>
          <t>D681</t>
        </is>
      </c>
      <c r="AB6" t="inlineStr">
        <is>
          <t>PD0639 TULTEPEC</t>
        </is>
      </c>
      <c r="AC6" t="n">
        <v>56103637</v>
      </c>
      <c r="AD6" t="n">
        <v>6644261540</v>
      </c>
      <c r="AE6" t="n">
        <v>4</v>
      </c>
      <c r="AF6" t="inlineStr">
        <is>
          <t>ENTREGA DIRECTA</t>
        </is>
      </c>
      <c r="AG6" t="n">
        <v>1.447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20260821</v>
      </c>
      <c r="AM6" t="inlineStr">
        <is>
          <t>DW70-900009585-D681-10000811-4</t>
        </is>
      </c>
    </row>
    <row r="7">
      <c r="A7" t="inlineStr">
        <is>
          <t>900006172DW70D07510000811</t>
        </is>
      </c>
      <c r="B7" t="inlineStr">
        <is>
          <t>4600072309-170</t>
        </is>
      </c>
      <c r="C7" t="n">
        <v>4600072309</v>
      </c>
      <c r="D7" t="n">
        <v>170</v>
      </c>
      <c r="E7" t="inlineStr">
        <is>
          <t>MXPO</t>
        </is>
      </c>
      <c r="F7" t="inlineStr">
        <is>
          <t>MXL</t>
        </is>
      </c>
      <c r="G7" t="n">
        <v>900006172</v>
      </c>
      <c r="H7" t="inlineStr">
        <is>
          <t>SF TC-ED ESTRATEGIAS SANTA CALIZA</t>
        </is>
      </c>
      <c r="I7" t="n">
        <v>5049458</v>
      </c>
      <c r="J7" t="inlineStr">
        <is>
          <t>ESTRATEGIAS AVANZADAS PARA OBTEN</t>
        </is>
      </c>
      <c r="K7" t="inlineStr">
        <is>
          <t>Z03</t>
        </is>
      </c>
      <c r="L7" t="inlineStr">
        <is>
          <t>(AP) 15 Dias</t>
        </is>
      </c>
      <c r="M7" t="n">
        <v>10000811</v>
      </c>
      <c r="N7" t="inlineStr">
        <is>
          <t>Grava Triturada Caliza 20 mm - 3/4"</t>
        </is>
      </c>
      <c r="O7" t="inlineStr">
        <is>
          <t>DW70</t>
        </is>
      </c>
      <c r="P7" t="inlineStr">
        <is>
          <t>MX-CED. CENTRO</t>
        </is>
      </c>
      <c r="Q7" t="n">
        <v>20260616</v>
      </c>
      <c r="R7" t="n">
        <v>20301231</v>
      </c>
      <c r="S7" t="n">
        <v>20260805</v>
      </c>
      <c r="T7" t="n">
        <v>20301231</v>
      </c>
      <c r="U7" t="n">
        <v>507</v>
      </c>
      <c r="V7" t="inlineStr">
        <is>
          <t>MXN</t>
        </is>
      </c>
      <c r="W7" t="inlineStr">
        <is>
          <t>M3</t>
        </is>
      </c>
      <c r="X7" t="n">
        <v>351</v>
      </c>
      <c r="Y7" t="inlineStr">
        <is>
          <t>MXN</t>
        </is>
      </c>
      <c r="Z7" t="inlineStr">
        <is>
          <t>M3</t>
        </is>
      </c>
      <c r="AA7" t="inlineStr">
        <is>
          <t>D075</t>
        </is>
      </c>
      <c r="AB7" t="inlineStr">
        <is>
          <t>PD0065 CEYLAN</t>
        </is>
      </c>
      <c r="AC7" t="n">
        <v>56103637</v>
      </c>
      <c r="AD7" t="n">
        <v>6644261540</v>
      </c>
      <c r="AE7" t="n">
        <v>4</v>
      </c>
      <c r="AF7" t="inlineStr">
        <is>
          <t>ENTREGA DIRECTA</t>
        </is>
      </c>
      <c r="AG7" t="n">
        <v>1.447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20260811</v>
      </c>
      <c r="AM7" t="inlineStr">
        <is>
          <t>DW70-900006172-D075-10000811-4</t>
        </is>
      </c>
    </row>
    <row r="8">
      <c r="A8" t="inlineStr">
        <is>
          <t>900006172DW70D13610000811</t>
        </is>
      </c>
      <c r="B8" t="inlineStr">
        <is>
          <t>4600072309-240</t>
        </is>
      </c>
      <c r="C8" t="n">
        <v>4600072309</v>
      </c>
      <c r="D8" t="n">
        <v>240</v>
      </c>
      <c r="E8" t="inlineStr">
        <is>
          <t>MXPO</t>
        </is>
      </c>
      <c r="F8" t="inlineStr">
        <is>
          <t>MXL</t>
        </is>
      </c>
      <c r="G8" t="n">
        <v>900006172</v>
      </c>
      <c r="H8" t="inlineStr">
        <is>
          <t>SF TC-ED ESTRATEGIAS SANTA CALIZA</t>
        </is>
      </c>
      <c r="I8" t="n">
        <v>5049458</v>
      </c>
      <c r="J8" t="inlineStr">
        <is>
          <t>ESTRATEGIAS AVANZADAS PARA OBTEN</t>
        </is>
      </c>
      <c r="K8" t="inlineStr">
        <is>
          <t>Z03</t>
        </is>
      </c>
      <c r="L8" t="inlineStr">
        <is>
          <t>(AP) 15 Dias</t>
        </is>
      </c>
      <c r="M8" t="n">
        <v>10000811</v>
      </c>
      <c r="N8" t="inlineStr">
        <is>
          <t>Grava Triturada Caliza 20 mm - 3/4"</t>
        </is>
      </c>
      <c r="O8" t="inlineStr">
        <is>
          <t>DW70</t>
        </is>
      </c>
      <c r="P8" t="inlineStr">
        <is>
          <t>MX-CED. CENTRO</t>
        </is>
      </c>
      <c r="Q8" t="n">
        <v>20260616</v>
      </c>
      <c r="R8" t="n">
        <v>20301231</v>
      </c>
      <c r="S8" t="n">
        <v>20260805</v>
      </c>
      <c r="T8" t="n">
        <v>20301231</v>
      </c>
      <c r="U8" t="n">
        <v>627</v>
      </c>
      <c r="V8" t="inlineStr">
        <is>
          <t>MXN</t>
        </is>
      </c>
      <c r="W8" t="inlineStr">
        <is>
          <t>M3</t>
        </is>
      </c>
      <c r="X8" t="n">
        <v>471</v>
      </c>
      <c r="Y8" t="inlineStr">
        <is>
          <t>MXN</t>
        </is>
      </c>
      <c r="Z8" t="inlineStr">
        <is>
          <t>M3</t>
        </is>
      </c>
      <c r="AA8" t="inlineStr">
        <is>
          <t>D136</t>
        </is>
      </c>
      <c r="AB8" t="inlineStr">
        <is>
          <t>PD0237 LA ESTRELLA</t>
        </is>
      </c>
      <c r="AC8" t="n">
        <v>56103637</v>
      </c>
      <c r="AD8" t="n">
        <v>6644261540</v>
      </c>
      <c r="AE8" t="n">
        <v>4</v>
      </c>
      <c r="AF8" t="inlineStr">
        <is>
          <t>ENTREGA DIRECTA</t>
        </is>
      </c>
      <c r="AG8" t="n">
        <v>1.447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20260811</v>
      </c>
      <c r="AM8" t="inlineStr">
        <is>
          <t>DW70-900006172-D136-10000811-4</t>
        </is>
      </c>
    </row>
    <row r="9">
      <c r="A9" t="inlineStr">
        <is>
          <t>900009292DW7010058345</t>
        </is>
      </c>
      <c r="B9" t="inlineStr">
        <is>
          <t>4600071553-60</t>
        </is>
      </c>
      <c r="C9" t="n">
        <v>4600071553</v>
      </c>
      <c r="D9" t="n">
        <v>60</v>
      </c>
      <c r="E9" t="inlineStr">
        <is>
          <t>MXPO</t>
        </is>
      </c>
      <c r="F9" t="inlineStr">
        <is>
          <t>MXL</t>
        </is>
      </c>
      <c r="G9" t="n">
        <v>900009292</v>
      </c>
      <c r="H9" t="inlineStr">
        <is>
          <t>SF TC-GRAVICOR GIL</t>
        </is>
      </c>
      <c r="I9" t="n">
        <v>5096226</v>
      </c>
      <c r="J9" t="inlineStr">
        <is>
          <t>GIL HERNANDEZ RACIEL</t>
        </is>
      </c>
      <c r="K9" t="inlineStr">
        <is>
          <t>N90</t>
        </is>
      </c>
      <c r="L9" t="inlineStr">
        <is>
          <t>(AP) NAFIN 90 Dias</t>
        </is>
      </c>
      <c r="M9" t="n">
        <v>10058345</v>
      </c>
      <c r="N9" t="inlineStr">
        <is>
          <t>Arena Triturada Caliza Malla 4</t>
        </is>
      </c>
      <c r="O9" t="inlineStr">
        <is>
          <t>DW70</t>
        </is>
      </c>
      <c r="P9" t="inlineStr">
        <is>
          <t>MX-CED. CENTRO</t>
        </is>
      </c>
      <c r="Q9" t="n">
        <v>20250813</v>
      </c>
      <c r="R9" t="n">
        <v>20301231</v>
      </c>
      <c r="S9" t="n">
        <v>20260814</v>
      </c>
      <c r="T9" t="n">
        <v>20301231</v>
      </c>
      <c r="U9" t="n">
        <v>150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6644261540</v>
      </c>
      <c r="AE9" t="n">
        <v>1</v>
      </c>
      <c r="AF9" t="inlineStr">
        <is>
          <t>ENTREGADO</t>
        </is>
      </c>
      <c r="AG9" t="n">
        <v>1.575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20260821</v>
      </c>
      <c r="AM9" t="inlineStr">
        <is>
          <t>DW70-900009292-10058345</t>
        </is>
      </c>
    </row>
    <row r="10">
      <c r="A10" t="inlineStr">
        <is>
          <t>900006172DW70D08510000811</t>
        </is>
      </c>
      <c r="B10" t="inlineStr">
        <is>
          <t>4600072309-230</t>
        </is>
      </c>
      <c r="C10" t="n">
        <v>4600072309</v>
      </c>
      <c r="D10" t="n">
        <v>230</v>
      </c>
      <c r="E10" t="inlineStr">
        <is>
          <t>MXPO</t>
        </is>
      </c>
      <c r="F10" t="inlineStr">
        <is>
          <t>MXL</t>
        </is>
      </c>
      <c r="G10" t="n">
        <v>900006172</v>
      </c>
      <c r="H10" t="inlineStr">
        <is>
          <t>SF TC-ED ESTRATEGIAS SANTA CALIZA</t>
        </is>
      </c>
      <c r="I10" t="n">
        <v>5049458</v>
      </c>
      <c r="J10" t="inlineStr">
        <is>
          <t>ESTRATEGIAS AVANZADAS PARA OBTEN</t>
        </is>
      </c>
      <c r="K10" t="inlineStr">
        <is>
          <t>Z03</t>
        </is>
      </c>
      <c r="L10" t="inlineStr">
        <is>
          <t>(AP) 15 Dias</t>
        </is>
      </c>
      <c r="M10" t="n">
        <v>10000811</v>
      </c>
      <c r="N10" t="inlineStr">
        <is>
          <t>Grava Triturada Caliza 20 mm - 3/4"</t>
        </is>
      </c>
      <c r="O10" t="inlineStr">
        <is>
          <t>DW70</t>
        </is>
      </c>
      <c r="P10" t="inlineStr">
        <is>
          <t>MX-CED. CENTRO</t>
        </is>
      </c>
      <c r="Q10" t="n">
        <v>20260616</v>
      </c>
      <c r="R10" t="n">
        <v>20301231</v>
      </c>
      <c r="S10" t="n">
        <v>20260805</v>
      </c>
      <c r="T10" t="n">
        <v>20301231</v>
      </c>
      <c r="U10" t="n">
        <v>636</v>
      </c>
      <c r="V10" t="inlineStr">
        <is>
          <t>MXN</t>
        </is>
      </c>
      <c r="W10" t="inlineStr">
        <is>
          <t>M3</t>
        </is>
      </c>
      <c r="X10" t="n">
        <v>480</v>
      </c>
      <c r="Y10" t="inlineStr">
        <is>
          <t>MXN</t>
        </is>
      </c>
      <c r="Z10" t="inlineStr">
        <is>
          <t>M3</t>
        </is>
      </c>
      <c r="AA10" t="inlineStr">
        <is>
          <t>D085</t>
        </is>
      </c>
      <c r="AB10" t="inlineStr">
        <is>
          <t>PD0189 ROJO GOMEZ</t>
        </is>
      </c>
      <c r="AC10" t="n">
        <v>56103637</v>
      </c>
      <c r="AD10" t="n">
        <v>6644261540</v>
      </c>
      <c r="AE10" t="n">
        <v>4</v>
      </c>
      <c r="AF10" t="inlineStr">
        <is>
          <t>ENTREGA DIRECTA</t>
        </is>
      </c>
      <c r="AG10" t="n">
        <v>1.447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20260811</v>
      </c>
      <c r="AM10" t="inlineStr">
        <is>
          <t>DW70-900006172-D085-10000811-4</t>
        </is>
      </c>
    </row>
    <row r="11">
      <c r="A11" t="inlineStr">
        <is>
          <t>900006172DW70D07710000811</t>
        </is>
      </c>
      <c r="B11" t="inlineStr">
        <is>
          <t>4600072309-180</t>
        </is>
      </c>
      <c r="C11" t="n">
        <v>4600072309</v>
      </c>
      <c r="D11" t="n">
        <v>180</v>
      </c>
      <c r="E11" t="inlineStr">
        <is>
          <t>MXPO</t>
        </is>
      </c>
      <c r="F11" t="inlineStr">
        <is>
          <t>MXL</t>
        </is>
      </c>
      <c r="G11" t="n">
        <v>900006172</v>
      </c>
      <c r="H11" t="inlineStr">
        <is>
          <t>SF TC-ED ESTRATEGIAS SANTA CALIZA</t>
        </is>
      </c>
      <c r="I11" t="n">
        <v>5049458</v>
      </c>
      <c r="J11" t="inlineStr">
        <is>
          <t>ESTRATEGIAS AVANZADAS PARA OBTEN</t>
        </is>
      </c>
      <c r="K11" t="inlineStr">
        <is>
          <t>Z03</t>
        </is>
      </c>
      <c r="L11" t="inlineStr">
        <is>
          <t>(AP) 15 Dias</t>
        </is>
      </c>
      <c r="M11" t="n">
        <v>10000811</v>
      </c>
      <c r="N11" t="inlineStr">
        <is>
          <t>Grava Triturada Caliza 20 mm - 3/4"</t>
        </is>
      </c>
      <c r="O11" t="inlineStr">
        <is>
          <t>DW70</t>
        </is>
      </c>
      <c r="P11" t="inlineStr">
        <is>
          <t>MX-CED. CENTRO</t>
        </is>
      </c>
      <c r="Q11" t="n">
        <v>20260616</v>
      </c>
      <c r="R11" t="n">
        <v>20301231</v>
      </c>
      <c r="S11" t="n">
        <v>20260805</v>
      </c>
      <c r="T11" t="n">
        <v>20301231</v>
      </c>
      <c r="U11" t="n">
        <v>667</v>
      </c>
      <c r="V11" t="inlineStr">
        <is>
          <t>MXN</t>
        </is>
      </c>
      <c r="W11" t="inlineStr">
        <is>
          <t>M3</t>
        </is>
      </c>
      <c r="X11" t="n">
        <v>511</v>
      </c>
      <c r="Y11" t="inlineStr">
        <is>
          <t>MXN</t>
        </is>
      </c>
      <c r="Z11" t="inlineStr">
        <is>
          <t>M3</t>
        </is>
      </c>
      <c r="AA11" t="inlineStr">
        <is>
          <t>D077</t>
        </is>
      </c>
      <c r="AB11" t="inlineStr">
        <is>
          <t>PD0067 LOS REYES</t>
        </is>
      </c>
      <c r="AC11" t="n">
        <v>56103637</v>
      </c>
      <c r="AD11" t="n">
        <v>6644261540</v>
      </c>
      <c r="AE11" t="n">
        <v>4</v>
      </c>
      <c r="AF11" t="inlineStr">
        <is>
          <t>ENTREGA DIRECTA</t>
        </is>
      </c>
      <c r="AG11" t="n">
        <v>1.447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20260811</v>
      </c>
      <c r="AM11" t="inlineStr">
        <is>
          <t>DW70-900006172-D077-10000811-4</t>
        </is>
      </c>
    </row>
    <row r="12">
      <c r="A12" t="inlineStr">
        <is>
          <t>900003438DW70D08610000811</t>
        </is>
      </c>
      <c r="B12" t="inlineStr">
        <is>
          <t>4600050497-860</t>
        </is>
      </c>
      <c r="C12" t="n">
        <v>4600050497</v>
      </c>
      <c r="D12" t="n">
        <v>860</v>
      </c>
      <c r="E12" t="inlineStr">
        <is>
          <t>MXPO</t>
        </is>
      </c>
      <c r="F12" t="inlineStr">
        <is>
          <t>MXL</t>
        </is>
      </c>
      <c r="G12" t="n">
        <v>900003438</v>
      </c>
      <c r="H12" t="inlineStr">
        <is>
          <t>TC-ED-ESTRATEGIAS AVANZADAS</t>
        </is>
      </c>
      <c r="I12" t="n">
        <v>5049458</v>
      </c>
      <c r="J12" t="inlineStr">
        <is>
          <t>ESTRATEGIAS AVANZADAS PARA OBTEN</t>
        </is>
      </c>
      <c r="K12" t="inlineStr">
        <is>
          <t>Z03</t>
        </is>
      </c>
      <c r="L12" t="inlineStr">
        <is>
          <t>(AP) 15 Dias</t>
        </is>
      </c>
      <c r="M12" t="n">
        <v>10000811</v>
      </c>
      <c r="N12" t="inlineStr">
        <is>
          <t>Grava Triturada Caliza 20 mm - 3/4"</t>
        </is>
      </c>
      <c r="O12" t="inlineStr">
        <is>
          <t>DW70</t>
        </is>
      </c>
      <c r="P12" t="inlineStr">
        <is>
          <t>MX-CED. CENTRO</t>
        </is>
      </c>
      <c r="Q12" t="n">
        <v>20210712</v>
      </c>
      <c r="R12" t="n">
        <v>20281231</v>
      </c>
      <c r="S12" t="n">
        <v>20260819</v>
      </c>
      <c r="T12" t="n">
        <v>20301231</v>
      </c>
      <c r="U12" t="n">
        <v>576.5</v>
      </c>
      <c r="V12" t="inlineStr">
        <is>
          <t>MXN</t>
        </is>
      </c>
      <c r="W12" t="inlineStr">
        <is>
          <t>M3</t>
        </is>
      </c>
      <c r="X12" t="n">
        <v>376.5</v>
      </c>
      <c r="Y12" t="inlineStr">
        <is>
          <t>MXN</t>
        </is>
      </c>
      <c r="Z12" t="inlineStr">
        <is>
          <t>M3</t>
        </is>
      </c>
      <c r="AA12" t="inlineStr">
        <is>
          <t>D086</t>
        </is>
      </c>
      <c r="AB12" t="inlineStr">
        <is>
          <t>PD0190 XALOSTC</t>
        </is>
      </c>
      <c r="AC12" t="n">
        <v>56103637</v>
      </c>
      <c r="AD12" t="n">
        <v>6644261540</v>
      </c>
      <c r="AE12" t="n">
        <v>4</v>
      </c>
      <c r="AF12" t="inlineStr">
        <is>
          <t>ENTREGA DIRECTA</t>
        </is>
      </c>
      <c r="AG12" t="n">
        <v>1.447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20260821</v>
      </c>
      <c r="AM12" t="inlineStr">
        <is>
          <t>DW70-900003438-D086-10000811-4</t>
        </is>
      </c>
    </row>
    <row r="13">
      <c r="A13" t="inlineStr">
        <is>
          <t>900006544DW7010185477</t>
        </is>
      </c>
      <c r="B13" t="inlineStr">
        <is>
          <t>4600050562-20</t>
        </is>
      </c>
      <c r="C13" t="n">
        <v>4600050562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900006544</v>
      </c>
      <c r="H13" t="inlineStr">
        <is>
          <t>TC-MARTINEZ VILLEGAS</t>
        </is>
      </c>
      <c r="I13" t="n">
        <v>5078107</v>
      </c>
      <c r="J13" t="inlineStr">
        <is>
          <t>MARTINEZ VILLEGAS SA DE CV</t>
        </is>
      </c>
      <c r="K13" t="inlineStr">
        <is>
          <t>Z04</t>
        </is>
      </c>
      <c r="L13" t="inlineStr">
        <is>
          <t>(AP) 30 Dias</t>
        </is>
      </c>
      <c r="M13" t="n">
        <v>10185477</v>
      </c>
      <c r="N13" t="inlineStr">
        <is>
          <t>GRAVA TRITURADA ANDESITA 20 MM - 3/4"</t>
        </is>
      </c>
      <c r="O13" t="inlineStr">
        <is>
          <t>DW70</t>
        </is>
      </c>
      <c r="P13" t="inlineStr">
        <is>
          <t>MX-CED. CENTRO</t>
        </is>
      </c>
      <c r="Q13" t="n">
        <v>20210712</v>
      </c>
      <c r="R13" t="n">
        <v>20261231</v>
      </c>
      <c r="S13" t="n">
        <v>20260805</v>
      </c>
      <c r="T13" t="n">
        <v>20301231</v>
      </c>
      <c r="U13" t="n">
        <v>160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6644261540</v>
      </c>
      <c r="AE13" t="n">
        <v>1</v>
      </c>
      <c r="AF13" t="inlineStr">
        <is>
          <t>ENTREGADO</t>
        </is>
      </c>
      <c r="AG13" t="n">
        <v>1.39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20260813</v>
      </c>
      <c r="AM13" t="inlineStr">
        <is>
          <t>DW70-900006544-10185477</t>
        </is>
      </c>
    </row>
    <row r="14">
      <c r="A14" t="inlineStr">
        <is>
          <t>900006172DW70D14510000811</t>
        </is>
      </c>
      <c r="B14" t="inlineStr">
        <is>
          <t>4600072309-270</t>
        </is>
      </c>
      <c r="C14" t="n">
        <v>4600072309</v>
      </c>
      <c r="D14" t="n">
        <v>270</v>
      </c>
      <c r="E14" t="inlineStr">
        <is>
          <t>MXPO</t>
        </is>
      </c>
      <c r="F14" t="inlineStr">
        <is>
          <t>MXL</t>
        </is>
      </c>
      <c r="G14" t="n">
        <v>900006172</v>
      </c>
      <c r="H14" t="inlineStr">
        <is>
          <t>SF TC-ED ESTRATEGIAS SANTA CALIZA</t>
        </is>
      </c>
      <c r="I14" t="n">
        <v>5049458</v>
      </c>
      <c r="J14" t="inlineStr">
        <is>
          <t>ESTRATEGIAS AVANZADAS PARA OBTEN</t>
        </is>
      </c>
      <c r="K14" t="inlineStr">
        <is>
          <t>Z03</t>
        </is>
      </c>
      <c r="L14" t="inlineStr">
        <is>
          <t>(AP) 15 Dias</t>
        </is>
      </c>
      <c r="M14" t="n">
        <v>10000811</v>
      </c>
      <c r="N14" t="inlineStr">
        <is>
          <t>Grava Triturada Caliza 20 mm - 3/4"</t>
        </is>
      </c>
      <c r="O14" t="inlineStr">
        <is>
          <t>DW70</t>
        </is>
      </c>
      <c r="P14" t="inlineStr">
        <is>
          <t>MX-CED. CENTRO</t>
        </is>
      </c>
      <c r="Q14" t="n">
        <v>20260616</v>
      </c>
      <c r="R14" t="n">
        <v>20301231</v>
      </c>
      <c r="S14" t="n">
        <v>20260805</v>
      </c>
      <c r="T14" t="n">
        <v>20301231</v>
      </c>
      <c r="U14" t="n">
        <v>454</v>
      </c>
      <c r="V14" t="inlineStr">
        <is>
          <t>MXN</t>
        </is>
      </c>
      <c r="W14" t="inlineStr">
        <is>
          <t>M3</t>
        </is>
      </c>
      <c r="X14" t="n">
        <v>298</v>
      </c>
      <c r="Y14" t="inlineStr">
        <is>
          <t>MXN</t>
        </is>
      </c>
      <c r="Z14" t="inlineStr">
        <is>
          <t>M3</t>
        </is>
      </c>
      <c r="AA14" t="inlineStr">
        <is>
          <t>D145</t>
        </is>
      </c>
      <c r="AB14" t="inlineStr">
        <is>
          <t>PD0458 ECATEPEC II</t>
        </is>
      </c>
      <c r="AC14" t="n">
        <v>56103637</v>
      </c>
      <c r="AD14" t="n">
        <v>6644261540</v>
      </c>
      <c r="AE14" t="n">
        <v>4</v>
      </c>
      <c r="AF14" t="inlineStr">
        <is>
          <t>ENTREGA DIRECTA</t>
        </is>
      </c>
      <c r="AG14" t="n">
        <v>1.447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20260811</v>
      </c>
      <c r="AM14" t="inlineStr">
        <is>
          <t>DW70-900006172-D145-10000811-4</t>
        </is>
      </c>
    </row>
    <row r="15">
      <c r="A15" t="inlineStr">
        <is>
          <t>900009585DW70D14510000811</t>
        </is>
      </c>
      <c r="B15" t="inlineStr">
        <is>
          <t>4600072549-20</t>
        </is>
      </c>
      <c r="C15" t="n">
        <v>4600072549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900009585</v>
      </c>
      <c r="H15" t="inlineStr">
        <is>
          <t>SF TC-ED ESTRATEGIAS MAQ Y CANTERAS</t>
        </is>
      </c>
      <c r="I15" t="n">
        <v>5049458</v>
      </c>
      <c r="J15" t="inlineStr">
        <is>
          <t>ESTRATEGIAS AVANZADAS PARA OBTEN</t>
        </is>
      </c>
      <c r="K15" t="inlineStr">
        <is>
          <t>Z03</t>
        </is>
      </c>
      <c r="L15" t="inlineStr">
        <is>
          <t>(AP) 15 Dias</t>
        </is>
      </c>
      <c r="M15" t="n">
        <v>10000811</v>
      </c>
      <c r="N15" t="inlineStr">
        <is>
          <t>Grava Triturada Caliza 20 mm - 3/4"</t>
        </is>
      </c>
      <c r="O15" t="inlineStr">
        <is>
          <t>DW70</t>
        </is>
      </c>
      <c r="P15" t="inlineStr">
        <is>
          <t>MX-CED. CENTRO</t>
        </is>
      </c>
      <c r="Q15" t="n">
        <v>20260814</v>
      </c>
      <c r="R15" t="n">
        <v>20301231</v>
      </c>
      <c r="S15" t="n">
        <v>20260814</v>
      </c>
      <c r="T15" t="n">
        <v>20301231</v>
      </c>
      <c r="U15" t="n">
        <v>501.2</v>
      </c>
      <c r="V15" t="inlineStr">
        <is>
          <t>MXN</t>
        </is>
      </c>
      <c r="W15" t="inlineStr">
        <is>
          <t>M3</t>
        </is>
      </c>
      <c r="X15" t="n">
        <v>276.2</v>
      </c>
      <c r="Y15" t="inlineStr">
        <is>
          <t>MXN</t>
        </is>
      </c>
      <c r="Z15" t="inlineStr">
        <is>
          <t>M3</t>
        </is>
      </c>
      <c r="AA15" t="inlineStr">
        <is>
          <t>D145</t>
        </is>
      </c>
      <c r="AB15" t="inlineStr">
        <is>
          <t>PD0458 ECATEPEC II</t>
        </is>
      </c>
      <c r="AC15" t="n">
        <v>56103637</v>
      </c>
      <c r="AD15" t="n">
        <v>6644261540</v>
      </c>
      <c r="AE15" t="n">
        <v>4</v>
      </c>
      <c r="AF15" t="inlineStr">
        <is>
          <t>ENTREGA DIRECTA</t>
        </is>
      </c>
      <c r="AG15" t="n">
        <v>1.447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20260821</v>
      </c>
      <c r="AM15" t="inlineStr">
        <is>
          <t>DW70-900009585-D145-10000811-4</t>
        </is>
      </c>
    </row>
    <row r="16">
      <c r="A16" t="inlineStr">
        <is>
          <t>900003438DW70D09810000811</t>
        </is>
      </c>
      <c r="B16" t="inlineStr">
        <is>
          <t>4600050497-880</t>
        </is>
      </c>
      <c r="C16" t="n">
        <v>4600050497</v>
      </c>
      <c r="D16" t="n">
        <v>880</v>
      </c>
      <c r="E16" t="inlineStr">
        <is>
          <t>MXPO</t>
        </is>
      </c>
      <c r="F16" t="inlineStr">
        <is>
          <t>MXL</t>
        </is>
      </c>
      <c r="G16" t="n">
        <v>900003438</v>
      </c>
      <c r="H16" t="inlineStr">
        <is>
          <t>TC-ED-ESTRATEGIAS AVANZADAS</t>
        </is>
      </c>
      <c r="I16" t="n">
        <v>5049458</v>
      </c>
      <c r="J16" t="inlineStr">
        <is>
          <t>ESTRATEGIAS AVANZADAS PARA OBTEN</t>
        </is>
      </c>
      <c r="K16" t="inlineStr">
        <is>
          <t>Z03</t>
        </is>
      </c>
      <c r="L16" t="inlineStr">
        <is>
          <t>(AP) 15 Dias</t>
        </is>
      </c>
      <c r="M16" t="n">
        <v>10000811</v>
      </c>
      <c r="N16" t="inlineStr">
        <is>
          <t>Grava Triturada Caliza 20 mm - 3/4"</t>
        </is>
      </c>
      <c r="O16" t="inlineStr">
        <is>
          <t>DW70</t>
        </is>
      </c>
      <c r="P16" t="inlineStr">
        <is>
          <t>MX-CED. CENTRO</t>
        </is>
      </c>
      <c r="Q16" t="n">
        <v>20210712</v>
      </c>
      <c r="R16" t="n">
        <v>20281231</v>
      </c>
      <c r="S16" t="n">
        <v>20260819</v>
      </c>
      <c r="T16" t="n">
        <v>20301231</v>
      </c>
      <c r="U16" t="n">
        <v>427</v>
      </c>
      <c r="V16" t="inlineStr">
        <is>
          <t>MXN</t>
        </is>
      </c>
      <c r="W16" t="inlineStr">
        <is>
          <t>M3</t>
        </is>
      </c>
      <c r="X16" t="n">
        <v>227</v>
      </c>
      <c r="Y16" t="inlineStr">
        <is>
          <t>MXN</t>
        </is>
      </c>
      <c r="Z16" t="inlineStr">
        <is>
          <t>M3</t>
        </is>
      </c>
      <c r="AA16" t="inlineStr">
        <is>
          <t>D098</t>
        </is>
      </c>
      <c r="AB16" t="inlineStr">
        <is>
          <t>PD0315 CUAUTITLAN II</t>
        </is>
      </c>
      <c r="AC16" t="n">
        <v>56103637</v>
      </c>
      <c r="AD16" t="n">
        <v>6644261540</v>
      </c>
      <c r="AE16" t="n">
        <v>4</v>
      </c>
      <c r="AF16" t="inlineStr">
        <is>
          <t>ENTREGA DIRECTA</t>
        </is>
      </c>
      <c r="AG16" t="n">
        <v>1.447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20260821</v>
      </c>
      <c r="AM16" t="inlineStr">
        <is>
          <t>DW70-900003438-D098-10000811-4</t>
        </is>
      </c>
    </row>
    <row r="17">
      <c r="A17" t="inlineStr">
        <is>
          <t>900006172DW70D68110000811</t>
        </is>
      </c>
      <c r="B17" t="inlineStr">
        <is>
          <t>4600072309-290</t>
        </is>
      </c>
      <c r="C17" t="n">
        <v>4600072309</v>
      </c>
      <c r="D17" t="n">
        <v>290</v>
      </c>
      <c r="E17" t="inlineStr">
        <is>
          <t>MXPO</t>
        </is>
      </c>
      <c r="F17" t="inlineStr">
        <is>
          <t>MXL</t>
        </is>
      </c>
      <c r="G17" t="n">
        <v>900006172</v>
      </c>
      <c r="H17" t="inlineStr">
        <is>
          <t>SF TC-ED ESTRATEGIAS SANTA CALIZA</t>
        </is>
      </c>
      <c r="I17" t="n">
        <v>5049458</v>
      </c>
      <c r="J17" t="inlineStr">
        <is>
          <t>ESTRATEGIAS AVANZADAS PARA OBTEN</t>
        </is>
      </c>
      <c r="K17" t="inlineStr">
        <is>
          <t>Z03</t>
        </is>
      </c>
      <c r="L17" t="inlineStr">
        <is>
          <t>(AP) 15 Dias</t>
        </is>
      </c>
      <c r="M17" t="n">
        <v>10000811</v>
      </c>
      <c r="N17" t="inlineStr">
        <is>
          <t>Grava Triturada Caliza 20 mm - 3/4"</t>
        </is>
      </c>
      <c r="O17" t="inlineStr">
        <is>
          <t>DW70</t>
        </is>
      </c>
      <c r="P17" t="inlineStr">
        <is>
          <t>MX-CED. CENTRO</t>
        </is>
      </c>
      <c r="Q17" t="n">
        <v>20260616</v>
      </c>
      <c r="R17" t="n">
        <v>20301231</v>
      </c>
      <c r="S17" t="n">
        <v>20260805</v>
      </c>
      <c r="T17" t="n">
        <v>20301231</v>
      </c>
      <c r="U17" t="n">
        <v>436</v>
      </c>
      <c r="V17" t="inlineStr">
        <is>
          <t>MXN</t>
        </is>
      </c>
      <c r="W17" t="inlineStr">
        <is>
          <t>M3</t>
        </is>
      </c>
      <c r="X17" t="n">
        <v>280</v>
      </c>
      <c r="Y17" t="inlineStr">
        <is>
          <t>MXN</t>
        </is>
      </c>
      <c r="Z17" t="inlineStr">
        <is>
          <t>M3</t>
        </is>
      </c>
      <c r="AA17" t="inlineStr">
        <is>
          <t>D681</t>
        </is>
      </c>
      <c r="AB17" t="inlineStr">
        <is>
          <t>PD0639 TULTEPEC</t>
        </is>
      </c>
      <c r="AC17" t="n">
        <v>56103637</v>
      </c>
      <c r="AD17" t="n">
        <v>6644261540</v>
      </c>
      <c r="AE17" t="n">
        <v>4</v>
      </c>
      <c r="AF17" t="inlineStr">
        <is>
          <t>ENTREGA DIRECTA</t>
        </is>
      </c>
      <c r="AG17" t="n">
        <v>1.447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20260811</v>
      </c>
      <c r="AM17" t="inlineStr">
        <is>
          <t>DW70-900006172-D681-10000811-4</t>
        </is>
      </c>
    </row>
    <row r="18">
      <c r="A18" t="inlineStr">
        <is>
          <t>900006172DW70D07910000811</t>
        </is>
      </c>
      <c r="B18" t="inlineStr">
        <is>
          <t>4600072309-190</t>
        </is>
      </c>
      <c r="C18" t="n">
        <v>4600072309</v>
      </c>
      <c r="D18" t="n">
        <v>190</v>
      </c>
      <c r="E18" t="inlineStr">
        <is>
          <t>MXPO</t>
        </is>
      </c>
      <c r="F18" t="inlineStr">
        <is>
          <t>MXL</t>
        </is>
      </c>
      <c r="G18" t="n">
        <v>900006172</v>
      </c>
      <c r="H18" t="inlineStr">
        <is>
          <t>SF TC-ED ESTRATEGIAS SANTA CALIZA</t>
        </is>
      </c>
      <c r="I18" t="n">
        <v>5049458</v>
      </c>
      <c r="J18" t="inlineStr">
        <is>
          <t>ESTRATEGIAS AVANZADAS PARA OBTEN</t>
        </is>
      </c>
      <c r="K18" t="inlineStr">
        <is>
          <t>Z03</t>
        </is>
      </c>
      <c r="L18" t="inlineStr">
        <is>
          <t>(AP) 15 Dias</t>
        </is>
      </c>
      <c r="M18" t="n">
        <v>10000811</v>
      </c>
      <c r="N18" t="inlineStr">
        <is>
          <t>Grava Triturada Caliza 20 mm - 3/4"</t>
        </is>
      </c>
      <c r="O18" t="inlineStr">
        <is>
          <t>DW70</t>
        </is>
      </c>
      <c r="P18" t="inlineStr">
        <is>
          <t>MX-CED. CENTRO</t>
        </is>
      </c>
      <c r="Q18" t="n">
        <v>20260616</v>
      </c>
      <c r="R18" t="n">
        <v>20301231</v>
      </c>
      <c r="S18" t="n">
        <v>20260805</v>
      </c>
      <c r="T18" t="n">
        <v>20301231</v>
      </c>
      <c r="U18" t="n">
        <v>694</v>
      </c>
      <c r="V18" t="inlineStr">
        <is>
          <t>MXN</t>
        </is>
      </c>
      <c r="W18" t="inlineStr">
        <is>
          <t>M3</t>
        </is>
      </c>
      <c r="X18" t="n">
        <v>538</v>
      </c>
      <c r="Y18" t="inlineStr">
        <is>
          <t>MXN</t>
        </is>
      </c>
      <c r="Z18" t="inlineStr">
        <is>
          <t>M3</t>
        </is>
      </c>
      <c r="AA18" t="inlineStr">
        <is>
          <t>D079</t>
        </is>
      </c>
      <c r="AB18" t="inlineStr">
        <is>
          <t>PD0071 XOCHIMILCO</t>
        </is>
      </c>
      <c r="AC18" t="n">
        <v>56103637</v>
      </c>
      <c r="AD18" t="n">
        <v>6644261540</v>
      </c>
      <c r="AE18" t="n">
        <v>4</v>
      </c>
      <c r="AF18" t="inlineStr">
        <is>
          <t>ENTREGA DIRECTA</t>
        </is>
      </c>
      <c r="AG18" t="n">
        <v>1.447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20260811</v>
      </c>
      <c r="AM18" t="inlineStr">
        <is>
          <t>DW70-900006172-D079-10000811-4</t>
        </is>
      </c>
    </row>
    <row r="19">
      <c r="A19" t="inlineStr">
        <is>
          <t>900009585DW70D09310000811</t>
        </is>
      </c>
      <c r="B19" t="inlineStr">
        <is>
          <t>4600072549-10</t>
        </is>
      </c>
      <c r="C19" t="n">
        <v>4600072549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900009585</v>
      </c>
      <c r="H19" t="inlineStr">
        <is>
          <t>SF TC-ED ESTRATEGIAS MAQ Y CANTERAS</t>
        </is>
      </c>
      <c r="I19" t="n">
        <v>5049458</v>
      </c>
      <c r="J19" t="inlineStr">
        <is>
          <t>ESTRATEGIAS AVANZADAS PARA OBTEN</t>
        </is>
      </c>
      <c r="K19" t="inlineStr">
        <is>
          <t>Z03</t>
        </is>
      </c>
      <c r="L19" t="inlineStr">
        <is>
          <t>(AP) 15 Dias</t>
        </is>
      </c>
      <c r="M19" t="n">
        <v>10000811</v>
      </c>
      <c r="N19" t="inlineStr">
        <is>
          <t>Grava Triturada Caliza 20 mm - 3/4"</t>
        </is>
      </c>
      <c r="O19" t="inlineStr">
        <is>
          <t>DW70</t>
        </is>
      </c>
      <c r="P19" t="inlineStr">
        <is>
          <t>MX-CED. CENTRO</t>
        </is>
      </c>
      <c r="Q19" t="n">
        <v>20260814</v>
      </c>
      <c r="R19" t="n">
        <v>20301231</v>
      </c>
      <c r="S19" t="n">
        <v>20260814</v>
      </c>
      <c r="T19" t="n">
        <v>20301231</v>
      </c>
      <c r="U19" t="n">
        <v>405.9</v>
      </c>
      <c r="V19" t="inlineStr">
        <is>
          <t>MXN</t>
        </is>
      </c>
      <c r="W19" t="inlineStr">
        <is>
          <t>M3</t>
        </is>
      </c>
      <c r="X19" t="n">
        <v>180.9</v>
      </c>
      <c r="Y19" t="inlineStr">
        <is>
          <t>MXN</t>
        </is>
      </c>
      <c r="Z19" t="inlineStr">
        <is>
          <t>M3</t>
        </is>
      </c>
      <c r="AA19" t="inlineStr">
        <is>
          <t>D093</t>
        </is>
      </c>
      <c r="AB19" t="inlineStr">
        <is>
          <t>PD0556 ZUMPANGO</t>
        </is>
      </c>
      <c r="AC19" t="n">
        <v>56103637</v>
      </c>
      <c r="AD19" t="n">
        <v>6644261540</v>
      </c>
      <c r="AE19" t="n">
        <v>4</v>
      </c>
      <c r="AF19" t="inlineStr">
        <is>
          <t>ENTREGA DIRECTA</t>
        </is>
      </c>
      <c r="AG19" t="n">
        <v>1.447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20260821</v>
      </c>
      <c r="AM19" t="inlineStr">
        <is>
          <t>DW70-900009585-D093-10000811-4</t>
        </is>
      </c>
    </row>
    <row r="20">
      <c r="A20" t="inlineStr">
        <is>
          <t>900009292DW7010000811</t>
        </is>
      </c>
      <c r="B20" t="inlineStr">
        <is>
          <t>4600071553-30</t>
        </is>
      </c>
      <c r="C20" t="n">
        <v>4600071553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900009292</v>
      </c>
      <c r="H20" t="inlineStr">
        <is>
          <t>SF TC-GRAVICOR GIL</t>
        </is>
      </c>
      <c r="I20" t="n">
        <v>5096226</v>
      </c>
      <c r="J20" t="inlineStr">
        <is>
          <t>GIL HERNANDEZ RACIEL</t>
        </is>
      </c>
      <c r="K20" t="inlineStr">
        <is>
          <t>N90</t>
        </is>
      </c>
      <c r="L20" t="inlineStr">
        <is>
          <t>(AP) NAFIN 90 Dias</t>
        </is>
      </c>
      <c r="M20" t="n">
        <v>10000811</v>
      </c>
      <c r="N20" t="inlineStr">
        <is>
          <t>Grava Triturada Caliza 20 mm - 3/4"</t>
        </is>
      </c>
      <c r="O20" t="inlineStr">
        <is>
          <t>DW70</t>
        </is>
      </c>
      <c r="P20" t="inlineStr">
        <is>
          <t>MX-CED. CENTRO</t>
        </is>
      </c>
      <c r="Q20" t="n">
        <v>20250813</v>
      </c>
      <c r="R20" t="n">
        <v>20301231</v>
      </c>
      <c r="S20" t="n">
        <v>20260814</v>
      </c>
      <c r="T20" t="n">
        <v>20301231</v>
      </c>
      <c r="U20" t="n">
        <v>225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6644261540</v>
      </c>
      <c r="AE20" t="n">
        <v>1</v>
      </c>
      <c r="AF20" t="inlineStr">
        <is>
          <t>ENTREGADO</t>
        </is>
      </c>
      <c r="AG20" t="n">
        <v>1.447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20260821</v>
      </c>
      <c r="AM20" t="inlineStr">
        <is>
          <t>DW70-900009292-10000811</t>
        </is>
      </c>
    </row>
    <row r="21">
      <c r="A21" t="inlineStr">
        <is>
          <t>900003438DW70D08110000811</t>
        </is>
      </c>
      <c r="B21" t="inlineStr">
        <is>
          <t>4600050497-820</t>
        </is>
      </c>
      <c r="C21" t="n">
        <v>4600050497</v>
      </c>
      <c r="D21" t="n">
        <v>820</v>
      </c>
      <c r="E21" t="inlineStr">
        <is>
          <t>MXPO</t>
        </is>
      </c>
      <c r="F21" t="inlineStr">
        <is>
          <t>MXL</t>
        </is>
      </c>
      <c r="G21" t="n">
        <v>900003438</v>
      </c>
      <c r="H21" t="inlineStr">
        <is>
          <t>TC-ED-ESTRATEGIAS AVANZADAS</t>
        </is>
      </c>
      <c r="I21" t="n">
        <v>5049458</v>
      </c>
      <c r="J21" t="inlineStr">
        <is>
          <t>ESTRATEGIAS AVANZADAS PARA OBTEN</t>
        </is>
      </c>
      <c r="K21" t="inlineStr">
        <is>
          <t>Z03</t>
        </is>
      </c>
      <c r="L21" t="inlineStr">
        <is>
          <t>(AP) 15 Dias</t>
        </is>
      </c>
      <c r="M21" t="n">
        <v>10000811</v>
      </c>
      <c r="N21" t="inlineStr">
        <is>
          <t>Grava Triturada Caliza 20 mm - 3/4"</t>
        </is>
      </c>
      <c r="O21" t="inlineStr">
        <is>
          <t>DW70</t>
        </is>
      </c>
      <c r="P21" t="inlineStr">
        <is>
          <t>MX-CED. CENTRO</t>
        </is>
      </c>
      <c r="Q21" t="n">
        <v>20210712</v>
      </c>
      <c r="R21" t="n">
        <v>20281231</v>
      </c>
      <c r="S21" t="n">
        <v>20260819</v>
      </c>
      <c r="T21" t="n">
        <v>20301231</v>
      </c>
      <c r="U21" t="n">
        <v>536</v>
      </c>
      <c r="V21" t="inlineStr">
        <is>
          <t>MXN</t>
        </is>
      </c>
      <c r="W21" t="inlineStr">
        <is>
          <t>M3</t>
        </is>
      </c>
      <c r="X21" t="n">
        <v>336</v>
      </c>
      <c r="Y21" t="inlineStr">
        <is>
          <t>MXN</t>
        </is>
      </c>
      <c r="Z21" t="inlineStr">
        <is>
          <t>M3</t>
        </is>
      </c>
      <c r="AA21" t="inlineStr">
        <is>
          <t>D081</t>
        </is>
      </c>
      <c r="AB21" t="inlineStr">
        <is>
          <t>PD0088 ARMAS</t>
        </is>
      </c>
      <c r="AC21" t="n">
        <v>56103637</v>
      </c>
      <c r="AD21" t="n">
        <v>6644261540</v>
      </c>
      <c r="AE21" t="n">
        <v>4</v>
      </c>
      <c r="AF21" t="inlineStr">
        <is>
          <t>ENTREGA DIRECTA</t>
        </is>
      </c>
      <c r="AG21" t="n">
        <v>1.447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20260821</v>
      </c>
      <c r="AM21" t="inlineStr">
        <is>
          <t>DW70-900003438-D081-10000811-4</t>
        </is>
      </c>
    </row>
    <row r="22">
      <c r="A22" t="inlineStr">
        <is>
          <t>900003438DW70D14510000811</t>
        </is>
      </c>
      <c r="B22" t="inlineStr">
        <is>
          <t>4600050497-910</t>
        </is>
      </c>
      <c r="C22" t="n">
        <v>4600050497</v>
      </c>
      <c r="D22" t="n">
        <v>910</v>
      </c>
      <c r="E22" t="inlineStr">
        <is>
          <t>MXPO</t>
        </is>
      </c>
      <c r="F22" t="inlineStr">
        <is>
          <t>MXL</t>
        </is>
      </c>
      <c r="G22" t="n">
        <v>900003438</v>
      </c>
      <c r="H22" t="inlineStr">
        <is>
          <t>TC-ED-ESTRATEGIAS AVANZADAS</t>
        </is>
      </c>
      <c r="I22" t="n">
        <v>5049458</v>
      </c>
      <c r="J22" t="inlineStr">
        <is>
          <t>ESTRATEGIAS AVANZADAS PARA OBTEN</t>
        </is>
      </c>
      <c r="K22" t="inlineStr">
        <is>
          <t>Z03</t>
        </is>
      </c>
      <c r="L22" t="inlineStr">
        <is>
          <t>(AP) 15 Dias</t>
        </is>
      </c>
      <c r="M22" t="n">
        <v>10000811</v>
      </c>
      <c r="N22" t="inlineStr">
        <is>
          <t>Grava Triturada Caliza 20 mm - 3/4"</t>
        </is>
      </c>
      <c r="O22" t="inlineStr">
        <is>
          <t>DW70</t>
        </is>
      </c>
      <c r="P22" t="inlineStr">
        <is>
          <t>MX-CED. CENTRO</t>
        </is>
      </c>
      <c r="Q22" t="n">
        <v>20210712</v>
      </c>
      <c r="R22" t="n">
        <v>20281231</v>
      </c>
      <c r="S22" t="n">
        <v>20260819</v>
      </c>
      <c r="T22" t="n">
        <v>20301231</v>
      </c>
      <c r="U22" t="n">
        <v>540.5</v>
      </c>
      <c r="V22" t="inlineStr">
        <is>
          <t>MXN</t>
        </is>
      </c>
      <c r="W22" t="inlineStr">
        <is>
          <t>M3</t>
        </is>
      </c>
      <c r="X22" t="n">
        <v>340.5</v>
      </c>
      <c r="Y22" t="inlineStr">
        <is>
          <t>MXN</t>
        </is>
      </c>
      <c r="Z22" t="inlineStr">
        <is>
          <t>M3</t>
        </is>
      </c>
      <c r="AA22" t="inlineStr">
        <is>
          <t>D145</t>
        </is>
      </c>
      <c r="AB22" t="inlineStr">
        <is>
          <t>PD0458 ECATEPEC II</t>
        </is>
      </c>
      <c r="AC22" t="n">
        <v>56103637</v>
      </c>
      <c r="AD22" t="n">
        <v>6644261540</v>
      </c>
      <c r="AE22" t="n">
        <v>4</v>
      </c>
      <c r="AF22" t="inlineStr">
        <is>
          <t>ENTREGA DIRECTA</t>
        </is>
      </c>
      <c r="AG22" t="n">
        <v>1.447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20260821</v>
      </c>
      <c r="AM22" t="inlineStr">
        <is>
          <t>DW70-900003438-D145-10000811-4</t>
        </is>
      </c>
    </row>
    <row r="23">
      <c r="A23" t="inlineStr">
        <is>
          <t>900006172DW70D08310000811</t>
        </is>
      </c>
      <c r="B23" t="inlineStr">
        <is>
          <t>4600072309-210</t>
        </is>
      </c>
      <c r="C23" t="n">
        <v>4600072309</v>
      </c>
      <c r="D23" t="n">
        <v>210</v>
      </c>
      <c r="E23" t="inlineStr">
        <is>
          <t>MXPO</t>
        </is>
      </c>
      <c r="F23" t="inlineStr">
        <is>
          <t>MXL</t>
        </is>
      </c>
      <c r="G23" t="n">
        <v>900006172</v>
      </c>
      <c r="H23" t="inlineStr">
        <is>
          <t>SF TC-ED ESTRATEGIAS SANTA CALIZA</t>
        </is>
      </c>
      <c r="I23" t="n">
        <v>5049458</v>
      </c>
      <c r="J23" t="inlineStr">
        <is>
          <t>ESTRATEGIAS AVANZADAS PARA OBTEN</t>
        </is>
      </c>
      <c r="K23" t="inlineStr">
        <is>
          <t>Z03</t>
        </is>
      </c>
      <c r="L23" t="inlineStr">
        <is>
          <t>(AP) 15 Dias</t>
        </is>
      </c>
      <c r="M23" t="n">
        <v>10000811</v>
      </c>
      <c r="N23" t="inlineStr">
        <is>
          <t>Grava Triturada Caliza 20 mm - 3/4"</t>
        </is>
      </c>
      <c r="O23" t="inlineStr">
        <is>
          <t>DW70</t>
        </is>
      </c>
      <c r="P23" t="inlineStr">
        <is>
          <t>MX-CED. CENTRO</t>
        </is>
      </c>
      <c r="Q23" t="n">
        <v>20260616</v>
      </c>
      <c r="R23" t="n">
        <v>20301231</v>
      </c>
      <c r="S23" t="n">
        <v>20260805</v>
      </c>
      <c r="T23" t="n">
        <v>20301231</v>
      </c>
      <c r="U23" t="n">
        <v>579</v>
      </c>
      <c r="V23" t="inlineStr">
        <is>
          <t>MXN</t>
        </is>
      </c>
      <c r="W23" t="inlineStr">
        <is>
          <t>M3</t>
        </is>
      </c>
      <c r="X23" t="n">
        <v>423</v>
      </c>
      <c r="Y23" t="inlineStr">
        <is>
          <t>MXN</t>
        </is>
      </c>
      <c r="Z23" t="inlineStr">
        <is>
          <t>M3</t>
        </is>
      </c>
      <c r="AA23" t="inlineStr">
        <is>
          <t>D083</t>
        </is>
      </c>
      <c r="AB23" t="inlineStr">
        <is>
          <t>PD0099 MINAS</t>
        </is>
      </c>
      <c r="AC23" t="n">
        <v>56103637</v>
      </c>
      <c r="AD23" t="n">
        <v>6644261540</v>
      </c>
      <c r="AE23" t="n">
        <v>4</v>
      </c>
      <c r="AF23" t="inlineStr">
        <is>
          <t>ENTREGA DIRECTA</t>
        </is>
      </c>
      <c r="AG23" t="n">
        <v>1.447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20260811</v>
      </c>
      <c r="AM23" t="inlineStr">
        <is>
          <t>DW70-900006172-D083-10000811-4</t>
        </is>
      </c>
    </row>
    <row r="24">
      <c r="A24" t="inlineStr">
        <is>
          <t>900006172DW70D10510000811</t>
        </is>
      </c>
      <c r="B24" t="inlineStr">
        <is>
          <t>4600072309-260</t>
        </is>
      </c>
      <c r="C24" t="n">
        <v>4600072309</v>
      </c>
      <c r="D24" t="n">
        <v>260</v>
      </c>
      <c r="E24" t="inlineStr">
        <is>
          <t>MXPO</t>
        </is>
      </c>
      <c r="F24" t="inlineStr">
        <is>
          <t>MXL</t>
        </is>
      </c>
      <c r="G24" t="n">
        <v>900006172</v>
      </c>
      <c r="H24" t="inlineStr">
        <is>
          <t>SF TC-ED ESTRATEGIAS SANTA CALIZA</t>
        </is>
      </c>
      <c r="I24" t="n">
        <v>5049458</v>
      </c>
      <c r="J24" t="inlineStr">
        <is>
          <t>ESTRATEGIAS AVANZADAS PARA OBTEN</t>
        </is>
      </c>
      <c r="K24" t="inlineStr">
        <is>
          <t>Z03</t>
        </is>
      </c>
      <c r="L24" t="inlineStr">
        <is>
          <t>(AP) 15 Dias</t>
        </is>
      </c>
      <c r="M24" t="n">
        <v>10000811</v>
      </c>
      <c r="N24" t="inlineStr">
        <is>
          <t>Grava Triturada Caliza 20 mm - 3/4"</t>
        </is>
      </c>
      <c r="O24" t="inlineStr">
        <is>
          <t>DW70</t>
        </is>
      </c>
      <c r="P24" t="inlineStr">
        <is>
          <t>MX-CED. CENTRO</t>
        </is>
      </c>
      <c r="Q24" t="n">
        <v>20260616</v>
      </c>
      <c r="R24" t="n">
        <v>20301231</v>
      </c>
      <c r="S24" t="n">
        <v>20260805</v>
      </c>
      <c r="T24" t="n">
        <v>20301231</v>
      </c>
      <c r="U24" t="n">
        <v>516</v>
      </c>
      <c r="V24" t="inlineStr">
        <is>
          <t>MXN</t>
        </is>
      </c>
      <c r="W24" t="inlineStr">
        <is>
          <t>M3</t>
        </is>
      </c>
      <c r="X24" t="n">
        <v>360</v>
      </c>
      <c r="Y24" t="inlineStr">
        <is>
          <t>MXN</t>
        </is>
      </c>
      <c r="Z24" t="inlineStr">
        <is>
          <t>M3</t>
        </is>
      </c>
      <c r="AA24" t="inlineStr">
        <is>
          <t>D105</t>
        </is>
      </c>
      <c r="AB24" t="inlineStr">
        <is>
          <t>PD0331 NAUCALPAN II</t>
        </is>
      </c>
      <c r="AC24" t="n">
        <v>56103637</v>
      </c>
      <c r="AD24" t="n">
        <v>6644261540</v>
      </c>
      <c r="AE24" t="n">
        <v>4</v>
      </c>
      <c r="AF24" t="inlineStr">
        <is>
          <t>ENTREGA DIRECTA</t>
        </is>
      </c>
      <c r="AG24" t="n">
        <v>1.447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20260811</v>
      </c>
      <c r="AM24" t="inlineStr">
        <is>
          <t>DW70-900006172-D105-10000811-4</t>
        </is>
      </c>
    </row>
    <row r="25">
      <c r="A25" t="inlineStr">
        <is>
          <t>900006172DW70D08110000811</t>
        </is>
      </c>
      <c r="B25" t="inlineStr">
        <is>
          <t>4600072309-200</t>
        </is>
      </c>
      <c r="C25" t="n">
        <v>4600072309</v>
      </c>
      <c r="D25" t="n">
        <v>200</v>
      </c>
      <c r="E25" t="inlineStr">
        <is>
          <t>MXPO</t>
        </is>
      </c>
      <c r="F25" t="inlineStr">
        <is>
          <t>MXL</t>
        </is>
      </c>
      <c r="G25" t="n">
        <v>900006172</v>
      </c>
      <c r="H25" t="inlineStr">
        <is>
          <t>SF TC-ED ESTRATEGIAS SANTA CALIZA</t>
        </is>
      </c>
      <c r="I25" t="n">
        <v>5049458</v>
      </c>
      <c r="J25" t="inlineStr">
        <is>
          <t>ESTRATEGIAS AVANZADAS PARA OBTEN</t>
        </is>
      </c>
      <c r="K25" t="inlineStr">
        <is>
          <t>Z03</t>
        </is>
      </c>
      <c r="L25" t="inlineStr">
        <is>
          <t>(AP) 15 Dias</t>
        </is>
      </c>
      <c r="M25" t="n">
        <v>10000811</v>
      </c>
      <c r="N25" t="inlineStr">
        <is>
          <t>Grava Triturada Caliza 20 mm - 3/4"</t>
        </is>
      </c>
      <c r="O25" t="inlineStr">
        <is>
          <t>DW70</t>
        </is>
      </c>
      <c r="P25" t="inlineStr">
        <is>
          <t>MX-CED. CENTRO</t>
        </is>
      </c>
      <c r="Q25" t="n">
        <v>20260616</v>
      </c>
      <c r="R25" t="n">
        <v>20301231</v>
      </c>
      <c r="S25" t="n">
        <v>20260805</v>
      </c>
      <c r="T25" t="n">
        <v>20301231</v>
      </c>
      <c r="U25" t="n">
        <v>507</v>
      </c>
      <c r="V25" t="inlineStr">
        <is>
          <t>MXN</t>
        </is>
      </c>
      <c r="W25" t="inlineStr">
        <is>
          <t>M3</t>
        </is>
      </c>
      <c r="X25" t="n">
        <v>351</v>
      </c>
      <c r="Y25" t="inlineStr">
        <is>
          <t>MXN</t>
        </is>
      </c>
      <c r="Z25" t="inlineStr">
        <is>
          <t>M3</t>
        </is>
      </c>
      <c r="AA25" t="inlineStr">
        <is>
          <t>D081</t>
        </is>
      </c>
      <c r="AB25" t="inlineStr">
        <is>
          <t>PD0088 ARMAS</t>
        </is>
      </c>
      <c r="AC25" t="n">
        <v>56103637</v>
      </c>
      <c r="AD25" t="n">
        <v>6644261540</v>
      </c>
      <c r="AE25" t="n">
        <v>4</v>
      </c>
      <c r="AF25" t="inlineStr">
        <is>
          <t>ENTREGA DIRECTA</t>
        </is>
      </c>
      <c r="AG25" t="n">
        <v>1.447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20260811</v>
      </c>
      <c r="AM25" t="inlineStr">
        <is>
          <t>DW70-900006172-D081-10000811-4</t>
        </is>
      </c>
    </row>
    <row r="26">
      <c r="A26" t="inlineStr">
        <is>
          <t>900006172DW70D08410000811</t>
        </is>
      </c>
      <c r="B26" t="inlineStr">
        <is>
          <t>4600072309-220</t>
        </is>
      </c>
      <c r="C26" t="n">
        <v>4600072309</v>
      </c>
      <c r="D26" t="n">
        <v>220</v>
      </c>
      <c r="E26" t="inlineStr">
        <is>
          <t>MXPO</t>
        </is>
      </c>
      <c r="F26" t="inlineStr">
        <is>
          <t>MXL</t>
        </is>
      </c>
      <c r="G26" t="n">
        <v>900006172</v>
      </c>
      <c r="H26" t="inlineStr">
        <is>
          <t>SF TC-ED ESTRATEGIAS SANTA CALIZA</t>
        </is>
      </c>
      <c r="I26" t="n">
        <v>5049458</v>
      </c>
      <c r="J26" t="inlineStr">
        <is>
          <t>ESTRATEGIAS AVANZADAS PARA OBTEN</t>
        </is>
      </c>
      <c r="K26" t="inlineStr">
        <is>
          <t>Z03</t>
        </is>
      </c>
      <c r="L26" t="inlineStr">
        <is>
          <t>(AP) 15 Dias</t>
        </is>
      </c>
      <c r="M26" t="n">
        <v>10000811</v>
      </c>
      <c r="N26" t="inlineStr">
        <is>
          <t>Grava Triturada Caliza 20 mm - 3/4"</t>
        </is>
      </c>
      <c r="O26" t="inlineStr">
        <is>
          <t>DW70</t>
        </is>
      </c>
      <c r="P26" t="inlineStr">
        <is>
          <t>MX-CED. CENTRO</t>
        </is>
      </c>
      <c r="Q26" t="n">
        <v>20260616</v>
      </c>
      <c r="R26" t="n">
        <v>20301231</v>
      </c>
      <c r="S26" t="n">
        <v>20260805</v>
      </c>
      <c r="T26" t="n">
        <v>20301231</v>
      </c>
      <c r="U26" t="n">
        <v>627</v>
      </c>
      <c r="V26" t="inlineStr">
        <is>
          <t>MXN</t>
        </is>
      </c>
      <c r="W26" t="inlineStr">
        <is>
          <t>M3</t>
        </is>
      </c>
      <c r="X26" t="n">
        <v>471</v>
      </c>
      <c r="Y26" t="inlineStr">
        <is>
          <t>MXN</t>
        </is>
      </c>
      <c r="Z26" t="inlineStr">
        <is>
          <t>M3</t>
        </is>
      </c>
      <c r="AA26" t="inlineStr">
        <is>
          <t>D084</t>
        </is>
      </c>
      <c r="AB26" t="inlineStr">
        <is>
          <t>PD0186 IZTAPALAPA</t>
        </is>
      </c>
      <c r="AC26" t="n">
        <v>56103637</v>
      </c>
      <c r="AD26" t="n">
        <v>6644261540</v>
      </c>
      <c r="AE26" t="n">
        <v>4</v>
      </c>
      <c r="AF26" t="inlineStr">
        <is>
          <t>ENTREGA DIRECTA</t>
        </is>
      </c>
      <c r="AG26" t="n">
        <v>1.447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20260811</v>
      </c>
      <c r="AM26" t="inlineStr">
        <is>
          <t>DW70-900006172-D084-10000811-4</t>
        </is>
      </c>
    </row>
    <row r="27">
      <c r="A27" t="inlineStr">
        <is>
          <t>900003438DW70D09310000811</t>
        </is>
      </c>
      <c r="B27" t="inlineStr">
        <is>
          <t>4600050497-930</t>
        </is>
      </c>
      <c r="C27" t="n">
        <v>4600050497</v>
      </c>
      <c r="D27" t="n">
        <v>930</v>
      </c>
      <c r="E27" t="inlineStr">
        <is>
          <t>MXPO</t>
        </is>
      </c>
      <c r="F27" t="inlineStr">
        <is>
          <t>MXL</t>
        </is>
      </c>
      <c r="G27" t="n">
        <v>900003438</v>
      </c>
      <c r="H27" t="inlineStr">
        <is>
          <t>TC-ED-ESTRATEGIAS AVANZADAS</t>
        </is>
      </c>
      <c r="I27" t="n">
        <v>5049458</v>
      </c>
      <c r="J27" t="inlineStr">
        <is>
          <t>ESTRATEGIAS AVANZADAS PARA OBTEN</t>
        </is>
      </c>
      <c r="K27" t="inlineStr">
        <is>
          <t>Z03</t>
        </is>
      </c>
      <c r="L27" t="inlineStr">
        <is>
          <t>(AP) 15 Dias</t>
        </is>
      </c>
      <c r="M27" t="n">
        <v>10000811</v>
      </c>
      <c r="N27" t="inlineStr">
        <is>
          <t>Grava Triturada Caliza 20 mm - 3/4"</t>
        </is>
      </c>
      <c r="O27" t="inlineStr">
        <is>
          <t>DW70</t>
        </is>
      </c>
      <c r="P27" t="inlineStr">
        <is>
          <t>MX-CED. CENTRO</t>
        </is>
      </c>
      <c r="Q27" t="n">
        <v>20210712</v>
      </c>
      <c r="R27" t="n">
        <v>20281231</v>
      </c>
      <c r="S27" t="n">
        <v>20260819</v>
      </c>
      <c r="T27" t="n">
        <v>20301231</v>
      </c>
      <c r="U27" t="n">
        <v>413.5</v>
      </c>
      <c r="V27" t="inlineStr">
        <is>
          <t>MXN</t>
        </is>
      </c>
      <c r="W27" t="inlineStr">
        <is>
          <t>M3</t>
        </is>
      </c>
      <c r="X27" t="n">
        <v>213.5</v>
      </c>
      <c r="Y27" t="inlineStr">
        <is>
          <t>MXN</t>
        </is>
      </c>
      <c r="Z27" t="inlineStr">
        <is>
          <t>M3</t>
        </is>
      </c>
      <c r="AA27" t="inlineStr">
        <is>
          <t>D093</t>
        </is>
      </c>
      <c r="AB27" t="inlineStr">
        <is>
          <t>PD0556 ZUMPANGO</t>
        </is>
      </c>
      <c r="AC27" t="n">
        <v>56103637</v>
      </c>
      <c r="AD27" t="n">
        <v>6644261540</v>
      </c>
      <c r="AE27" t="n">
        <v>4</v>
      </c>
      <c r="AF27" t="inlineStr">
        <is>
          <t>ENTREGA DIRECTA</t>
        </is>
      </c>
      <c r="AG27" t="n">
        <v>1.447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20260821</v>
      </c>
      <c r="AM27" t="inlineStr">
        <is>
          <t>DW70-900003438-D093-10000811-4</t>
        </is>
      </c>
    </row>
    <row r="28">
      <c r="A28" t="inlineStr">
        <is>
          <t>900003438DW70D08510002802</t>
        </is>
      </c>
      <c r="B28" t="inlineStr">
        <is>
          <t>4600050497-500</t>
        </is>
      </c>
      <c r="C28" t="n">
        <v>4600050497</v>
      </c>
      <c r="D28" t="n">
        <v>500</v>
      </c>
      <c r="E28" t="inlineStr">
        <is>
          <t>MXPO</t>
        </is>
      </c>
      <c r="F28" t="inlineStr">
        <is>
          <t>MXL</t>
        </is>
      </c>
      <c r="G28" t="n">
        <v>900003438</v>
      </c>
      <c r="H28" t="inlineStr">
        <is>
          <t>TC-ED-ESTRATEGIAS AVANZADAS</t>
        </is>
      </c>
      <c r="I28" t="n">
        <v>5049458</v>
      </c>
      <c r="J28" t="inlineStr">
        <is>
          <t>ESTRATEGIAS AVANZADAS PARA OBTEN</t>
        </is>
      </c>
      <c r="K28" t="inlineStr">
        <is>
          <t>Z03</t>
        </is>
      </c>
      <c r="L28" t="inlineStr">
        <is>
          <t>(AP) 15 Dias</t>
        </is>
      </c>
      <c r="M28" t="n">
        <v>10002802</v>
      </c>
      <c r="N28" t="inlineStr">
        <is>
          <t>Arena Clasificada Río Malla 4 Lavado</t>
        </is>
      </c>
      <c r="O28" t="inlineStr">
        <is>
          <t>DW70</t>
        </is>
      </c>
      <c r="P28" t="inlineStr">
        <is>
          <t>MX-CED. CENTRO</t>
        </is>
      </c>
      <c r="Q28" t="n">
        <v>20210712</v>
      </c>
      <c r="R28" t="n">
        <v>20281231</v>
      </c>
      <c r="S28" t="n">
        <v>20240827</v>
      </c>
      <c r="T28" t="n">
        <v>20291231</v>
      </c>
      <c r="U28" t="n">
        <v>327.98</v>
      </c>
      <c r="V28" t="inlineStr">
        <is>
          <t>MXN</t>
        </is>
      </c>
      <c r="W28" t="inlineStr">
        <is>
          <t>M3</t>
        </is>
      </c>
      <c r="X28" t="n">
        <v>192.98</v>
      </c>
      <c r="Y28" t="inlineStr">
        <is>
          <t>MXN</t>
        </is>
      </c>
      <c r="Z28" t="inlineStr">
        <is>
          <t>M3</t>
        </is>
      </c>
      <c r="AA28" t="inlineStr">
        <is>
          <t>D085</t>
        </is>
      </c>
      <c r="AB28" t="inlineStr">
        <is>
          <t>PD0189 ROJO GOMEZ</t>
        </is>
      </c>
      <c r="AC28" t="n">
        <v>56103638</v>
      </c>
      <c r="AD28" t="n">
        <v>6644261540</v>
      </c>
      <c r="AE28" t="n">
        <v>4</v>
      </c>
      <c r="AF28" t="inlineStr">
        <is>
          <t>ENTREGA DIRECTA</t>
        </is>
      </c>
      <c r="AG28" t="n">
        <v>1.463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20240830</v>
      </c>
      <c r="AM28" t="inlineStr">
        <is>
          <t>DW70-900003438-D085-10002802-4</t>
        </is>
      </c>
    </row>
    <row r="29">
      <c r="A29" t="inlineStr">
        <is>
          <t>900003438DW70D07410002802</t>
        </is>
      </c>
      <c r="B29" t="inlineStr">
        <is>
          <t>4600050497-440</t>
        </is>
      </c>
      <c r="C29" t="n">
        <v>4600050497</v>
      </c>
      <c r="D29" t="n">
        <v>440</v>
      </c>
      <c r="E29" t="inlineStr">
        <is>
          <t>MXPO</t>
        </is>
      </c>
      <c r="F29" t="inlineStr">
        <is>
          <t>MXL</t>
        </is>
      </c>
      <c r="G29" t="n">
        <v>900003438</v>
      </c>
      <c r="H29" t="inlineStr">
        <is>
          <t>TC-ED-ESTRATEGIAS AVANZADAS</t>
        </is>
      </c>
      <c r="I29" t="n">
        <v>5049458</v>
      </c>
      <c r="J29" t="inlineStr">
        <is>
          <t>ESTRATEGIAS AVANZADAS PARA OBTEN</t>
        </is>
      </c>
      <c r="K29" t="inlineStr">
        <is>
          <t>Z03</t>
        </is>
      </c>
      <c r="L29" t="inlineStr">
        <is>
          <t>(AP) 15 Dias</t>
        </is>
      </c>
      <c r="M29" t="n">
        <v>10002802</v>
      </c>
      <c r="N29" t="inlineStr">
        <is>
          <t>Arena Clasificada Río Malla 4 Lavado</t>
        </is>
      </c>
      <c r="O29" t="inlineStr">
        <is>
          <t>DW70</t>
        </is>
      </c>
      <c r="P29" t="inlineStr">
        <is>
          <t>MX-CED. CENTRO</t>
        </is>
      </c>
      <c r="Q29" t="n">
        <v>20210712</v>
      </c>
      <c r="R29" t="n">
        <v>20281231</v>
      </c>
      <c r="S29" t="n">
        <v>20240827</v>
      </c>
      <c r="T29" t="n">
        <v>20291231</v>
      </c>
      <c r="U29" t="n">
        <v>371.83</v>
      </c>
      <c r="V29" t="inlineStr">
        <is>
          <t>MXN</t>
        </is>
      </c>
      <c r="W29" t="inlineStr">
        <is>
          <t>M3</t>
        </is>
      </c>
      <c r="X29" t="n">
        <v>236.83</v>
      </c>
      <c r="Y29" t="inlineStr">
        <is>
          <t>MXN</t>
        </is>
      </c>
      <c r="Z29" t="inlineStr">
        <is>
          <t>M3</t>
        </is>
      </c>
      <c r="AA29" t="inlineStr">
        <is>
          <t>D074</t>
        </is>
      </c>
      <c r="AB29" t="inlineStr">
        <is>
          <t>PD0063 CENTRAL</t>
        </is>
      </c>
      <c r="AC29" t="n">
        <v>56103638</v>
      </c>
      <c r="AD29" t="n">
        <v>6644261540</v>
      </c>
      <c r="AE29" t="n">
        <v>4</v>
      </c>
      <c r="AF29" t="inlineStr">
        <is>
          <t>ENTREGA DIRECTA</t>
        </is>
      </c>
      <c r="AG29" t="n">
        <v>1.463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20240830</v>
      </c>
      <c r="AM29" t="inlineStr">
        <is>
          <t>DW70-900003438-D074-10002802-4</t>
        </is>
      </c>
    </row>
    <row r="30">
      <c r="A30" t="inlineStr">
        <is>
          <t>900003438DW70D07910002802</t>
        </is>
      </c>
      <c r="B30" t="inlineStr">
        <is>
          <t>4600050497-460</t>
        </is>
      </c>
      <c r="C30" t="n">
        <v>4600050497</v>
      </c>
      <c r="D30" t="n">
        <v>460</v>
      </c>
      <c r="E30" t="inlineStr">
        <is>
          <t>MXPO</t>
        </is>
      </c>
      <c r="F30" t="inlineStr">
        <is>
          <t>MXL</t>
        </is>
      </c>
      <c r="G30" t="n">
        <v>900003438</v>
      </c>
      <c r="H30" t="inlineStr">
        <is>
          <t>TC-ED-ESTRATEGIAS AVANZADAS</t>
        </is>
      </c>
      <c r="I30" t="n">
        <v>5049458</v>
      </c>
      <c r="J30" t="inlineStr">
        <is>
          <t>ESTRATEGIAS AVANZADAS PARA OBTEN</t>
        </is>
      </c>
      <c r="K30" t="inlineStr">
        <is>
          <t>Z03</t>
        </is>
      </c>
      <c r="L30" t="inlineStr">
        <is>
          <t>(AP) 15 Dias</t>
        </is>
      </c>
      <c r="M30" t="n">
        <v>10002802</v>
      </c>
      <c r="N30" t="inlineStr">
        <is>
          <t>Arena Clasificada Río Malla 4 Lavado</t>
        </is>
      </c>
      <c r="O30" t="inlineStr">
        <is>
          <t>DW70</t>
        </is>
      </c>
      <c r="P30" t="inlineStr">
        <is>
          <t>MX-CED. CENTRO</t>
        </is>
      </c>
      <c r="Q30" t="n">
        <v>20210712</v>
      </c>
      <c r="R30" t="n">
        <v>20281231</v>
      </c>
      <c r="S30" t="n">
        <v>20240827</v>
      </c>
      <c r="T30" t="n">
        <v>20291231</v>
      </c>
      <c r="U30" t="n">
        <v>375.48</v>
      </c>
      <c r="V30" t="inlineStr">
        <is>
          <t>MXN</t>
        </is>
      </c>
      <c r="W30" t="inlineStr">
        <is>
          <t>M3</t>
        </is>
      </c>
      <c r="X30" t="n">
        <v>240.48</v>
      </c>
      <c r="Y30" t="inlineStr">
        <is>
          <t>MXN</t>
        </is>
      </c>
      <c r="Z30" t="inlineStr">
        <is>
          <t>M3</t>
        </is>
      </c>
      <c r="AA30" t="inlineStr">
        <is>
          <t>D079</t>
        </is>
      </c>
      <c r="AB30" t="inlineStr">
        <is>
          <t>PD0071 XOCHIMILCO</t>
        </is>
      </c>
      <c r="AC30" t="n">
        <v>56103638</v>
      </c>
      <c r="AD30" t="n">
        <v>6644261540</v>
      </c>
      <c r="AE30" t="n">
        <v>4</v>
      </c>
      <c r="AF30" t="inlineStr">
        <is>
          <t>ENTREGA DIRECTA</t>
        </is>
      </c>
      <c r="AG30" t="n">
        <v>1.463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20240830</v>
      </c>
      <c r="AM30" t="inlineStr">
        <is>
          <t>DW70-900003438-D079-10002802-4</t>
        </is>
      </c>
    </row>
    <row r="31">
      <c r="A31" t="inlineStr">
        <is>
          <t>900003438DW70D08010002802</t>
        </is>
      </c>
      <c r="B31" t="inlineStr">
        <is>
          <t>4600050497-470</t>
        </is>
      </c>
      <c r="C31" t="n">
        <v>4600050497</v>
      </c>
      <c r="D31" t="n">
        <v>470</v>
      </c>
      <c r="E31" t="inlineStr">
        <is>
          <t>MXPO</t>
        </is>
      </c>
      <c r="F31" t="inlineStr">
        <is>
          <t>MXL</t>
        </is>
      </c>
      <c r="G31" t="n">
        <v>900003438</v>
      </c>
      <c r="H31" t="inlineStr">
        <is>
          <t>TC-ED-ESTRATEGIAS AVANZADAS</t>
        </is>
      </c>
      <c r="I31" t="n">
        <v>5049458</v>
      </c>
      <c r="J31" t="inlineStr">
        <is>
          <t>ESTRATEGIAS AVANZADAS PARA OBTEN</t>
        </is>
      </c>
      <c r="K31" t="inlineStr">
        <is>
          <t>Z03</t>
        </is>
      </c>
      <c r="L31" t="inlineStr">
        <is>
          <t>(AP) 15 Dias</t>
        </is>
      </c>
      <c r="M31" t="n">
        <v>10002802</v>
      </c>
      <c r="N31" t="inlineStr">
        <is>
          <t>Arena Clasificada Río Malla 4 Lavado</t>
        </is>
      </c>
      <c r="O31" t="inlineStr">
        <is>
          <t>DW70</t>
        </is>
      </c>
      <c r="P31" t="inlineStr">
        <is>
          <t>MX-CED. CENTRO</t>
        </is>
      </c>
      <c r="Q31" t="n">
        <v>20210712</v>
      </c>
      <c r="R31" t="n">
        <v>20281231</v>
      </c>
      <c r="S31" t="n">
        <v>20240827</v>
      </c>
      <c r="T31" t="n">
        <v>20291231</v>
      </c>
      <c r="U31" t="n">
        <v>375.48</v>
      </c>
      <c r="V31" t="inlineStr">
        <is>
          <t>MXN</t>
        </is>
      </c>
      <c r="W31" t="inlineStr">
        <is>
          <t>M3</t>
        </is>
      </c>
      <c r="X31" t="n">
        <v>240.48</v>
      </c>
      <c r="Y31" t="inlineStr">
        <is>
          <t>MXN</t>
        </is>
      </c>
      <c r="Z31" t="inlineStr">
        <is>
          <t>M3</t>
        </is>
      </c>
      <c r="AA31" t="inlineStr">
        <is>
          <t>D080</t>
        </is>
      </c>
      <c r="AB31" t="inlineStr">
        <is>
          <t>PD0086 VALLEJO</t>
        </is>
      </c>
      <c r="AC31" t="n">
        <v>56103638</v>
      </c>
      <c r="AD31" t="n">
        <v>6644261540</v>
      </c>
      <c r="AE31" t="n">
        <v>4</v>
      </c>
      <c r="AF31" t="inlineStr">
        <is>
          <t>ENTREGA DIRECTA</t>
        </is>
      </c>
      <c r="AG31" t="n">
        <v>1.463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20240830</v>
      </c>
      <c r="AM31" t="inlineStr">
        <is>
          <t>DW70-900003438-D080-10002802-4</t>
        </is>
      </c>
    </row>
    <row r="32">
      <c r="A32" t="inlineStr">
        <is>
          <t>900003438DW70D14510002802</t>
        </is>
      </c>
      <c r="B32" t="inlineStr">
        <is>
          <t>4600050497-420</t>
        </is>
      </c>
      <c r="C32" t="n">
        <v>4600050497</v>
      </c>
      <c r="D32" t="n">
        <v>420</v>
      </c>
      <c r="E32" t="inlineStr">
        <is>
          <t>MXPO</t>
        </is>
      </c>
      <c r="F32" t="inlineStr">
        <is>
          <t>MXL</t>
        </is>
      </c>
      <c r="G32" t="n">
        <v>900003438</v>
      </c>
      <c r="H32" t="inlineStr">
        <is>
          <t>TC-ED-ESTRATEGIAS AVANZADAS</t>
        </is>
      </c>
      <c r="I32" t="n">
        <v>5049458</v>
      </c>
      <c r="J32" t="inlineStr">
        <is>
          <t>ESTRATEGIAS AVANZADAS PARA OBTEN</t>
        </is>
      </c>
      <c r="K32" t="inlineStr">
        <is>
          <t>Z03</t>
        </is>
      </c>
      <c r="L32" t="inlineStr">
        <is>
          <t>(AP) 15 Dias</t>
        </is>
      </c>
      <c r="M32" t="n">
        <v>10002802</v>
      </c>
      <c r="N32" t="inlineStr">
        <is>
          <t>Arena Clasificada Río Malla 4 Lavado</t>
        </is>
      </c>
      <c r="O32" t="inlineStr">
        <is>
          <t>DW70</t>
        </is>
      </c>
      <c r="P32" t="inlineStr">
        <is>
          <t>MX-CED. CENTRO</t>
        </is>
      </c>
      <c r="Q32" t="n">
        <v>20210712</v>
      </c>
      <c r="R32" t="n">
        <v>20281231</v>
      </c>
      <c r="S32" t="n">
        <v>20240827</v>
      </c>
      <c r="T32" t="n">
        <v>20291231</v>
      </c>
      <c r="U32" t="n">
        <v>280.48</v>
      </c>
      <c r="V32" t="inlineStr">
        <is>
          <t>MXN</t>
        </is>
      </c>
      <c r="W32" t="inlineStr">
        <is>
          <t>M3</t>
        </is>
      </c>
      <c r="X32" t="n">
        <v>145.48</v>
      </c>
      <c r="Y32" t="inlineStr">
        <is>
          <t>MXN</t>
        </is>
      </c>
      <c r="Z32" t="inlineStr">
        <is>
          <t>M3</t>
        </is>
      </c>
      <c r="AA32" t="inlineStr">
        <is>
          <t>D145</t>
        </is>
      </c>
      <c r="AB32" t="inlineStr">
        <is>
          <t>PD0458 ECATEPEC II</t>
        </is>
      </c>
      <c r="AC32" t="n">
        <v>56103638</v>
      </c>
      <c r="AD32" t="n">
        <v>6644261540</v>
      </c>
      <c r="AE32" t="n">
        <v>4</v>
      </c>
      <c r="AF32" t="inlineStr">
        <is>
          <t>ENTREGA DIRECTA</t>
        </is>
      </c>
      <c r="AG32" t="n">
        <v>1.463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20240830</v>
      </c>
      <c r="AM32" t="inlineStr">
        <is>
          <t>DW70-900003438-D145-10002802-4</t>
        </is>
      </c>
    </row>
    <row r="33">
      <c r="A33" t="inlineStr">
        <is>
          <t>900003438DW70D07510002802</t>
        </is>
      </c>
      <c r="B33" t="inlineStr">
        <is>
          <t>4600050497-450</t>
        </is>
      </c>
      <c r="C33" t="n">
        <v>4600050497</v>
      </c>
      <c r="D33" t="n">
        <v>450</v>
      </c>
      <c r="E33" t="inlineStr">
        <is>
          <t>MXPO</t>
        </is>
      </c>
      <c r="F33" t="inlineStr">
        <is>
          <t>MXL</t>
        </is>
      </c>
      <c r="G33" t="n">
        <v>900003438</v>
      </c>
      <c r="H33" t="inlineStr">
        <is>
          <t>TC-ED-ESTRATEGIAS AVANZADAS</t>
        </is>
      </c>
      <c r="I33" t="n">
        <v>5049458</v>
      </c>
      <c r="J33" t="inlineStr">
        <is>
          <t>ESTRATEGIAS AVANZADAS PARA OBTEN</t>
        </is>
      </c>
      <c r="K33" t="inlineStr">
        <is>
          <t>Z03</t>
        </is>
      </c>
      <c r="L33" t="inlineStr">
        <is>
          <t>(AP) 15 Dias</t>
        </is>
      </c>
      <c r="M33" t="n">
        <v>10002802</v>
      </c>
      <c r="N33" t="inlineStr">
        <is>
          <t>Arena Clasificada Río Malla 4 Lavado</t>
        </is>
      </c>
      <c r="O33" t="inlineStr">
        <is>
          <t>DW70</t>
        </is>
      </c>
      <c r="P33" t="inlineStr">
        <is>
          <t>MX-CED. CENTRO</t>
        </is>
      </c>
      <c r="Q33" t="n">
        <v>20210712</v>
      </c>
      <c r="R33" t="n">
        <v>20281231</v>
      </c>
      <c r="S33" t="n">
        <v>20240827</v>
      </c>
      <c r="T33" t="n">
        <v>20291231</v>
      </c>
      <c r="U33" t="n">
        <v>364.52</v>
      </c>
      <c r="V33" t="inlineStr">
        <is>
          <t>MXN</t>
        </is>
      </c>
      <c r="W33" t="inlineStr">
        <is>
          <t>M3</t>
        </is>
      </c>
      <c r="X33" t="n">
        <v>229.52</v>
      </c>
      <c r="Y33" t="inlineStr">
        <is>
          <t>MXN</t>
        </is>
      </c>
      <c r="Z33" t="inlineStr">
        <is>
          <t>M3</t>
        </is>
      </c>
      <c r="AA33" t="inlineStr">
        <is>
          <t>D075</t>
        </is>
      </c>
      <c r="AB33" t="inlineStr">
        <is>
          <t>PD0065 CEYLAN</t>
        </is>
      </c>
      <c r="AC33" t="n">
        <v>56103638</v>
      </c>
      <c r="AD33" t="n">
        <v>6644261540</v>
      </c>
      <c r="AE33" t="n">
        <v>4</v>
      </c>
      <c r="AF33" t="inlineStr">
        <is>
          <t>ENTREGA DIRECTA</t>
        </is>
      </c>
      <c r="AG33" t="n">
        <v>1.463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20240830</v>
      </c>
      <c r="AM33" t="inlineStr">
        <is>
          <t>DW70-900003438-D075-10002802-4</t>
        </is>
      </c>
    </row>
    <row r="34">
      <c r="A34" t="inlineStr">
        <is>
          <t>900003438DW70D08410002802</t>
        </is>
      </c>
      <c r="B34" t="inlineStr">
        <is>
          <t>4600050497-490</t>
        </is>
      </c>
      <c r="C34" t="n">
        <v>4600050497</v>
      </c>
      <c r="D34" t="n">
        <v>490</v>
      </c>
      <c r="E34" t="inlineStr">
        <is>
          <t>MXPO</t>
        </is>
      </c>
      <c r="F34" t="inlineStr">
        <is>
          <t>MXL</t>
        </is>
      </c>
      <c r="G34" t="n">
        <v>900003438</v>
      </c>
      <c r="H34" t="inlineStr">
        <is>
          <t>TC-ED-ESTRATEGIAS AVANZADAS</t>
        </is>
      </c>
      <c r="I34" t="n">
        <v>5049458</v>
      </c>
      <c r="J34" t="inlineStr">
        <is>
          <t>ESTRATEGIAS AVANZADAS PARA OBTEN</t>
        </is>
      </c>
      <c r="K34" t="inlineStr">
        <is>
          <t>Z03</t>
        </is>
      </c>
      <c r="L34" t="inlineStr">
        <is>
          <t>(AP) 15 Dias</t>
        </is>
      </c>
      <c r="M34" t="n">
        <v>10002802</v>
      </c>
      <c r="N34" t="inlineStr">
        <is>
          <t>Arena Clasificada Río Malla 4 Lavado</t>
        </is>
      </c>
      <c r="O34" t="inlineStr">
        <is>
          <t>DW70</t>
        </is>
      </c>
      <c r="P34" t="inlineStr">
        <is>
          <t>MX-CED. CENTRO</t>
        </is>
      </c>
      <c r="Q34" t="n">
        <v>20210712</v>
      </c>
      <c r="R34" t="n">
        <v>20281231</v>
      </c>
      <c r="S34" t="n">
        <v>20240827</v>
      </c>
      <c r="T34" t="n">
        <v>20291231</v>
      </c>
      <c r="U34" t="n">
        <v>324.33</v>
      </c>
      <c r="V34" t="inlineStr">
        <is>
          <t>MXN</t>
        </is>
      </c>
      <c r="W34" t="inlineStr">
        <is>
          <t>M3</t>
        </is>
      </c>
      <c r="X34" t="n">
        <v>189.33</v>
      </c>
      <c r="Y34" t="inlineStr">
        <is>
          <t>MXN</t>
        </is>
      </c>
      <c r="Z34" t="inlineStr">
        <is>
          <t>M3</t>
        </is>
      </c>
      <c r="AA34" t="inlineStr">
        <is>
          <t>D084</t>
        </is>
      </c>
      <c r="AB34" t="inlineStr">
        <is>
          <t>PD0186 IZTAPALAPA</t>
        </is>
      </c>
      <c r="AC34" t="n">
        <v>56103638</v>
      </c>
      <c r="AD34" t="n">
        <v>6644261540</v>
      </c>
      <c r="AE34" t="n">
        <v>4</v>
      </c>
      <c r="AF34" t="inlineStr">
        <is>
          <t>ENTREGA DIRECTA</t>
        </is>
      </c>
      <c r="AG34" t="n">
        <v>1.463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20240830</v>
      </c>
      <c r="AM34" t="inlineStr">
        <is>
          <t>DW70-900003438-D084-10002802-4</t>
        </is>
      </c>
    </row>
    <row r="35">
      <c r="A35" t="inlineStr">
        <is>
          <t>900003438DW70D68110002802</t>
        </is>
      </c>
      <c r="B35" t="inlineStr">
        <is>
          <t>4600050497-940</t>
        </is>
      </c>
      <c r="C35" t="n">
        <v>4600050497</v>
      </c>
      <c r="D35" t="n">
        <v>940</v>
      </c>
      <c r="E35" t="inlineStr">
        <is>
          <t>MXPO</t>
        </is>
      </c>
      <c r="F35" t="inlineStr">
        <is>
          <t>MXL</t>
        </is>
      </c>
      <c r="G35" t="n">
        <v>900003438</v>
      </c>
      <c r="H35" t="inlineStr">
        <is>
          <t>TC-ED-ESTRATEGIAS AVANZADAS</t>
        </is>
      </c>
      <c r="I35" t="n">
        <v>5049458</v>
      </c>
      <c r="J35" t="inlineStr">
        <is>
          <t>ESTRATEGIAS AVANZADAS PARA OBTEN</t>
        </is>
      </c>
      <c r="K35" t="inlineStr">
        <is>
          <t>Z03</t>
        </is>
      </c>
      <c r="L35" t="inlineStr">
        <is>
          <t>(AP) 15 Dias</t>
        </is>
      </c>
      <c r="M35" t="n">
        <v>10002802</v>
      </c>
      <c r="N35" t="inlineStr">
        <is>
          <t>Arena Clasificada Río Malla 4 Lavado</t>
        </is>
      </c>
      <c r="O35" t="inlineStr">
        <is>
          <t>DW70</t>
        </is>
      </c>
      <c r="P35" t="inlineStr">
        <is>
          <t>MX-CED. CENTRO</t>
        </is>
      </c>
      <c r="Q35" t="n">
        <v>20210712</v>
      </c>
      <c r="R35" t="n">
        <v>20281231</v>
      </c>
      <c r="S35" t="n">
        <v>20240827</v>
      </c>
      <c r="T35" t="n">
        <v>20291231</v>
      </c>
      <c r="U35" t="n">
        <v>309.72</v>
      </c>
      <c r="V35" t="inlineStr">
        <is>
          <t>MXN</t>
        </is>
      </c>
      <c r="W35" t="inlineStr">
        <is>
          <t>M3</t>
        </is>
      </c>
      <c r="X35" t="n">
        <v>174.72</v>
      </c>
      <c r="Y35" t="inlineStr">
        <is>
          <t>MXN</t>
        </is>
      </c>
      <c r="Z35" t="inlineStr">
        <is>
          <t>M3</t>
        </is>
      </c>
      <c r="AA35" t="inlineStr">
        <is>
          <t>D681</t>
        </is>
      </c>
      <c r="AB35" t="inlineStr">
        <is>
          <t>PD0639 TULTEPEC</t>
        </is>
      </c>
      <c r="AC35" t="n">
        <v>56103638</v>
      </c>
      <c r="AD35" t="n">
        <v>6644261540</v>
      </c>
      <c r="AE35" t="n">
        <v>4</v>
      </c>
      <c r="AF35" t="inlineStr">
        <is>
          <t>ENTREGA DIRECTA</t>
        </is>
      </c>
      <c r="AG35" t="n">
        <v>1.463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20240830</v>
      </c>
      <c r="AM35" t="inlineStr">
        <is>
          <t>DW70-900003438-D681-10002802-4</t>
        </is>
      </c>
    </row>
    <row r="36">
      <c r="A36" t="inlineStr">
        <is>
          <t>900007079DW70ENDC10175723</t>
        </is>
      </c>
      <c r="B36" t="inlineStr">
        <is>
          <t>4600071478-40</t>
        </is>
      </c>
      <c r="C36" t="n">
        <v>4600071478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900007079</v>
      </c>
      <c r="H36" t="inlineStr">
        <is>
          <t>SF TC-ED-TRIVOMEX</t>
        </is>
      </c>
      <c r="I36" t="n">
        <v>5033501</v>
      </c>
      <c r="J36" t="inlineStr">
        <is>
          <t>TRITURADOS VOLCANICOS DE MEXICO</t>
        </is>
      </c>
      <c r="K36" t="inlineStr">
        <is>
          <t>Z04</t>
        </is>
      </c>
      <c r="L36" t="inlineStr">
        <is>
          <t>(AP) 30 Dias</t>
        </is>
      </c>
      <c r="M36" t="n">
        <v>10175723</v>
      </c>
      <c r="N36" t="inlineStr">
        <is>
          <t>BASE HIDRAULICA ANDESITA DE 1 1/2" A FIN</t>
        </is>
      </c>
      <c r="O36" t="inlineStr">
        <is>
          <t>DW70</t>
        </is>
      </c>
      <c r="P36" t="inlineStr">
        <is>
          <t>MX-CED. CENTRO</t>
        </is>
      </c>
      <c r="Q36" t="n">
        <v>20250722</v>
      </c>
      <c r="R36" t="n">
        <v>20301231</v>
      </c>
      <c r="S36" t="n">
        <v>20250804</v>
      </c>
      <c r="T36" t="n">
        <v>20301231</v>
      </c>
      <c r="U36" t="n">
        <v>310</v>
      </c>
      <c r="V36" t="inlineStr">
        <is>
          <t>MXN</t>
        </is>
      </c>
      <c r="W36" t="inlineStr">
        <is>
          <t>M3</t>
        </is>
      </c>
      <c r="X36" t="n">
        <v>150</v>
      </c>
      <c r="Y36" t="inlineStr">
        <is>
          <t>MXN</t>
        </is>
      </c>
      <c r="Z36" t="inlineStr">
        <is>
          <t>M3</t>
        </is>
      </c>
      <c r="AA36" t="inlineStr">
        <is>
          <t>ENDC</t>
        </is>
      </c>
      <c r="AB36" t="inlineStr">
        <is>
          <t>COMPLEJO DEPORTIVO (CENCIS) E2 / SE</t>
        </is>
      </c>
      <c r="AC36" t="n">
        <v>56103590</v>
      </c>
      <c r="AD36" t="n">
        <v>6644261540</v>
      </c>
      <c r="AE36" t="n">
        <v>4</v>
      </c>
      <c r="AF36" t="inlineStr">
        <is>
          <t>ENTREGA DIRECTA</t>
        </is>
      </c>
      <c r="AG36" t="n">
        <v>1.65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20250806</v>
      </c>
      <c r="AM36" t="inlineStr">
        <is>
          <t>DW70-900007079-ENDC-10175723-4</t>
        </is>
      </c>
    </row>
    <row r="37">
      <c r="A37" t="inlineStr">
        <is>
          <t>900005730DW70ENDC10000357</t>
        </is>
      </c>
      <c r="B37" t="inlineStr">
        <is>
          <t>4600068533-80</t>
        </is>
      </c>
      <c r="C37" t="n">
        <v>4600068533</v>
      </c>
      <c r="D37" t="n">
        <v>80</v>
      </c>
      <c r="E37" t="inlineStr">
        <is>
          <t>MXPO</t>
        </is>
      </c>
      <c r="F37" t="inlineStr">
        <is>
          <t>MXL</t>
        </is>
      </c>
      <c r="G37" t="n">
        <v>900005730</v>
      </c>
      <c r="H37" t="inlineStr">
        <is>
          <t>TC-ED OLIELL</t>
        </is>
      </c>
      <c r="I37" t="n">
        <v>5048484</v>
      </c>
      <c r="J37" t="inlineStr">
        <is>
          <t>COMERCIALIZADORA Y TRANSPORTADORA O</t>
        </is>
      </c>
      <c r="K37" t="inlineStr">
        <is>
          <t>N90</t>
        </is>
      </c>
      <c r="L37" t="inlineStr">
        <is>
          <t>(AP) NAFIN 90 Dias</t>
        </is>
      </c>
      <c r="M37" t="n">
        <v>10000357</v>
      </c>
      <c r="N37" t="inlineStr">
        <is>
          <t>Grava Triturada Andesita 20 mm - 3/4"</t>
        </is>
      </c>
      <c r="O37" t="inlineStr">
        <is>
          <t>DW70</t>
        </is>
      </c>
      <c r="P37" t="inlineStr">
        <is>
          <t>MX-CED. CENTRO</t>
        </is>
      </c>
      <c r="Q37" t="n">
        <v>20230925</v>
      </c>
      <c r="R37" t="n">
        <v>20281231</v>
      </c>
      <c r="S37" t="n">
        <v>20260507</v>
      </c>
      <c r="T37" t="n">
        <v>20301231</v>
      </c>
      <c r="U37" t="n">
        <v>394</v>
      </c>
      <c r="V37" t="inlineStr">
        <is>
          <t>MXN</t>
        </is>
      </c>
      <c r="W37" t="inlineStr">
        <is>
          <t>M3</t>
        </is>
      </c>
      <c r="X37" t="n">
        <v>178.2</v>
      </c>
      <c r="Y37" t="inlineStr">
        <is>
          <t>MXN</t>
        </is>
      </c>
      <c r="Z37" t="inlineStr">
        <is>
          <t>M3</t>
        </is>
      </c>
      <c r="AA37" t="inlineStr">
        <is>
          <t>ENDC</t>
        </is>
      </c>
      <c r="AB37" t="inlineStr">
        <is>
          <t>COMPLEJO DEPORTIVO (CENCIS) E2 / SE</t>
        </is>
      </c>
      <c r="AC37" t="n">
        <v>56103637</v>
      </c>
      <c r="AD37" t="n">
        <v>6644261540</v>
      </c>
      <c r="AE37" t="n">
        <v>4</v>
      </c>
      <c r="AF37" t="inlineStr">
        <is>
          <t>ENTREGA DIRECTA</t>
        </is>
      </c>
      <c r="AG37" t="n">
        <v>1.326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20260511</v>
      </c>
      <c r="AM37" t="inlineStr">
        <is>
          <t>DW70-900005730-ENDC-10000357-4</t>
        </is>
      </c>
    </row>
    <row r="38">
      <c r="A38" t="inlineStr">
        <is>
          <t>900005730DW70ENAS10000649</t>
        </is>
      </c>
      <c r="B38" t="inlineStr">
        <is>
          <t>4600068533-160</t>
        </is>
      </c>
      <c r="C38" t="n">
        <v>4600068533</v>
      </c>
      <c r="D38" t="n">
        <v>160</v>
      </c>
      <c r="E38" t="inlineStr">
        <is>
          <t>MXPO</t>
        </is>
      </c>
      <c r="F38" t="inlineStr">
        <is>
          <t>MXL</t>
        </is>
      </c>
      <c r="G38" t="n">
        <v>900005730</v>
      </c>
      <c r="H38" t="inlineStr">
        <is>
          <t>TC-ED OLIELL</t>
        </is>
      </c>
      <c r="I38" t="n">
        <v>5048484</v>
      </c>
      <c r="J38" t="inlineStr">
        <is>
          <t>COMERCIALIZADORA Y TRANSPORTADORA O</t>
        </is>
      </c>
      <c r="K38" t="inlineStr">
        <is>
          <t>N90</t>
        </is>
      </c>
      <c r="L38" t="inlineStr">
        <is>
          <t>(AP) NAFIN 90 Dias</t>
        </is>
      </c>
      <c r="M38" t="n">
        <v>10000649</v>
      </c>
      <c r="N38" t="inlineStr">
        <is>
          <t>Grava Triturada Andesita 10 mm - 3/8"</t>
        </is>
      </c>
      <c r="O38" t="inlineStr">
        <is>
          <t>DW70</t>
        </is>
      </c>
      <c r="P38" t="inlineStr">
        <is>
          <t>MX-CED. CENTRO</t>
        </is>
      </c>
      <c r="Q38" t="n">
        <v>20230925</v>
      </c>
      <c r="R38" t="n">
        <v>20281231</v>
      </c>
      <c r="S38" t="n">
        <v>20260507</v>
      </c>
      <c r="T38" t="n">
        <v>20301231</v>
      </c>
      <c r="U38" t="n">
        <v>271.1</v>
      </c>
      <c r="V38" t="inlineStr">
        <is>
          <t>MXN</t>
        </is>
      </c>
      <c r="W38" t="inlineStr">
        <is>
          <t>M3</t>
        </is>
      </c>
      <c r="X38" t="n">
        <v>170</v>
      </c>
      <c r="Y38" t="inlineStr">
        <is>
          <t>MXN</t>
        </is>
      </c>
      <c r="Z38" t="inlineStr">
        <is>
          <t>M3</t>
        </is>
      </c>
      <c r="AA38" t="inlineStr">
        <is>
          <t>ENAS</t>
        </is>
      </c>
      <c r="AB38" t="inlineStr">
        <is>
          <t>Fabrica de Vestimenta y Eq (FAVE) E</t>
        </is>
      </c>
      <c r="AC38" t="n">
        <v>56103637</v>
      </c>
      <c r="AD38" t="n">
        <v>6644261540</v>
      </c>
      <c r="AE38" t="n">
        <v>4</v>
      </c>
      <c r="AF38" t="inlineStr">
        <is>
          <t>ENTREGA DIRECTA</t>
        </is>
      </c>
      <c r="AG38" t="n">
        <v>1.315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20260513</v>
      </c>
      <c r="AM38" t="inlineStr">
        <is>
          <t>DW70-900005730-ENAS-10000649-4</t>
        </is>
      </c>
    </row>
    <row r="39">
      <c r="A39" t="inlineStr">
        <is>
          <t>900000472DW70D07710190932</t>
        </is>
      </c>
      <c r="B39" t="inlineStr">
        <is>
          <t>4600050481-300</t>
        </is>
      </c>
      <c r="C39" t="n">
        <v>4600050481</v>
      </c>
      <c r="D39" t="n">
        <v>300</v>
      </c>
      <c r="E39" t="inlineStr">
        <is>
          <t>MXPO</t>
        </is>
      </c>
      <c r="F39" t="inlineStr">
        <is>
          <t>MXL</t>
        </is>
      </c>
      <c r="G39" t="n">
        <v>900000472</v>
      </c>
      <c r="H39" t="inlineStr">
        <is>
          <t>TC-ED-TRIMCAV</t>
        </is>
      </c>
      <c r="I39" t="n">
        <v>5010147</v>
      </c>
      <c r="J39" t="inlineStr">
        <is>
          <t>TRITURACIONES DE MARMOL Y CALCIOS</t>
        </is>
      </c>
      <c r="K39" t="inlineStr">
        <is>
          <t>Z04</t>
        </is>
      </c>
      <c r="L39" t="inlineStr">
        <is>
          <t>(AP) 30 Dias</t>
        </is>
      </c>
      <c r="M39" t="n">
        <v>10190932</v>
      </c>
      <c r="N39" t="inlineStr">
        <is>
          <t>GRAVA TRITURADA MÁRMOL NEGRO 20 MM - 3/4</t>
        </is>
      </c>
      <c r="O39" t="inlineStr">
        <is>
          <t>DW70</t>
        </is>
      </c>
      <c r="P39" t="inlineStr">
        <is>
          <t>MX-CED. CENTRO</t>
        </is>
      </c>
      <c r="Q39" t="n">
        <v>20210712</v>
      </c>
      <c r="R39" t="n">
        <v>20291231</v>
      </c>
      <c r="S39" t="n">
        <v>20210712</v>
      </c>
      <c r="T39" t="n">
        <v>20251231</v>
      </c>
      <c r="U39" t="n">
        <v>1300</v>
      </c>
      <c r="V39" t="inlineStr">
        <is>
          <t>MXN</t>
        </is>
      </c>
      <c r="W39" t="inlineStr">
        <is>
          <t>TN</t>
        </is>
      </c>
      <c r="X39" t="n">
        <v>650</v>
      </c>
      <c r="Y39" t="inlineStr">
        <is>
          <t>MXN</t>
        </is>
      </c>
      <c r="Z39" t="inlineStr">
        <is>
          <t>TN</t>
        </is>
      </c>
      <c r="AA39" t="inlineStr">
        <is>
          <t>D077</t>
        </is>
      </c>
      <c r="AB39" t="inlineStr">
        <is>
          <t>PD0067 LOS REYES</t>
        </is>
      </c>
      <c r="AC39" t="n">
        <v>56103637</v>
      </c>
      <c r="AD39" t="n">
        <v>6644261540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DW70-900000472-D077-10190932-4</t>
        </is>
      </c>
    </row>
    <row r="40">
      <c r="A40" t="inlineStr">
        <is>
          <t>900000472DW70D09310189170</t>
        </is>
      </c>
      <c r="B40" t="inlineStr">
        <is>
          <t>4600050481-360</t>
        </is>
      </c>
      <c r="C40" t="n">
        <v>4600050481</v>
      </c>
      <c r="D40" t="n">
        <v>360</v>
      </c>
      <c r="E40" t="inlineStr">
        <is>
          <t>MXPO</t>
        </is>
      </c>
      <c r="F40" t="inlineStr">
        <is>
          <t>MXL</t>
        </is>
      </c>
      <c r="G40" t="n">
        <v>900000472</v>
      </c>
      <c r="H40" t="inlineStr">
        <is>
          <t>TC-ED-TRIMCAV</t>
        </is>
      </c>
      <c r="I40" t="n">
        <v>5010147</v>
      </c>
      <c r="J40" t="inlineStr">
        <is>
          <t>TRITURACIONES DE MARMOL Y CALCIOS</t>
        </is>
      </c>
      <c r="K40" t="inlineStr">
        <is>
          <t>Z04</t>
        </is>
      </c>
      <c r="L40" t="inlineStr">
        <is>
          <t>(AP) 30 Dias</t>
        </is>
      </c>
      <c r="M40" t="n">
        <v>10189170</v>
      </c>
      <c r="N40" t="inlineStr">
        <is>
          <t>GRAVA TRITURADA MÁRMOL NEGRO 10 MM - 3/8</t>
        </is>
      </c>
      <c r="O40" t="inlineStr">
        <is>
          <t>DW70</t>
        </is>
      </c>
      <c r="P40" t="inlineStr">
        <is>
          <t>MX-CED. CENTRO</t>
        </is>
      </c>
      <c r="Q40" t="n">
        <v>20210712</v>
      </c>
      <c r="R40" t="n">
        <v>20291231</v>
      </c>
      <c r="S40" t="n">
        <v>20210712</v>
      </c>
      <c r="T40" t="n">
        <v>20251231</v>
      </c>
      <c r="U40" t="n">
        <v>1300</v>
      </c>
      <c r="V40" t="inlineStr">
        <is>
          <t>MXN</t>
        </is>
      </c>
      <c r="W40" t="inlineStr">
        <is>
          <t>TN</t>
        </is>
      </c>
      <c r="X40" t="n">
        <v>650</v>
      </c>
      <c r="Y40" t="inlineStr">
        <is>
          <t>MXN</t>
        </is>
      </c>
      <c r="Z40" t="inlineStr">
        <is>
          <t>TN</t>
        </is>
      </c>
      <c r="AA40" t="inlineStr">
        <is>
          <t>D093</t>
        </is>
      </c>
      <c r="AB40" t="inlineStr">
        <is>
          <t>PD0556 ZUMPANGO</t>
        </is>
      </c>
      <c r="AC40" t="n">
        <v>56103637</v>
      </c>
      <c r="AD40" t="n">
        <v>6644261540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DW70-900000472-D093-10189170-4</t>
        </is>
      </c>
    </row>
    <row r="41">
      <c r="A41" t="inlineStr">
        <is>
          <t>900000472DW70D08710000655</t>
        </is>
      </c>
      <c r="B41" t="inlineStr">
        <is>
          <t>4600050481-900</t>
        </is>
      </c>
      <c r="C41" t="n">
        <v>4600050481</v>
      </c>
      <c r="D41" t="n">
        <v>900</v>
      </c>
      <c r="E41" t="inlineStr">
        <is>
          <t>MXPO</t>
        </is>
      </c>
      <c r="F41" t="inlineStr">
        <is>
          <t>MXL</t>
        </is>
      </c>
      <c r="G41" t="n">
        <v>900000472</v>
      </c>
      <c r="H41" t="inlineStr">
        <is>
          <t>TC-ED-TRIMCAV</t>
        </is>
      </c>
      <c r="I41" t="n">
        <v>5010147</v>
      </c>
      <c r="J41" t="inlineStr">
        <is>
          <t>TRITURACIONES DE MARMOL Y CALCIOS</t>
        </is>
      </c>
      <c r="K41" t="inlineStr">
        <is>
          <t>Z04</t>
        </is>
      </c>
      <c r="L41" t="inlineStr">
        <is>
          <t>(AP) 30 Dias</t>
        </is>
      </c>
      <c r="M41" t="n">
        <v>10000655</v>
      </c>
      <c r="N41" t="inlineStr">
        <is>
          <t>Grava Triturada Marmol 10 mm - 3/8"</t>
        </is>
      </c>
      <c r="O41" t="inlineStr">
        <is>
          <t>DW70</t>
        </is>
      </c>
      <c r="P41" t="inlineStr">
        <is>
          <t>MX-CED. CENTRO</t>
        </is>
      </c>
      <c r="Q41" t="n">
        <v>20210712</v>
      </c>
      <c r="R41" t="n">
        <v>20291231</v>
      </c>
      <c r="S41" t="n">
        <v>20230215</v>
      </c>
      <c r="T41" t="n">
        <v>20281231</v>
      </c>
      <c r="U41" t="n">
        <v>921.6900000000001</v>
      </c>
      <c r="V41" t="inlineStr">
        <is>
          <t>MXN</t>
        </is>
      </c>
      <c r="W41" t="inlineStr">
        <is>
          <t>TN</t>
        </is>
      </c>
      <c r="X41" t="n">
        <v>485.1</v>
      </c>
      <c r="Y41" t="inlineStr">
        <is>
          <t>MXN</t>
        </is>
      </c>
      <c r="Z41" t="inlineStr">
        <is>
          <t>TN</t>
        </is>
      </c>
      <c r="AA41" t="inlineStr">
        <is>
          <t>D087</t>
        </is>
      </c>
      <c r="AB41" t="inlineStr">
        <is>
          <t>PD0192 ZUMPANGO 2</t>
        </is>
      </c>
      <c r="AC41" t="n">
        <v>56103637</v>
      </c>
      <c r="AD41" t="n">
        <v>6644261540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DW70-900000472-D087-10000655-4</t>
        </is>
      </c>
    </row>
    <row r="42">
      <c r="A42" t="inlineStr">
        <is>
          <t>900003438DW70D09810000623</t>
        </is>
      </c>
      <c r="B42" t="inlineStr">
        <is>
          <t>4600050497-210</t>
        </is>
      </c>
      <c r="C42" t="n">
        <v>4600050497</v>
      </c>
      <c r="D42" t="n">
        <v>210</v>
      </c>
      <c r="E42" t="inlineStr">
        <is>
          <t>MXPO</t>
        </is>
      </c>
      <c r="F42" t="inlineStr">
        <is>
          <t>MXL</t>
        </is>
      </c>
      <c r="G42" t="n">
        <v>900003438</v>
      </c>
      <c r="H42" t="inlineStr">
        <is>
          <t>TC-ED-ESTRATEGIAS AVANZADAS</t>
        </is>
      </c>
      <c r="I42" t="n">
        <v>5049458</v>
      </c>
      <c r="J42" t="inlineStr">
        <is>
          <t>ESTRATEGIAS AVANZADAS PARA OBTEN</t>
        </is>
      </c>
      <c r="K42" t="inlineStr">
        <is>
          <t>Z03</t>
        </is>
      </c>
      <c r="L42" t="inlineStr">
        <is>
          <t>(AP) 15 Dias</t>
        </is>
      </c>
      <c r="M42" t="n">
        <v>10000623</v>
      </c>
      <c r="N42" t="inlineStr">
        <is>
          <t>Grava Triturada Caliza 10 mm - 3/8"</t>
        </is>
      </c>
      <c r="O42" t="inlineStr">
        <is>
          <t>DW70</t>
        </is>
      </c>
      <c r="P42" t="inlineStr">
        <is>
          <t>MX-CED. CENTRO</t>
        </is>
      </c>
      <c r="Q42" t="n">
        <v>20210712</v>
      </c>
      <c r="R42" t="n">
        <v>20281231</v>
      </c>
      <c r="S42" t="n">
        <v>20230501</v>
      </c>
      <c r="T42" t="n">
        <v>20281231</v>
      </c>
      <c r="U42" t="n">
        <v>296.21</v>
      </c>
      <c r="V42" t="inlineStr">
        <is>
          <t>MXN</t>
        </is>
      </c>
      <c r="W42" t="inlineStr">
        <is>
          <t>M3</t>
        </is>
      </c>
      <c r="X42" t="n">
        <v>141.21</v>
      </c>
      <c r="Y42" t="inlineStr">
        <is>
          <t>MXN</t>
        </is>
      </c>
      <c r="Z42" t="inlineStr">
        <is>
          <t>M3</t>
        </is>
      </c>
      <c r="AA42" t="inlineStr">
        <is>
          <t>D098</t>
        </is>
      </c>
      <c r="AB42" t="inlineStr">
        <is>
          <t>PD0315 CUAUTITLAN II</t>
        </is>
      </c>
      <c r="AC42" t="n">
        <v>56103637</v>
      </c>
      <c r="AD42" t="n">
        <v>6644261540</v>
      </c>
      <c r="AE42" t="n">
        <v>4</v>
      </c>
      <c r="AF42" t="inlineStr">
        <is>
          <t>ENTREGA DIRECTA</t>
        </is>
      </c>
      <c r="AG42" t="n">
        <v>1.41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DW70-900003438-D098-10000623-4</t>
        </is>
      </c>
    </row>
    <row r="43">
      <c r="A43" t="inlineStr">
        <is>
          <t>900003438DW70D08310000623</t>
        </is>
      </c>
      <c r="B43" t="inlineStr">
        <is>
          <t>4600050497-260</t>
        </is>
      </c>
      <c r="C43" t="n">
        <v>4600050497</v>
      </c>
      <c r="D43" t="n">
        <v>260</v>
      </c>
      <c r="E43" t="inlineStr">
        <is>
          <t>MXPO</t>
        </is>
      </c>
      <c r="F43" t="inlineStr">
        <is>
          <t>MXL</t>
        </is>
      </c>
      <c r="G43" t="n">
        <v>900003438</v>
      </c>
      <c r="H43" t="inlineStr">
        <is>
          <t>TC-ED-ESTRATEGIAS AVANZADAS</t>
        </is>
      </c>
      <c r="I43" t="n">
        <v>5049458</v>
      </c>
      <c r="J43" t="inlineStr">
        <is>
          <t>ESTRATEGIAS AVANZADAS PARA OBTEN</t>
        </is>
      </c>
      <c r="K43" t="inlineStr">
        <is>
          <t>Z03</t>
        </is>
      </c>
      <c r="L43" t="inlineStr">
        <is>
          <t>(AP) 15 Dias</t>
        </is>
      </c>
      <c r="M43" t="n">
        <v>10000623</v>
      </c>
      <c r="N43" t="inlineStr">
        <is>
          <t>Grava Triturada Caliza 10 mm - 3/8"</t>
        </is>
      </c>
      <c r="O43" t="inlineStr">
        <is>
          <t>DW70</t>
        </is>
      </c>
      <c r="P43" t="inlineStr">
        <is>
          <t>MX-CED. CENTRO</t>
        </is>
      </c>
      <c r="Q43" t="n">
        <v>20210712</v>
      </c>
      <c r="R43" t="n">
        <v>20281231</v>
      </c>
      <c r="S43" t="n">
        <v>20230501</v>
      </c>
      <c r="T43" t="n">
        <v>20281231</v>
      </c>
      <c r="U43" t="n">
        <v>391.52</v>
      </c>
      <c r="V43" t="inlineStr">
        <is>
          <t>MXN</t>
        </is>
      </c>
      <c r="W43" t="inlineStr">
        <is>
          <t>M3</t>
        </is>
      </c>
      <c r="X43" t="n">
        <v>236.52</v>
      </c>
      <c r="Y43" t="inlineStr">
        <is>
          <t>MXN</t>
        </is>
      </c>
      <c r="Z43" t="inlineStr">
        <is>
          <t>M3</t>
        </is>
      </c>
      <c r="AA43" t="inlineStr">
        <is>
          <t>D083</t>
        </is>
      </c>
      <c r="AB43" t="inlineStr">
        <is>
          <t>PD0099 MINAS</t>
        </is>
      </c>
      <c r="AC43" t="n">
        <v>56103637</v>
      </c>
      <c r="AD43" t="n">
        <v>6644261540</v>
      </c>
      <c r="AE43" t="n">
        <v>4</v>
      </c>
      <c r="AF43" t="inlineStr">
        <is>
          <t>ENTREGA DIRECTA</t>
        </is>
      </c>
      <c r="AG43" t="n">
        <v>1.41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DW70-900003438-D083-10000623-4</t>
        </is>
      </c>
    </row>
    <row r="44">
      <c r="A44" t="inlineStr">
        <is>
          <t>900000472DW70D08010000635</t>
        </is>
      </c>
      <c r="B44" t="inlineStr">
        <is>
          <t>4600050481-840</t>
        </is>
      </c>
      <c r="C44" t="n">
        <v>4600050481</v>
      </c>
      <c r="D44" t="n">
        <v>840</v>
      </c>
      <c r="E44" t="inlineStr">
        <is>
          <t>MXPO</t>
        </is>
      </c>
      <c r="F44" t="inlineStr">
        <is>
          <t>MXL</t>
        </is>
      </c>
      <c r="G44" t="n">
        <v>900000472</v>
      </c>
      <c r="H44" t="inlineStr">
        <is>
          <t>TC-ED-TRIMCAV</t>
        </is>
      </c>
      <c r="I44" t="n">
        <v>5010147</v>
      </c>
      <c r="J44" t="inlineStr">
        <is>
          <t>TRITURACIONES DE MARMOL Y CALCIOS</t>
        </is>
      </c>
      <c r="K44" t="inlineStr">
        <is>
          <t>Z04</t>
        </is>
      </c>
      <c r="L44" t="inlineStr">
        <is>
          <t>(AP) 30 Dias</t>
        </is>
      </c>
      <c r="M44" t="n">
        <v>10000635</v>
      </c>
      <c r="N44" t="inlineStr">
        <is>
          <t>Arena Triturada Marmol Malla 4</t>
        </is>
      </c>
      <c r="O44" t="inlineStr">
        <is>
          <t>DW70</t>
        </is>
      </c>
      <c r="P44" t="inlineStr">
        <is>
          <t>MX-CED. CENTRO</t>
        </is>
      </c>
      <c r="Q44" t="n">
        <v>20210712</v>
      </c>
      <c r="R44" t="n">
        <v>20291231</v>
      </c>
      <c r="S44" t="n">
        <v>20230215</v>
      </c>
      <c r="T44" t="n">
        <v>20281231</v>
      </c>
      <c r="U44" t="n">
        <v>921.6900000000001</v>
      </c>
      <c r="V44" t="inlineStr">
        <is>
          <t>MXN</t>
        </is>
      </c>
      <c r="W44" t="inlineStr">
        <is>
          <t>TN</t>
        </is>
      </c>
      <c r="X44" t="n">
        <v>485.1</v>
      </c>
      <c r="Y44" t="inlineStr">
        <is>
          <t>MXN</t>
        </is>
      </c>
      <c r="Z44" t="inlineStr">
        <is>
          <t>TN</t>
        </is>
      </c>
      <c r="AA44" t="inlineStr">
        <is>
          <t>D080</t>
        </is>
      </c>
      <c r="AB44" t="inlineStr">
        <is>
          <t>PD0086 VALLEJO</t>
        </is>
      </c>
      <c r="AC44" t="n">
        <v>56103638</v>
      </c>
      <c r="AD44" t="n">
        <v>6644261540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DW70-900000472-D080-10000635-4</t>
        </is>
      </c>
    </row>
    <row r="45">
      <c r="A45" t="inlineStr">
        <is>
          <t>900000472DW70D08110190932</t>
        </is>
      </c>
      <c r="B45" t="inlineStr">
        <is>
          <t>4600050481-690</t>
        </is>
      </c>
      <c r="C45" t="n">
        <v>4600050481</v>
      </c>
      <c r="D45" t="n">
        <v>690</v>
      </c>
      <c r="E45" t="inlineStr">
        <is>
          <t>MXPO</t>
        </is>
      </c>
      <c r="F45" t="inlineStr">
        <is>
          <t>MXL</t>
        </is>
      </c>
      <c r="G45" t="n">
        <v>900000472</v>
      </c>
      <c r="H45" t="inlineStr">
        <is>
          <t>TC-ED-TRIMCAV</t>
        </is>
      </c>
      <c r="I45" t="n">
        <v>5010147</v>
      </c>
      <c r="J45" t="inlineStr">
        <is>
          <t>TRITURACIONES DE MARMOL Y CALCIOS</t>
        </is>
      </c>
      <c r="K45" t="inlineStr">
        <is>
          <t>Z04</t>
        </is>
      </c>
      <c r="L45" t="inlineStr">
        <is>
          <t>(AP) 30 Dias</t>
        </is>
      </c>
      <c r="M45" t="n">
        <v>10190932</v>
      </c>
      <c r="N45" t="inlineStr">
        <is>
          <t>GRAVA TRITURADA MÁRMOL NEGRO 20 MM - 3/4</t>
        </is>
      </c>
      <c r="O45" t="inlineStr">
        <is>
          <t>DW70</t>
        </is>
      </c>
      <c r="P45" t="inlineStr">
        <is>
          <t>MX-CED. CENTRO</t>
        </is>
      </c>
      <c r="Q45" t="n">
        <v>20210712</v>
      </c>
      <c r="R45" t="n">
        <v>20291231</v>
      </c>
      <c r="S45" t="n">
        <v>20210712</v>
      </c>
      <c r="T45" t="n">
        <v>20251231</v>
      </c>
      <c r="U45" t="n">
        <v>1300</v>
      </c>
      <c r="V45" t="inlineStr">
        <is>
          <t>MXN</t>
        </is>
      </c>
      <c r="W45" t="inlineStr">
        <is>
          <t>TN</t>
        </is>
      </c>
      <c r="X45" t="n">
        <v>650</v>
      </c>
      <c r="Y45" t="inlineStr">
        <is>
          <t>MXN</t>
        </is>
      </c>
      <c r="Z45" t="inlineStr">
        <is>
          <t>TN</t>
        </is>
      </c>
      <c r="AA45" t="inlineStr">
        <is>
          <t>D081</t>
        </is>
      </c>
      <c r="AB45" t="inlineStr">
        <is>
          <t>PD0088 ARMAS</t>
        </is>
      </c>
      <c r="AC45" t="n">
        <v>56103637</v>
      </c>
      <c r="AD45" t="n">
        <v>6644261540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DW70-900000472-D081-10190932-4</t>
        </is>
      </c>
    </row>
    <row r="46">
      <c r="A46" t="inlineStr">
        <is>
          <t>900003438DW70D10510000623</t>
        </is>
      </c>
      <c r="B46" t="inlineStr">
        <is>
          <t>4600050497-200</t>
        </is>
      </c>
      <c r="C46" t="n">
        <v>4600050497</v>
      </c>
      <c r="D46" t="n">
        <v>200</v>
      </c>
      <c r="E46" t="inlineStr">
        <is>
          <t>MXPO</t>
        </is>
      </c>
      <c r="F46" t="inlineStr">
        <is>
          <t>MXL</t>
        </is>
      </c>
      <c r="G46" t="n">
        <v>900003438</v>
      </c>
      <c r="H46" t="inlineStr">
        <is>
          <t>TC-ED-ESTRATEGIAS AVANZADAS</t>
        </is>
      </c>
      <c r="I46" t="n">
        <v>5049458</v>
      </c>
      <c r="J46" t="inlineStr">
        <is>
          <t>ESTRATEGIAS AVANZADAS PARA OBTEN</t>
        </is>
      </c>
      <c r="K46" t="inlineStr">
        <is>
          <t>Z03</t>
        </is>
      </c>
      <c r="L46" t="inlineStr">
        <is>
          <t>(AP) 15 Dias</t>
        </is>
      </c>
      <c r="M46" t="n">
        <v>10000623</v>
      </c>
      <c r="N46" t="inlineStr">
        <is>
          <t>Grava Triturada Caliza 10 mm - 3/8"</t>
        </is>
      </c>
      <c r="O46" t="inlineStr">
        <is>
          <t>DW70</t>
        </is>
      </c>
      <c r="P46" t="inlineStr">
        <is>
          <t>MX-CED. CENTRO</t>
        </is>
      </c>
      <c r="Q46" t="n">
        <v>20210712</v>
      </c>
      <c r="R46" t="n">
        <v>20281231</v>
      </c>
      <c r="S46" t="n">
        <v>20230501</v>
      </c>
      <c r="T46" t="n">
        <v>20281231</v>
      </c>
      <c r="U46" t="n">
        <v>389.35</v>
      </c>
      <c r="V46" t="inlineStr">
        <is>
          <t>MXN</t>
        </is>
      </c>
      <c r="W46" t="inlineStr">
        <is>
          <t>M3</t>
        </is>
      </c>
      <c r="X46" t="n">
        <v>234.35</v>
      </c>
      <c r="Y46" t="inlineStr">
        <is>
          <t>MXN</t>
        </is>
      </c>
      <c r="Z46" t="inlineStr">
        <is>
          <t>M3</t>
        </is>
      </c>
      <c r="AA46" t="inlineStr">
        <is>
          <t>D105</t>
        </is>
      </c>
      <c r="AB46" t="inlineStr">
        <is>
          <t>PD0331 NAUCALPAN II</t>
        </is>
      </c>
      <c r="AC46" t="n">
        <v>56103637</v>
      </c>
      <c r="AD46" t="n">
        <v>6644261540</v>
      </c>
      <c r="AE46" t="n">
        <v>4</v>
      </c>
      <c r="AF46" t="inlineStr">
        <is>
          <t>ENTREGA DIRECTA</t>
        </is>
      </c>
      <c r="AG46" t="n">
        <v>1.41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DW70-900003438-D105-10000623-4</t>
        </is>
      </c>
    </row>
    <row r="47">
      <c r="A47" t="inlineStr">
        <is>
          <t>900003438DW70D11110000630</t>
        </is>
      </c>
      <c r="B47" t="inlineStr">
        <is>
          <t>4600050497-340</t>
        </is>
      </c>
      <c r="C47" t="n">
        <v>4600050497</v>
      </c>
      <c r="D47" t="n">
        <v>340</v>
      </c>
      <c r="E47" t="inlineStr">
        <is>
          <t>MXPO</t>
        </is>
      </c>
      <c r="F47" t="inlineStr">
        <is>
          <t>MXL</t>
        </is>
      </c>
      <c r="G47" t="n">
        <v>900003438</v>
      </c>
      <c r="H47" t="inlineStr">
        <is>
          <t>TC-ED-ESTRATEGIAS AVANZADAS</t>
        </is>
      </c>
      <c r="I47" t="n">
        <v>5049458</v>
      </c>
      <c r="J47" t="inlineStr">
        <is>
          <t>ESTRATEGIAS AVANZADAS PARA OBTEN</t>
        </is>
      </c>
      <c r="K47" t="inlineStr">
        <is>
          <t>Z03</t>
        </is>
      </c>
      <c r="L47" t="inlineStr">
        <is>
          <t>(AP) 15 Dias</t>
        </is>
      </c>
      <c r="M47" t="n">
        <v>10000630</v>
      </c>
      <c r="N47" t="inlineStr">
        <is>
          <t>Grava Triturada Caliza 13 mm - 1/2"</t>
        </is>
      </c>
      <c r="O47" t="inlineStr">
        <is>
          <t>DW70</t>
        </is>
      </c>
      <c r="P47" t="inlineStr">
        <is>
          <t>MX-CED. CENTRO</t>
        </is>
      </c>
      <c r="Q47" t="n">
        <v>20210712</v>
      </c>
      <c r="R47" t="n">
        <v>20281231</v>
      </c>
      <c r="S47" t="n">
        <v>20210712</v>
      </c>
      <c r="T47" t="n">
        <v>20251231</v>
      </c>
      <c r="U47" t="n">
        <v>404.28</v>
      </c>
      <c r="V47" t="inlineStr">
        <is>
          <t>MXN</t>
        </is>
      </c>
      <c r="W47" t="inlineStr">
        <is>
          <t>M3</t>
        </is>
      </c>
      <c r="X47" t="n">
        <v>269.28</v>
      </c>
      <c r="Y47" t="inlineStr">
        <is>
          <t>MXN</t>
        </is>
      </c>
      <c r="Z47" t="inlineStr">
        <is>
          <t>M3</t>
        </is>
      </c>
      <c r="AA47" t="inlineStr">
        <is>
          <t>D111</t>
        </is>
      </c>
      <c r="AB47" t="inlineStr">
        <is>
          <t>PD0317 TOLUCA LERMAS 2</t>
        </is>
      </c>
      <c r="AC47" t="n">
        <v>56103637</v>
      </c>
      <c r="AD47" t="n">
        <v>6644261540</v>
      </c>
      <c r="AE47" t="n">
        <v>4</v>
      </c>
      <c r="AF47" t="inlineStr">
        <is>
          <t>ENTREGA DIRECTA</t>
        </is>
      </c>
      <c r="AG47" t="n">
        <v>1.4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DW70-900003438-D111-10000630-4</t>
        </is>
      </c>
    </row>
    <row r="48">
      <c r="A48" t="inlineStr">
        <is>
          <t>900000472DW70D10510000643</t>
        </is>
      </c>
      <c r="B48" t="inlineStr">
        <is>
          <t>4600050481-660</t>
        </is>
      </c>
      <c r="C48" t="n">
        <v>4600050481</v>
      </c>
      <c r="D48" t="n">
        <v>660</v>
      </c>
      <c r="E48" t="inlineStr">
        <is>
          <t>MXPO</t>
        </is>
      </c>
      <c r="F48" t="inlineStr">
        <is>
          <t>MXL</t>
        </is>
      </c>
      <c r="G48" t="n">
        <v>900000472</v>
      </c>
      <c r="H48" t="inlineStr">
        <is>
          <t>TC-ED-TRIMCAV</t>
        </is>
      </c>
      <c r="I48" t="n">
        <v>5010147</v>
      </c>
      <c r="J48" t="inlineStr">
        <is>
          <t>TRITURACIONES DE MARMOL Y CALCIOS</t>
        </is>
      </c>
      <c r="K48" t="inlineStr">
        <is>
          <t>Z04</t>
        </is>
      </c>
      <c r="L48" t="inlineStr">
        <is>
          <t>(AP) 30 Dias</t>
        </is>
      </c>
      <c r="M48" t="n">
        <v>10000643</v>
      </c>
      <c r="N48" t="inlineStr">
        <is>
          <t>Grava Triturada Marmol 20 mm - 3/4"</t>
        </is>
      </c>
      <c r="O48" t="inlineStr">
        <is>
          <t>DW70</t>
        </is>
      </c>
      <c r="P48" t="inlineStr">
        <is>
          <t>MX-CED. CENTRO</t>
        </is>
      </c>
      <c r="Q48" t="n">
        <v>20210712</v>
      </c>
      <c r="R48" t="n">
        <v>20291231</v>
      </c>
      <c r="S48" t="n">
        <v>20230215</v>
      </c>
      <c r="T48" t="n">
        <v>20281231</v>
      </c>
      <c r="U48" t="n">
        <v>921.6900000000001</v>
      </c>
      <c r="V48" t="inlineStr">
        <is>
          <t>MXN</t>
        </is>
      </c>
      <c r="W48" t="inlineStr">
        <is>
          <t>TN</t>
        </is>
      </c>
      <c r="X48" t="n">
        <v>485.1</v>
      </c>
      <c r="Y48" t="inlineStr">
        <is>
          <t>MXN</t>
        </is>
      </c>
      <c r="Z48" t="inlineStr">
        <is>
          <t>TN</t>
        </is>
      </c>
      <c r="AA48" t="inlineStr">
        <is>
          <t>D105</t>
        </is>
      </c>
      <c r="AB48" t="inlineStr">
        <is>
          <t>PD0331 NAUCALPAN II</t>
        </is>
      </c>
      <c r="AC48" t="n">
        <v>56103637</v>
      </c>
      <c r="AD48" t="n">
        <v>6644261540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DW70-900000472-D105-10000643-4</t>
        </is>
      </c>
    </row>
    <row r="49">
      <c r="A49" t="inlineStr">
        <is>
          <t>900000472DW70D08110004432</t>
        </is>
      </c>
      <c r="B49" t="inlineStr">
        <is>
          <t>4600050481-140</t>
        </is>
      </c>
      <c r="C49" t="n">
        <v>4600050481</v>
      </c>
      <c r="D49" t="n">
        <v>140</v>
      </c>
      <c r="E49" t="inlineStr">
        <is>
          <t>MXPO</t>
        </is>
      </c>
      <c r="F49" t="inlineStr">
        <is>
          <t>MXL</t>
        </is>
      </c>
      <c r="G49" t="n">
        <v>900000472</v>
      </c>
      <c r="H49" t="inlineStr">
        <is>
          <t>TC-ED-TRIMCAV</t>
        </is>
      </c>
      <c r="I49" t="n">
        <v>5010147</v>
      </c>
      <c r="J49" t="inlineStr">
        <is>
          <t>TRITURACIONES DE MARMOL Y CALCIOS</t>
        </is>
      </c>
      <c r="K49" t="inlineStr">
        <is>
          <t>Z04</t>
        </is>
      </c>
      <c r="L49" t="inlineStr">
        <is>
          <t>(AP) 30 Dias</t>
        </is>
      </c>
      <c r="M49" t="n">
        <v>10004432</v>
      </c>
      <c r="N49" t="inlineStr">
        <is>
          <t>Grava Triturada Barita 20 mm - 3/4"</t>
        </is>
      </c>
      <c r="O49" t="inlineStr">
        <is>
          <t>DW70</t>
        </is>
      </c>
      <c r="P49" t="inlineStr">
        <is>
          <t>MX-CED. CENTRO</t>
        </is>
      </c>
      <c r="Q49" t="n">
        <v>20210712</v>
      </c>
      <c r="R49" t="n">
        <v>20291231</v>
      </c>
      <c r="S49" t="n">
        <v>20211214</v>
      </c>
      <c r="T49" t="n">
        <v>20261231</v>
      </c>
      <c r="U49" t="n">
        <v>5200</v>
      </c>
      <c r="V49" t="inlineStr">
        <is>
          <t>MXN</t>
        </is>
      </c>
      <c r="W49" t="inlineStr">
        <is>
          <t>TN</t>
        </is>
      </c>
      <c r="X49" t="n">
        <v>2600</v>
      </c>
      <c r="Y49" t="inlineStr">
        <is>
          <t>MXN</t>
        </is>
      </c>
      <c r="Z49" t="inlineStr">
        <is>
          <t>TN</t>
        </is>
      </c>
      <c r="AA49" t="inlineStr">
        <is>
          <t>D081</t>
        </is>
      </c>
      <c r="AB49" t="inlineStr">
        <is>
          <t>PD0088 ARMAS</t>
        </is>
      </c>
      <c r="AC49" t="n">
        <v>56103637</v>
      </c>
      <c r="AD49" t="n">
        <v>6644261540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DW70-900000472-D081-10004432-4</t>
        </is>
      </c>
    </row>
    <row r="50">
      <c r="A50" t="inlineStr">
        <is>
          <t>900003438DW70D08810000811</t>
        </is>
      </c>
      <c r="B50" t="inlineStr">
        <is>
          <t>4600050497-870</t>
        </is>
      </c>
      <c r="C50" t="n">
        <v>4600050497</v>
      </c>
      <c r="D50" t="n">
        <v>870</v>
      </c>
      <c r="E50" t="inlineStr">
        <is>
          <t>MXPO</t>
        </is>
      </c>
      <c r="F50" t="inlineStr">
        <is>
          <t>MXL</t>
        </is>
      </c>
      <c r="G50" t="n">
        <v>900003438</v>
      </c>
      <c r="H50" t="inlineStr">
        <is>
          <t>TC-ED-ESTRATEGIAS AVANZADAS</t>
        </is>
      </c>
      <c r="I50" t="n">
        <v>5049458</v>
      </c>
      <c r="J50" t="inlineStr">
        <is>
          <t>ESTRATEGIAS AVANZADAS PARA OBTEN</t>
        </is>
      </c>
      <c r="K50" t="inlineStr">
        <is>
          <t>Z03</t>
        </is>
      </c>
      <c r="L50" t="inlineStr">
        <is>
          <t>(AP) 15 Dias</t>
        </is>
      </c>
      <c r="M50" t="n">
        <v>10000811</v>
      </c>
      <c r="N50" t="inlineStr">
        <is>
          <t>Grava Triturada Caliza 20 mm - 3/4"</t>
        </is>
      </c>
      <c r="O50" t="inlineStr">
        <is>
          <t>DW70</t>
        </is>
      </c>
      <c r="P50" t="inlineStr">
        <is>
          <t>MX-CED. CENTRO</t>
        </is>
      </c>
      <c r="Q50" t="n">
        <v>20210712</v>
      </c>
      <c r="R50" t="n">
        <v>20281231</v>
      </c>
      <c r="S50" t="n">
        <v>20211215</v>
      </c>
      <c r="T50" t="n">
        <v>20261231</v>
      </c>
      <c r="U50" t="n">
        <v>214.63</v>
      </c>
      <c r="V50" t="inlineStr">
        <is>
          <t>MXN</t>
        </is>
      </c>
      <c r="W50" t="inlineStr">
        <is>
          <t>M3</t>
        </is>
      </c>
      <c r="X50" t="n">
        <v>73.63</v>
      </c>
      <c r="Y50" t="inlineStr">
        <is>
          <t>MXN</t>
        </is>
      </c>
      <c r="Z50" t="inlineStr">
        <is>
          <t>M3</t>
        </is>
      </c>
      <c r="AA50" t="inlineStr">
        <is>
          <t>D088</t>
        </is>
      </c>
      <c r="AB50" t="inlineStr">
        <is>
          <t>PD081 HUEHUETOCA V</t>
        </is>
      </c>
      <c r="AC50" t="n">
        <v>56103637</v>
      </c>
      <c r="AD50" t="n">
        <v>6644261540</v>
      </c>
      <c r="AE50" t="n">
        <v>4</v>
      </c>
      <c r="AF50" t="inlineStr">
        <is>
          <t>ENTREGA DIRECTA</t>
        </is>
      </c>
      <c r="AG50" t="n">
        <v>1.447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DW70-900003438-D088-10000811-4</t>
        </is>
      </c>
    </row>
    <row r="51">
      <c r="A51" t="inlineStr">
        <is>
          <t>900003438DW70D08310000811</t>
        </is>
      </c>
      <c r="B51" t="inlineStr">
        <is>
          <t>4600050497-830</t>
        </is>
      </c>
      <c r="C51" t="n">
        <v>4600050497</v>
      </c>
      <c r="D51" t="n">
        <v>830</v>
      </c>
      <c r="E51" t="inlineStr">
        <is>
          <t>MXPO</t>
        </is>
      </c>
      <c r="F51" t="inlineStr">
        <is>
          <t>MXL</t>
        </is>
      </c>
      <c r="G51" t="n">
        <v>900003438</v>
      </c>
      <c r="H51" t="inlineStr">
        <is>
          <t>TC-ED-ESTRATEGIAS AVANZADAS</t>
        </is>
      </c>
      <c r="I51" t="n">
        <v>5049458</v>
      </c>
      <c r="J51" t="inlineStr">
        <is>
          <t>ESTRATEGIAS AVANZADAS PARA OBTEN</t>
        </is>
      </c>
      <c r="K51" t="inlineStr">
        <is>
          <t>Z03</t>
        </is>
      </c>
      <c r="L51" t="inlineStr">
        <is>
          <t>(AP) 15 Dias</t>
        </is>
      </c>
      <c r="M51" t="n">
        <v>10000811</v>
      </c>
      <c r="N51" t="inlineStr">
        <is>
          <t>Grava Triturada Caliza 20 mm - 3/4"</t>
        </is>
      </c>
      <c r="O51" t="inlineStr">
        <is>
          <t>DW70</t>
        </is>
      </c>
      <c r="P51" t="inlineStr">
        <is>
          <t>MX-CED. CENTRO</t>
        </is>
      </c>
      <c r="Q51" t="n">
        <v>20210712</v>
      </c>
      <c r="R51" t="n">
        <v>20281231</v>
      </c>
      <c r="S51" t="n">
        <v>20211215</v>
      </c>
      <c r="T51" t="n">
        <v>20261231</v>
      </c>
      <c r="U51" t="n">
        <v>382.49</v>
      </c>
      <c r="V51" t="inlineStr">
        <is>
          <t>MXN</t>
        </is>
      </c>
      <c r="W51" t="inlineStr">
        <is>
          <t>M3</t>
        </is>
      </c>
      <c r="X51" t="n">
        <v>241.49</v>
      </c>
      <c r="Y51" t="inlineStr">
        <is>
          <t>MXN</t>
        </is>
      </c>
      <c r="Z51" t="inlineStr">
        <is>
          <t>M3</t>
        </is>
      </c>
      <c r="AA51" t="inlineStr">
        <is>
          <t>D083</t>
        </is>
      </c>
      <c r="AB51" t="inlineStr">
        <is>
          <t>PD0099 MINAS</t>
        </is>
      </c>
      <c r="AC51" t="n">
        <v>56103637</v>
      </c>
      <c r="AD51" t="n">
        <v>6644261540</v>
      </c>
      <c r="AE51" t="n">
        <v>4</v>
      </c>
      <c r="AF51" t="inlineStr">
        <is>
          <t>ENTREGA DIRECTA</t>
        </is>
      </c>
      <c r="AG51" t="n">
        <v>1.447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DW70-900003438-D083-10000811-4</t>
        </is>
      </c>
    </row>
    <row r="52">
      <c r="A52" t="inlineStr">
        <is>
          <t>900000472DW70D10510000635</t>
        </is>
      </c>
      <c r="B52" t="inlineStr">
        <is>
          <t>4600050481-260</t>
        </is>
      </c>
      <c r="C52" t="n">
        <v>4600050481</v>
      </c>
      <c r="D52" t="n">
        <v>260</v>
      </c>
      <c r="E52" t="inlineStr">
        <is>
          <t>MXPO</t>
        </is>
      </c>
      <c r="F52" t="inlineStr">
        <is>
          <t>MXL</t>
        </is>
      </c>
      <c r="G52" t="n">
        <v>900000472</v>
      </c>
      <c r="H52" t="inlineStr">
        <is>
          <t>TC-ED-TRIMCAV</t>
        </is>
      </c>
      <c r="I52" t="n">
        <v>5010147</v>
      </c>
      <c r="J52" t="inlineStr">
        <is>
          <t>TRITURACIONES DE MARMOL Y CALCIOS</t>
        </is>
      </c>
      <c r="K52" t="inlineStr">
        <is>
          <t>Z04</t>
        </is>
      </c>
      <c r="L52" t="inlineStr">
        <is>
          <t>(AP) 30 Dias</t>
        </is>
      </c>
      <c r="M52" t="n">
        <v>10000635</v>
      </c>
      <c r="N52" t="inlineStr">
        <is>
          <t>Arena Triturada Marmol Malla 4</t>
        </is>
      </c>
      <c r="O52" t="inlineStr">
        <is>
          <t>DW70</t>
        </is>
      </c>
      <c r="P52" t="inlineStr">
        <is>
          <t>MX-CED. CENTRO</t>
        </is>
      </c>
      <c r="Q52" t="n">
        <v>20210712</v>
      </c>
      <c r="R52" t="n">
        <v>20291231</v>
      </c>
      <c r="S52" t="n">
        <v>20230215</v>
      </c>
      <c r="T52" t="n">
        <v>20281231</v>
      </c>
      <c r="U52" t="n">
        <v>921.6900000000001</v>
      </c>
      <c r="V52" t="inlineStr">
        <is>
          <t>MXN</t>
        </is>
      </c>
      <c r="W52" t="inlineStr">
        <is>
          <t>TN</t>
        </is>
      </c>
      <c r="X52" t="n">
        <v>485.1</v>
      </c>
      <c r="Y52" t="inlineStr">
        <is>
          <t>MXN</t>
        </is>
      </c>
      <c r="Z52" t="inlineStr">
        <is>
          <t>TN</t>
        </is>
      </c>
      <c r="AA52" t="inlineStr">
        <is>
          <t>D105</t>
        </is>
      </c>
      <c r="AB52" t="inlineStr">
        <is>
          <t>PD0331 NAUCALPAN II</t>
        </is>
      </c>
      <c r="AC52" t="n">
        <v>56103638</v>
      </c>
      <c r="AD52" t="n">
        <v>6644261540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DW70-900000472-D105-10000635-4</t>
        </is>
      </c>
    </row>
    <row r="53">
      <c r="A53" t="inlineStr">
        <is>
          <t>900003438DW70E67310019515</t>
        </is>
      </c>
      <c r="B53" t="inlineStr">
        <is>
          <t>4600050497-580</t>
        </is>
      </c>
      <c r="C53" t="n">
        <v>4600050497</v>
      </c>
      <c r="D53" t="n">
        <v>580</v>
      </c>
      <c r="E53" t="inlineStr">
        <is>
          <t>MXPO</t>
        </is>
      </c>
      <c r="F53" t="inlineStr">
        <is>
          <t>MXL</t>
        </is>
      </c>
      <c r="G53" t="n">
        <v>900003438</v>
      </c>
      <c r="H53" t="inlineStr">
        <is>
          <t>TC-ED-ESTRATEGIAS AVANZADAS</t>
        </is>
      </c>
      <c r="I53" t="n">
        <v>5049458</v>
      </c>
      <c r="J53" t="inlineStr">
        <is>
          <t>ESTRATEGIAS AVANZADAS PARA OBTEN</t>
        </is>
      </c>
      <c r="K53" t="inlineStr">
        <is>
          <t>Z03</t>
        </is>
      </c>
      <c r="L53" t="inlineStr">
        <is>
          <t>(AP) 15 Dias</t>
        </is>
      </c>
      <c r="M53" t="n">
        <v>10019515</v>
      </c>
      <c r="N53" t="inlineStr">
        <is>
          <t>Grava Triturada Tezontle 20mm - 3/4"</t>
        </is>
      </c>
      <c r="O53" t="inlineStr">
        <is>
          <t>DW70</t>
        </is>
      </c>
      <c r="P53" t="inlineStr">
        <is>
          <t>MX-CED. CENTRO</t>
        </is>
      </c>
      <c r="Q53" t="n">
        <v>20210712</v>
      </c>
      <c r="R53" t="n">
        <v>20281231</v>
      </c>
      <c r="S53" t="n">
        <v>20211025</v>
      </c>
      <c r="T53" t="n">
        <v>20261231</v>
      </c>
      <c r="U53" t="n">
        <v>220</v>
      </c>
      <c r="V53" t="inlineStr">
        <is>
          <t>MXN</t>
        </is>
      </c>
      <c r="W53" t="inlineStr">
        <is>
          <t>M3</t>
        </is>
      </c>
      <c r="X53" t="n">
        <v>110.27</v>
      </c>
      <c r="Y53" t="inlineStr">
        <is>
          <t>MXN</t>
        </is>
      </c>
      <c r="Z53" t="inlineStr">
        <is>
          <t>M3</t>
        </is>
      </c>
      <c r="AA53" t="inlineStr">
        <is>
          <t>E673</t>
        </is>
      </c>
      <c r="AB53" t="inlineStr">
        <is>
          <t>MX-PD0267 BASE AEREA STA.LUCIA</t>
        </is>
      </c>
      <c r="AC53" t="n">
        <v>56103637</v>
      </c>
      <c r="AD53" t="n">
        <v>6644261540</v>
      </c>
      <c r="AE53" t="n">
        <v>4</v>
      </c>
      <c r="AF53" t="inlineStr">
        <is>
          <t>ENTREGA DIRECTA</t>
        </is>
      </c>
      <c r="AG53" t="n">
        <v>1.3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DW70-900003438-E673-10019515-4</t>
        </is>
      </c>
    </row>
    <row r="54">
      <c r="A54" t="inlineStr">
        <is>
          <t>900000472DW70D08710000635</t>
        </is>
      </c>
      <c r="B54" t="inlineStr">
        <is>
          <t>4600050481-990</t>
        </is>
      </c>
      <c r="C54" t="n">
        <v>4600050481</v>
      </c>
      <c r="D54" t="n">
        <v>990</v>
      </c>
      <c r="E54" t="inlineStr">
        <is>
          <t>MXPO</t>
        </is>
      </c>
      <c r="F54" t="inlineStr">
        <is>
          <t>MXL</t>
        </is>
      </c>
      <c r="G54" t="n">
        <v>900000472</v>
      </c>
      <c r="H54" t="inlineStr">
        <is>
          <t>TC-ED-TRIMCAV</t>
        </is>
      </c>
      <c r="I54" t="n">
        <v>5010147</v>
      </c>
      <c r="J54" t="inlineStr">
        <is>
          <t>TRITURACIONES DE MARMOL Y CALCIOS</t>
        </is>
      </c>
      <c r="K54" t="inlineStr">
        <is>
          <t>Z04</t>
        </is>
      </c>
      <c r="L54" t="inlineStr">
        <is>
          <t>(AP) 30 Dias</t>
        </is>
      </c>
      <c r="M54" t="n">
        <v>10000635</v>
      </c>
      <c r="N54" t="inlineStr">
        <is>
          <t>Arena Triturada Marmol Malla 4</t>
        </is>
      </c>
      <c r="O54" t="inlineStr">
        <is>
          <t>DW70</t>
        </is>
      </c>
      <c r="P54" t="inlineStr">
        <is>
          <t>MX-CED. CENTRO</t>
        </is>
      </c>
      <c r="Q54" t="n">
        <v>20210712</v>
      </c>
      <c r="R54" t="n">
        <v>20291231</v>
      </c>
      <c r="S54" t="n">
        <v>20230215</v>
      </c>
      <c r="T54" t="n">
        <v>20281231</v>
      </c>
      <c r="U54" t="n">
        <v>921.6900000000001</v>
      </c>
      <c r="V54" t="inlineStr">
        <is>
          <t>MXN</t>
        </is>
      </c>
      <c r="W54" t="inlineStr">
        <is>
          <t>TN</t>
        </is>
      </c>
      <c r="X54" t="n">
        <v>485.1</v>
      </c>
      <c r="Y54" t="inlineStr">
        <is>
          <t>MXN</t>
        </is>
      </c>
      <c r="Z54" t="inlineStr">
        <is>
          <t>TN</t>
        </is>
      </c>
      <c r="AA54" t="inlineStr">
        <is>
          <t>D087</t>
        </is>
      </c>
      <c r="AB54" t="inlineStr">
        <is>
          <t>PD0192 ZUMPANGO 2</t>
        </is>
      </c>
      <c r="AC54" t="n">
        <v>56103638</v>
      </c>
      <c r="AD54" t="n">
        <v>6644261540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DW70-900000472-D087-10000635-4</t>
        </is>
      </c>
    </row>
    <row r="55">
      <c r="A55" t="inlineStr">
        <is>
          <t>900000472DW70D10510189170</t>
        </is>
      </c>
      <c r="B55" t="inlineStr">
        <is>
          <t>4600050481-380</t>
        </is>
      </c>
      <c r="C55" t="n">
        <v>4600050481</v>
      </c>
      <c r="D55" t="n">
        <v>380</v>
      </c>
      <c r="E55" t="inlineStr">
        <is>
          <t>MXPO</t>
        </is>
      </c>
      <c r="F55" t="inlineStr">
        <is>
          <t>MXL</t>
        </is>
      </c>
      <c r="G55" t="n">
        <v>900000472</v>
      </c>
      <c r="H55" t="inlineStr">
        <is>
          <t>TC-ED-TRIMCAV</t>
        </is>
      </c>
      <c r="I55" t="n">
        <v>5010147</v>
      </c>
      <c r="J55" t="inlineStr">
        <is>
          <t>TRITURACIONES DE MARMOL Y CALCIOS</t>
        </is>
      </c>
      <c r="K55" t="inlineStr">
        <is>
          <t>Z04</t>
        </is>
      </c>
      <c r="L55" t="inlineStr">
        <is>
          <t>(AP) 30 Dias</t>
        </is>
      </c>
      <c r="M55" t="n">
        <v>10189170</v>
      </c>
      <c r="N55" t="inlineStr">
        <is>
          <t>GRAVA TRITURADA MÁRMOL NEGRO 10 MM - 3/8</t>
        </is>
      </c>
      <c r="O55" t="inlineStr">
        <is>
          <t>DW70</t>
        </is>
      </c>
      <c r="P55" t="inlineStr">
        <is>
          <t>MX-CED. CENTRO</t>
        </is>
      </c>
      <c r="Q55" t="n">
        <v>20210712</v>
      </c>
      <c r="R55" t="n">
        <v>20291231</v>
      </c>
      <c r="S55" t="n">
        <v>20210712</v>
      </c>
      <c r="T55" t="n">
        <v>20251231</v>
      </c>
      <c r="U55" t="n">
        <v>1300</v>
      </c>
      <c r="V55" t="inlineStr">
        <is>
          <t>MXN</t>
        </is>
      </c>
      <c r="W55" t="inlineStr">
        <is>
          <t>TN</t>
        </is>
      </c>
      <c r="X55" t="n">
        <v>650</v>
      </c>
      <c r="Y55" t="inlineStr">
        <is>
          <t>MXN</t>
        </is>
      </c>
      <c r="Z55" t="inlineStr">
        <is>
          <t>TN</t>
        </is>
      </c>
      <c r="AA55" t="inlineStr">
        <is>
          <t>D105</t>
        </is>
      </c>
      <c r="AB55" t="inlineStr">
        <is>
          <t>PD0331 NAUCALPAN II</t>
        </is>
      </c>
      <c r="AC55" t="n">
        <v>56103637</v>
      </c>
      <c r="AD55" t="n">
        <v>6644261540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DW70-900000472-D105-10189170-4</t>
        </is>
      </c>
    </row>
    <row r="56">
      <c r="A56" t="inlineStr">
        <is>
          <t>900000472DW70D08610188219</t>
        </is>
      </c>
      <c r="B56" t="inlineStr">
        <is>
          <t>4600050481-280</t>
        </is>
      </c>
      <c r="C56" t="n">
        <v>4600050481</v>
      </c>
      <c r="D56" t="n">
        <v>280</v>
      </c>
      <c r="E56" t="inlineStr">
        <is>
          <t>MXPO</t>
        </is>
      </c>
      <c r="F56" t="inlineStr">
        <is>
          <t>MXL</t>
        </is>
      </c>
      <c r="G56" t="n">
        <v>900000472</v>
      </c>
      <c r="H56" t="inlineStr">
        <is>
          <t>TC-ED-TRIMCAV</t>
        </is>
      </c>
      <c r="I56" t="n">
        <v>5010147</v>
      </c>
      <c r="J56" t="inlineStr">
        <is>
          <t>TRITURACIONES DE MARMOL Y CALCIOS</t>
        </is>
      </c>
      <c r="K56" t="inlineStr">
        <is>
          <t>Z04</t>
        </is>
      </c>
      <c r="L56" t="inlineStr">
        <is>
          <t>(AP) 30 Dias</t>
        </is>
      </c>
      <c r="M56" t="n">
        <v>10188219</v>
      </c>
      <c r="N56" t="inlineStr">
        <is>
          <t>ARENA TRITURADA MÁRMOL NEGRO MALLA 4</t>
        </is>
      </c>
      <c r="O56" t="inlineStr">
        <is>
          <t>DW70</t>
        </is>
      </c>
      <c r="P56" t="inlineStr">
        <is>
          <t>MX-CED. CENTRO</t>
        </is>
      </c>
      <c r="Q56" t="n">
        <v>20210712</v>
      </c>
      <c r="R56" t="n">
        <v>20291231</v>
      </c>
      <c r="S56" t="n">
        <v>20210712</v>
      </c>
      <c r="T56" t="n">
        <v>20251231</v>
      </c>
      <c r="U56" t="n">
        <v>1300</v>
      </c>
      <c r="V56" t="inlineStr">
        <is>
          <t>MXN</t>
        </is>
      </c>
      <c r="W56" t="inlineStr">
        <is>
          <t>TN</t>
        </is>
      </c>
      <c r="X56" t="n">
        <v>650</v>
      </c>
      <c r="Y56" t="inlineStr">
        <is>
          <t>MXN</t>
        </is>
      </c>
      <c r="Z56" t="inlineStr">
        <is>
          <t>TN</t>
        </is>
      </c>
      <c r="AA56" t="inlineStr">
        <is>
          <t>D086</t>
        </is>
      </c>
      <c r="AB56" t="inlineStr">
        <is>
          <t>PD0190 XALOSTC</t>
        </is>
      </c>
      <c r="AC56" t="n">
        <v>56103638</v>
      </c>
      <c r="AD56" t="n">
        <v>6644261540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DW70-900000472-D086-10188219-4</t>
        </is>
      </c>
    </row>
    <row r="57">
      <c r="A57" t="inlineStr">
        <is>
          <t>900000472DW70D07310000643</t>
        </is>
      </c>
      <c r="B57" t="inlineStr">
        <is>
          <t>4600050481-870</t>
        </is>
      </c>
      <c r="C57" t="n">
        <v>4600050481</v>
      </c>
      <c r="D57" t="n">
        <v>870</v>
      </c>
      <c r="E57" t="inlineStr">
        <is>
          <t>MXPO</t>
        </is>
      </c>
      <c r="F57" t="inlineStr">
        <is>
          <t>MXL</t>
        </is>
      </c>
      <c r="G57" t="n">
        <v>900000472</v>
      </c>
      <c r="H57" t="inlineStr">
        <is>
          <t>TC-ED-TRIMCAV</t>
        </is>
      </c>
      <c r="I57" t="n">
        <v>5010147</v>
      </c>
      <c r="J57" t="inlineStr">
        <is>
          <t>TRITURACIONES DE MARMOL Y CALCIOS</t>
        </is>
      </c>
      <c r="K57" t="inlineStr">
        <is>
          <t>Z04</t>
        </is>
      </c>
      <c r="L57" t="inlineStr">
        <is>
          <t>(AP) 30 Dias</t>
        </is>
      </c>
      <c r="M57" t="n">
        <v>10000643</v>
      </c>
      <c r="N57" t="inlineStr">
        <is>
          <t>Grava Triturada Marmol 20 mm - 3/4"</t>
        </is>
      </c>
      <c r="O57" t="inlineStr">
        <is>
          <t>DW70</t>
        </is>
      </c>
      <c r="P57" t="inlineStr">
        <is>
          <t>MX-CED. CENTRO</t>
        </is>
      </c>
      <c r="Q57" t="n">
        <v>20210712</v>
      </c>
      <c r="R57" t="n">
        <v>20291231</v>
      </c>
      <c r="S57" t="n">
        <v>20230215</v>
      </c>
      <c r="T57" t="n">
        <v>20281231</v>
      </c>
      <c r="U57" t="n">
        <v>921.6900000000001</v>
      </c>
      <c r="V57" t="inlineStr">
        <is>
          <t>MXN</t>
        </is>
      </c>
      <c r="W57" t="inlineStr">
        <is>
          <t>TN</t>
        </is>
      </c>
      <c r="X57" t="n">
        <v>485.1</v>
      </c>
      <c r="Y57" t="inlineStr">
        <is>
          <t>MXN</t>
        </is>
      </c>
      <c r="Z57" t="inlineStr">
        <is>
          <t>TN</t>
        </is>
      </c>
      <c r="AA57" t="inlineStr">
        <is>
          <t>D073</t>
        </is>
      </c>
      <c r="AB57" t="inlineStr">
        <is>
          <t>PD0037 TULA V</t>
        </is>
      </c>
      <c r="AC57" t="n">
        <v>56103637</v>
      </c>
      <c r="AD57" t="n">
        <v>6644261540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DW70-900000472-D073-10000643-4</t>
        </is>
      </c>
    </row>
    <row r="58">
      <c r="A58" t="inlineStr">
        <is>
          <t>900000472DW70D09310000635</t>
        </is>
      </c>
      <c r="B58" t="inlineStr">
        <is>
          <t>4600050481-1020</t>
        </is>
      </c>
      <c r="C58" t="n">
        <v>4600050481</v>
      </c>
      <c r="D58" t="n">
        <v>1020</v>
      </c>
      <c r="E58" t="inlineStr">
        <is>
          <t>MXPO</t>
        </is>
      </c>
      <c r="F58" t="inlineStr">
        <is>
          <t>MXL</t>
        </is>
      </c>
      <c r="G58" t="n">
        <v>900000472</v>
      </c>
      <c r="H58" t="inlineStr">
        <is>
          <t>TC-ED-TRIMCAV</t>
        </is>
      </c>
      <c r="I58" t="n">
        <v>5010147</v>
      </c>
      <c r="J58" t="inlineStr">
        <is>
          <t>TRITURACIONES DE MARMOL Y CALCIOS</t>
        </is>
      </c>
      <c r="K58" t="inlineStr">
        <is>
          <t>Z04</t>
        </is>
      </c>
      <c r="L58" t="inlineStr">
        <is>
          <t>(AP) 30 Dias</t>
        </is>
      </c>
      <c r="M58" t="n">
        <v>10000635</v>
      </c>
      <c r="N58" t="inlineStr">
        <is>
          <t>Arena Triturada Marmol Malla 4</t>
        </is>
      </c>
      <c r="O58" t="inlineStr">
        <is>
          <t>DW70</t>
        </is>
      </c>
      <c r="P58" t="inlineStr">
        <is>
          <t>MX-CED. CENTRO</t>
        </is>
      </c>
      <c r="Q58" t="n">
        <v>20210712</v>
      </c>
      <c r="R58" t="n">
        <v>20291231</v>
      </c>
      <c r="S58" t="n">
        <v>20230215</v>
      </c>
      <c r="T58" t="n">
        <v>20281231</v>
      </c>
      <c r="U58" t="n">
        <v>921.6900000000001</v>
      </c>
      <c r="V58" t="inlineStr">
        <is>
          <t>MXN</t>
        </is>
      </c>
      <c r="W58" t="inlineStr">
        <is>
          <t>TN</t>
        </is>
      </c>
      <c r="X58" t="n">
        <v>485.1</v>
      </c>
      <c r="Y58" t="inlineStr">
        <is>
          <t>MXN</t>
        </is>
      </c>
      <c r="Z58" t="inlineStr">
        <is>
          <t>TN</t>
        </is>
      </c>
      <c r="AA58" t="inlineStr">
        <is>
          <t>D093</t>
        </is>
      </c>
      <c r="AB58" t="inlineStr">
        <is>
          <t>PD0556 ZUMPANGO</t>
        </is>
      </c>
      <c r="AC58" t="n">
        <v>56103638</v>
      </c>
      <c r="AD58" t="n">
        <v>6644261540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DW70-900000472-D093-10000635-4</t>
        </is>
      </c>
    </row>
    <row r="59">
      <c r="A59" t="inlineStr">
        <is>
          <t>900003438DW70D08010000623</t>
        </is>
      </c>
      <c r="B59" t="inlineStr">
        <is>
          <t>4600050497-280</t>
        </is>
      </c>
      <c r="C59" t="n">
        <v>4600050497</v>
      </c>
      <c r="D59" t="n">
        <v>280</v>
      </c>
      <c r="E59" t="inlineStr">
        <is>
          <t>MXPO</t>
        </is>
      </c>
      <c r="F59" t="inlineStr">
        <is>
          <t>MXL</t>
        </is>
      </c>
      <c r="G59" t="n">
        <v>900003438</v>
      </c>
      <c r="H59" t="inlineStr">
        <is>
          <t>TC-ED-ESTRATEGIAS AVANZADAS</t>
        </is>
      </c>
      <c r="I59" t="n">
        <v>5049458</v>
      </c>
      <c r="J59" t="inlineStr">
        <is>
          <t>ESTRATEGIAS AVANZADAS PARA OBTEN</t>
        </is>
      </c>
      <c r="K59" t="inlineStr">
        <is>
          <t>Z03</t>
        </is>
      </c>
      <c r="L59" t="inlineStr">
        <is>
          <t>(AP) 15 Dias</t>
        </is>
      </c>
      <c r="M59" t="n">
        <v>10000623</v>
      </c>
      <c r="N59" t="inlineStr">
        <is>
          <t>Grava Triturada Caliza 10 mm - 3/8"</t>
        </is>
      </c>
      <c r="O59" t="inlineStr">
        <is>
          <t>DW70</t>
        </is>
      </c>
      <c r="P59" t="inlineStr">
        <is>
          <t>MX-CED. CENTRO</t>
        </is>
      </c>
      <c r="Q59" t="n">
        <v>20210712</v>
      </c>
      <c r="R59" t="n">
        <v>20281231</v>
      </c>
      <c r="S59" t="n">
        <v>20230501</v>
      </c>
      <c r="T59" t="n">
        <v>20281231</v>
      </c>
      <c r="U59" t="n">
        <v>362.64</v>
      </c>
      <c r="V59" t="inlineStr">
        <is>
          <t>MXN</t>
        </is>
      </c>
      <c r="W59" t="inlineStr">
        <is>
          <t>M3</t>
        </is>
      </c>
      <c r="X59" t="n">
        <v>207.64</v>
      </c>
      <c r="Y59" t="inlineStr">
        <is>
          <t>MXN</t>
        </is>
      </c>
      <c r="Z59" t="inlineStr">
        <is>
          <t>M3</t>
        </is>
      </c>
      <c r="AA59" t="inlineStr">
        <is>
          <t>D080</t>
        </is>
      </c>
      <c r="AB59" t="inlineStr">
        <is>
          <t>PD0086 VALLEJO</t>
        </is>
      </c>
      <c r="AC59" t="n">
        <v>56103637</v>
      </c>
      <c r="AD59" t="n">
        <v>6644261540</v>
      </c>
      <c r="AE59" t="n">
        <v>4</v>
      </c>
      <c r="AF59" t="inlineStr">
        <is>
          <t>ENTREGA DIRECTA</t>
        </is>
      </c>
      <c r="AG59" t="n">
        <v>1.41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DW70-900003438-D080-10000623-4</t>
        </is>
      </c>
    </row>
    <row r="60">
      <c r="A60" t="inlineStr">
        <is>
          <t>900000472DW70D09810000643</t>
        </is>
      </c>
      <c r="B60" t="inlineStr">
        <is>
          <t>4600050481-940</t>
        </is>
      </c>
      <c r="C60" t="n">
        <v>4600050481</v>
      </c>
      <c r="D60" t="n">
        <v>940</v>
      </c>
      <c r="E60" t="inlineStr">
        <is>
          <t>MXPO</t>
        </is>
      </c>
      <c r="F60" t="inlineStr">
        <is>
          <t>MXL</t>
        </is>
      </c>
      <c r="G60" t="n">
        <v>900000472</v>
      </c>
      <c r="H60" t="inlineStr">
        <is>
          <t>TC-ED-TRIMCAV</t>
        </is>
      </c>
      <c r="I60" t="n">
        <v>5010147</v>
      </c>
      <c r="J60" t="inlineStr">
        <is>
          <t>TRITURACIONES DE MARMOL Y CALCIOS</t>
        </is>
      </c>
      <c r="K60" t="inlineStr">
        <is>
          <t>Z04</t>
        </is>
      </c>
      <c r="L60" t="inlineStr">
        <is>
          <t>(AP) 30 Dias</t>
        </is>
      </c>
      <c r="M60" t="n">
        <v>10000643</v>
      </c>
      <c r="N60" t="inlineStr">
        <is>
          <t>Grava Triturada Marmol 20 mm - 3/4"</t>
        </is>
      </c>
      <c r="O60" t="inlineStr">
        <is>
          <t>DW70</t>
        </is>
      </c>
      <c r="P60" t="inlineStr">
        <is>
          <t>MX-CED. CENTRO</t>
        </is>
      </c>
      <c r="Q60" t="n">
        <v>20210712</v>
      </c>
      <c r="R60" t="n">
        <v>20291231</v>
      </c>
      <c r="S60" t="n">
        <v>20230215</v>
      </c>
      <c r="T60" t="n">
        <v>20281231</v>
      </c>
      <c r="U60" t="n">
        <v>921.6900000000001</v>
      </c>
      <c r="V60" t="inlineStr">
        <is>
          <t>MXN</t>
        </is>
      </c>
      <c r="W60" t="inlineStr">
        <is>
          <t>TN</t>
        </is>
      </c>
      <c r="X60" t="n">
        <v>485.1</v>
      </c>
      <c r="Y60" t="inlineStr">
        <is>
          <t>MXN</t>
        </is>
      </c>
      <c r="Z60" t="inlineStr">
        <is>
          <t>TN</t>
        </is>
      </c>
      <c r="AA60" t="inlineStr">
        <is>
          <t>D098</t>
        </is>
      </c>
      <c r="AB60" t="inlineStr">
        <is>
          <t>PD0315 CUAUTITLAN II</t>
        </is>
      </c>
      <c r="AC60" t="n">
        <v>56103637</v>
      </c>
      <c r="AD60" t="n">
        <v>6644261540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DW70-900000472-D098-10000643-4</t>
        </is>
      </c>
    </row>
    <row r="61">
      <c r="A61" t="inlineStr">
        <is>
          <t>900003438DW70EQ7510019515</t>
        </is>
      </c>
      <c r="B61" t="inlineStr">
        <is>
          <t>4600050497-560</t>
        </is>
      </c>
      <c r="C61" t="n">
        <v>4600050497</v>
      </c>
      <c r="D61" t="n">
        <v>560</v>
      </c>
      <c r="E61" t="inlineStr">
        <is>
          <t>MXPO</t>
        </is>
      </c>
      <c r="F61" t="inlineStr">
        <is>
          <t>MXL</t>
        </is>
      </c>
      <c r="G61" t="n">
        <v>900003438</v>
      </c>
      <c r="H61" t="inlineStr">
        <is>
          <t>TC-ED-ESTRATEGIAS AVANZADAS</t>
        </is>
      </c>
      <c r="I61" t="n">
        <v>5049458</v>
      </c>
      <c r="J61" t="inlineStr">
        <is>
          <t>ESTRATEGIAS AVANZADAS PARA OBTEN</t>
        </is>
      </c>
      <c r="K61" t="inlineStr">
        <is>
          <t>Z03</t>
        </is>
      </c>
      <c r="L61" t="inlineStr">
        <is>
          <t>(AP) 15 Dias</t>
        </is>
      </c>
      <c r="M61" t="n">
        <v>10019515</v>
      </c>
      <c r="N61" t="inlineStr">
        <is>
          <t>Grava Triturada Tezontle 20mm - 3/4"</t>
        </is>
      </c>
      <c r="O61" t="inlineStr">
        <is>
          <t>DW70</t>
        </is>
      </c>
      <c r="P61" t="inlineStr">
        <is>
          <t>MX-CED. CENTRO</t>
        </is>
      </c>
      <c r="Q61" t="n">
        <v>20210712</v>
      </c>
      <c r="R61" t="n">
        <v>20281231</v>
      </c>
      <c r="S61" t="n">
        <v>20210801</v>
      </c>
      <c r="T61" t="n">
        <v>20211231</v>
      </c>
      <c r="U61" t="n">
        <v>0</v>
      </c>
      <c r="V61" t="inlineStr">
        <is>
          <t>MXN</t>
        </is>
      </c>
      <c r="W61" t="inlineStr">
        <is>
          <t>M3</t>
        </is>
      </c>
      <c r="X61" t="n">
        <v>110</v>
      </c>
      <c r="Y61" t="inlineStr">
        <is>
          <t>MXN</t>
        </is>
      </c>
      <c r="Z61" t="inlineStr">
        <is>
          <t>M3</t>
        </is>
      </c>
      <c r="AA61" t="inlineStr">
        <is>
          <t>EQ75</t>
        </is>
      </c>
      <c r="AB61" t="inlineStr">
        <is>
          <t>MX-PD0399 TM CHEMUYIL</t>
        </is>
      </c>
      <c r="AC61" t="n">
        <v>56103637</v>
      </c>
      <c r="AD61" t="n">
        <v>6644261540</v>
      </c>
      <c r="AE61" t="n">
        <v>4</v>
      </c>
      <c r="AF61" t="inlineStr">
        <is>
          <t>ENTREGA DIRECTA</t>
        </is>
      </c>
      <c r="AG61" t="n">
        <v>1.3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20230907</v>
      </c>
      <c r="AM61" t="inlineStr">
        <is>
          <t>DW70-900003438-EQ75-10019515-4</t>
        </is>
      </c>
    </row>
    <row r="62">
      <c r="A62" t="inlineStr">
        <is>
          <t>900000472DW70D08510189170</t>
        </is>
      </c>
      <c r="B62" t="inlineStr">
        <is>
          <t>4600050481-420</t>
        </is>
      </c>
      <c r="C62" t="n">
        <v>4600050481</v>
      </c>
      <c r="D62" t="n">
        <v>420</v>
      </c>
      <c r="E62" t="inlineStr">
        <is>
          <t>MXPO</t>
        </is>
      </c>
      <c r="F62" t="inlineStr">
        <is>
          <t>MXL</t>
        </is>
      </c>
      <c r="G62" t="n">
        <v>900000472</v>
      </c>
      <c r="H62" t="inlineStr">
        <is>
          <t>TC-ED-TRIMCAV</t>
        </is>
      </c>
      <c r="I62" t="n">
        <v>5010147</v>
      </c>
      <c r="J62" t="inlineStr">
        <is>
          <t>TRITURACIONES DE MARMOL Y CALCIOS</t>
        </is>
      </c>
      <c r="K62" t="inlineStr">
        <is>
          <t>Z04</t>
        </is>
      </c>
      <c r="L62" t="inlineStr">
        <is>
          <t>(AP) 30 Dias</t>
        </is>
      </c>
      <c r="M62" t="n">
        <v>10189170</v>
      </c>
      <c r="N62" t="inlineStr">
        <is>
          <t>GRAVA TRITURADA MÁRMOL NEGRO 10 MM - 3/8</t>
        </is>
      </c>
      <c r="O62" t="inlineStr">
        <is>
          <t>DW70</t>
        </is>
      </c>
      <c r="P62" t="inlineStr">
        <is>
          <t>MX-CED. CENTRO</t>
        </is>
      </c>
      <c r="Q62" t="n">
        <v>20210712</v>
      </c>
      <c r="R62" t="n">
        <v>20291231</v>
      </c>
      <c r="S62" t="n">
        <v>20210712</v>
      </c>
      <c r="T62" t="n">
        <v>20251231</v>
      </c>
      <c r="U62" t="n">
        <v>1300</v>
      </c>
      <c r="V62" t="inlineStr">
        <is>
          <t>MXN</t>
        </is>
      </c>
      <c r="W62" t="inlineStr">
        <is>
          <t>TN</t>
        </is>
      </c>
      <c r="X62" t="n">
        <v>650</v>
      </c>
      <c r="Y62" t="inlineStr">
        <is>
          <t>MXN</t>
        </is>
      </c>
      <c r="Z62" t="inlineStr">
        <is>
          <t>TN</t>
        </is>
      </c>
      <c r="AA62" t="inlineStr">
        <is>
          <t>D085</t>
        </is>
      </c>
      <c r="AB62" t="inlineStr">
        <is>
          <t>PD0189 ROJO GOMEZ</t>
        </is>
      </c>
      <c r="AC62" t="n">
        <v>56103637</v>
      </c>
      <c r="AD62" t="n">
        <v>6644261540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DW70-900000472-D085-10189170-4</t>
        </is>
      </c>
    </row>
    <row r="63">
      <c r="A63" t="inlineStr">
        <is>
          <t>900003438DW70D10510002802</t>
        </is>
      </c>
      <c r="B63" t="inlineStr">
        <is>
          <t>4600050497-390</t>
        </is>
      </c>
      <c r="C63" t="n">
        <v>4600050497</v>
      </c>
      <c r="D63" t="n">
        <v>390</v>
      </c>
      <c r="E63" t="inlineStr">
        <is>
          <t>MXPO</t>
        </is>
      </c>
      <c r="F63" t="inlineStr">
        <is>
          <t>MXL</t>
        </is>
      </c>
      <c r="G63" t="n">
        <v>900003438</v>
      </c>
      <c r="H63" t="inlineStr">
        <is>
          <t>TC-ED-ESTRATEGIAS AVANZADAS</t>
        </is>
      </c>
      <c r="I63" t="n">
        <v>5049458</v>
      </c>
      <c r="J63" t="inlineStr">
        <is>
          <t>ESTRATEGIAS AVANZADAS PARA OBTEN</t>
        </is>
      </c>
      <c r="K63" t="inlineStr">
        <is>
          <t>Z03</t>
        </is>
      </c>
      <c r="L63" t="inlineStr">
        <is>
          <t>(AP) 15 Dias</t>
        </is>
      </c>
      <c r="M63" t="n">
        <v>10002802</v>
      </c>
      <c r="N63" t="inlineStr">
        <is>
          <t>Arena Clasificada Río Malla 4 Lavado</t>
        </is>
      </c>
      <c r="O63" t="inlineStr">
        <is>
          <t>DW70</t>
        </is>
      </c>
      <c r="P63" t="inlineStr">
        <is>
          <t>MX-CED. CENTRO</t>
        </is>
      </c>
      <c r="Q63" t="n">
        <v>20210712</v>
      </c>
      <c r="R63" t="n">
        <v>20281231</v>
      </c>
      <c r="S63" t="n">
        <v>20230501</v>
      </c>
      <c r="T63" t="n">
        <v>20281231</v>
      </c>
      <c r="U63" t="n">
        <v>387.03</v>
      </c>
      <c r="V63" t="inlineStr">
        <is>
          <t>MXN</t>
        </is>
      </c>
      <c r="W63" t="inlineStr">
        <is>
          <t>M3</t>
        </is>
      </c>
      <c r="X63" t="n">
        <v>237.03</v>
      </c>
      <c r="Y63" t="inlineStr">
        <is>
          <t>MXN</t>
        </is>
      </c>
      <c r="Z63" t="inlineStr">
        <is>
          <t>M3</t>
        </is>
      </c>
      <c r="AA63" t="inlineStr">
        <is>
          <t>D105</t>
        </is>
      </c>
      <c r="AB63" t="inlineStr">
        <is>
          <t>PD0331 NAUCALPAN II</t>
        </is>
      </c>
      <c r="AC63" t="n">
        <v>56103638</v>
      </c>
      <c r="AD63" t="n">
        <v>6644261540</v>
      </c>
      <c r="AE63" t="n">
        <v>4</v>
      </c>
      <c r="AF63" t="inlineStr">
        <is>
          <t>ENTREGA DIRECTA</t>
        </is>
      </c>
      <c r="AG63" t="n">
        <v>1.463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DW70-900003438-D105-10002802-4</t>
        </is>
      </c>
    </row>
    <row r="64">
      <c r="A64" t="inlineStr">
        <is>
          <t>900003438DW70D13610002802</t>
        </is>
      </c>
      <c r="B64" t="inlineStr">
        <is>
          <t>4600050497-400</t>
        </is>
      </c>
      <c r="C64" t="n">
        <v>4600050497</v>
      </c>
      <c r="D64" t="n">
        <v>400</v>
      </c>
      <c r="E64" t="inlineStr">
        <is>
          <t>MXPO</t>
        </is>
      </c>
      <c r="F64" t="inlineStr">
        <is>
          <t>MXL</t>
        </is>
      </c>
      <c r="G64" t="n">
        <v>900003438</v>
      </c>
      <c r="H64" t="inlineStr">
        <is>
          <t>TC-ED-ESTRATEGIAS AVANZADAS</t>
        </is>
      </c>
      <c r="I64" t="n">
        <v>5049458</v>
      </c>
      <c r="J64" t="inlineStr">
        <is>
          <t>ESTRATEGIAS AVANZADAS PARA OBTEN</t>
        </is>
      </c>
      <c r="K64" t="inlineStr">
        <is>
          <t>Z03</t>
        </is>
      </c>
      <c r="L64" t="inlineStr">
        <is>
          <t>(AP) 15 Dias</t>
        </is>
      </c>
      <c r="M64" t="n">
        <v>10002802</v>
      </c>
      <c r="N64" t="inlineStr">
        <is>
          <t>Arena Clasificada Río Malla 4 Lavado</t>
        </is>
      </c>
      <c r="O64" t="inlineStr">
        <is>
          <t>DW70</t>
        </is>
      </c>
      <c r="P64" t="inlineStr">
        <is>
          <t>MX-CED. CENTRO</t>
        </is>
      </c>
      <c r="Q64" t="n">
        <v>20210712</v>
      </c>
      <c r="R64" t="n">
        <v>20281231</v>
      </c>
      <c r="S64" t="n">
        <v>20230501</v>
      </c>
      <c r="T64" t="n">
        <v>20281231</v>
      </c>
      <c r="U64" t="n">
        <v>416.14</v>
      </c>
      <c r="V64" t="inlineStr">
        <is>
          <t>MXN</t>
        </is>
      </c>
      <c r="W64" t="inlineStr">
        <is>
          <t>M3</t>
        </is>
      </c>
      <c r="X64" t="n">
        <v>266.14</v>
      </c>
      <c r="Y64" t="inlineStr">
        <is>
          <t>MXN</t>
        </is>
      </c>
      <c r="Z64" t="inlineStr">
        <is>
          <t>M3</t>
        </is>
      </c>
      <c r="AA64" t="inlineStr">
        <is>
          <t>D136</t>
        </is>
      </c>
      <c r="AB64" t="inlineStr">
        <is>
          <t>PD0237 LA ESTRELLA</t>
        </is>
      </c>
      <c r="AC64" t="n">
        <v>56103638</v>
      </c>
      <c r="AD64" t="n">
        <v>6644261540</v>
      </c>
      <c r="AE64" t="n">
        <v>4</v>
      </c>
      <c r="AF64" t="inlineStr">
        <is>
          <t>ENTREGA DIRECTA</t>
        </is>
      </c>
      <c r="AG64" t="n">
        <v>1.463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DW70-900003438-D136-10002802-4</t>
        </is>
      </c>
    </row>
    <row r="65">
      <c r="A65" t="inlineStr">
        <is>
          <t>900003438DW70D13610000630</t>
        </is>
      </c>
      <c r="B65" t="inlineStr">
        <is>
          <t>4600050497-20</t>
        </is>
      </c>
      <c r="C65" t="n">
        <v>4600050497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900003438</v>
      </c>
      <c r="H65" t="inlineStr">
        <is>
          <t>TC-ED-ESTRATEGIAS AVANZADAS</t>
        </is>
      </c>
      <c r="I65" t="n">
        <v>5049458</v>
      </c>
      <c r="J65" t="inlineStr">
        <is>
          <t>ESTRATEGIAS AVANZADAS PARA OBTEN</t>
        </is>
      </c>
      <c r="K65" t="inlineStr">
        <is>
          <t>Z03</t>
        </is>
      </c>
      <c r="L65" t="inlineStr">
        <is>
          <t>(AP) 15 Dias</t>
        </is>
      </c>
      <c r="M65" t="n">
        <v>10000630</v>
      </c>
      <c r="N65" t="inlineStr">
        <is>
          <t>Grava Triturada Caliza 13 mm - 1/2"</t>
        </is>
      </c>
      <c r="O65" t="inlineStr">
        <is>
          <t>DW70</t>
        </is>
      </c>
      <c r="P65" t="inlineStr">
        <is>
          <t>MX-CED. CENTRO</t>
        </is>
      </c>
      <c r="Q65" t="n">
        <v>20210712</v>
      </c>
      <c r="R65" t="n">
        <v>20281231</v>
      </c>
      <c r="S65" t="n">
        <v>20230501</v>
      </c>
      <c r="T65" t="n">
        <v>20281231</v>
      </c>
      <c r="U65" t="n">
        <v>397.3</v>
      </c>
      <c r="V65" t="inlineStr">
        <is>
          <t>MXN</t>
        </is>
      </c>
      <c r="W65" t="inlineStr">
        <is>
          <t>M3</t>
        </is>
      </c>
      <c r="X65" t="n">
        <v>242.3</v>
      </c>
      <c r="Y65" t="inlineStr">
        <is>
          <t>MXN</t>
        </is>
      </c>
      <c r="Z65" t="inlineStr">
        <is>
          <t>M3</t>
        </is>
      </c>
      <c r="AA65" t="inlineStr">
        <is>
          <t>D136</t>
        </is>
      </c>
      <c r="AB65" t="inlineStr">
        <is>
          <t>PD0237 LA ESTRELLA</t>
        </is>
      </c>
      <c r="AC65" t="n">
        <v>56103637</v>
      </c>
      <c r="AD65" t="n">
        <v>6644261540</v>
      </c>
      <c r="AE65" t="n">
        <v>4</v>
      </c>
      <c r="AF65" t="inlineStr">
        <is>
          <t>ENTREGA DIRECTA</t>
        </is>
      </c>
      <c r="AG65" t="n">
        <v>1.4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DW70-900003438-D136-10000630-4</t>
        </is>
      </c>
    </row>
    <row r="66">
      <c r="A66" t="inlineStr">
        <is>
          <t>900003438DW70D08110017461</t>
        </is>
      </c>
      <c r="B66" t="inlineStr">
        <is>
          <t>4600050497-540</t>
        </is>
      </c>
      <c r="C66" t="n">
        <v>4600050497</v>
      </c>
      <c r="D66" t="n">
        <v>540</v>
      </c>
      <c r="E66" t="inlineStr">
        <is>
          <t>MXPO</t>
        </is>
      </c>
      <c r="F66" t="inlineStr">
        <is>
          <t>MXL</t>
        </is>
      </c>
      <c r="G66" t="n">
        <v>900003438</v>
      </c>
      <c r="H66" t="inlineStr">
        <is>
          <t>TC-ED-ESTRATEGIAS AVANZADAS</t>
        </is>
      </c>
      <c r="I66" t="n">
        <v>5049458</v>
      </c>
      <c r="J66" t="inlineStr">
        <is>
          <t>ESTRATEGIAS AVANZADAS PARA OBTEN</t>
        </is>
      </c>
      <c r="K66" t="inlineStr">
        <is>
          <t>Z03</t>
        </is>
      </c>
      <c r="L66" t="inlineStr">
        <is>
          <t>(AP) 15 Dias</t>
        </is>
      </c>
      <c r="M66" t="n">
        <v>10017461</v>
      </c>
      <c r="N66" t="inlineStr">
        <is>
          <t>Grava Triturada Marmol 10 mm - 3/8" -Oax</t>
        </is>
      </c>
      <c r="O66" t="inlineStr">
        <is>
          <t>DW70</t>
        </is>
      </c>
      <c r="P66" t="inlineStr">
        <is>
          <t>MX-CED. CENTRO</t>
        </is>
      </c>
      <c r="Q66" t="n">
        <v>20210712</v>
      </c>
      <c r="R66" t="n">
        <v>20281231</v>
      </c>
      <c r="S66" t="n">
        <v>20210712</v>
      </c>
      <c r="T66" t="n">
        <v>20251231</v>
      </c>
      <c r="U66" t="n">
        <v>2450</v>
      </c>
      <c r="V66" t="inlineStr">
        <is>
          <t>MXN</t>
        </is>
      </c>
      <c r="W66" t="inlineStr">
        <is>
          <t>TN</t>
        </is>
      </c>
      <c r="X66" t="n">
        <v>1225</v>
      </c>
      <c r="Y66" t="inlineStr">
        <is>
          <t>MXN</t>
        </is>
      </c>
      <c r="Z66" t="inlineStr">
        <is>
          <t>TN</t>
        </is>
      </c>
      <c r="AA66" t="inlineStr">
        <is>
          <t>D081</t>
        </is>
      </c>
      <c r="AB66" t="inlineStr">
        <is>
          <t>PD0088 ARMAS</t>
        </is>
      </c>
      <c r="AC66" t="n">
        <v>56103637</v>
      </c>
      <c r="AD66" t="n">
        <v>6644261540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DW70-900003438-D081-10017461-4</t>
        </is>
      </c>
    </row>
    <row r="67">
      <c r="A67" t="inlineStr">
        <is>
          <t>900003438DW70D07910000811</t>
        </is>
      </c>
      <c r="B67" t="inlineStr">
        <is>
          <t>4600050497-810</t>
        </is>
      </c>
      <c r="C67" t="n">
        <v>4600050497</v>
      </c>
      <c r="D67" t="n">
        <v>810</v>
      </c>
      <c r="E67" t="inlineStr">
        <is>
          <t>MXPO</t>
        </is>
      </c>
      <c r="F67" t="inlineStr">
        <is>
          <t>MXL</t>
        </is>
      </c>
      <c r="G67" t="n">
        <v>900003438</v>
      </c>
      <c r="H67" t="inlineStr">
        <is>
          <t>TC-ED-ESTRATEGIAS AVANZADAS</t>
        </is>
      </c>
      <c r="I67" t="n">
        <v>5049458</v>
      </c>
      <c r="J67" t="inlineStr">
        <is>
          <t>ESTRATEGIAS AVANZADAS PARA OBTEN</t>
        </is>
      </c>
      <c r="K67" t="inlineStr">
        <is>
          <t>Z03</t>
        </is>
      </c>
      <c r="L67" t="inlineStr">
        <is>
          <t>(AP) 15 Dias</t>
        </is>
      </c>
      <c r="M67" t="n">
        <v>10000811</v>
      </c>
      <c r="N67" t="inlineStr">
        <is>
          <t>Grava Triturada Caliza 20 mm - 3/4"</t>
        </is>
      </c>
      <c r="O67" t="inlineStr">
        <is>
          <t>DW70</t>
        </is>
      </c>
      <c r="P67" t="inlineStr">
        <is>
          <t>MX-CED. CENTRO</t>
        </is>
      </c>
      <c r="Q67" t="n">
        <v>20210712</v>
      </c>
      <c r="R67" t="n">
        <v>20281231</v>
      </c>
      <c r="S67" t="n">
        <v>20211215</v>
      </c>
      <c r="T67" t="n">
        <v>20261231</v>
      </c>
      <c r="U67" t="n">
        <v>456.12</v>
      </c>
      <c r="V67" t="inlineStr">
        <is>
          <t>MXN</t>
        </is>
      </c>
      <c r="W67" t="inlineStr">
        <is>
          <t>M3</t>
        </is>
      </c>
      <c r="X67" t="n">
        <v>315.12</v>
      </c>
      <c r="Y67" t="inlineStr">
        <is>
          <t>MXN</t>
        </is>
      </c>
      <c r="Z67" t="inlineStr">
        <is>
          <t>M3</t>
        </is>
      </c>
      <c r="AA67" t="inlineStr">
        <is>
          <t>D079</t>
        </is>
      </c>
      <c r="AB67" t="inlineStr">
        <is>
          <t>PD0071 XOCHIMILCO</t>
        </is>
      </c>
      <c r="AC67" t="n">
        <v>56103637</v>
      </c>
      <c r="AD67" t="n">
        <v>6644261540</v>
      </c>
      <c r="AE67" t="n">
        <v>4</v>
      </c>
      <c r="AF67" t="inlineStr">
        <is>
          <t>ENTREGA DIRECTA</t>
        </is>
      </c>
      <c r="AG67" t="n">
        <v>1.447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DW70-900003438-D079-10000811-4</t>
        </is>
      </c>
    </row>
    <row r="68">
      <c r="A68" t="inlineStr">
        <is>
          <t>900000472DW70D07910189170</t>
        </is>
      </c>
      <c r="B68" t="inlineStr">
        <is>
          <t>4600050481-470</t>
        </is>
      </c>
      <c r="C68" t="n">
        <v>4600050481</v>
      </c>
      <c r="D68" t="n">
        <v>470</v>
      </c>
      <c r="E68" t="inlineStr">
        <is>
          <t>MXPO</t>
        </is>
      </c>
      <c r="F68" t="inlineStr">
        <is>
          <t>MXL</t>
        </is>
      </c>
      <c r="G68" t="n">
        <v>900000472</v>
      </c>
      <c r="H68" t="inlineStr">
        <is>
          <t>TC-ED-TRIMCAV</t>
        </is>
      </c>
      <c r="I68" t="n">
        <v>5010147</v>
      </c>
      <c r="J68" t="inlineStr">
        <is>
          <t>TRITURACIONES DE MARMOL Y CALCIOS</t>
        </is>
      </c>
      <c r="K68" t="inlineStr">
        <is>
          <t>Z04</t>
        </is>
      </c>
      <c r="L68" t="inlineStr">
        <is>
          <t>(AP) 30 Dias</t>
        </is>
      </c>
      <c r="M68" t="n">
        <v>10189170</v>
      </c>
      <c r="N68" t="inlineStr">
        <is>
          <t>GRAVA TRITURADA MÁRMOL NEGRO 10 MM - 3/8</t>
        </is>
      </c>
      <c r="O68" t="inlineStr">
        <is>
          <t>DW70</t>
        </is>
      </c>
      <c r="P68" t="inlineStr">
        <is>
          <t>MX-CED. CENTRO</t>
        </is>
      </c>
      <c r="Q68" t="n">
        <v>20210712</v>
      </c>
      <c r="R68" t="n">
        <v>20291231</v>
      </c>
      <c r="S68" t="n">
        <v>20210712</v>
      </c>
      <c r="T68" t="n">
        <v>20251231</v>
      </c>
      <c r="U68" t="n">
        <v>1300</v>
      </c>
      <c r="V68" t="inlineStr">
        <is>
          <t>MXN</t>
        </is>
      </c>
      <c r="W68" t="inlineStr">
        <is>
          <t>TN</t>
        </is>
      </c>
      <c r="X68" t="n">
        <v>650</v>
      </c>
      <c r="Y68" t="inlineStr">
        <is>
          <t>MXN</t>
        </is>
      </c>
      <c r="Z68" t="inlineStr">
        <is>
          <t>TN</t>
        </is>
      </c>
      <c r="AA68" t="inlineStr">
        <is>
          <t>D079</t>
        </is>
      </c>
      <c r="AB68" t="inlineStr">
        <is>
          <t>PD0071 XOCHIMILCO</t>
        </is>
      </c>
      <c r="AC68" t="n">
        <v>56103637</v>
      </c>
      <c r="AD68" t="n">
        <v>6644261540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DW70-900000472-D079-10189170-4</t>
        </is>
      </c>
    </row>
    <row r="69">
      <c r="A69" t="inlineStr">
        <is>
          <t>900000472DW70D08510188219</t>
        </is>
      </c>
      <c r="B69" t="inlineStr">
        <is>
          <t>4600050481-130</t>
        </is>
      </c>
      <c r="C69" t="n">
        <v>4600050481</v>
      </c>
      <c r="D69" t="n">
        <v>130</v>
      </c>
      <c r="E69" t="inlineStr">
        <is>
          <t>MXPO</t>
        </is>
      </c>
      <c r="F69" t="inlineStr">
        <is>
          <t>MXL</t>
        </is>
      </c>
      <c r="G69" t="n">
        <v>900000472</v>
      </c>
      <c r="H69" t="inlineStr">
        <is>
          <t>TC-ED-TRIMCAV</t>
        </is>
      </c>
      <c r="I69" t="n">
        <v>5010147</v>
      </c>
      <c r="J69" t="inlineStr">
        <is>
          <t>TRITURACIONES DE MARMOL Y CALCIOS</t>
        </is>
      </c>
      <c r="K69" t="inlineStr">
        <is>
          <t>Z04</t>
        </is>
      </c>
      <c r="L69" t="inlineStr">
        <is>
          <t>(AP) 30 Dias</t>
        </is>
      </c>
      <c r="M69" t="n">
        <v>10188219</v>
      </c>
      <c r="N69" t="inlineStr">
        <is>
          <t>ARENA TRITURADA MÁRMOL NEGRO MALLA 4</t>
        </is>
      </c>
      <c r="O69" t="inlineStr">
        <is>
          <t>DW70</t>
        </is>
      </c>
      <c r="P69" t="inlineStr">
        <is>
          <t>MX-CED. CENTRO</t>
        </is>
      </c>
      <c r="Q69" t="n">
        <v>20210712</v>
      </c>
      <c r="R69" t="n">
        <v>20291231</v>
      </c>
      <c r="S69" t="n">
        <v>20210712</v>
      </c>
      <c r="T69" t="n">
        <v>20251231</v>
      </c>
      <c r="U69" t="n">
        <v>1300</v>
      </c>
      <c r="V69" t="inlineStr">
        <is>
          <t>MXN</t>
        </is>
      </c>
      <c r="W69" t="inlineStr">
        <is>
          <t>TN</t>
        </is>
      </c>
      <c r="X69" t="n">
        <v>650</v>
      </c>
      <c r="Y69" t="inlineStr">
        <is>
          <t>MXN</t>
        </is>
      </c>
      <c r="Z69" t="inlineStr">
        <is>
          <t>TN</t>
        </is>
      </c>
      <c r="AA69" t="inlineStr">
        <is>
          <t>D085</t>
        </is>
      </c>
      <c r="AB69" t="inlineStr">
        <is>
          <t>PD0189 ROJO GOMEZ</t>
        </is>
      </c>
      <c r="AC69" t="n">
        <v>56103638</v>
      </c>
      <c r="AD69" t="n">
        <v>6644261540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DW70-900000472-D085-10188219-4</t>
        </is>
      </c>
    </row>
    <row r="70">
      <c r="A70" t="inlineStr">
        <is>
          <t>900000472DW70D10510211427</t>
        </is>
      </c>
      <c r="B70" t="inlineStr">
        <is>
          <t>4600050481-1060</t>
        </is>
      </c>
      <c r="C70" t="n">
        <v>4600050481</v>
      </c>
      <c r="D70" t="n">
        <v>1060</v>
      </c>
      <c r="E70" t="inlineStr">
        <is>
          <t>MXPO</t>
        </is>
      </c>
      <c r="F70" t="inlineStr">
        <is>
          <t>MXL</t>
        </is>
      </c>
      <c r="G70" t="n">
        <v>900000472</v>
      </c>
      <c r="H70" t="inlineStr">
        <is>
          <t>TC-ED-TRIMCAV</t>
        </is>
      </c>
      <c r="I70" t="n">
        <v>5010147</v>
      </c>
      <c r="J70" t="inlineStr">
        <is>
          <t>TRITURACIONES DE MARMOL Y CALCIOS</t>
        </is>
      </c>
      <c r="K70" t="inlineStr">
        <is>
          <t>Z04</t>
        </is>
      </c>
      <c r="L70" t="inlineStr">
        <is>
          <t>(AP) 30 Dias</t>
        </is>
      </c>
      <c r="M70" t="n">
        <v>10211427</v>
      </c>
      <c r="N70" t="inlineStr">
        <is>
          <t>ARENA TRITURADA BARITA</t>
        </is>
      </c>
      <c r="O70" t="inlineStr">
        <is>
          <t>DW70</t>
        </is>
      </c>
      <c r="P70" t="inlineStr">
        <is>
          <t>MX-CED. CENTRO</t>
        </is>
      </c>
      <c r="Q70" t="n">
        <v>20210712</v>
      </c>
      <c r="R70" t="n">
        <v>20291231</v>
      </c>
      <c r="S70" t="n">
        <v>20210120</v>
      </c>
      <c r="T70" t="n">
        <v>20261231</v>
      </c>
      <c r="U70" t="n">
        <v>4200</v>
      </c>
      <c r="V70" t="inlineStr">
        <is>
          <t>MXN</t>
        </is>
      </c>
      <c r="W70" t="inlineStr">
        <is>
          <t>TN</t>
        </is>
      </c>
      <c r="X70" t="n">
        <v>2100</v>
      </c>
      <c r="Y70" t="inlineStr">
        <is>
          <t>MXN</t>
        </is>
      </c>
      <c r="Z70" t="inlineStr">
        <is>
          <t>TN</t>
        </is>
      </c>
      <c r="AA70" t="inlineStr">
        <is>
          <t>D105</t>
        </is>
      </c>
      <c r="AB70" t="inlineStr">
        <is>
          <t>PD0331 NAUCALPAN II</t>
        </is>
      </c>
      <c r="AC70" t="n">
        <v>56103638</v>
      </c>
      <c r="AD70" t="n">
        <v>6644261540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DW70-900000472-D105-10211427-4</t>
        </is>
      </c>
    </row>
    <row r="71">
      <c r="A71" t="inlineStr">
        <is>
          <t>900000472DW70D07710189170</t>
        </is>
      </c>
      <c r="B71" t="inlineStr">
        <is>
          <t>4600050481-480</t>
        </is>
      </c>
      <c r="C71" t="n">
        <v>4600050481</v>
      </c>
      <c r="D71" t="n">
        <v>480</v>
      </c>
      <c r="E71" t="inlineStr">
        <is>
          <t>MXPO</t>
        </is>
      </c>
      <c r="F71" t="inlineStr">
        <is>
          <t>MXL</t>
        </is>
      </c>
      <c r="G71" t="n">
        <v>900000472</v>
      </c>
      <c r="H71" t="inlineStr">
        <is>
          <t>TC-ED-TRIMCAV</t>
        </is>
      </c>
      <c r="I71" t="n">
        <v>5010147</v>
      </c>
      <c r="J71" t="inlineStr">
        <is>
          <t>TRITURACIONES DE MARMOL Y CALCIOS</t>
        </is>
      </c>
      <c r="K71" t="inlineStr">
        <is>
          <t>Z04</t>
        </is>
      </c>
      <c r="L71" t="inlineStr">
        <is>
          <t>(AP) 30 Dias</t>
        </is>
      </c>
      <c r="M71" t="n">
        <v>10189170</v>
      </c>
      <c r="N71" t="inlineStr">
        <is>
          <t>GRAVA TRITURADA MÁRMOL NEGRO 10 MM - 3/8</t>
        </is>
      </c>
      <c r="O71" t="inlineStr">
        <is>
          <t>DW70</t>
        </is>
      </c>
      <c r="P71" t="inlineStr">
        <is>
          <t>MX-CED. CENTRO</t>
        </is>
      </c>
      <c r="Q71" t="n">
        <v>20210712</v>
      </c>
      <c r="R71" t="n">
        <v>20291231</v>
      </c>
      <c r="S71" t="n">
        <v>20210712</v>
      </c>
      <c r="T71" t="n">
        <v>20251231</v>
      </c>
      <c r="U71" t="n">
        <v>1300</v>
      </c>
      <c r="V71" t="inlineStr">
        <is>
          <t>MXN</t>
        </is>
      </c>
      <c r="W71" t="inlineStr">
        <is>
          <t>TN</t>
        </is>
      </c>
      <c r="X71" t="n">
        <v>650</v>
      </c>
      <c r="Y71" t="inlineStr">
        <is>
          <t>MXN</t>
        </is>
      </c>
      <c r="Z71" t="inlineStr">
        <is>
          <t>TN</t>
        </is>
      </c>
      <c r="AA71" t="inlineStr">
        <is>
          <t>D077</t>
        </is>
      </c>
      <c r="AB71" t="inlineStr">
        <is>
          <t>PD0067 LOS REYES</t>
        </is>
      </c>
      <c r="AC71" t="n">
        <v>56103637</v>
      </c>
      <c r="AD71" t="n">
        <v>6644261540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DW70-900000472-D077-10189170-4</t>
        </is>
      </c>
    </row>
    <row r="72">
      <c r="A72" t="inlineStr">
        <is>
          <t>900000472DW70D09810000635</t>
        </is>
      </c>
      <c r="B72" t="inlineStr">
        <is>
          <t>4600050481-560</t>
        </is>
      </c>
      <c r="C72" t="n">
        <v>4600050481</v>
      </c>
      <c r="D72" t="n">
        <v>560</v>
      </c>
      <c r="E72" t="inlineStr">
        <is>
          <t>MXPO</t>
        </is>
      </c>
      <c r="F72" t="inlineStr">
        <is>
          <t>MXL</t>
        </is>
      </c>
      <c r="G72" t="n">
        <v>900000472</v>
      </c>
      <c r="H72" t="inlineStr">
        <is>
          <t>TC-ED-TRIMCAV</t>
        </is>
      </c>
      <c r="I72" t="n">
        <v>5010147</v>
      </c>
      <c r="J72" t="inlineStr">
        <is>
          <t>TRITURACIONES DE MARMOL Y CALCIOS</t>
        </is>
      </c>
      <c r="K72" t="inlineStr">
        <is>
          <t>Z04</t>
        </is>
      </c>
      <c r="L72" t="inlineStr">
        <is>
          <t>(AP) 30 Dias</t>
        </is>
      </c>
      <c r="M72" t="n">
        <v>10000635</v>
      </c>
      <c r="N72" t="inlineStr">
        <is>
          <t>Arena Triturada Marmol Malla 4</t>
        </is>
      </c>
      <c r="O72" t="inlineStr">
        <is>
          <t>DW70</t>
        </is>
      </c>
      <c r="P72" t="inlineStr">
        <is>
          <t>MX-CED. CENTRO</t>
        </is>
      </c>
      <c r="Q72" t="n">
        <v>20210712</v>
      </c>
      <c r="R72" t="n">
        <v>20291231</v>
      </c>
      <c r="S72" t="n">
        <v>20230215</v>
      </c>
      <c r="T72" t="n">
        <v>20281231</v>
      </c>
      <c r="U72" t="n">
        <v>921.6900000000001</v>
      </c>
      <c r="V72" t="inlineStr">
        <is>
          <t>MXN</t>
        </is>
      </c>
      <c r="W72" t="inlineStr">
        <is>
          <t>TN</t>
        </is>
      </c>
      <c r="X72" t="n">
        <v>485.1</v>
      </c>
      <c r="Y72" t="inlineStr">
        <is>
          <t>MXN</t>
        </is>
      </c>
      <c r="Z72" t="inlineStr">
        <is>
          <t>TN</t>
        </is>
      </c>
      <c r="AA72" t="inlineStr">
        <is>
          <t>D098</t>
        </is>
      </c>
      <c r="AB72" t="inlineStr">
        <is>
          <t>PD0315 CUAUTITLAN II</t>
        </is>
      </c>
      <c r="AC72" t="n">
        <v>56103638</v>
      </c>
      <c r="AD72" t="n">
        <v>6644261540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DW70-900000472-D098-10000635-4</t>
        </is>
      </c>
    </row>
    <row r="73">
      <c r="A73" t="inlineStr">
        <is>
          <t>900003438DW70D09810002802</t>
        </is>
      </c>
      <c r="B73" t="inlineStr">
        <is>
          <t>4600050497-380</t>
        </is>
      </c>
      <c r="C73" t="n">
        <v>4600050497</v>
      </c>
      <c r="D73" t="n">
        <v>380</v>
      </c>
      <c r="E73" t="inlineStr">
        <is>
          <t>MXPO</t>
        </is>
      </c>
      <c r="F73" t="inlineStr">
        <is>
          <t>MXL</t>
        </is>
      </c>
      <c r="G73" t="n">
        <v>900003438</v>
      </c>
      <c r="H73" t="inlineStr">
        <is>
          <t>TC-ED-ESTRATEGIAS AVANZADAS</t>
        </is>
      </c>
      <c r="I73" t="n">
        <v>5049458</v>
      </c>
      <c r="J73" t="inlineStr">
        <is>
          <t>ESTRATEGIAS AVANZADAS PARA OBTEN</t>
        </is>
      </c>
      <c r="K73" t="inlineStr">
        <is>
          <t>Z03</t>
        </is>
      </c>
      <c r="L73" t="inlineStr">
        <is>
          <t>(AP) 15 Dias</t>
        </is>
      </c>
      <c r="M73" t="n">
        <v>10002802</v>
      </c>
      <c r="N73" t="inlineStr">
        <is>
          <t>Arena Clasificada Río Malla 4 Lavado</t>
        </is>
      </c>
      <c r="O73" t="inlineStr">
        <is>
          <t>DW70</t>
        </is>
      </c>
      <c r="P73" t="inlineStr">
        <is>
          <t>MX-CED. CENTRO</t>
        </is>
      </c>
      <c r="Q73" t="n">
        <v>20210712</v>
      </c>
      <c r="R73" t="n">
        <v>20281231</v>
      </c>
      <c r="S73" t="n">
        <v>20230501</v>
      </c>
      <c r="T73" t="n">
        <v>20281231</v>
      </c>
      <c r="U73" t="n">
        <v>344.32</v>
      </c>
      <c r="V73" t="inlineStr">
        <is>
          <t>MXN</t>
        </is>
      </c>
      <c r="W73" t="inlineStr">
        <is>
          <t>M3</t>
        </is>
      </c>
      <c r="X73" t="n">
        <v>194.32</v>
      </c>
      <c r="Y73" t="inlineStr">
        <is>
          <t>MXN</t>
        </is>
      </c>
      <c r="Z73" t="inlineStr">
        <is>
          <t>M3</t>
        </is>
      </c>
      <c r="AA73" t="inlineStr">
        <is>
          <t>D098</t>
        </is>
      </c>
      <c r="AB73" t="inlineStr">
        <is>
          <t>PD0315 CUAUTITLAN II</t>
        </is>
      </c>
      <c r="AC73" t="n">
        <v>56103638</v>
      </c>
      <c r="AD73" t="n">
        <v>6644261540</v>
      </c>
      <c r="AE73" t="n">
        <v>4</v>
      </c>
      <c r="AF73" t="inlineStr">
        <is>
          <t>ENTREGA DIRECTA</t>
        </is>
      </c>
      <c r="AG73" t="n">
        <v>1.463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DW70-900003438-D098-10002802-4</t>
        </is>
      </c>
    </row>
    <row r="74">
      <c r="A74" t="inlineStr">
        <is>
          <t>900003438DW70D07510000630</t>
        </is>
      </c>
      <c r="B74" t="inlineStr">
        <is>
          <t>4600050497-150</t>
        </is>
      </c>
      <c r="C74" t="n">
        <v>4600050497</v>
      </c>
      <c r="D74" t="n">
        <v>150</v>
      </c>
      <c r="E74" t="inlineStr">
        <is>
          <t>MXPO</t>
        </is>
      </c>
      <c r="F74" t="inlineStr">
        <is>
          <t>MXL</t>
        </is>
      </c>
      <c r="G74" t="n">
        <v>900003438</v>
      </c>
      <c r="H74" t="inlineStr">
        <is>
          <t>TC-ED-ESTRATEGIAS AVANZADAS</t>
        </is>
      </c>
      <c r="I74" t="n">
        <v>5049458</v>
      </c>
      <c r="J74" t="inlineStr">
        <is>
          <t>ESTRATEGIAS AVANZADAS PARA OBTEN</t>
        </is>
      </c>
      <c r="K74" t="inlineStr">
        <is>
          <t>Z03</t>
        </is>
      </c>
      <c r="L74" t="inlineStr">
        <is>
          <t>(AP) 15 Dias</t>
        </is>
      </c>
      <c r="M74" t="n">
        <v>10000630</v>
      </c>
      <c r="N74" t="inlineStr">
        <is>
          <t>Grava Triturada Caliza 13 mm - 1/2"</t>
        </is>
      </c>
      <c r="O74" t="inlineStr">
        <is>
          <t>DW70</t>
        </is>
      </c>
      <c r="P74" t="inlineStr">
        <is>
          <t>MX-CED. CENTRO</t>
        </is>
      </c>
      <c r="Q74" t="n">
        <v>20210712</v>
      </c>
      <c r="R74" t="n">
        <v>20281231</v>
      </c>
      <c r="S74" t="n">
        <v>20230501</v>
      </c>
      <c r="T74" t="n">
        <v>20281231</v>
      </c>
      <c r="U74" t="n">
        <v>362.64</v>
      </c>
      <c r="V74" t="inlineStr">
        <is>
          <t>MXN</t>
        </is>
      </c>
      <c r="W74" t="inlineStr">
        <is>
          <t>M3</t>
        </is>
      </c>
      <c r="X74" t="n">
        <v>207.64</v>
      </c>
      <c r="Y74" t="inlineStr">
        <is>
          <t>MXN</t>
        </is>
      </c>
      <c r="Z74" t="inlineStr">
        <is>
          <t>M3</t>
        </is>
      </c>
      <c r="AA74" t="inlineStr">
        <is>
          <t>D075</t>
        </is>
      </c>
      <c r="AB74" t="inlineStr">
        <is>
          <t>PD0065 CEYLAN</t>
        </is>
      </c>
      <c r="AC74" t="n">
        <v>56103637</v>
      </c>
      <c r="AD74" t="n">
        <v>6644261540</v>
      </c>
      <c r="AE74" t="n">
        <v>4</v>
      </c>
      <c r="AF74" t="inlineStr">
        <is>
          <t>ENTREGA DIRECTA</t>
        </is>
      </c>
      <c r="AG74" t="n">
        <v>1.4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DW70-900003438-D075-10000630-4</t>
        </is>
      </c>
    </row>
    <row r="75">
      <c r="A75" t="inlineStr">
        <is>
          <t>900003438DW70D08110000623</t>
        </is>
      </c>
      <c r="B75" t="inlineStr">
        <is>
          <t>4600050497-270</t>
        </is>
      </c>
      <c r="C75" t="n">
        <v>4600050497</v>
      </c>
      <c r="D75" t="n">
        <v>270</v>
      </c>
      <c r="E75" t="inlineStr">
        <is>
          <t>MXPO</t>
        </is>
      </c>
      <c r="F75" t="inlineStr">
        <is>
          <t>MXL</t>
        </is>
      </c>
      <c r="G75" t="n">
        <v>900003438</v>
      </c>
      <c r="H75" t="inlineStr">
        <is>
          <t>TC-ED-ESTRATEGIAS AVANZADAS</t>
        </is>
      </c>
      <c r="I75" t="n">
        <v>5049458</v>
      </c>
      <c r="J75" t="inlineStr">
        <is>
          <t>ESTRATEGIAS AVANZADAS PARA OBTEN</t>
        </is>
      </c>
      <c r="K75" t="inlineStr">
        <is>
          <t>Z03</t>
        </is>
      </c>
      <c r="L75" t="inlineStr">
        <is>
          <t>(AP) 15 Dias</t>
        </is>
      </c>
      <c r="M75" t="n">
        <v>10000623</v>
      </c>
      <c r="N75" t="inlineStr">
        <is>
          <t>Grava Triturada Caliza 10 mm - 3/8"</t>
        </is>
      </c>
      <c r="O75" t="inlineStr">
        <is>
          <t>DW70</t>
        </is>
      </c>
      <c r="P75" t="inlineStr">
        <is>
          <t>MX-CED. CENTRO</t>
        </is>
      </c>
      <c r="Q75" t="n">
        <v>20210712</v>
      </c>
      <c r="R75" t="n">
        <v>20281231</v>
      </c>
      <c r="S75" t="n">
        <v>20230501</v>
      </c>
      <c r="T75" t="n">
        <v>20281231</v>
      </c>
      <c r="U75" t="n">
        <v>348.2</v>
      </c>
      <c r="V75" t="inlineStr">
        <is>
          <t>MXN</t>
        </is>
      </c>
      <c r="W75" t="inlineStr">
        <is>
          <t>M3</t>
        </is>
      </c>
      <c r="X75" t="n">
        <v>193.2</v>
      </c>
      <c r="Y75" t="inlineStr">
        <is>
          <t>MXN</t>
        </is>
      </c>
      <c r="Z75" t="inlineStr">
        <is>
          <t>M3</t>
        </is>
      </c>
      <c r="AA75" t="inlineStr">
        <is>
          <t>D081</t>
        </is>
      </c>
      <c r="AB75" t="inlineStr">
        <is>
          <t>PD0088 ARMAS</t>
        </is>
      </c>
      <c r="AC75" t="n">
        <v>56103637</v>
      </c>
      <c r="AD75" t="n">
        <v>6644261540</v>
      </c>
      <c r="AE75" t="n">
        <v>4</v>
      </c>
      <c r="AF75" t="inlineStr">
        <is>
          <t>ENTREGA DIRECTA</t>
        </is>
      </c>
      <c r="AG75" t="n">
        <v>1.41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DW70-900003438-D081-10000623-4</t>
        </is>
      </c>
    </row>
    <row r="76">
      <c r="A76" t="inlineStr">
        <is>
          <t>900000472DW70D08510190932</t>
        </is>
      </c>
      <c r="B76" t="inlineStr">
        <is>
          <t>4600050481-720</t>
        </is>
      </c>
      <c r="C76" t="n">
        <v>4600050481</v>
      </c>
      <c r="D76" t="n">
        <v>720</v>
      </c>
      <c r="E76" t="inlineStr">
        <is>
          <t>MXPO</t>
        </is>
      </c>
      <c r="F76" t="inlineStr">
        <is>
          <t>MXL</t>
        </is>
      </c>
      <c r="G76" t="n">
        <v>900000472</v>
      </c>
      <c r="H76" t="inlineStr">
        <is>
          <t>TC-ED-TRIMCAV</t>
        </is>
      </c>
      <c r="I76" t="n">
        <v>5010147</v>
      </c>
      <c r="J76" t="inlineStr">
        <is>
          <t>TRITURACIONES DE MARMOL Y CALCIOS</t>
        </is>
      </c>
      <c r="K76" t="inlineStr">
        <is>
          <t>Z04</t>
        </is>
      </c>
      <c r="L76" t="inlineStr">
        <is>
          <t>(AP) 30 Dias</t>
        </is>
      </c>
      <c r="M76" t="n">
        <v>10190932</v>
      </c>
      <c r="N76" t="inlineStr">
        <is>
          <t>GRAVA TRITURADA MÁRMOL NEGRO 20 MM - 3/4</t>
        </is>
      </c>
      <c r="O76" t="inlineStr">
        <is>
          <t>DW70</t>
        </is>
      </c>
      <c r="P76" t="inlineStr">
        <is>
          <t>MX-CED. CENTRO</t>
        </is>
      </c>
      <c r="Q76" t="n">
        <v>20210712</v>
      </c>
      <c r="R76" t="n">
        <v>20291231</v>
      </c>
      <c r="S76" t="n">
        <v>20210712</v>
      </c>
      <c r="T76" t="n">
        <v>20251231</v>
      </c>
      <c r="U76" t="n">
        <v>1300</v>
      </c>
      <c r="V76" t="inlineStr">
        <is>
          <t>MXN</t>
        </is>
      </c>
      <c r="W76" t="inlineStr">
        <is>
          <t>TN</t>
        </is>
      </c>
      <c r="X76" t="n">
        <v>650</v>
      </c>
      <c r="Y76" t="inlineStr">
        <is>
          <t>MXN</t>
        </is>
      </c>
      <c r="Z76" t="inlineStr">
        <is>
          <t>TN</t>
        </is>
      </c>
      <c r="AA76" t="inlineStr">
        <is>
          <t>D085</t>
        </is>
      </c>
      <c r="AB76" t="inlineStr">
        <is>
          <t>PD0189 ROJO GOMEZ</t>
        </is>
      </c>
      <c r="AC76" t="n">
        <v>56103637</v>
      </c>
      <c r="AD76" t="n">
        <v>6644261540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DW70-900000472-D085-10190932-4</t>
        </is>
      </c>
    </row>
    <row r="77">
      <c r="A77" t="inlineStr">
        <is>
          <t>900000472DW70D08610000643</t>
        </is>
      </c>
      <c r="B77" t="inlineStr">
        <is>
          <t>4600050481-610</t>
        </is>
      </c>
      <c r="C77" t="n">
        <v>4600050481</v>
      </c>
      <c r="D77" t="n">
        <v>610</v>
      </c>
      <c r="E77" t="inlineStr">
        <is>
          <t>MXPO</t>
        </is>
      </c>
      <c r="F77" t="inlineStr">
        <is>
          <t>MXL</t>
        </is>
      </c>
      <c r="G77" t="n">
        <v>900000472</v>
      </c>
      <c r="H77" t="inlineStr">
        <is>
          <t>TC-ED-TRIMCAV</t>
        </is>
      </c>
      <c r="I77" t="n">
        <v>5010147</v>
      </c>
      <c r="J77" t="inlineStr">
        <is>
          <t>TRITURACIONES DE MARMOL Y CALCIOS</t>
        </is>
      </c>
      <c r="K77" t="inlineStr">
        <is>
          <t>Z04</t>
        </is>
      </c>
      <c r="L77" t="inlineStr">
        <is>
          <t>(AP) 30 Dias</t>
        </is>
      </c>
      <c r="M77" t="n">
        <v>10000643</v>
      </c>
      <c r="N77" t="inlineStr">
        <is>
          <t>Grava Triturada Marmol 20 mm - 3/4"</t>
        </is>
      </c>
      <c r="O77" t="inlineStr">
        <is>
          <t>DW70</t>
        </is>
      </c>
      <c r="P77" t="inlineStr">
        <is>
          <t>MX-CED. CENTRO</t>
        </is>
      </c>
      <c r="Q77" t="n">
        <v>20210712</v>
      </c>
      <c r="R77" t="n">
        <v>20291231</v>
      </c>
      <c r="S77" t="n">
        <v>20230215</v>
      </c>
      <c r="T77" t="n">
        <v>20281231</v>
      </c>
      <c r="U77" t="n">
        <v>921.6900000000001</v>
      </c>
      <c r="V77" t="inlineStr">
        <is>
          <t>MXN</t>
        </is>
      </c>
      <c r="W77" t="inlineStr">
        <is>
          <t>TN</t>
        </is>
      </c>
      <c r="X77" t="n">
        <v>485.1</v>
      </c>
      <c r="Y77" t="inlineStr">
        <is>
          <t>MXN</t>
        </is>
      </c>
      <c r="Z77" t="inlineStr">
        <is>
          <t>TN</t>
        </is>
      </c>
      <c r="AA77" t="inlineStr">
        <is>
          <t>D086</t>
        </is>
      </c>
      <c r="AB77" t="inlineStr">
        <is>
          <t>PD0190 XALOSTC</t>
        </is>
      </c>
      <c r="AC77" t="n">
        <v>56103637</v>
      </c>
      <c r="AD77" t="n">
        <v>6644261540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DW70-900000472-D086-10000643-4</t>
        </is>
      </c>
    </row>
    <row r="78">
      <c r="A78" t="inlineStr">
        <is>
          <t>900003438DW70D07710000811</t>
        </is>
      </c>
      <c r="B78" t="inlineStr">
        <is>
          <t>4600050497-800</t>
        </is>
      </c>
      <c r="C78" t="n">
        <v>4600050497</v>
      </c>
      <c r="D78" t="n">
        <v>800</v>
      </c>
      <c r="E78" t="inlineStr">
        <is>
          <t>MXPO</t>
        </is>
      </c>
      <c r="F78" t="inlineStr">
        <is>
          <t>MXL</t>
        </is>
      </c>
      <c r="G78" t="n">
        <v>900003438</v>
      </c>
      <c r="H78" t="inlineStr">
        <is>
          <t>TC-ED-ESTRATEGIAS AVANZADAS</t>
        </is>
      </c>
      <c r="I78" t="n">
        <v>5049458</v>
      </c>
      <c r="J78" t="inlineStr">
        <is>
          <t>ESTRATEGIAS AVANZADAS PARA OBTEN</t>
        </is>
      </c>
      <c r="K78" t="inlineStr">
        <is>
          <t>Z03</t>
        </is>
      </c>
      <c r="L78" t="inlineStr">
        <is>
          <t>(AP) 15 Dias</t>
        </is>
      </c>
      <c r="M78" t="n">
        <v>10000811</v>
      </c>
      <c r="N78" t="inlineStr">
        <is>
          <t>Grava Triturada Caliza 20 mm - 3/4"</t>
        </is>
      </c>
      <c r="O78" t="inlineStr">
        <is>
          <t>DW70</t>
        </is>
      </c>
      <c r="P78" t="inlineStr">
        <is>
          <t>MX-CED. CENTRO</t>
        </is>
      </c>
      <c r="Q78" t="n">
        <v>20210712</v>
      </c>
      <c r="R78" t="n">
        <v>20281231</v>
      </c>
      <c r="S78" t="n">
        <v>20211215</v>
      </c>
      <c r="T78" t="n">
        <v>20261231</v>
      </c>
      <c r="U78" t="n">
        <v>459.06</v>
      </c>
      <c r="V78" t="inlineStr">
        <is>
          <t>MXN</t>
        </is>
      </c>
      <c r="W78" t="inlineStr">
        <is>
          <t>M3</t>
        </is>
      </c>
      <c r="X78" t="n">
        <v>318.06</v>
      </c>
      <c r="Y78" t="inlineStr">
        <is>
          <t>MXN</t>
        </is>
      </c>
      <c r="Z78" t="inlineStr">
        <is>
          <t>M3</t>
        </is>
      </c>
      <c r="AA78" t="inlineStr">
        <is>
          <t>D077</t>
        </is>
      </c>
      <c r="AB78" t="inlineStr">
        <is>
          <t>PD0067 LOS REYES</t>
        </is>
      </c>
      <c r="AC78" t="n">
        <v>56103637</v>
      </c>
      <c r="AD78" t="n">
        <v>6644261540</v>
      </c>
      <c r="AE78" t="n">
        <v>4</v>
      </c>
      <c r="AF78" t="inlineStr">
        <is>
          <t>ENTREGA DIRECTA</t>
        </is>
      </c>
      <c r="AG78" t="n">
        <v>1.447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DW70-900003438-D077-10000811-4</t>
        </is>
      </c>
    </row>
    <row r="79">
      <c r="A79" t="inlineStr">
        <is>
          <t>900003438DW70E67310000206</t>
        </is>
      </c>
      <c r="B79" t="inlineStr">
        <is>
          <t>4600050497-570</t>
        </is>
      </c>
      <c r="C79" t="n">
        <v>4600050497</v>
      </c>
      <c r="D79" t="n">
        <v>570</v>
      </c>
      <c r="E79" t="inlineStr">
        <is>
          <t>MXPO</t>
        </is>
      </c>
      <c r="F79" t="inlineStr">
        <is>
          <t>MXL</t>
        </is>
      </c>
      <c r="G79" t="n">
        <v>900003438</v>
      </c>
      <c r="H79" t="inlineStr">
        <is>
          <t>TC-ED-ESTRATEGIAS AVANZADAS</t>
        </is>
      </c>
      <c r="I79" t="n">
        <v>5049458</v>
      </c>
      <c r="J79" t="inlineStr">
        <is>
          <t>ESTRATEGIAS AVANZADAS PARA OBTEN</t>
        </is>
      </c>
      <c r="K79" t="inlineStr">
        <is>
          <t>Z03</t>
        </is>
      </c>
      <c r="L79" t="inlineStr">
        <is>
          <t>(AP) 15 Dias</t>
        </is>
      </c>
      <c r="M79" t="n">
        <v>10000206</v>
      </c>
      <c r="N79" t="inlineStr">
        <is>
          <t>Tepetate Triturado Tierra NA</t>
        </is>
      </c>
      <c r="O79" t="inlineStr">
        <is>
          <t>DW70</t>
        </is>
      </c>
      <c r="P79" t="inlineStr">
        <is>
          <t>MX-CED. CENTRO</t>
        </is>
      </c>
      <c r="Q79" t="n">
        <v>20210712</v>
      </c>
      <c r="R79" t="n">
        <v>20281231</v>
      </c>
      <c r="S79" t="n">
        <v>20211025</v>
      </c>
      <c r="T79" t="n">
        <v>20261231</v>
      </c>
      <c r="U79" t="n">
        <v>155</v>
      </c>
      <c r="V79" t="inlineStr">
        <is>
          <t>MXN</t>
        </is>
      </c>
      <c r="W79" t="inlineStr">
        <is>
          <t>M3</t>
        </is>
      </c>
      <c r="X79" t="n">
        <v>123.5</v>
      </c>
      <c r="Y79" t="inlineStr">
        <is>
          <t>MXN</t>
        </is>
      </c>
      <c r="Z79" t="inlineStr">
        <is>
          <t>M3</t>
        </is>
      </c>
      <c r="AA79" t="inlineStr">
        <is>
          <t>E673</t>
        </is>
      </c>
      <c r="AB79" t="inlineStr">
        <is>
          <t>MX-PD0267 BASE AEREA STA.LUCIA</t>
        </is>
      </c>
      <c r="AC79" t="n">
        <v>56103695</v>
      </c>
      <c r="AD79" t="n">
        <v>6644261540</v>
      </c>
      <c r="AE79" t="n">
        <v>4</v>
      </c>
      <c r="AF79" t="inlineStr">
        <is>
          <t>ENTREGA DIRECTA</t>
        </is>
      </c>
      <c r="AG79" t="n">
        <v>1.249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DW70-900003438-E673-10000206-4</t>
        </is>
      </c>
    </row>
    <row r="80">
      <c r="A80" t="inlineStr">
        <is>
          <t>900003438DW70D07510000811</t>
        </is>
      </c>
      <c r="B80" t="inlineStr">
        <is>
          <t>4600050497-790</t>
        </is>
      </c>
      <c r="C80" t="n">
        <v>4600050497</v>
      </c>
      <c r="D80" t="n">
        <v>790</v>
      </c>
      <c r="E80" t="inlineStr">
        <is>
          <t>MXPO</t>
        </is>
      </c>
      <c r="F80" t="inlineStr">
        <is>
          <t>MXL</t>
        </is>
      </c>
      <c r="G80" t="n">
        <v>900003438</v>
      </c>
      <c r="H80" t="inlineStr">
        <is>
          <t>TC-ED-ESTRATEGIAS AVANZADAS</t>
        </is>
      </c>
      <c r="I80" t="n">
        <v>5049458</v>
      </c>
      <c r="J80" t="inlineStr">
        <is>
          <t>ESTRATEGIAS AVANZADAS PARA OBTEN</t>
        </is>
      </c>
      <c r="K80" t="inlineStr">
        <is>
          <t>Z03</t>
        </is>
      </c>
      <c r="L80" t="inlineStr">
        <is>
          <t>(AP) 15 Dias</t>
        </is>
      </c>
      <c r="M80" t="n">
        <v>10000811</v>
      </c>
      <c r="N80" t="inlineStr">
        <is>
          <t>Grava Triturada Caliza 20 mm - 3/4"</t>
        </is>
      </c>
      <c r="O80" t="inlineStr">
        <is>
          <t>DW70</t>
        </is>
      </c>
      <c r="P80" t="inlineStr">
        <is>
          <t>MX-CED. CENTRO</t>
        </is>
      </c>
      <c r="Q80" t="n">
        <v>20210712</v>
      </c>
      <c r="R80" t="n">
        <v>20281231</v>
      </c>
      <c r="S80" t="n">
        <v>20211215</v>
      </c>
      <c r="T80" t="n">
        <v>20261231</v>
      </c>
      <c r="U80" t="n">
        <v>353.04</v>
      </c>
      <c r="V80" t="inlineStr">
        <is>
          <t>MXN</t>
        </is>
      </c>
      <c r="W80" t="inlineStr">
        <is>
          <t>M3</t>
        </is>
      </c>
      <c r="X80" t="n">
        <v>212.04</v>
      </c>
      <c r="Y80" t="inlineStr">
        <is>
          <t>MXN</t>
        </is>
      </c>
      <c r="Z80" t="inlineStr">
        <is>
          <t>M3</t>
        </is>
      </c>
      <c r="AA80" t="inlineStr">
        <is>
          <t>D075</t>
        </is>
      </c>
      <c r="AB80" t="inlineStr">
        <is>
          <t>PD0065 CEYLAN</t>
        </is>
      </c>
      <c r="AC80" t="n">
        <v>56103637</v>
      </c>
      <c r="AD80" t="n">
        <v>6644261540</v>
      </c>
      <c r="AE80" t="n">
        <v>4</v>
      </c>
      <c r="AF80" t="inlineStr">
        <is>
          <t>ENTREGA DIRECTA</t>
        </is>
      </c>
      <c r="AG80" t="n">
        <v>1.447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DW70-900003438-D075-10000811-4</t>
        </is>
      </c>
    </row>
    <row r="81">
      <c r="A81" t="inlineStr">
        <is>
          <t>900000472DW70D09810189170</t>
        </is>
      </c>
      <c r="B81" t="inlineStr">
        <is>
          <t>4600050481-390</t>
        </is>
      </c>
      <c r="C81" t="n">
        <v>4600050481</v>
      </c>
      <c r="D81" t="n">
        <v>390</v>
      </c>
      <c r="E81" t="inlineStr">
        <is>
          <t>MXPO</t>
        </is>
      </c>
      <c r="F81" t="inlineStr">
        <is>
          <t>MXL</t>
        </is>
      </c>
      <c r="G81" t="n">
        <v>900000472</v>
      </c>
      <c r="H81" t="inlineStr">
        <is>
          <t>TC-ED-TRIMCAV</t>
        </is>
      </c>
      <c r="I81" t="n">
        <v>5010147</v>
      </c>
      <c r="J81" t="inlineStr">
        <is>
          <t>TRITURACIONES DE MARMOL Y CALCIOS</t>
        </is>
      </c>
      <c r="K81" t="inlineStr">
        <is>
          <t>Z04</t>
        </is>
      </c>
      <c r="L81" t="inlineStr">
        <is>
          <t>(AP) 30 Dias</t>
        </is>
      </c>
      <c r="M81" t="n">
        <v>10189170</v>
      </c>
      <c r="N81" t="inlineStr">
        <is>
          <t>GRAVA TRITURADA MÁRMOL NEGRO 10 MM - 3/8</t>
        </is>
      </c>
      <c r="O81" t="inlineStr">
        <is>
          <t>DW70</t>
        </is>
      </c>
      <c r="P81" t="inlineStr">
        <is>
          <t>MX-CED. CENTRO</t>
        </is>
      </c>
      <c r="Q81" t="n">
        <v>20210712</v>
      </c>
      <c r="R81" t="n">
        <v>20291231</v>
      </c>
      <c r="S81" t="n">
        <v>20210712</v>
      </c>
      <c r="T81" t="n">
        <v>20251231</v>
      </c>
      <c r="U81" t="n">
        <v>1300</v>
      </c>
      <c r="V81" t="inlineStr">
        <is>
          <t>MXN</t>
        </is>
      </c>
      <c r="W81" t="inlineStr">
        <is>
          <t>TN</t>
        </is>
      </c>
      <c r="X81" t="n">
        <v>650</v>
      </c>
      <c r="Y81" t="inlineStr">
        <is>
          <t>MXN</t>
        </is>
      </c>
      <c r="Z81" t="inlineStr">
        <is>
          <t>TN</t>
        </is>
      </c>
      <c r="AA81" t="inlineStr">
        <is>
          <t>D098</t>
        </is>
      </c>
      <c r="AB81" t="inlineStr">
        <is>
          <t>PD0315 CUAUTITLAN II</t>
        </is>
      </c>
      <c r="AC81" t="n">
        <v>56103637</v>
      </c>
      <c r="AD81" t="n">
        <v>6644261540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DW70-900000472-D098-10189170-4</t>
        </is>
      </c>
    </row>
    <row r="82">
      <c r="A82" t="inlineStr">
        <is>
          <t>900000472DW70D14510189170</t>
        </is>
      </c>
      <c r="B82" t="inlineStr">
        <is>
          <t>4600050481-370</t>
        </is>
      </c>
      <c r="C82" t="n">
        <v>4600050481</v>
      </c>
      <c r="D82" t="n">
        <v>370</v>
      </c>
      <c r="E82" t="inlineStr">
        <is>
          <t>MXPO</t>
        </is>
      </c>
      <c r="F82" t="inlineStr">
        <is>
          <t>MXL</t>
        </is>
      </c>
      <c r="G82" t="n">
        <v>900000472</v>
      </c>
      <c r="H82" t="inlineStr">
        <is>
          <t>TC-ED-TRIMCAV</t>
        </is>
      </c>
      <c r="I82" t="n">
        <v>5010147</v>
      </c>
      <c r="J82" t="inlineStr">
        <is>
          <t>TRITURACIONES DE MARMOL Y CALCIOS</t>
        </is>
      </c>
      <c r="K82" t="inlineStr">
        <is>
          <t>Z04</t>
        </is>
      </c>
      <c r="L82" t="inlineStr">
        <is>
          <t>(AP) 30 Dias</t>
        </is>
      </c>
      <c r="M82" t="n">
        <v>10189170</v>
      </c>
      <c r="N82" t="inlineStr">
        <is>
          <t>GRAVA TRITURADA MÁRMOL NEGRO 10 MM - 3/8</t>
        </is>
      </c>
      <c r="O82" t="inlineStr">
        <is>
          <t>DW70</t>
        </is>
      </c>
      <c r="P82" t="inlineStr">
        <is>
          <t>MX-CED. CENTRO</t>
        </is>
      </c>
      <c r="Q82" t="n">
        <v>20210712</v>
      </c>
      <c r="R82" t="n">
        <v>20291231</v>
      </c>
      <c r="S82" t="n">
        <v>20210712</v>
      </c>
      <c r="T82" t="n">
        <v>20251231</v>
      </c>
      <c r="U82" t="n">
        <v>1300</v>
      </c>
      <c r="V82" t="inlineStr">
        <is>
          <t>MXN</t>
        </is>
      </c>
      <c r="W82" t="inlineStr">
        <is>
          <t>TN</t>
        </is>
      </c>
      <c r="X82" t="n">
        <v>650</v>
      </c>
      <c r="Y82" t="inlineStr">
        <is>
          <t>MXN</t>
        </is>
      </c>
      <c r="Z82" t="inlineStr">
        <is>
          <t>TN</t>
        </is>
      </c>
      <c r="AA82" t="inlineStr">
        <is>
          <t>D145</t>
        </is>
      </c>
      <c r="AB82" t="inlineStr">
        <is>
          <t>PD0458 ECATEPEC II</t>
        </is>
      </c>
      <c r="AC82" t="n">
        <v>56103637</v>
      </c>
      <c r="AD82" t="n">
        <v>6644261540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DW70-900000472-D145-10189170-4</t>
        </is>
      </c>
    </row>
    <row r="83">
      <c r="A83" t="inlineStr">
        <is>
          <t>900003438DW70D07410000630</t>
        </is>
      </c>
      <c r="B83" t="inlineStr">
        <is>
          <t>4600050497-160</t>
        </is>
      </c>
      <c r="C83" t="n">
        <v>4600050497</v>
      </c>
      <c r="D83" t="n">
        <v>160</v>
      </c>
      <c r="E83" t="inlineStr">
        <is>
          <t>MXPO</t>
        </is>
      </c>
      <c r="F83" t="inlineStr">
        <is>
          <t>MXL</t>
        </is>
      </c>
      <c r="G83" t="n">
        <v>900003438</v>
      </c>
      <c r="H83" t="inlineStr">
        <is>
          <t>TC-ED-ESTRATEGIAS AVANZADAS</t>
        </is>
      </c>
      <c r="I83" t="n">
        <v>5049458</v>
      </c>
      <c r="J83" t="inlineStr">
        <is>
          <t>ESTRATEGIAS AVANZADAS PARA OBTEN</t>
        </is>
      </c>
      <c r="K83" t="inlineStr">
        <is>
          <t>Z03</t>
        </is>
      </c>
      <c r="L83" t="inlineStr">
        <is>
          <t>(AP) 15 Dias</t>
        </is>
      </c>
      <c r="M83" t="n">
        <v>10000630</v>
      </c>
      <c r="N83" t="inlineStr">
        <is>
          <t>Grava Triturada Caliza 13 mm - 1/2"</t>
        </is>
      </c>
      <c r="O83" t="inlineStr">
        <is>
          <t>DW70</t>
        </is>
      </c>
      <c r="P83" t="inlineStr">
        <is>
          <t>MX-CED. CENTRO</t>
        </is>
      </c>
      <c r="Q83" t="n">
        <v>20210712</v>
      </c>
      <c r="R83" t="n">
        <v>20281231</v>
      </c>
      <c r="S83" t="n">
        <v>20230501</v>
      </c>
      <c r="T83" t="n">
        <v>20281231</v>
      </c>
      <c r="U83" t="n">
        <v>391.81</v>
      </c>
      <c r="V83" t="inlineStr">
        <is>
          <t>MXN</t>
        </is>
      </c>
      <c r="W83" t="inlineStr">
        <is>
          <t>M3</t>
        </is>
      </c>
      <c r="X83" t="n">
        <v>236.81</v>
      </c>
      <c r="Y83" t="inlineStr">
        <is>
          <t>MXN</t>
        </is>
      </c>
      <c r="Z83" t="inlineStr">
        <is>
          <t>M3</t>
        </is>
      </c>
      <c r="AA83" t="inlineStr">
        <is>
          <t>D074</t>
        </is>
      </c>
      <c r="AB83" t="inlineStr">
        <is>
          <t>PD0063 CENTRAL</t>
        </is>
      </c>
      <c r="AC83" t="n">
        <v>56103637</v>
      </c>
      <c r="AD83" t="n">
        <v>6644261540</v>
      </c>
      <c r="AE83" t="n">
        <v>4</v>
      </c>
      <c r="AF83" t="inlineStr">
        <is>
          <t>ENTREGA DIRECTA</t>
        </is>
      </c>
      <c r="AG83" t="n">
        <v>1.4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DW70-900003438-D074-10000630-4</t>
        </is>
      </c>
    </row>
    <row r="84">
      <c r="A84" t="inlineStr">
        <is>
          <t>900000472DW70D07410004432</t>
        </is>
      </c>
      <c r="B84" t="inlineStr">
        <is>
          <t>4600050481-1030</t>
        </is>
      </c>
      <c r="C84" t="n">
        <v>4600050481</v>
      </c>
      <c r="D84" t="n">
        <v>1030</v>
      </c>
      <c r="E84" t="inlineStr">
        <is>
          <t>MXPO</t>
        </is>
      </c>
      <c r="F84" t="inlineStr">
        <is>
          <t>MXL</t>
        </is>
      </c>
      <c r="G84" t="n">
        <v>900000472</v>
      </c>
      <c r="H84" t="inlineStr">
        <is>
          <t>TC-ED-TRIMCAV</t>
        </is>
      </c>
      <c r="I84" t="n">
        <v>5010147</v>
      </c>
      <c r="J84" t="inlineStr">
        <is>
          <t>TRITURACIONES DE MARMOL Y CALCIOS</t>
        </is>
      </c>
      <c r="K84" t="inlineStr">
        <is>
          <t>Z04</t>
        </is>
      </c>
      <c r="L84" t="inlineStr">
        <is>
          <t>(AP) 30 Dias</t>
        </is>
      </c>
      <c r="M84" t="n">
        <v>10004432</v>
      </c>
      <c r="N84" t="inlineStr">
        <is>
          <t>Grava Triturada Barita 20 mm - 3/4"</t>
        </is>
      </c>
      <c r="O84" t="inlineStr">
        <is>
          <t>DW70</t>
        </is>
      </c>
      <c r="P84" t="inlineStr">
        <is>
          <t>MX-CED. CENTRO</t>
        </is>
      </c>
      <c r="Q84" t="n">
        <v>20210712</v>
      </c>
      <c r="R84" t="n">
        <v>20291231</v>
      </c>
      <c r="S84" t="n">
        <v>20211214</v>
      </c>
      <c r="T84" t="n">
        <v>20261231</v>
      </c>
      <c r="U84" t="n">
        <v>5200</v>
      </c>
      <c r="V84" t="inlineStr">
        <is>
          <t>MXN</t>
        </is>
      </c>
      <c r="W84" t="inlineStr">
        <is>
          <t>TN</t>
        </is>
      </c>
      <c r="X84" t="n">
        <v>2600</v>
      </c>
      <c r="Y84" t="inlineStr">
        <is>
          <t>MXN</t>
        </is>
      </c>
      <c r="Z84" t="inlineStr">
        <is>
          <t>TN</t>
        </is>
      </c>
      <c r="AA84" t="inlineStr">
        <is>
          <t>D074</t>
        </is>
      </c>
      <c r="AB84" t="inlineStr">
        <is>
          <t>PD0063 CENTRAL</t>
        </is>
      </c>
      <c r="AC84" t="n">
        <v>56103637</v>
      </c>
      <c r="AD84" t="n">
        <v>6644261540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DW70-900000472-D074-10004432-4</t>
        </is>
      </c>
    </row>
    <row r="85">
      <c r="A85" t="inlineStr">
        <is>
          <t>900000472DW70D07710188219</t>
        </is>
      </c>
      <c r="B85" t="inlineStr">
        <is>
          <t>4600050481-70</t>
        </is>
      </c>
      <c r="C85" t="n">
        <v>4600050481</v>
      </c>
      <c r="D85" t="n">
        <v>70</v>
      </c>
      <c r="E85" t="inlineStr">
        <is>
          <t>MXPO</t>
        </is>
      </c>
      <c r="F85" t="inlineStr">
        <is>
          <t>MXL</t>
        </is>
      </c>
      <c r="G85" t="n">
        <v>900000472</v>
      </c>
      <c r="H85" t="inlineStr">
        <is>
          <t>TC-ED-TRIMCAV</t>
        </is>
      </c>
      <c r="I85" t="n">
        <v>5010147</v>
      </c>
      <c r="J85" t="inlineStr">
        <is>
          <t>TRITURACIONES DE MARMOL Y CALCIOS</t>
        </is>
      </c>
      <c r="K85" t="inlineStr">
        <is>
          <t>Z04</t>
        </is>
      </c>
      <c r="L85" t="inlineStr">
        <is>
          <t>(AP) 30 Dias</t>
        </is>
      </c>
      <c r="M85" t="n">
        <v>10188219</v>
      </c>
      <c r="N85" t="inlineStr">
        <is>
          <t>ARENA TRITURADA MÁRMOL NEGRO MALLA 4</t>
        </is>
      </c>
      <c r="O85" t="inlineStr">
        <is>
          <t>DW70</t>
        </is>
      </c>
      <c r="P85" t="inlineStr">
        <is>
          <t>MX-CED. CENTRO</t>
        </is>
      </c>
      <c r="Q85" t="n">
        <v>20210712</v>
      </c>
      <c r="R85" t="n">
        <v>20291231</v>
      </c>
      <c r="S85" t="n">
        <v>20210712</v>
      </c>
      <c r="T85" t="n">
        <v>20251231</v>
      </c>
      <c r="U85" t="n">
        <v>1300</v>
      </c>
      <c r="V85" t="inlineStr">
        <is>
          <t>MXN</t>
        </is>
      </c>
      <c r="W85" t="inlineStr">
        <is>
          <t>TN</t>
        </is>
      </c>
      <c r="X85" t="n">
        <v>650</v>
      </c>
      <c r="Y85" t="inlineStr">
        <is>
          <t>MXN</t>
        </is>
      </c>
      <c r="Z85" t="inlineStr">
        <is>
          <t>TN</t>
        </is>
      </c>
      <c r="AA85" t="inlineStr">
        <is>
          <t>D077</t>
        </is>
      </c>
      <c r="AB85" t="inlineStr">
        <is>
          <t>PD0067 LOS REYES</t>
        </is>
      </c>
      <c r="AC85" t="n">
        <v>56103638</v>
      </c>
      <c r="AD85" t="n">
        <v>6644261540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DW70-900000472-D077-10188219-4</t>
        </is>
      </c>
    </row>
    <row r="86">
      <c r="A86" t="inlineStr">
        <is>
          <t>900000472DW70D08810188219</t>
        </is>
      </c>
      <c r="B86" t="inlineStr">
        <is>
          <t>4600050481-550</t>
        </is>
      </c>
      <c r="C86" t="n">
        <v>4600050481</v>
      </c>
      <c r="D86" t="n">
        <v>550</v>
      </c>
      <c r="E86" t="inlineStr">
        <is>
          <t>MXPO</t>
        </is>
      </c>
      <c r="F86" t="inlineStr">
        <is>
          <t>MXL</t>
        </is>
      </c>
      <c r="G86" t="n">
        <v>900000472</v>
      </c>
      <c r="H86" t="inlineStr">
        <is>
          <t>TC-ED-TRIMCAV</t>
        </is>
      </c>
      <c r="I86" t="n">
        <v>5010147</v>
      </c>
      <c r="J86" t="inlineStr">
        <is>
          <t>TRITURACIONES DE MARMOL Y CALCIOS</t>
        </is>
      </c>
      <c r="K86" t="inlineStr">
        <is>
          <t>Z04</t>
        </is>
      </c>
      <c r="L86" t="inlineStr">
        <is>
          <t>(AP) 30 Dias</t>
        </is>
      </c>
      <c r="M86" t="n">
        <v>10188219</v>
      </c>
      <c r="N86" t="inlineStr">
        <is>
          <t>ARENA TRITURADA MÁRMOL NEGRO MALLA 4</t>
        </is>
      </c>
      <c r="O86" t="inlineStr">
        <is>
          <t>DW70</t>
        </is>
      </c>
      <c r="P86" t="inlineStr">
        <is>
          <t>MX-CED. CENTRO</t>
        </is>
      </c>
      <c r="Q86" t="n">
        <v>20210712</v>
      </c>
      <c r="R86" t="n">
        <v>20291231</v>
      </c>
      <c r="S86" t="n">
        <v>20210712</v>
      </c>
      <c r="T86" t="n">
        <v>20251231</v>
      </c>
      <c r="U86" t="n">
        <v>1300</v>
      </c>
      <c r="V86" t="inlineStr">
        <is>
          <t>MXN</t>
        </is>
      </c>
      <c r="W86" t="inlineStr">
        <is>
          <t>TN</t>
        </is>
      </c>
      <c r="X86" t="n">
        <v>650</v>
      </c>
      <c r="Y86" t="inlineStr">
        <is>
          <t>MXN</t>
        </is>
      </c>
      <c r="Z86" t="inlineStr">
        <is>
          <t>TN</t>
        </is>
      </c>
      <c r="AA86" t="inlineStr">
        <is>
          <t>D088</t>
        </is>
      </c>
      <c r="AB86" t="inlineStr">
        <is>
          <t>PD081 HUEHUETOCA V</t>
        </is>
      </c>
      <c r="AC86" t="n">
        <v>56103638</v>
      </c>
      <c r="AD86" t="n">
        <v>6644261540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DW70-900000472-D088-10188219-4</t>
        </is>
      </c>
    </row>
    <row r="87">
      <c r="A87" t="inlineStr">
        <is>
          <t>900000472DW70D07310000635</t>
        </is>
      </c>
      <c r="B87" t="inlineStr">
        <is>
          <t>4600050481-800</t>
        </is>
      </c>
      <c r="C87" t="n">
        <v>4600050481</v>
      </c>
      <c r="D87" t="n">
        <v>800</v>
      </c>
      <c r="E87" t="inlineStr">
        <is>
          <t>MXPO</t>
        </is>
      </c>
      <c r="F87" t="inlineStr">
        <is>
          <t>MXL</t>
        </is>
      </c>
      <c r="G87" t="n">
        <v>900000472</v>
      </c>
      <c r="H87" t="inlineStr">
        <is>
          <t>TC-ED-TRIMCAV</t>
        </is>
      </c>
      <c r="I87" t="n">
        <v>5010147</v>
      </c>
      <c r="J87" t="inlineStr">
        <is>
          <t>TRITURACIONES DE MARMOL Y CALCIOS</t>
        </is>
      </c>
      <c r="K87" t="inlineStr">
        <is>
          <t>Z04</t>
        </is>
      </c>
      <c r="L87" t="inlineStr">
        <is>
          <t>(AP) 30 Dias</t>
        </is>
      </c>
      <c r="M87" t="n">
        <v>10000635</v>
      </c>
      <c r="N87" t="inlineStr">
        <is>
          <t>Arena Triturada Marmol Malla 4</t>
        </is>
      </c>
      <c r="O87" t="inlineStr">
        <is>
          <t>DW70</t>
        </is>
      </c>
      <c r="P87" t="inlineStr">
        <is>
          <t>MX-CED. CENTRO</t>
        </is>
      </c>
      <c r="Q87" t="n">
        <v>20210712</v>
      </c>
      <c r="R87" t="n">
        <v>20291231</v>
      </c>
      <c r="S87" t="n">
        <v>20230215</v>
      </c>
      <c r="T87" t="n">
        <v>20281231</v>
      </c>
      <c r="U87" t="n">
        <v>921.6900000000001</v>
      </c>
      <c r="V87" t="inlineStr">
        <is>
          <t>MXN</t>
        </is>
      </c>
      <c r="W87" t="inlineStr">
        <is>
          <t>TN</t>
        </is>
      </c>
      <c r="X87" t="n">
        <v>485.1</v>
      </c>
      <c r="Y87" t="inlineStr">
        <is>
          <t>MXN</t>
        </is>
      </c>
      <c r="Z87" t="inlineStr">
        <is>
          <t>TN</t>
        </is>
      </c>
      <c r="AA87" t="inlineStr">
        <is>
          <t>D073</t>
        </is>
      </c>
      <c r="AB87" t="inlineStr">
        <is>
          <t>PD0037 TULA V</t>
        </is>
      </c>
      <c r="AC87" t="n">
        <v>56103638</v>
      </c>
      <c r="AD87" t="n">
        <v>6644261540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DW70-900000472-D073-10000635-4</t>
        </is>
      </c>
    </row>
    <row r="88">
      <c r="A88" t="inlineStr">
        <is>
          <t>900003438DW70D07410000623</t>
        </is>
      </c>
      <c r="B88" t="inlineStr">
        <is>
          <t>4600050497-320</t>
        </is>
      </c>
      <c r="C88" t="n">
        <v>4600050497</v>
      </c>
      <c r="D88" t="n">
        <v>320</v>
      </c>
      <c r="E88" t="inlineStr">
        <is>
          <t>MXPO</t>
        </is>
      </c>
      <c r="F88" t="inlineStr">
        <is>
          <t>MXL</t>
        </is>
      </c>
      <c r="G88" t="n">
        <v>900003438</v>
      </c>
      <c r="H88" t="inlineStr">
        <is>
          <t>TC-ED-ESTRATEGIAS AVANZADAS</t>
        </is>
      </c>
      <c r="I88" t="n">
        <v>5049458</v>
      </c>
      <c r="J88" t="inlineStr">
        <is>
          <t>ESTRATEGIAS AVANZADAS PARA OBTEN</t>
        </is>
      </c>
      <c r="K88" t="inlineStr">
        <is>
          <t>Z03</t>
        </is>
      </c>
      <c r="L88" t="inlineStr">
        <is>
          <t>(AP) 15 Dias</t>
        </is>
      </c>
      <c r="M88" t="n">
        <v>10000623</v>
      </c>
      <c r="N88" t="inlineStr">
        <is>
          <t>Grava Triturada Caliza 10 mm - 3/8"</t>
        </is>
      </c>
      <c r="O88" t="inlineStr">
        <is>
          <t>DW70</t>
        </is>
      </c>
      <c r="P88" t="inlineStr">
        <is>
          <t>MX-CED. CENTRO</t>
        </is>
      </c>
      <c r="Q88" t="n">
        <v>20210712</v>
      </c>
      <c r="R88" t="n">
        <v>20281231</v>
      </c>
      <c r="S88" t="n">
        <v>20230501</v>
      </c>
      <c r="T88" t="n">
        <v>20281231</v>
      </c>
      <c r="U88" t="n">
        <v>391.81</v>
      </c>
      <c r="V88" t="inlineStr">
        <is>
          <t>MXN</t>
        </is>
      </c>
      <c r="W88" t="inlineStr">
        <is>
          <t>M3</t>
        </is>
      </c>
      <c r="X88" t="n">
        <v>236.81</v>
      </c>
      <c r="Y88" t="inlineStr">
        <is>
          <t>MXN</t>
        </is>
      </c>
      <c r="Z88" t="inlineStr">
        <is>
          <t>M3</t>
        </is>
      </c>
      <c r="AA88" t="inlineStr">
        <is>
          <t>D074</t>
        </is>
      </c>
      <c r="AB88" t="inlineStr">
        <is>
          <t>PD0063 CENTRAL</t>
        </is>
      </c>
      <c r="AC88" t="n">
        <v>56103637</v>
      </c>
      <c r="AD88" t="n">
        <v>6644261540</v>
      </c>
      <c r="AE88" t="n">
        <v>4</v>
      </c>
      <c r="AF88" t="inlineStr">
        <is>
          <t>ENTREGA DIRECTA</t>
        </is>
      </c>
      <c r="AG88" t="n">
        <v>1.41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DW70-900003438-D074-10000623-4</t>
        </is>
      </c>
    </row>
    <row r="89">
      <c r="A89" t="inlineStr">
        <is>
          <t>900000472DW70D07510189170</t>
        </is>
      </c>
      <c r="B89" t="inlineStr">
        <is>
          <t>4600050481-490</t>
        </is>
      </c>
      <c r="C89" t="n">
        <v>4600050481</v>
      </c>
      <c r="D89" t="n">
        <v>490</v>
      </c>
      <c r="E89" t="inlineStr">
        <is>
          <t>MXPO</t>
        </is>
      </c>
      <c r="F89" t="inlineStr">
        <is>
          <t>MXL</t>
        </is>
      </c>
      <c r="G89" t="n">
        <v>900000472</v>
      </c>
      <c r="H89" t="inlineStr">
        <is>
          <t>TC-ED-TRIMCAV</t>
        </is>
      </c>
      <c r="I89" t="n">
        <v>5010147</v>
      </c>
      <c r="J89" t="inlineStr">
        <is>
          <t>TRITURACIONES DE MARMOL Y CALCIOS</t>
        </is>
      </c>
      <c r="K89" t="inlineStr">
        <is>
          <t>Z04</t>
        </is>
      </c>
      <c r="L89" t="inlineStr">
        <is>
          <t>(AP) 30 Dias</t>
        </is>
      </c>
      <c r="M89" t="n">
        <v>10189170</v>
      </c>
      <c r="N89" t="inlineStr">
        <is>
          <t>GRAVA TRITURADA MÁRMOL NEGRO 10 MM - 3/8</t>
        </is>
      </c>
      <c r="O89" t="inlineStr">
        <is>
          <t>DW70</t>
        </is>
      </c>
      <c r="P89" t="inlineStr">
        <is>
          <t>MX-CED. CENTRO</t>
        </is>
      </c>
      <c r="Q89" t="n">
        <v>20210712</v>
      </c>
      <c r="R89" t="n">
        <v>20291231</v>
      </c>
      <c r="S89" t="n">
        <v>20210712</v>
      </c>
      <c r="T89" t="n">
        <v>20251231</v>
      </c>
      <c r="U89" t="n">
        <v>1300</v>
      </c>
      <c r="V89" t="inlineStr">
        <is>
          <t>MXN</t>
        </is>
      </c>
      <c r="W89" t="inlineStr">
        <is>
          <t>TN</t>
        </is>
      </c>
      <c r="X89" t="n">
        <v>650</v>
      </c>
      <c r="Y89" t="inlineStr">
        <is>
          <t>MXN</t>
        </is>
      </c>
      <c r="Z89" t="inlineStr">
        <is>
          <t>TN</t>
        </is>
      </c>
      <c r="AA89" t="inlineStr">
        <is>
          <t>D075</t>
        </is>
      </c>
      <c r="AB89" t="inlineStr">
        <is>
          <t>PD0065 CEYLAN</t>
        </is>
      </c>
      <c r="AC89" t="n">
        <v>56103637</v>
      </c>
      <c r="AD89" t="n">
        <v>6644261540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DW70-900000472-D075-10189170-4</t>
        </is>
      </c>
    </row>
    <row r="90">
      <c r="A90" t="inlineStr">
        <is>
          <t>900000472DW70D08910000635</t>
        </is>
      </c>
      <c r="B90" t="inlineStr">
        <is>
          <t>4600050481-1010</t>
        </is>
      </c>
      <c r="C90" t="n">
        <v>4600050481</v>
      </c>
      <c r="D90" t="n">
        <v>1010</v>
      </c>
      <c r="E90" t="inlineStr">
        <is>
          <t>MXPO</t>
        </is>
      </c>
      <c r="F90" t="inlineStr">
        <is>
          <t>MXL</t>
        </is>
      </c>
      <c r="G90" t="n">
        <v>900000472</v>
      </c>
      <c r="H90" t="inlineStr">
        <is>
          <t>TC-ED-TRIMCAV</t>
        </is>
      </c>
      <c r="I90" t="n">
        <v>5010147</v>
      </c>
      <c r="J90" t="inlineStr">
        <is>
          <t>TRITURACIONES DE MARMOL Y CALCIOS</t>
        </is>
      </c>
      <c r="K90" t="inlineStr">
        <is>
          <t>Z04</t>
        </is>
      </c>
      <c r="L90" t="inlineStr">
        <is>
          <t>(AP) 30 Dias</t>
        </is>
      </c>
      <c r="M90" t="n">
        <v>10000635</v>
      </c>
      <c r="N90" t="inlineStr">
        <is>
          <t>Arena Triturada Marmol Malla 4</t>
        </is>
      </c>
      <c r="O90" t="inlineStr">
        <is>
          <t>DW70</t>
        </is>
      </c>
      <c r="P90" t="inlineStr">
        <is>
          <t>MX-CED. CENTRO</t>
        </is>
      </c>
      <c r="Q90" t="n">
        <v>20210712</v>
      </c>
      <c r="R90" t="n">
        <v>20291231</v>
      </c>
      <c r="S90" t="n">
        <v>20230215</v>
      </c>
      <c r="T90" t="n">
        <v>20281231</v>
      </c>
      <c r="U90" t="n">
        <v>921.6900000000001</v>
      </c>
      <c r="V90" t="inlineStr">
        <is>
          <t>MXN</t>
        </is>
      </c>
      <c r="W90" t="inlineStr">
        <is>
          <t>TN</t>
        </is>
      </c>
      <c r="X90" t="n">
        <v>485.1</v>
      </c>
      <c r="Y90" t="inlineStr">
        <is>
          <t>MXN</t>
        </is>
      </c>
      <c r="Z90" t="inlineStr">
        <is>
          <t>TN</t>
        </is>
      </c>
      <c r="AA90" t="inlineStr">
        <is>
          <t>D089</t>
        </is>
      </c>
      <c r="AB90" t="inlineStr">
        <is>
          <t>PD0091 TULA IV</t>
        </is>
      </c>
      <c r="AC90" t="n">
        <v>56103638</v>
      </c>
      <c r="AD90" t="n">
        <v>6644261540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DW70-900000472-D089-10000635-4</t>
        </is>
      </c>
    </row>
    <row r="91">
      <c r="A91" t="inlineStr">
        <is>
          <t>900000472DW70D14510188219</t>
        </is>
      </c>
      <c r="B91" t="inlineStr">
        <is>
          <t>4600050481-520</t>
        </is>
      </c>
      <c r="C91" t="n">
        <v>4600050481</v>
      </c>
      <c r="D91" t="n">
        <v>520</v>
      </c>
      <c r="E91" t="inlineStr">
        <is>
          <t>MXPO</t>
        </is>
      </c>
      <c r="F91" t="inlineStr">
        <is>
          <t>MXL</t>
        </is>
      </c>
      <c r="G91" t="n">
        <v>900000472</v>
      </c>
      <c r="H91" t="inlineStr">
        <is>
          <t>TC-ED-TRIMCAV</t>
        </is>
      </c>
      <c r="I91" t="n">
        <v>5010147</v>
      </c>
      <c r="J91" t="inlineStr">
        <is>
          <t>TRITURACIONES DE MARMOL Y CALCIOS</t>
        </is>
      </c>
      <c r="K91" t="inlineStr">
        <is>
          <t>Z04</t>
        </is>
      </c>
      <c r="L91" t="inlineStr">
        <is>
          <t>(AP) 30 Dias</t>
        </is>
      </c>
      <c r="M91" t="n">
        <v>10188219</v>
      </c>
      <c r="N91" t="inlineStr">
        <is>
          <t>ARENA TRITURADA MÁRMOL NEGRO MALLA 4</t>
        </is>
      </c>
      <c r="O91" t="inlineStr">
        <is>
          <t>DW70</t>
        </is>
      </c>
      <c r="P91" t="inlineStr">
        <is>
          <t>MX-CED. CENTRO</t>
        </is>
      </c>
      <c r="Q91" t="n">
        <v>20210712</v>
      </c>
      <c r="R91" t="n">
        <v>20291231</v>
      </c>
      <c r="S91" t="n">
        <v>20210712</v>
      </c>
      <c r="T91" t="n">
        <v>20251231</v>
      </c>
      <c r="U91" t="n">
        <v>1300</v>
      </c>
      <c r="V91" t="inlineStr">
        <is>
          <t>MXN</t>
        </is>
      </c>
      <c r="W91" t="inlineStr">
        <is>
          <t>TN</t>
        </is>
      </c>
      <c r="X91" t="n">
        <v>650</v>
      </c>
      <c r="Y91" t="inlineStr">
        <is>
          <t>MXN</t>
        </is>
      </c>
      <c r="Z91" t="inlineStr">
        <is>
          <t>TN</t>
        </is>
      </c>
      <c r="AA91" t="inlineStr">
        <is>
          <t>D145</t>
        </is>
      </c>
      <c r="AB91" t="inlineStr">
        <is>
          <t>PD0458 ECATEPEC II</t>
        </is>
      </c>
      <c r="AC91" t="n">
        <v>56103638</v>
      </c>
      <c r="AD91" t="n">
        <v>6644261540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DW70-900000472-D145-10188219-4</t>
        </is>
      </c>
    </row>
    <row r="92">
      <c r="A92" t="inlineStr">
        <is>
          <t>900000472DW70D09810000655</t>
        </is>
      </c>
      <c r="B92" t="inlineStr">
        <is>
          <t>4600050481-150</t>
        </is>
      </c>
      <c r="C92" t="n">
        <v>4600050481</v>
      </c>
      <c r="D92" t="n">
        <v>150</v>
      </c>
      <c r="E92" t="inlineStr">
        <is>
          <t>MXPO</t>
        </is>
      </c>
      <c r="F92" t="inlineStr">
        <is>
          <t>MXL</t>
        </is>
      </c>
      <c r="G92" t="n">
        <v>900000472</v>
      </c>
      <c r="H92" t="inlineStr">
        <is>
          <t>TC-ED-TRIMCAV</t>
        </is>
      </c>
      <c r="I92" t="n">
        <v>5010147</v>
      </c>
      <c r="J92" t="inlineStr">
        <is>
          <t>TRITURACIONES DE MARMOL Y CALCIOS</t>
        </is>
      </c>
      <c r="K92" t="inlineStr">
        <is>
          <t>Z04</t>
        </is>
      </c>
      <c r="L92" t="inlineStr">
        <is>
          <t>(AP) 30 Dias</t>
        </is>
      </c>
      <c r="M92" t="n">
        <v>10000655</v>
      </c>
      <c r="N92" t="inlineStr">
        <is>
          <t>Grava Triturada Marmol 10 mm - 3/8"</t>
        </is>
      </c>
      <c r="O92" t="inlineStr">
        <is>
          <t>DW70</t>
        </is>
      </c>
      <c r="P92" t="inlineStr">
        <is>
          <t>MX-CED. CENTRO</t>
        </is>
      </c>
      <c r="Q92" t="n">
        <v>20210712</v>
      </c>
      <c r="R92" t="n">
        <v>20291231</v>
      </c>
      <c r="S92" t="n">
        <v>20230215</v>
      </c>
      <c r="T92" t="n">
        <v>20281231</v>
      </c>
      <c r="U92" t="n">
        <v>921.6900000000001</v>
      </c>
      <c r="V92" t="inlineStr">
        <is>
          <t>MXN</t>
        </is>
      </c>
      <c r="W92" t="inlineStr">
        <is>
          <t>TN</t>
        </is>
      </c>
      <c r="X92" t="n">
        <v>485.1</v>
      </c>
      <c r="Y92" t="inlineStr">
        <is>
          <t>MXN</t>
        </is>
      </c>
      <c r="Z92" t="inlineStr">
        <is>
          <t>TN</t>
        </is>
      </c>
      <c r="AA92" t="inlineStr">
        <is>
          <t>D098</t>
        </is>
      </c>
      <c r="AB92" t="inlineStr">
        <is>
          <t>PD0315 CUAUTITLAN II</t>
        </is>
      </c>
      <c r="AC92" t="n">
        <v>56103637</v>
      </c>
      <c r="AD92" t="n">
        <v>6644261540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DW70-900000472-D098-10000655-4</t>
        </is>
      </c>
    </row>
    <row r="93">
      <c r="A93" t="inlineStr">
        <is>
          <t>900000472DW70D09310000643</t>
        </is>
      </c>
      <c r="B93" t="inlineStr">
        <is>
          <t>4600050481-950</t>
        </is>
      </c>
      <c r="C93" t="n">
        <v>4600050481</v>
      </c>
      <c r="D93" t="n">
        <v>950</v>
      </c>
      <c r="E93" t="inlineStr">
        <is>
          <t>MXPO</t>
        </is>
      </c>
      <c r="F93" t="inlineStr">
        <is>
          <t>MXL</t>
        </is>
      </c>
      <c r="G93" t="n">
        <v>900000472</v>
      </c>
      <c r="H93" t="inlineStr">
        <is>
          <t>TC-ED-TRIMCAV</t>
        </is>
      </c>
      <c r="I93" t="n">
        <v>5010147</v>
      </c>
      <c r="J93" t="inlineStr">
        <is>
          <t>TRITURACIONES DE MARMOL Y CALCIOS</t>
        </is>
      </c>
      <c r="K93" t="inlineStr">
        <is>
          <t>Z04</t>
        </is>
      </c>
      <c r="L93" t="inlineStr">
        <is>
          <t>(AP) 30 Dias</t>
        </is>
      </c>
      <c r="M93" t="n">
        <v>10000643</v>
      </c>
      <c r="N93" t="inlineStr">
        <is>
          <t>Grava Triturada Marmol 20 mm - 3/4"</t>
        </is>
      </c>
      <c r="O93" t="inlineStr">
        <is>
          <t>DW70</t>
        </is>
      </c>
      <c r="P93" t="inlineStr">
        <is>
          <t>MX-CED. CENTRO</t>
        </is>
      </c>
      <c r="Q93" t="n">
        <v>20210712</v>
      </c>
      <c r="R93" t="n">
        <v>20291231</v>
      </c>
      <c r="S93" t="n">
        <v>20230215</v>
      </c>
      <c r="T93" t="n">
        <v>20281231</v>
      </c>
      <c r="U93" t="n">
        <v>921.6900000000001</v>
      </c>
      <c r="V93" t="inlineStr">
        <is>
          <t>MXN</t>
        </is>
      </c>
      <c r="W93" t="inlineStr">
        <is>
          <t>TN</t>
        </is>
      </c>
      <c r="X93" t="n">
        <v>485.1</v>
      </c>
      <c r="Y93" t="inlineStr">
        <is>
          <t>MXN</t>
        </is>
      </c>
      <c r="Z93" t="inlineStr">
        <is>
          <t>TN</t>
        </is>
      </c>
      <c r="AA93" t="inlineStr">
        <is>
          <t>D093</t>
        </is>
      </c>
      <c r="AB93" t="inlineStr">
        <is>
          <t>PD0556 ZUMPANGO</t>
        </is>
      </c>
      <c r="AC93" t="n">
        <v>56103637</v>
      </c>
      <c r="AD93" t="n">
        <v>6644261540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DW70-900000472-D093-10000643-4</t>
        </is>
      </c>
    </row>
    <row r="94">
      <c r="A94" t="inlineStr">
        <is>
          <t>900000472DW70D08510000635</t>
        </is>
      </c>
      <c r="B94" t="inlineStr">
        <is>
          <t>4600050481-50</t>
        </is>
      </c>
      <c r="C94" t="n">
        <v>4600050481</v>
      </c>
      <c r="D94" t="n">
        <v>50</v>
      </c>
      <c r="E94" t="inlineStr">
        <is>
          <t>MXPO</t>
        </is>
      </c>
      <c r="F94" t="inlineStr">
        <is>
          <t>MXL</t>
        </is>
      </c>
      <c r="G94" t="n">
        <v>900000472</v>
      </c>
      <c r="H94" t="inlineStr">
        <is>
          <t>TC-ED-TRIMCAV</t>
        </is>
      </c>
      <c r="I94" t="n">
        <v>5010147</v>
      </c>
      <c r="J94" t="inlineStr">
        <is>
          <t>TRITURACIONES DE MARMOL Y CALCIOS</t>
        </is>
      </c>
      <c r="K94" t="inlineStr">
        <is>
          <t>Z04</t>
        </is>
      </c>
      <c r="L94" t="inlineStr">
        <is>
          <t>(AP) 30 Dias</t>
        </is>
      </c>
      <c r="M94" t="n">
        <v>10000635</v>
      </c>
      <c r="N94" t="inlineStr">
        <is>
          <t>Arena Triturada Marmol Malla 4</t>
        </is>
      </c>
      <c r="O94" t="inlineStr">
        <is>
          <t>DW70</t>
        </is>
      </c>
      <c r="P94" t="inlineStr">
        <is>
          <t>MX-CED. CENTRO</t>
        </is>
      </c>
      <c r="Q94" t="n">
        <v>20210712</v>
      </c>
      <c r="R94" t="n">
        <v>20291231</v>
      </c>
      <c r="S94" t="n">
        <v>20230215</v>
      </c>
      <c r="T94" t="n">
        <v>20281231</v>
      </c>
      <c r="U94" t="n">
        <v>921.6900000000001</v>
      </c>
      <c r="V94" t="inlineStr">
        <is>
          <t>MXN</t>
        </is>
      </c>
      <c r="W94" t="inlineStr">
        <is>
          <t>TN</t>
        </is>
      </c>
      <c r="X94" t="n">
        <v>485.1</v>
      </c>
      <c r="Y94" t="inlineStr">
        <is>
          <t>MXN</t>
        </is>
      </c>
      <c r="Z94" t="inlineStr">
        <is>
          <t>TN</t>
        </is>
      </c>
      <c r="AA94" t="inlineStr">
        <is>
          <t>D085</t>
        </is>
      </c>
      <c r="AB94" t="inlineStr">
        <is>
          <t>PD0189 ROJO GOMEZ</t>
        </is>
      </c>
      <c r="AC94" t="n">
        <v>56103638</v>
      </c>
      <c r="AD94" t="n">
        <v>6644261540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DW70-900000472-D085-10000635-4</t>
        </is>
      </c>
    </row>
    <row r="95">
      <c r="A95" t="inlineStr">
        <is>
          <t>900000472DW70D08410188219</t>
        </is>
      </c>
      <c r="B95" t="inlineStr">
        <is>
          <t>4600050481-120</t>
        </is>
      </c>
      <c r="C95" t="n">
        <v>4600050481</v>
      </c>
      <c r="D95" t="n">
        <v>120</v>
      </c>
      <c r="E95" t="inlineStr">
        <is>
          <t>MXPO</t>
        </is>
      </c>
      <c r="F95" t="inlineStr">
        <is>
          <t>MXL</t>
        </is>
      </c>
      <c r="G95" t="n">
        <v>900000472</v>
      </c>
      <c r="H95" t="inlineStr">
        <is>
          <t>TC-ED-TRIMCAV</t>
        </is>
      </c>
      <c r="I95" t="n">
        <v>5010147</v>
      </c>
      <c r="J95" t="inlineStr">
        <is>
          <t>TRITURACIONES DE MARMOL Y CALCIOS</t>
        </is>
      </c>
      <c r="K95" t="inlineStr">
        <is>
          <t>Z04</t>
        </is>
      </c>
      <c r="L95" t="inlineStr">
        <is>
          <t>(AP) 30 Dias</t>
        </is>
      </c>
      <c r="M95" t="n">
        <v>10188219</v>
      </c>
      <c r="N95" t="inlineStr">
        <is>
          <t>ARENA TRITURADA MÁRMOL NEGRO MALLA 4</t>
        </is>
      </c>
      <c r="O95" t="inlineStr">
        <is>
          <t>DW70</t>
        </is>
      </c>
      <c r="P95" t="inlineStr">
        <is>
          <t>MX-CED. CENTRO</t>
        </is>
      </c>
      <c r="Q95" t="n">
        <v>20210712</v>
      </c>
      <c r="R95" t="n">
        <v>20291231</v>
      </c>
      <c r="S95" t="n">
        <v>20210712</v>
      </c>
      <c r="T95" t="n">
        <v>20251231</v>
      </c>
      <c r="U95" t="n">
        <v>1300</v>
      </c>
      <c r="V95" t="inlineStr">
        <is>
          <t>MXN</t>
        </is>
      </c>
      <c r="W95" t="inlineStr">
        <is>
          <t>TN</t>
        </is>
      </c>
      <c r="X95" t="n">
        <v>650</v>
      </c>
      <c r="Y95" t="inlineStr">
        <is>
          <t>MXN</t>
        </is>
      </c>
      <c r="Z95" t="inlineStr">
        <is>
          <t>TN</t>
        </is>
      </c>
      <c r="AA95" t="inlineStr">
        <is>
          <t>D084</t>
        </is>
      </c>
      <c r="AB95" t="inlineStr">
        <is>
          <t>PD0186 IZTAPALAPA</t>
        </is>
      </c>
      <c r="AC95" t="n">
        <v>56103638</v>
      </c>
      <c r="AD95" t="n">
        <v>6644261540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DW70-900000472-D084-10188219-4</t>
        </is>
      </c>
    </row>
    <row r="96">
      <c r="A96" t="inlineStr">
        <is>
          <t>900000472DW70D10510190932</t>
        </is>
      </c>
      <c r="B96" t="inlineStr">
        <is>
          <t>4600050481-760</t>
        </is>
      </c>
      <c r="C96" t="n">
        <v>4600050481</v>
      </c>
      <c r="D96" t="n">
        <v>760</v>
      </c>
      <c r="E96" t="inlineStr">
        <is>
          <t>MXPO</t>
        </is>
      </c>
      <c r="F96" t="inlineStr">
        <is>
          <t>MXL</t>
        </is>
      </c>
      <c r="G96" t="n">
        <v>900000472</v>
      </c>
      <c r="H96" t="inlineStr">
        <is>
          <t>TC-ED-TRIMCAV</t>
        </is>
      </c>
      <c r="I96" t="n">
        <v>5010147</v>
      </c>
      <c r="J96" t="inlineStr">
        <is>
          <t>TRITURACIONES DE MARMOL Y CALCIOS</t>
        </is>
      </c>
      <c r="K96" t="inlineStr">
        <is>
          <t>Z04</t>
        </is>
      </c>
      <c r="L96" t="inlineStr">
        <is>
          <t>(AP) 30 Dias</t>
        </is>
      </c>
      <c r="M96" t="n">
        <v>10190932</v>
      </c>
      <c r="N96" t="inlineStr">
        <is>
          <t>GRAVA TRITURADA MÁRMOL NEGRO 20 MM - 3/4</t>
        </is>
      </c>
      <c r="O96" t="inlineStr">
        <is>
          <t>DW70</t>
        </is>
      </c>
      <c r="P96" t="inlineStr">
        <is>
          <t>MX-CED. CENTRO</t>
        </is>
      </c>
      <c r="Q96" t="n">
        <v>20210712</v>
      </c>
      <c r="R96" t="n">
        <v>20291231</v>
      </c>
      <c r="S96" t="n">
        <v>20210712</v>
      </c>
      <c r="T96" t="n">
        <v>20251231</v>
      </c>
      <c r="U96" t="n">
        <v>1300</v>
      </c>
      <c r="V96" t="inlineStr">
        <is>
          <t>MXN</t>
        </is>
      </c>
      <c r="W96" t="inlineStr">
        <is>
          <t>TN</t>
        </is>
      </c>
      <c r="X96" t="n">
        <v>650</v>
      </c>
      <c r="Y96" t="inlineStr">
        <is>
          <t>MXN</t>
        </is>
      </c>
      <c r="Z96" t="inlineStr">
        <is>
          <t>TN</t>
        </is>
      </c>
      <c r="AA96" t="inlineStr">
        <is>
          <t>D105</t>
        </is>
      </c>
      <c r="AB96" t="inlineStr">
        <is>
          <t>PD0331 NAUCALPAN II</t>
        </is>
      </c>
      <c r="AC96" t="n">
        <v>56103637</v>
      </c>
      <c r="AD96" t="n">
        <v>6644261540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DW70-900000472-D105-10190932-4</t>
        </is>
      </c>
    </row>
    <row r="97">
      <c r="A97" t="inlineStr">
        <is>
          <t>900000472DW70D08810189170</t>
        </is>
      </c>
      <c r="B97" t="inlineStr">
        <is>
          <t>4600050481-400</t>
        </is>
      </c>
      <c r="C97" t="n">
        <v>4600050481</v>
      </c>
      <c r="D97" t="n">
        <v>400</v>
      </c>
      <c r="E97" t="inlineStr">
        <is>
          <t>MXPO</t>
        </is>
      </c>
      <c r="F97" t="inlineStr">
        <is>
          <t>MXL</t>
        </is>
      </c>
      <c r="G97" t="n">
        <v>900000472</v>
      </c>
      <c r="H97" t="inlineStr">
        <is>
          <t>TC-ED-TRIMCAV</t>
        </is>
      </c>
      <c r="I97" t="n">
        <v>5010147</v>
      </c>
      <c r="J97" t="inlineStr">
        <is>
          <t>TRITURACIONES DE MARMOL Y CALCIOS</t>
        </is>
      </c>
      <c r="K97" t="inlineStr">
        <is>
          <t>Z04</t>
        </is>
      </c>
      <c r="L97" t="inlineStr">
        <is>
          <t>(AP) 30 Dias</t>
        </is>
      </c>
      <c r="M97" t="n">
        <v>10189170</v>
      </c>
      <c r="N97" t="inlineStr">
        <is>
          <t>GRAVA TRITURADA MÁRMOL NEGRO 10 MM - 3/8</t>
        </is>
      </c>
      <c r="O97" t="inlineStr">
        <is>
          <t>DW70</t>
        </is>
      </c>
      <c r="P97" t="inlineStr">
        <is>
          <t>MX-CED. CENTRO</t>
        </is>
      </c>
      <c r="Q97" t="n">
        <v>20210712</v>
      </c>
      <c r="R97" t="n">
        <v>20291231</v>
      </c>
      <c r="S97" t="n">
        <v>20210712</v>
      </c>
      <c r="T97" t="n">
        <v>20251231</v>
      </c>
      <c r="U97" t="n">
        <v>1300</v>
      </c>
      <c r="V97" t="inlineStr">
        <is>
          <t>MXN</t>
        </is>
      </c>
      <c r="W97" t="inlineStr">
        <is>
          <t>TN</t>
        </is>
      </c>
      <c r="X97" t="n">
        <v>650</v>
      </c>
      <c r="Y97" t="inlineStr">
        <is>
          <t>MXN</t>
        </is>
      </c>
      <c r="Z97" t="inlineStr">
        <is>
          <t>TN</t>
        </is>
      </c>
      <c r="AA97" t="inlineStr">
        <is>
          <t>D088</t>
        </is>
      </c>
      <c r="AB97" t="inlineStr">
        <is>
          <t>PD081 HUEHUETOCA V</t>
        </is>
      </c>
      <c r="AC97" t="n">
        <v>56103637</v>
      </c>
      <c r="AD97" t="n">
        <v>6644261540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DW70-900000472-D088-10189170-4</t>
        </is>
      </c>
    </row>
    <row r="98">
      <c r="A98" t="inlineStr">
        <is>
          <t>900003438DW70D08510000623</t>
        </is>
      </c>
      <c r="B98" t="inlineStr">
        <is>
          <t>4600050497-240</t>
        </is>
      </c>
      <c r="C98" t="n">
        <v>4600050497</v>
      </c>
      <c r="D98" t="n">
        <v>240</v>
      </c>
      <c r="E98" t="inlineStr">
        <is>
          <t>MXPO</t>
        </is>
      </c>
      <c r="F98" t="inlineStr">
        <is>
          <t>MXL</t>
        </is>
      </c>
      <c r="G98" t="n">
        <v>900003438</v>
      </c>
      <c r="H98" t="inlineStr">
        <is>
          <t>TC-ED-ESTRATEGIAS AVANZADAS</t>
        </is>
      </c>
      <c r="I98" t="n">
        <v>5049458</v>
      </c>
      <c r="J98" t="inlineStr">
        <is>
          <t>ESTRATEGIAS AVANZADAS PARA OBTEN</t>
        </is>
      </c>
      <c r="K98" t="inlineStr">
        <is>
          <t>Z03</t>
        </is>
      </c>
      <c r="L98" t="inlineStr">
        <is>
          <t>(AP) 15 Dias</t>
        </is>
      </c>
      <c r="M98" t="n">
        <v>10000623</v>
      </c>
      <c r="N98" t="inlineStr">
        <is>
          <t>Grava Triturada Caliza 10 mm - 3/8"</t>
        </is>
      </c>
      <c r="O98" t="inlineStr">
        <is>
          <t>DW70</t>
        </is>
      </c>
      <c r="P98" t="inlineStr">
        <is>
          <t>MX-CED. CENTRO</t>
        </is>
      </c>
      <c r="Q98" t="n">
        <v>20210712</v>
      </c>
      <c r="R98" t="n">
        <v>20281231</v>
      </c>
      <c r="S98" t="n">
        <v>20230501</v>
      </c>
      <c r="T98" t="n">
        <v>20281231</v>
      </c>
      <c r="U98" t="n">
        <v>437.73</v>
      </c>
      <c r="V98" t="inlineStr">
        <is>
          <t>MXN</t>
        </is>
      </c>
      <c r="W98" t="inlineStr">
        <is>
          <t>M3</t>
        </is>
      </c>
      <c r="X98" t="n">
        <v>282.73</v>
      </c>
      <c r="Y98" t="inlineStr">
        <is>
          <t>MXN</t>
        </is>
      </c>
      <c r="Z98" t="inlineStr">
        <is>
          <t>M3</t>
        </is>
      </c>
      <c r="AA98" t="inlineStr">
        <is>
          <t>D085</t>
        </is>
      </c>
      <c r="AB98" t="inlineStr">
        <is>
          <t>PD0189 ROJO GOMEZ</t>
        </is>
      </c>
      <c r="AC98" t="n">
        <v>56103637</v>
      </c>
      <c r="AD98" t="n">
        <v>6644261540</v>
      </c>
      <c r="AE98" t="n">
        <v>4</v>
      </c>
      <c r="AF98" t="inlineStr">
        <is>
          <t>ENTREGA DIRECTA</t>
        </is>
      </c>
      <c r="AG98" t="n">
        <v>1.41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DW70-900003438-D085-10000623-4</t>
        </is>
      </c>
    </row>
    <row r="99">
      <c r="A99" t="inlineStr">
        <is>
          <t>900003438DW70D08610002802</t>
        </is>
      </c>
      <c r="B99" t="inlineStr">
        <is>
          <t>4600050497-370</t>
        </is>
      </c>
      <c r="C99" t="n">
        <v>4600050497</v>
      </c>
      <c r="D99" t="n">
        <v>370</v>
      </c>
      <c r="E99" t="inlineStr">
        <is>
          <t>MXPO</t>
        </is>
      </c>
      <c r="F99" t="inlineStr">
        <is>
          <t>MXL</t>
        </is>
      </c>
      <c r="G99" t="n">
        <v>900003438</v>
      </c>
      <c r="H99" t="inlineStr">
        <is>
          <t>TC-ED-ESTRATEGIAS AVANZADAS</t>
        </is>
      </c>
      <c r="I99" t="n">
        <v>5049458</v>
      </c>
      <c r="J99" t="inlineStr">
        <is>
          <t>ESTRATEGIAS AVANZADAS PARA OBTEN</t>
        </is>
      </c>
      <c r="K99" t="inlineStr">
        <is>
          <t>Z03</t>
        </is>
      </c>
      <c r="L99" t="inlineStr">
        <is>
          <t>(AP) 15 Dias</t>
        </is>
      </c>
      <c r="M99" t="n">
        <v>10002802</v>
      </c>
      <c r="N99" t="inlineStr">
        <is>
          <t>Arena Clasificada Río Malla 4 Lavado</t>
        </is>
      </c>
      <c r="O99" t="inlineStr">
        <is>
          <t>DW70</t>
        </is>
      </c>
      <c r="P99" t="inlineStr">
        <is>
          <t>MX-CED. CENTRO</t>
        </is>
      </c>
      <c r="Q99" t="n">
        <v>20210712</v>
      </c>
      <c r="R99" t="n">
        <v>20281231</v>
      </c>
      <c r="S99" t="n">
        <v>20230501</v>
      </c>
      <c r="T99" t="n">
        <v>20281231</v>
      </c>
      <c r="U99" t="n">
        <v>299.52</v>
      </c>
      <c r="V99" t="inlineStr">
        <is>
          <t>MXN</t>
        </is>
      </c>
      <c r="W99" t="inlineStr">
        <is>
          <t>M3</t>
        </is>
      </c>
      <c r="X99" t="n">
        <v>149.52</v>
      </c>
      <c r="Y99" t="inlineStr">
        <is>
          <t>MXN</t>
        </is>
      </c>
      <c r="Z99" t="inlineStr">
        <is>
          <t>M3</t>
        </is>
      </c>
      <c r="AA99" t="inlineStr">
        <is>
          <t>D086</t>
        </is>
      </c>
      <c r="AB99" t="inlineStr">
        <is>
          <t>PD0190 XALOSTC</t>
        </is>
      </c>
      <c r="AC99" t="n">
        <v>56103638</v>
      </c>
      <c r="AD99" t="n">
        <v>6644261540</v>
      </c>
      <c r="AE99" t="n">
        <v>4</v>
      </c>
      <c r="AF99" t="inlineStr">
        <is>
          <t>ENTREGA DIRECTA</t>
        </is>
      </c>
      <c r="AG99" t="n">
        <v>1.463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DW70-900003438-D086-10002802-4</t>
        </is>
      </c>
    </row>
    <row r="100">
      <c r="A100" t="inlineStr">
        <is>
          <t>900000472DW70D09810190932</t>
        </is>
      </c>
      <c r="B100" t="inlineStr">
        <is>
          <t>4600050481-750</t>
        </is>
      </c>
      <c r="C100" t="n">
        <v>4600050481</v>
      </c>
      <c r="D100" t="n">
        <v>750</v>
      </c>
      <c r="E100" t="inlineStr">
        <is>
          <t>MXPO</t>
        </is>
      </c>
      <c r="F100" t="inlineStr">
        <is>
          <t>MXL</t>
        </is>
      </c>
      <c r="G100" t="n">
        <v>900000472</v>
      </c>
      <c r="H100" t="inlineStr">
        <is>
          <t>TC-ED-TRIMCAV</t>
        </is>
      </c>
      <c r="I100" t="n">
        <v>5010147</v>
      </c>
      <c r="J100" t="inlineStr">
        <is>
          <t>TRITURACIONES DE MARMOL Y CALCIOS</t>
        </is>
      </c>
      <c r="K100" t="inlineStr">
        <is>
          <t>Z04</t>
        </is>
      </c>
      <c r="L100" t="inlineStr">
        <is>
          <t>(AP) 30 Dias</t>
        </is>
      </c>
      <c r="M100" t="n">
        <v>10190932</v>
      </c>
      <c r="N100" t="inlineStr">
        <is>
          <t>GRAVA TRITURADA MÁRMOL NEGRO 20 MM - 3/4</t>
        </is>
      </c>
      <c r="O100" t="inlineStr">
        <is>
          <t>DW70</t>
        </is>
      </c>
      <c r="P100" t="inlineStr">
        <is>
          <t>MX-CED. CENTRO</t>
        </is>
      </c>
      <c r="Q100" t="n">
        <v>20210712</v>
      </c>
      <c r="R100" t="n">
        <v>20291231</v>
      </c>
      <c r="S100" t="n">
        <v>20210712</v>
      </c>
      <c r="T100" t="n">
        <v>20251231</v>
      </c>
      <c r="U100" t="n">
        <v>1300</v>
      </c>
      <c r="V100" t="inlineStr">
        <is>
          <t>MXN</t>
        </is>
      </c>
      <c r="W100" t="inlineStr">
        <is>
          <t>TN</t>
        </is>
      </c>
      <c r="X100" t="n">
        <v>650</v>
      </c>
      <c r="Y100" t="inlineStr">
        <is>
          <t>MXN</t>
        </is>
      </c>
      <c r="Z100" t="inlineStr">
        <is>
          <t>TN</t>
        </is>
      </c>
      <c r="AA100" t="inlineStr">
        <is>
          <t>D098</t>
        </is>
      </c>
      <c r="AB100" t="inlineStr">
        <is>
          <t>PD0315 CUAUTITLAN II</t>
        </is>
      </c>
      <c r="AC100" t="n">
        <v>56103637</v>
      </c>
      <c r="AD100" t="n">
        <v>6644261540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DW70-900000472-D098-10190932-4</t>
        </is>
      </c>
    </row>
    <row r="101">
      <c r="A101" t="inlineStr">
        <is>
          <t>900003438DW70D13610000623</t>
        </is>
      </c>
      <c r="B101" t="inlineStr">
        <is>
          <t>4600050497-180</t>
        </is>
      </c>
      <c r="C101" t="n">
        <v>4600050497</v>
      </c>
      <c r="D101" t="n">
        <v>180</v>
      </c>
      <c r="E101" t="inlineStr">
        <is>
          <t>MXPO</t>
        </is>
      </c>
      <c r="F101" t="inlineStr">
        <is>
          <t>MXL</t>
        </is>
      </c>
      <c r="G101" t="n">
        <v>900003438</v>
      </c>
      <c r="H101" t="inlineStr">
        <is>
          <t>TC-ED-ESTRATEGIAS AVANZADAS</t>
        </is>
      </c>
      <c r="I101" t="n">
        <v>5049458</v>
      </c>
      <c r="J101" t="inlineStr">
        <is>
          <t>ESTRATEGIAS AVANZADAS PARA OBTEN</t>
        </is>
      </c>
      <c r="K101" t="inlineStr">
        <is>
          <t>Z03</t>
        </is>
      </c>
      <c r="L101" t="inlineStr">
        <is>
          <t>(AP) 15 Dias</t>
        </is>
      </c>
      <c r="M101" t="n">
        <v>10000623</v>
      </c>
      <c r="N101" t="inlineStr">
        <is>
          <t>Grava Triturada Caliza 10 mm - 3/8"</t>
        </is>
      </c>
      <c r="O101" t="inlineStr">
        <is>
          <t>DW70</t>
        </is>
      </c>
      <c r="P101" t="inlineStr">
        <is>
          <t>MX-CED. CENTRO</t>
        </is>
      </c>
      <c r="Q101" t="n">
        <v>20210712</v>
      </c>
      <c r="R101" t="n">
        <v>20281231</v>
      </c>
      <c r="S101" t="n">
        <v>20230501</v>
      </c>
      <c r="T101" t="n">
        <v>20281231</v>
      </c>
      <c r="U101" t="n">
        <v>397.3</v>
      </c>
      <c r="V101" t="inlineStr">
        <is>
          <t>MXN</t>
        </is>
      </c>
      <c r="W101" t="inlineStr">
        <is>
          <t>M3</t>
        </is>
      </c>
      <c r="X101" t="n">
        <v>242.3</v>
      </c>
      <c r="Y101" t="inlineStr">
        <is>
          <t>MXN</t>
        </is>
      </c>
      <c r="Z101" t="inlineStr">
        <is>
          <t>M3</t>
        </is>
      </c>
      <c r="AA101" t="inlineStr">
        <is>
          <t>D136</t>
        </is>
      </c>
      <c r="AB101" t="inlineStr">
        <is>
          <t>PD0237 LA ESTRELLA</t>
        </is>
      </c>
      <c r="AC101" t="n">
        <v>56103637</v>
      </c>
      <c r="AD101" t="n">
        <v>6644261540</v>
      </c>
      <c r="AE101" t="n">
        <v>4</v>
      </c>
      <c r="AF101" t="inlineStr">
        <is>
          <t>ENTREGA DIRECTA</t>
        </is>
      </c>
      <c r="AG101" t="n">
        <v>1.41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DW70-900003438-D136-10000623-4</t>
        </is>
      </c>
    </row>
    <row r="102">
      <c r="A102" t="inlineStr">
        <is>
          <t>900003438DW70D08610000623</t>
        </is>
      </c>
      <c r="B102" t="inlineStr">
        <is>
          <t>4600050497-230</t>
        </is>
      </c>
      <c r="C102" t="n">
        <v>4600050497</v>
      </c>
      <c r="D102" t="n">
        <v>230</v>
      </c>
      <c r="E102" t="inlineStr">
        <is>
          <t>MXPO</t>
        </is>
      </c>
      <c r="F102" t="inlineStr">
        <is>
          <t>MXL</t>
        </is>
      </c>
      <c r="G102" t="n">
        <v>900003438</v>
      </c>
      <c r="H102" t="inlineStr">
        <is>
          <t>TC-ED-ESTRATEGIAS AVANZADAS</t>
        </is>
      </c>
      <c r="I102" t="n">
        <v>5049458</v>
      </c>
      <c r="J102" t="inlineStr">
        <is>
          <t>ESTRATEGIAS AVANZADAS PARA OBTEN</t>
        </is>
      </c>
      <c r="K102" t="inlineStr">
        <is>
          <t>Z03</t>
        </is>
      </c>
      <c r="L102" t="inlineStr">
        <is>
          <t>(AP) 15 Dias</t>
        </is>
      </c>
      <c r="M102" t="n">
        <v>10000623</v>
      </c>
      <c r="N102" t="inlineStr">
        <is>
          <t>Grava Triturada Caliza 10 mm - 3/8"</t>
        </is>
      </c>
      <c r="O102" t="inlineStr">
        <is>
          <t>DW70</t>
        </is>
      </c>
      <c r="P102" t="inlineStr">
        <is>
          <t>MX-CED. CENTRO</t>
        </is>
      </c>
      <c r="Q102" t="n">
        <v>20210712</v>
      </c>
      <c r="R102" t="n">
        <v>20281231</v>
      </c>
      <c r="S102" t="n">
        <v>20230501</v>
      </c>
      <c r="T102" t="n">
        <v>20281231</v>
      </c>
      <c r="U102" t="n">
        <v>397.3</v>
      </c>
      <c r="V102" t="inlineStr">
        <is>
          <t>MXN</t>
        </is>
      </c>
      <c r="W102" t="inlineStr">
        <is>
          <t>M3</t>
        </is>
      </c>
      <c r="X102" t="n">
        <v>242.3</v>
      </c>
      <c r="Y102" t="inlineStr">
        <is>
          <t>MXN</t>
        </is>
      </c>
      <c r="Z102" t="inlineStr">
        <is>
          <t>M3</t>
        </is>
      </c>
      <c r="AA102" t="inlineStr">
        <is>
          <t>D086</t>
        </is>
      </c>
      <c r="AB102" t="inlineStr">
        <is>
          <t>PD0190 XALOSTC</t>
        </is>
      </c>
      <c r="AC102" t="n">
        <v>56103637</v>
      </c>
      <c r="AD102" t="n">
        <v>6644261540</v>
      </c>
      <c r="AE102" t="n">
        <v>4</v>
      </c>
      <c r="AF102" t="inlineStr">
        <is>
          <t>ENTREGA DIRECTA</t>
        </is>
      </c>
      <c r="AG102" t="n">
        <v>1.41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DW70-900003438-D086-10000623-4</t>
        </is>
      </c>
    </row>
    <row r="103">
      <c r="A103" t="inlineStr">
        <is>
          <t>900003438DW70D08410000623</t>
        </is>
      </c>
      <c r="B103" t="inlineStr">
        <is>
          <t>4600050497-250</t>
        </is>
      </c>
      <c r="C103" t="n">
        <v>4600050497</v>
      </c>
      <c r="D103" t="n">
        <v>250</v>
      </c>
      <c r="E103" t="inlineStr">
        <is>
          <t>MXPO</t>
        </is>
      </c>
      <c r="F103" t="inlineStr">
        <is>
          <t>MXL</t>
        </is>
      </c>
      <c r="G103" t="n">
        <v>900003438</v>
      </c>
      <c r="H103" t="inlineStr">
        <is>
          <t>TC-ED-ESTRATEGIAS AVANZADAS</t>
        </is>
      </c>
      <c r="I103" t="n">
        <v>5049458</v>
      </c>
      <c r="J103" t="inlineStr">
        <is>
          <t>ESTRATEGIAS AVANZADAS PARA OBTEN</t>
        </is>
      </c>
      <c r="K103" t="inlineStr">
        <is>
          <t>Z03</t>
        </is>
      </c>
      <c r="L103" t="inlineStr">
        <is>
          <t>(AP) 15 Dias</t>
        </is>
      </c>
      <c r="M103" t="n">
        <v>10000623</v>
      </c>
      <c r="N103" t="inlineStr">
        <is>
          <t>Grava Triturada Caliza 10 mm - 3/8"</t>
        </is>
      </c>
      <c r="O103" t="inlineStr">
        <is>
          <t>DW70</t>
        </is>
      </c>
      <c r="P103" t="inlineStr">
        <is>
          <t>MX-CED. CENTRO</t>
        </is>
      </c>
      <c r="Q103" t="n">
        <v>20210712</v>
      </c>
      <c r="R103" t="n">
        <v>20281231</v>
      </c>
      <c r="S103" t="n">
        <v>20230501</v>
      </c>
      <c r="T103" t="n">
        <v>20281231</v>
      </c>
      <c r="U103" t="n">
        <v>446.4</v>
      </c>
      <c r="V103" t="inlineStr">
        <is>
          <t>MXN</t>
        </is>
      </c>
      <c r="W103" t="inlineStr">
        <is>
          <t>M3</t>
        </is>
      </c>
      <c r="X103" t="n">
        <v>291.4</v>
      </c>
      <c r="Y103" t="inlineStr">
        <is>
          <t>MXN</t>
        </is>
      </c>
      <c r="Z103" t="inlineStr">
        <is>
          <t>M3</t>
        </is>
      </c>
      <c r="AA103" t="inlineStr">
        <is>
          <t>D084</t>
        </is>
      </c>
      <c r="AB103" t="inlineStr">
        <is>
          <t>PD0186 IZTAPALAPA</t>
        </is>
      </c>
      <c r="AC103" t="n">
        <v>56103637</v>
      </c>
      <c r="AD103" t="n">
        <v>6644261540</v>
      </c>
      <c r="AE103" t="n">
        <v>4</v>
      </c>
      <c r="AF103" t="inlineStr">
        <is>
          <t>ENTREGA DIRECTA</t>
        </is>
      </c>
      <c r="AG103" t="n">
        <v>1.41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DW70-900003438-D084-10000623-4</t>
        </is>
      </c>
    </row>
    <row r="104">
      <c r="A104" t="inlineStr">
        <is>
          <t>900000472DW70D08610190932</t>
        </is>
      </c>
      <c r="B104" t="inlineStr">
        <is>
          <t>4600050481-730</t>
        </is>
      </c>
      <c r="C104" t="n">
        <v>4600050481</v>
      </c>
      <c r="D104" t="n">
        <v>730</v>
      </c>
      <c r="E104" t="inlineStr">
        <is>
          <t>MXPO</t>
        </is>
      </c>
      <c r="F104" t="inlineStr">
        <is>
          <t>MXL</t>
        </is>
      </c>
      <c r="G104" t="n">
        <v>900000472</v>
      </c>
      <c r="H104" t="inlineStr">
        <is>
          <t>TC-ED-TRIMCAV</t>
        </is>
      </c>
      <c r="I104" t="n">
        <v>5010147</v>
      </c>
      <c r="J104" t="inlineStr">
        <is>
          <t>TRITURACIONES DE MARMOL Y CALCIOS</t>
        </is>
      </c>
      <c r="K104" t="inlineStr">
        <is>
          <t>Z04</t>
        </is>
      </c>
      <c r="L104" t="inlineStr">
        <is>
          <t>(AP) 30 Dias</t>
        </is>
      </c>
      <c r="M104" t="n">
        <v>10190932</v>
      </c>
      <c r="N104" t="inlineStr">
        <is>
          <t>GRAVA TRITURADA MÁRMOL NEGRO 20 MM - 3/4</t>
        </is>
      </c>
      <c r="O104" t="inlineStr">
        <is>
          <t>DW70</t>
        </is>
      </c>
      <c r="P104" t="inlineStr">
        <is>
          <t>MX-CED. CENTRO</t>
        </is>
      </c>
      <c r="Q104" t="n">
        <v>20210712</v>
      </c>
      <c r="R104" t="n">
        <v>20291231</v>
      </c>
      <c r="S104" t="n">
        <v>20210712</v>
      </c>
      <c r="T104" t="n">
        <v>20251231</v>
      </c>
      <c r="U104" t="n">
        <v>1300</v>
      </c>
      <c r="V104" t="inlineStr">
        <is>
          <t>MXN</t>
        </is>
      </c>
      <c r="W104" t="inlineStr">
        <is>
          <t>TN</t>
        </is>
      </c>
      <c r="X104" t="n">
        <v>650</v>
      </c>
      <c r="Y104" t="inlineStr">
        <is>
          <t>MXN</t>
        </is>
      </c>
      <c r="Z104" t="inlineStr">
        <is>
          <t>TN</t>
        </is>
      </c>
      <c r="AA104" t="inlineStr">
        <is>
          <t>D086</t>
        </is>
      </c>
      <c r="AB104" t="inlineStr">
        <is>
          <t>PD0190 XALOSTC</t>
        </is>
      </c>
      <c r="AC104" t="n">
        <v>56103637</v>
      </c>
      <c r="AD104" t="n">
        <v>6644261540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DW70-900000472-D086-10190932-4</t>
        </is>
      </c>
    </row>
    <row r="105">
      <c r="A105" t="inlineStr">
        <is>
          <t>900000472DW70D08910000643</t>
        </is>
      </c>
      <c r="B105" t="inlineStr">
        <is>
          <t>4600050481-580</t>
        </is>
      </c>
      <c r="C105" t="n">
        <v>4600050481</v>
      </c>
      <c r="D105" t="n">
        <v>580</v>
      </c>
      <c r="E105" t="inlineStr">
        <is>
          <t>MXPO</t>
        </is>
      </c>
      <c r="F105" t="inlineStr">
        <is>
          <t>MXL</t>
        </is>
      </c>
      <c r="G105" t="n">
        <v>900000472</v>
      </c>
      <c r="H105" t="inlineStr">
        <is>
          <t>TC-ED-TRIMCAV</t>
        </is>
      </c>
      <c r="I105" t="n">
        <v>5010147</v>
      </c>
      <c r="J105" t="inlineStr">
        <is>
          <t>TRITURACIONES DE MARMOL Y CALCIOS</t>
        </is>
      </c>
      <c r="K105" t="inlineStr">
        <is>
          <t>Z04</t>
        </is>
      </c>
      <c r="L105" t="inlineStr">
        <is>
          <t>(AP) 30 Dias</t>
        </is>
      </c>
      <c r="M105" t="n">
        <v>10000643</v>
      </c>
      <c r="N105" t="inlineStr">
        <is>
          <t>Grava Triturada Marmol 20 mm - 3/4"</t>
        </is>
      </c>
      <c r="O105" t="inlineStr">
        <is>
          <t>DW70</t>
        </is>
      </c>
      <c r="P105" t="inlineStr">
        <is>
          <t>MX-CED. CENTRO</t>
        </is>
      </c>
      <c r="Q105" t="n">
        <v>20210712</v>
      </c>
      <c r="R105" t="n">
        <v>20291231</v>
      </c>
      <c r="S105" t="n">
        <v>20230215</v>
      </c>
      <c r="T105" t="n">
        <v>20281231</v>
      </c>
      <c r="U105" t="n">
        <v>921.6900000000001</v>
      </c>
      <c r="V105" t="inlineStr">
        <is>
          <t>MXN</t>
        </is>
      </c>
      <c r="W105" t="inlineStr">
        <is>
          <t>TN</t>
        </is>
      </c>
      <c r="X105" t="n">
        <v>485.1</v>
      </c>
      <c r="Y105" t="inlineStr">
        <is>
          <t>MXN</t>
        </is>
      </c>
      <c r="Z105" t="inlineStr">
        <is>
          <t>TN</t>
        </is>
      </c>
      <c r="AA105" t="inlineStr">
        <is>
          <t>D089</t>
        </is>
      </c>
      <c r="AB105" t="inlineStr">
        <is>
          <t>PD0091 TULA IV</t>
        </is>
      </c>
      <c r="AC105" t="n">
        <v>56103637</v>
      </c>
      <c r="AD105" t="n">
        <v>6644261540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DW70-900000472-D089-10000643-4</t>
        </is>
      </c>
    </row>
    <row r="106">
      <c r="A106" t="inlineStr">
        <is>
          <t>900000472DW70D07510000635</t>
        </is>
      </c>
      <c r="B106" t="inlineStr">
        <is>
          <t>4600050481-820</t>
        </is>
      </c>
      <c r="C106" t="n">
        <v>4600050481</v>
      </c>
      <c r="D106" t="n">
        <v>820</v>
      </c>
      <c r="E106" t="inlineStr">
        <is>
          <t>MXPO</t>
        </is>
      </c>
      <c r="F106" t="inlineStr">
        <is>
          <t>MXL</t>
        </is>
      </c>
      <c r="G106" t="n">
        <v>900000472</v>
      </c>
      <c r="H106" t="inlineStr">
        <is>
          <t>TC-ED-TRIMCAV</t>
        </is>
      </c>
      <c r="I106" t="n">
        <v>5010147</v>
      </c>
      <c r="J106" t="inlineStr">
        <is>
          <t>TRITURACIONES DE MARMOL Y CALCIOS</t>
        </is>
      </c>
      <c r="K106" t="inlineStr">
        <is>
          <t>Z04</t>
        </is>
      </c>
      <c r="L106" t="inlineStr">
        <is>
          <t>(AP) 30 Dias</t>
        </is>
      </c>
      <c r="M106" t="n">
        <v>10000635</v>
      </c>
      <c r="N106" t="inlineStr">
        <is>
          <t>Arena Triturada Marmol Malla 4</t>
        </is>
      </c>
      <c r="O106" t="inlineStr">
        <is>
          <t>DW70</t>
        </is>
      </c>
      <c r="P106" t="inlineStr">
        <is>
          <t>MX-CED. CENTRO</t>
        </is>
      </c>
      <c r="Q106" t="n">
        <v>20210712</v>
      </c>
      <c r="R106" t="n">
        <v>20291231</v>
      </c>
      <c r="S106" t="n">
        <v>20230215</v>
      </c>
      <c r="T106" t="n">
        <v>20281231</v>
      </c>
      <c r="U106" t="n">
        <v>921.6900000000001</v>
      </c>
      <c r="V106" t="inlineStr">
        <is>
          <t>MXN</t>
        </is>
      </c>
      <c r="W106" t="inlineStr">
        <is>
          <t>TN</t>
        </is>
      </c>
      <c r="X106" t="n">
        <v>485.1</v>
      </c>
      <c r="Y106" t="inlineStr">
        <is>
          <t>MXN</t>
        </is>
      </c>
      <c r="Z106" t="inlineStr">
        <is>
          <t>TN</t>
        </is>
      </c>
      <c r="AA106" t="inlineStr">
        <is>
          <t>D075</t>
        </is>
      </c>
      <c r="AB106" t="inlineStr">
        <is>
          <t>PD0065 CEYLAN</t>
        </is>
      </c>
      <c r="AC106" t="n">
        <v>56103638</v>
      </c>
      <c r="AD106" t="n">
        <v>6644261540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DW70-900000472-D075-10000635-4</t>
        </is>
      </c>
    </row>
    <row r="107">
      <c r="A107" t="inlineStr">
        <is>
          <t>900000472DW70D07510000643</t>
        </is>
      </c>
      <c r="B107" t="inlineStr">
        <is>
          <t>4600050481-920</t>
        </is>
      </c>
      <c r="C107" t="n">
        <v>4600050481</v>
      </c>
      <c r="D107" t="n">
        <v>920</v>
      </c>
      <c r="E107" t="inlineStr">
        <is>
          <t>MXPO</t>
        </is>
      </c>
      <c r="F107" t="inlineStr">
        <is>
          <t>MXL</t>
        </is>
      </c>
      <c r="G107" t="n">
        <v>900000472</v>
      </c>
      <c r="H107" t="inlineStr">
        <is>
          <t>TC-ED-TRIMCAV</t>
        </is>
      </c>
      <c r="I107" t="n">
        <v>5010147</v>
      </c>
      <c r="J107" t="inlineStr">
        <is>
          <t>TRITURACIONES DE MARMOL Y CALCIOS</t>
        </is>
      </c>
      <c r="K107" t="inlineStr">
        <is>
          <t>Z04</t>
        </is>
      </c>
      <c r="L107" t="inlineStr">
        <is>
          <t>(AP) 30 Dias</t>
        </is>
      </c>
      <c r="M107" t="n">
        <v>10000643</v>
      </c>
      <c r="N107" t="inlineStr">
        <is>
          <t>Grava Triturada Marmol 20 mm - 3/4"</t>
        </is>
      </c>
      <c r="O107" t="inlineStr">
        <is>
          <t>DW70</t>
        </is>
      </c>
      <c r="P107" t="inlineStr">
        <is>
          <t>MX-CED. CENTRO</t>
        </is>
      </c>
      <c r="Q107" t="n">
        <v>20210712</v>
      </c>
      <c r="R107" t="n">
        <v>20291231</v>
      </c>
      <c r="S107" t="n">
        <v>20230215</v>
      </c>
      <c r="T107" t="n">
        <v>20281231</v>
      </c>
      <c r="U107" t="n">
        <v>921.6900000000001</v>
      </c>
      <c r="V107" t="inlineStr">
        <is>
          <t>MXN</t>
        </is>
      </c>
      <c r="W107" t="inlineStr">
        <is>
          <t>TN</t>
        </is>
      </c>
      <c r="X107" t="n">
        <v>485.1</v>
      </c>
      <c r="Y107" t="inlineStr">
        <is>
          <t>MXN</t>
        </is>
      </c>
      <c r="Z107" t="inlineStr">
        <is>
          <t>TN</t>
        </is>
      </c>
      <c r="AA107" t="inlineStr">
        <is>
          <t>D075</t>
        </is>
      </c>
      <c r="AB107" t="inlineStr">
        <is>
          <t>PD0065 CEYLAN</t>
        </is>
      </c>
      <c r="AC107" t="n">
        <v>56103637</v>
      </c>
      <c r="AD107" t="n">
        <v>6644261540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DW70-900000472-D075-10000643-4</t>
        </is>
      </c>
    </row>
    <row r="108">
      <c r="A108" t="inlineStr">
        <is>
          <t>900000472DW70D13610190932</t>
        </is>
      </c>
      <c r="B108" t="inlineStr">
        <is>
          <t>4600050481-790</t>
        </is>
      </c>
      <c r="C108" t="n">
        <v>4600050481</v>
      </c>
      <c r="D108" t="n">
        <v>790</v>
      </c>
      <c r="E108" t="inlineStr">
        <is>
          <t>MXPO</t>
        </is>
      </c>
      <c r="F108" t="inlineStr">
        <is>
          <t>MXL</t>
        </is>
      </c>
      <c r="G108" t="n">
        <v>900000472</v>
      </c>
      <c r="H108" t="inlineStr">
        <is>
          <t>TC-ED-TRIMCAV</t>
        </is>
      </c>
      <c r="I108" t="n">
        <v>5010147</v>
      </c>
      <c r="J108" t="inlineStr">
        <is>
          <t>TRITURACIONES DE MARMOL Y CALCIOS</t>
        </is>
      </c>
      <c r="K108" t="inlineStr">
        <is>
          <t>Z04</t>
        </is>
      </c>
      <c r="L108" t="inlineStr">
        <is>
          <t>(AP) 30 Dias</t>
        </is>
      </c>
      <c r="M108" t="n">
        <v>10190932</v>
      </c>
      <c r="N108" t="inlineStr">
        <is>
          <t>GRAVA TRITURADA MÁRMOL NEGRO 20 MM - 3/4</t>
        </is>
      </c>
      <c r="O108" t="inlineStr">
        <is>
          <t>DW70</t>
        </is>
      </c>
      <c r="P108" t="inlineStr">
        <is>
          <t>MX-CED. CENTRO</t>
        </is>
      </c>
      <c r="Q108" t="n">
        <v>20210712</v>
      </c>
      <c r="R108" t="n">
        <v>20291231</v>
      </c>
      <c r="S108" t="n">
        <v>20210712</v>
      </c>
      <c r="T108" t="n">
        <v>20251231</v>
      </c>
      <c r="U108" t="n">
        <v>1300</v>
      </c>
      <c r="V108" t="inlineStr">
        <is>
          <t>MXN</t>
        </is>
      </c>
      <c r="W108" t="inlineStr">
        <is>
          <t>TN</t>
        </is>
      </c>
      <c r="X108" t="n">
        <v>650</v>
      </c>
      <c r="Y108" t="inlineStr">
        <is>
          <t>MXN</t>
        </is>
      </c>
      <c r="Z108" t="inlineStr">
        <is>
          <t>TN</t>
        </is>
      </c>
      <c r="AA108" t="inlineStr">
        <is>
          <t>D136</t>
        </is>
      </c>
      <c r="AB108" t="inlineStr">
        <is>
          <t>PD0237 LA ESTRELLA</t>
        </is>
      </c>
      <c r="AC108" t="n">
        <v>56103637</v>
      </c>
      <c r="AD108" t="n">
        <v>6644261540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DW70-900000472-D136-10190932-4</t>
        </is>
      </c>
    </row>
    <row r="109">
      <c r="A109" t="inlineStr">
        <is>
          <t>900003438DW70D10510000811</t>
        </is>
      </c>
      <c r="B109" t="inlineStr">
        <is>
          <t>4600050497-890</t>
        </is>
      </c>
      <c r="C109" t="n">
        <v>4600050497</v>
      </c>
      <c r="D109" t="n">
        <v>890</v>
      </c>
      <c r="E109" t="inlineStr">
        <is>
          <t>MXPO</t>
        </is>
      </c>
      <c r="F109" t="inlineStr">
        <is>
          <t>MXL</t>
        </is>
      </c>
      <c r="G109" t="n">
        <v>900003438</v>
      </c>
      <c r="H109" t="inlineStr">
        <is>
          <t>TC-ED-ESTRATEGIAS AVANZADAS</t>
        </is>
      </c>
      <c r="I109" t="n">
        <v>5049458</v>
      </c>
      <c r="J109" t="inlineStr">
        <is>
          <t>ESTRATEGIAS AVANZADAS PARA OBTEN</t>
        </is>
      </c>
      <c r="K109" t="inlineStr">
        <is>
          <t>Z03</t>
        </is>
      </c>
      <c r="L109" t="inlineStr">
        <is>
          <t>(AP) 15 Dias</t>
        </is>
      </c>
      <c r="M109" t="n">
        <v>10000811</v>
      </c>
      <c r="N109" t="inlineStr">
        <is>
          <t>Grava Triturada Caliza 20 mm - 3/4"</t>
        </is>
      </c>
      <c r="O109" t="inlineStr">
        <is>
          <t>DW70</t>
        </is>
      </c>
      <c r="P109" t="inlineStr">
        <is>
          <t>MX-CED. CENTRO</t>
        </is>
      </c>
      <c r="Q109" t="n">
        <v>20210712</v>
      </c>
      <c r="R109" t="n">
        <v>20281231</v>
      </c>
      <c r="S109" t="n">
        <v>20211215</v>
      </c>
      <c r="T109" t="n">
        <v>20261231</v>
      </c>
      <c r="U109" t="n">
        <v>344.21</v>
      </c>
      <c r="V109" t="inlineStr">
        <is>
          <t>MXN</t>
        </is>
      </c>
      <c r="W109" t="inlineStr">
        <is>
          <t>M3</t>
        </is>
      </c>
      <c r="X109" t="n">
        <v>203.21</v>
      </c>
      <c r="Y109" t="inlineStr">
        <is>
          <t>MXN</t>
        </is>
      </c>
      <c r="Z109" t="inlineStr">
        <is>
          <t>M3</t>
        </is>
      </c>
      <c r="AA109" t="inlineStr">
        <is>
          <t>D105</t>
        </is>
      </c>
      <c r="AB109" t="inlineStr">
        <is>
          <t>PD0331 NAUCALPAN II</t>
        </is>
      </c>
      <c r="AC109" t="n">
        <v>56103637</v>
      </c>
      <c r="AD109" t="n">
        <v>6644261540</v>
      </c>
      <c r="AE109" t="n">
        <v>4</v>
      </c>
      <c r="AF109" t="inlineStr">
        <is>
          <t>ENTREGA DIRECTA</t>
        </is>
      </c>
      <c r="AG109" t="n">
        <v>1.447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DW70-900003438-D105-10000811-4</t>
        </is>
      </c>
    </row>
    <row r="110">
      <c r="A110" t="inlineStr">
        <is>
          <t>900000472DW70D07710000643</t>
        </is>
      </c>
      <c r="B110" t="inlineStr">
        <is>
          <t>4600050481-930</t>
        </is>
      </c>
      <c r="C110" t="n">
        <v>4600050481</v>
      </c>
      <c r="D110" t="n">
        <v>930</v>
      </c>
      <c r="E110" t="inlineStr">
        <is>
          <t>MXPO</t>
        </is>
      </c>
      <c r="F110" t="inlineStr">
        <is>
          <t>MXL</t>
        </is>
      </c>
      <c r="G110" t="n">
        <v>900000472</v>
      </c>
      <c r="H110" t="inlineStr">
        <is>
          <t>TC-ED-TRIMCAV</t>
        </is>
      </c>
      <c r="I110" t="n">
        <v>5010147</v>
      </c>
      <c r="J110" t="inlineStr">
        <is>
          <t>TRITURACIONES DE MARMOL Y CALCIOS</t>
        </is>
      </c>
      <c r="K110" t="inlineStr">
        <is>
          <t>Z04</t>
        </is>
      </c>
      <c r="L110" t="inlineStr">
        <is>
          <t>(AP) 30 Dias</t>
        </is>
      </c>
      <c r="M110" t="n">
        <v>10000643</v>
      </c>
      <c r="N110" t="inlineStr">
        <is>
          <t>Grava Triturada Marmol 20 mm - 3/4"</t>
        </is>
      </c>
      <c r="O110" t="inlineStr">
        <is>
          <t>DW70</t>
        </is>
      </c>
      <c r="P110" t="inlineStr">
        <is>
          <t>MX-CED. CENTRO</t>
        </is>
      </c>
      <c r="Q110" t="n">
        <v>20210712</v>
      </c>
      <c r="R110" t="n">
        <v>20291231</v>
      </c>
      <c r="S110" t="n">
        <v>20230215</v>
      </c>
      <c r="T110" t="n">
        <v>20281231</v>
      </c>
      <c r="U110" t="n">
        <v>921.6900000000001</v>
      </c>
      <c r="V110" t="inlineStr">
        <is>
          <t>MXN</t>
        </is>
      </c>
      <c r="W110" t="inlineStr">
        <is>
          <t>TN</t>
        </is>
      </c>
      <c r="X110" t="n">
        <v>485.1</v>
      </c>
      <c r="Y110" t="inlineStr">
        <is>
          <t>MXN</t>
        </is>
      </c>
      <c r="Z110" t="inlineStr">
        <is>
          <t>TN</t>
        </is>
      </c>
      <c r="AA110" t="inlineStr">
        <is>
          <t>D077</t>
        </is>
      </c>
      <c r="AB110" t="inlineStr">
        <is>
          <t>PD0067 LOS REYES</t>
        </is>
      </c>
      <c r="AC110" t="n">
        <v>56103637</v>
      </c>
      <c r="AD110" t="n">
        <v>6644261540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DW70-900000472-D077-10000643-4</t>
        </is>
      </c>
    </row>
    <row r="111">
      <c r="A111" t="inlineStr">
        <is>
          <t>900000472DW70D08810000643</t>
        </is>
      </c>
      <c r="B111" t="inlineStr">
        <is>
          <t>4600050481-590</t>
        </is>
      </c>
      <c r="C111" t="n">
        <v>4600050481</v>
      </c>
      <c r="D111" t="n">
        <v>590</v>
      </c>
      <c r="E111" t="inlineStr">
        <is>
          <t>MXPO</t>
        </is>
      </c>
      <c r="F111" t="inlineStr">
        <is>
          <t>MXL</t>
        </is>
      </c>
      <c r="G111" t="n">
        <v>900000472</v>
      </c>
      <c r="H111" t="inlineStr">
        <is>
          <t>TC-ED-TRIMCAV</t>
        </is>
      </c>
      <c r="I111" t="n">
        <v>5010147</v>
      </c>
      <c r="J111" t="inlineStr">
        <is>
          <t>TRITURACIONES DE MARMOL Y CALCIOS</t>
        </is>
      </c>
      <c r="K111" t="inlineStr">
        <is>
          <t>Z04</t>
        </is>
      </c>
      <c r="L111" t="inlineStr">
        <is>
          <t>(AP) 30 Dias</t>
        </is>
      </c>
      <c r="M111" t="n">
        <v>10000643</v>
      </c>
      <c r="N111" t="inlineStr">
        <is>
          <t>Grava Triturada Marmol 20 mm - 3/4"</t>
        </is>
      </c>
      <c r="O111" t="inlineStr">
        <is>
          <t>DW70</t>
        </is>
      </c>
      <c r="P111" t="inlineStr">
        <is>
          <t>MX-CED. CENTRO</t>
        </is>
      </c>
      <c r="Q111" t="n">
        <v>20210712</v>
      </c>
      <c r="R111" t="n">
        <v>20291231</v>
      </c>
      <c r="S111" t="n">
        <v>20230215</v>
      </c>
      <c r="T111" t="n">
        <v>20281231</v>
      </c>
      <c r="U111" t="n">
        <v>921.6900000000001</v>
      </c>
      <c r="V111" t="inlineStr">
        <is>
          <t>MXN</t>
        </is>
      </c>
      <c r="W111" t="inlineStr">
        <is>
          <t>TN</t>
        </is>
      </c>
      <c r="X111" t="n">
        <v>485.1</v>
      </c>
      <c r="Y111" t="inlineStr">
        <is>
          <t>MXN</t>
        </is>
      </c>
      <c r="Z111" t="inlineStr">
        <is>
          <t>TN</t>
        </is>
      </c>
      <c r="AA111" t="inlineStr">
        <is>
          <t>D088</t>
        </is>
      </c>
      <c r="AB111" t="inlineStr">
        <is>
          <t>PD081 HUEHUETOCA V</t>
        </is>
      </c>
      <c r="AC111" t="n">
        <v>56103637</v>
      </c>
      <c r="AD111" t="n">
        <v>6644261540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DW70-900000472-D088-10000643-4</t>
        </is>
      </c>
    </row>
    <row r="112">
      <c r="A112" t="inlineStr">
        <is>
          <t>900000472DW70D08310189170</t>
        </is>
      </c>
      <c r="B112" t="inlineStr">
        <is>
          <t>4600050481-440</t>
        </is>
      </c>
      <c r="C112" t="n">
        <v>4600050481</v>
      </c>
      <c r="D112" t="n">
        <v>440</v>
      </c>
      <c r="E112" t="inlineStr">
        <is>
          <t>MXPO</t>
        </is>
      </c>
      <c r="F112" t="inlineStr">
        <is>
          <t>MXL</t>
        </is>
      </c>
      <c r="G112" t="n">
        <v>900000472</v>
      </c>
      <c r="H112" t="inlineStr">
        <is>
          <t>TC-ED-TRIMCAV</t>
        </is>
      </c>
      <c r="I112" t="n">
        <v>5010147</v>
      </c>
      <c r="J112" t="inlineStr">
        <is>
          <t>TRITURACIONES DE MARMOL Y CALCIOS</t>
        </is>
      </c>
      <c r="K112" t="inlineStr">
        <is>
          <t>Z04</t>
        </is>
      </c>
      <c r="L112" t="inlineStr">
        <is>
          <t>(AP) 30 Dias</t>
        </is>
      </c>
      <c r="M112" t="n">
        <v>10189170</v>
      </c>
      <c r="N112" t="inlineStr">
        <is>
          <t>GRAVA TRITURADA MÁRMOL NEGRO 10 MM - 3/8</t>
        </is>
      </c>
      <c r="O112" t="inlineStr">
        <is>
          <t>DW70</t>
        </is>
      </c>
      <c r="P112" t="inlineStr">
        <is>
          <t>MX-CED. CENTRO</t>
        </is>
      </c>
      <c r="Q112" t="n">
        <v>20210712</v>
      </c>
      <c r="R112" t="n">
        <v>20291231</v>
      </c>
      <c r="S112" t="n">
        <v>20210712</v>
      </c>
      <c r="T112" t="n">
        <v>20251231</v>
      </c>
      <c r="U112" t="n">
        <v>1300</v>
      </c>
      <c r="V112" t="inlineStr">
        <is>
          <t>MXN</t>
        </is>
      </c>
      <c r="W112" t="inlineStr">
        <is>
          <t>TN</t>
        </is>
      </c>
      <c r="X112" t="n">
        <v>650</v>
      </c>
      <c r="Y112" t="inlineStr">
        <is>
          <t>MXN</t>
        </is>
      </c>
      <c r="Z112" t="inlineStr">
        <is>
          <t>TN</t>
        </is>
      </c>
      <c r="AA112" t="inlineStr">
        <is>
          <t>D083</t>
        </is>
      </c>
      <c r="AB112" t="inlineStr">
        <is>
          <t>PD0099 MINAS</t>
        </is>
      </c>
      <c r="AC112" t="n">
        <v>56103637</v>
      </c>
      <c r="AD112" t="n">
        <v>6644261540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DW70-900000472-D083-10189170-4</t>
        </is>
      </c>
    </row>
    <row r="113">
      <c r="A113" t="inlineStr">
        <is>
          <t>900000472DW70D07510190932</t>
        </is>
      </c>
      <c r="B113" t="inlineStr">
        <is>
          <t>4600050481-310</t>
        </is>
      </c>
      <c r="C113" t="n">
        <v>4600050481</v>
      </c>
      <c r="D113" t="n">
        <v>310</v>
      </c>
      <c r="E113" t="inlineStr">
        <is>
          <t>MXPO</t>
        </is>
      </c>
      <c r="F113" t="inlineStr">
        <is>
          <t>MXL</t>
        </is>
      </c>
      <c r="G113" t="n">
        <v>900000472</v>
      </c>
      <c r="H113" t="inlineStr">
        <is>
          <t>TC-ED-TRIMCAV</t>
        </is>
      </c>
      <c r="I113" t="n">
        <v>5010147</v>
      </c>
      <c r="J113" t="inlineStr">
        <is>
          <t>TRITURACIONES DE MARMOL Y CALCIOS</t>
        </is>
      </c>
      <c r="K113" t="inlineStr">
        <is>
          <t>Z04</t>
        </is>
      </c>
      <c r="L113" t="inlineStr">
        <is>
          <t>(AP) 30 Dias</t>
        </is>
      </c>
      <c r="M113" t="n">
        <v>10190932</v>
      </c>
      <c r="N113" t="inlineStr">
        <is>
          <t>GRAVA TRITURADA MÁRMOL NEGRO 20 MM - 3/4</t>
        </is>
      </c>
      <c r="O113" t="inlineStr">
        <is>
          <t>DW70</t>
        </is>
      </c>
      <c r="P113" t="inlineStr">
        <is>
          <t>MX-CED. CENTRO</t>
        </is>
      </c>
      <c r="Q113" t="n">
        <v>20210712</v>
      </c>
      <c r="R113" t="n">
        <v>20291231</v>
      </c>
      <c r="S113" t="n">
        <v>20210712</v>
      </c>
      <c r="T113" t="n">
        <v>20251231</v>
      </c>
      <c r="U113" t="n">
        <v>1300</v>
      </c>
      <c r="V113" t="inlineStr">
        <is>
          <t>MXN</t>
        </is>
      </c>
      <c r="W113" t="inlineStr">
        <is>
          <t>TN</t>
        </is>
      </c>
      <c r="X113" t="n">
        <v>650</v>
      </c>
      <c r="Y113" t="inlineStr">
        <is>
          <t>MXN</t>
        </is>
      </c>
      <c r="Z113" t="inlineStr">
        <is>
          <t>TN</t>
        </is>
      </c>
      <c r="AA113" t="inlineStr">
        <is>
          <t>D075</t>
        </is>
      </c>
      <c r="AB113" t="inlineStr">
        <is>
          <t>PD0065 CEYLAN</t>
        </is>
      </c>
      <c r="AC113" t="n">
        <v>56103637</v>
      </c>
      <c r="AD113" t="n">
        <v>6644261540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DW70-900000472-D075-10190932-4</t>
        </is>
      </c>
    </row>
    <row r="114">
      <c r="A114" t="inlineStr">
        <is>
          <t>900003438DW70D09810000630</t>
        </is>
      </c>
      <c r="B114" t="inlineStr">
        <is>
          <t>4600050497-50</t>
        </is>
      </c>
      <c r="C114" t="n">
        <v>4600050497</v>
      </c>
      <c r="D114" t="n">
        <v>50</v>
      </c>
      <c r="E114" t="inlineStr">
        <is>
          <t>MXPO</t>
        </is>
      </c>
      <c r="F114" t="inlineStr">
        <is>
          <t>MXL</t>
        </is>
      </c>
      <c r="G114" t="n">
        <v>900003438</v>
      </c>
      <c r="H114" t="inlineStr">
        <is>
          <t>TC-ED-ESTRATEGIAS AVANZADAS</t>
        </is>
      </c>
      <c r="I114" t="n">
        <v>5049458</v>
      </c>
      <c r="J114" t="inlineStr">
        <is>
          <t>ESTRATEGIAS AVANZADAS PARA OBTEN</t>
        </is>
      </c>
      <c r="K114" t="inlineStr">
        <is>
          <t>Z03</t>
        </is>
      </c>
      <c r="L114" t="inlineStr">
        <is>
          <t>(AP) 15 Dias</t>
        </is>
      </c>
      <c r="M114" t="n">
        <v>10000630</v>
      </c>
      <c r="N114" t="inlineStr">
        <is>
          <t>Grava Triturada Caliza 13 mm - 1/2"</t>
        </is>
      </c>
      <c r="O114" t="inlineStr">
        <is>
          <t>DW70</t>
        </is>
      </c>
      <c r="P114" t="inlineStr">
        <is>
          <t>MX-CED. CENTRO</t>
        </is>
      </c>
      <c r="Q114" t="n">
        <v>20210712</v>
      </c>
      <c r="R114" t="n">
        <v>20281231</v>
      </c>
      <c r="S114" t="n">
        <v>20230501</v>
      </c>
      <c r="T114" t="n">
        <v>20281231</v>
      </c>
      <c r="U114" t="n">
        <v>296.21</v>
      </c>
      <c r="V114" t="inlineStr">
        <is>
          <t>MXN</t>
        </is>
      </c>
      <c r="W114" t="inlineStr">
        <is>
          <t>M3</t>
        </is>
      </c>
      <c r="X114" t="n">
        <v>141.21</v>
      </c>
      <c r="Y114" t="inlineStr">
        <is>
          <t>MXN</t>
        </is>
      </c>
      <c r="Z114" t="inlineStr">
        <is>
          <t>M3</t>
        </is>
      </c>
      <c r="AA114" t="inlineStr">
        <is>
          <t>D098</t>
        </is>
      </c>
      <c r="AB114" t="inlineStr">
        <is>
          <t>PD0315 CUAUTITLAN II</t>
        </is>
      </c>
      <c r="AC114" t="n">
        <v>56103637</v>
      </c>
      <c r="AD114" t="n">
        <v>6644261540</v>
      </c>
      <c r="AE114" t="n">
        <v>4</v>
      </c>
      <c r="AF114" t="inlineStr">
        <is>
          <t>ENTREGA DIRECTA</t>
        </is>
      </c>
      <c r="AG114" t="n">
        <v>1.4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DW70-900003438-D098-10000630-4</t>
        </is>
      </c>
    </row>
    <row r="115">
      <c r="A115" t="inlineStr">
        <is>
          <t>900003438DW70D08410000811</t>
        </is>
      </c>
      <c r="B115" t="inlineStr">
        <is>
          <t>4600050497-840</t>
        </is>
      </c>
      <c r="C115" t="n">
        <v>4600050497</v>
      </c>
      <c r="D115" t="n">
        <v>840</v>
      </c>
      <c r="E115" t="inlineStr">
        <is>
          <t>MXPO</t>
        </is>
      </c>
      <c r="F115" t="inlineStr">
        <is>
          <t>MXL</t>
        </is>
      </c>
      <c r="G115" t="n">
        <v>900003438</v>
      </c>
      <c r="H115" t="inlineStr">
        <is>
          <t>TC-ED-ESTRATEGIAS AVANZADAS</t>
        </is>
      </c>
      <c r="I115" t="n">
        <v>5049458</v>
      </c>
      <c r="J115" t="inlineStr">
        <is>
          <t>ESTRATEGIAS AVANZADAS PARA OBTEN</t>
        </is>
      </c>
      <c r="K115" t="inlineStr">
        <is>
          <t>Z03</t>
        </is>
      </c>
      <c r="L115" t="inlineStr">
        <is>
          <t>(AP) 15 Dias</t>
        </is>
      </c>
      <c r="M115" t="n">
        <v>10000811</v>
      </c>
      <c r="N115" t="inlineStr">
        <is>
          <t>Grava Triturada Caliza 20 mm - 3/4"</t>
        </is>
      </c>
      <c r="O115" t="inlineStr">
        <is>
          <t>DW70</t>
        </is>
      </c>
      <c r="P115" t="inlineStr">
        <is>
          <t>MX-CED. CENTRO</t>
        </is>
      </c>
      <c r="Q115" t="n">
        <v>20210712</v>
      </c>
      <c r="R115" t="n">
        <v>20281231</v>
      </c>
      <c r="S115" t="n">
        <v>20211215</v>
      </c>
      <c r="T115" t="n">
        <v>20261231</v>
      </c>
      <c r="U115" t="n">
        <v>438.45</v>
      </c>
      <c r="V115" t="inlineStr">
        <is>
          <t>MXN</t>
        </is>
      </c>
      <c r="W115" t="inlineStr">
        <is>
          <t>M3</t>
        </is>
      </c>
      <c r="X115" t="n">
        <v>297.45</v>
      </c>
      <c r="Y115" t="inlineStr">
        <is>
          <t>MXN</t>
        </is>
      </c>
      <c r="Z115" t="inlineStr">
        <is>
          <t>M3</t>
        </is>
      </c>
      <c r="AA115" t="inlineStr">
        <is>
          <t>D084</t>
        </is>
      </c>
      <c r="AB115" t="inlineStr">
        <is>
          <t>PD0186 IZTAPALAPA</t>
        </is>
      </c>
      <c r="AC115" t="n">
        <v>56103637</v>
      </c>
      <c r="AD115" t="n">
        <v>6644261540</v>
      </c>
      <c r="AE115" t="n">
        <v>4</v>
      </c>
      <c r="AF115" t="inlineStr">
        <is>
          <t>ENTREGA DIRECTA</t>
        </is>
      </c>
      <c r="AG115" t="n">
        <v>1.447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DW70-900003438-D084-10000811-4</t>
        </is>
      </c>
    </row>
    <row r="116">
      <c r="A116" t="inlineStr">
        <is>
          <t>900000472DW70D09810188219</t>
        </is>
      </c>
      <c r="B116" t="inlineStr">
        <is>
          <t>4600050481-540</t>
        </is>
      </c>
      <c r="C116" t="n">
        <v>4600050481</v>
      </c>
      <c r="D116" t="n">
        <v>540</v>
      </c>
      <c r="E116" t="inlineStr">
        <is>
          <t>MXPO</t>
        </is>
      </c>
      <c r="F116" t="inlineStr">
        <is>
          <t>MXL</t>
        </is>
      </c>
      <c r="G116" t="n">
        <v>900000472</v>
      </c>
      <c r="H116" t="inlineStr">
        <is>
          <t>TC-ED-TRIMCAV</t>
        </is>
      </c>
      <c r="I116" t="n">
        <v>5010147</v>
      </c>
      <c r="J116" t="inlineStr">
        <is>
          <t>TRITURACIONES DE MARMOL Y CALCIOS</t>
        </is>
      </c>
      <c r="K116" t="inlineStr">
        <is>
          <t>Z04</t>
        </is>
      </c>
      <c r="L116" t="inlineStr">
        <is>
          <t>(AP) 30 Dias</t>
        </is>
      </c>
      <c r="M116" t="n">
        <v>10188219</v>
      </c>
      <c r="N116" t="inlineStr">
        <is>
          <t>ARENA TRITURADA MÁRMOL NEGRO MALLA 4</t>
        </is>
      </c>
      <c r="O116" t="inlineStr">
        <is>
          <t>DW70</t>
        </is>
      </c>
      <c r="P116" t="inlineStr">
        <is>
          <t>MX-CED. CENTRO</t>
        </is>
      </c>
      <c r="Q116" t="n">
        <v>20210712</v>
      </c>
      <c r="R116" t="n">
        <v>20291231</v>
      </c>
      <c r="S116" t="n">
        <v>20210712</v>
      </c>
      <c r="T116" t="n">
        <v>20251231</v>
      </c>
      <c r="U116" t="n">
        <v>1300</v>
      </c>
      <c r="V116" t="inlineStr">
        <is>
          <t>MXN</t>
        </is>
      </c>
      <c r="W116" t="inlineStr">
        <is>
          <t>TN</t>
        </is>
      </c>
      <c r="X116" t="n">
        <v>650</v>
      </c>
      <c r="Y116" t="inlineStr">
        <is>
          <t>MXN</t>
        </is>
      </c>
      <c r="Z116" t="inlineStr">
        <is>
          <t>TN</t>
        </is>
      </c>
      <c r="AA116" t="inlineStr">
        <is>
          <t>D098</t>
        </is>
      </c>
      <c r="AB116" t="inlineStr">
        <is>
          <t>PD0315 CUAUTITLAN II</t>
        </is>
      </c>
      <c r="AC116" t="n">
        <v>56103638</v>
      </c>
      <c r="AD116" t="n">
        <v>6644261540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DW70-900000472-D098-10188219-4</t>
        </is>
      </c>
    </row>
    <row r="117">
      <c r="A117" t="inlineStr">
        <is>
          <t>900003438DW70D08510000630</t>
        </is>
      </c>
      <c r="B117" t="inlineStr">
        <is>
          <t>4600050497-80</t>
        </is>
      </c>
      <c r="C117" t="n">
        <v>4600050497</v>
      </c>
      <c r="D117" t="n">
        <v>80</v>
      </c>
      <c r="E117" t="inlineStr">
        <is>
          <t>MXPO</t>
        </is>
      </c>
      <c r="F117" t="inlineStr">
        <is>
          <t>MXL</t>
        </is>
      </c>
      <c r="G117" t="n">
        <v>900003438</v>
      </c>
      <c r="H117" t="inlineStr">
        <is>
          <t>TC-ED-ESTRATEGIAS AVANZADAS</t>
        </is>
      </c>
      <c r="I117" t="n">
        <v>5049458</v>
      </c>
      <c r="J117" t="inlineStr">
        <is>
          <t>ESTRATEGIAS AVANZADAS PARA OBTEN</t>
        </is>
      </c>
      <c r="K117" t="inlineStr">
        <is>
          <t>Z03</t>
        </is>
      </c>
      <c r="L117" t="inlineStr">
        <is>
          <t>(AP) 15 Dias</t>
        </is>
      </c>
      <c r="M117" t="n">
        <v>10000630</v>
      </c>
      <c r="N117" t="inlineStr">
        <is>
          <t>Grava Triturada Caliza 13 mm - 1/2"</t>
        </is>
      </c>
      <c r="O117" t="inlineStr">
        <is>
          <t>DW70</t>
        </is>
      </c>
      <c r="P117" t="inlineStr">
        <is>
          <t>MX-CED. CENTRO</t>
        </is>
      </c>
      <c r="Q117" t="n">
        <v>20210712</v>
      </c>
      <c r="R117" t="n">
        <v>20281231</v>
      </c>
      <c r="S117" t="n">
        <v>20230501</v>
      </c>
      <c r="T117" t="n">
        <v>20281231</v>
      </c>
      <c r="U117" t="n">
        <v>437.73</v>
      </c>
      <c r="V117" t="inlineStr">
        <is>
          <t>MXN</t>
        </is>
      </c>
      <c r="W117" t="inlineStr">
        <is>
          <t>M3</t>
        </is>
      </c>
      <c r="X117" t="n">
        <v>282.73</v>
      </c>
      <c r="Y117" t="inlineStr">
        <is>
          <t>MXN</t>
        </is>
      </c>
      <c r="Z117" t="inlineStr">
        <is>
          <t>M3</t>
        </is>
      </c>
      <c r="AA117" t="inlineStr">
        <is>
          <t>D085</t>
        </is>
      </c>
      <c r="AB117" t="inlineStr">
        <is>
          <t>PD0189 ROJO GOMEZ</t>
        </is>
      </c>
      <c r="AC117" t="n">
        <v>56103637</v>
      </c>
      <c r="AD117" t="n">
        <v>6644261540</v>
      </c>
      <c r="AE117" t="n">
        <v>4</v>
      </c>
      <c r="AF117" t="inlineStr">
        <is>
          <t>ENTREGA DIRECTA</t>
        </is>
      </c>
      <c r="AG117" t="n">
        <v>1.4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DW70-900003438-D085-10000630-4</t>
        </is>
      </c>
    </row>
    <row r="118">
      <c r="A118" t="inlineStr">
        <is>
          <t>900000472DW70D07410000643</t>
        </is>
      </c>
      <c r="B118" t="inlineStr">
        <is>
          <t>4600050481-860</t>
        </is>
      </c>
      <c r="C118" t="n">
        <v>4600050481</v>
      </c>
      <c r="D118" t="n">
        <v>860</v>
      </c>
      <c r="E118" t="inlineStr">
        <is>
          <t>MXPO</t>
        </is>
      </c>
      <c r="F118" t="inlineStr">
        <is>
          <t>MXL</t>
        </is>
      </c>
      <c r="G118" t="n">
        <v>900000472</v>
      </c>
      <c r="H118" t="inlineStr">
        <is>
          <t>TC-ED-TRIMCAV</t>
        </is>
      </c>
      <c r="I118" t="n">
        <v>5010147</v>
      </c>
      <c r="J118" t="inlineStr">
        <is>
          <t>TRITURACIONES DE MARMOL Y CALCIOS</t>
        </is>
      </c>
      <c r="K118" t="inlineStr">
        <is>
          <t>Z04</t>
        </is>
      </c>
      <c r="L118" t="inlineStr">
        <is>
          <t>(AP) 30 Dias</t>
        </is>
      </c>
      <c r="M118" t="n">
        <v>10000643</v>
      </c>
      <c r="N118" t="inlineStr">
        <is>
          <t>Grava Triturada Marmol 20 mm - 3/4"</t>
        </is>
      </c>
      <c r="O118" t="inlineStr">
        <is>
          <t>DW70</t>
        </is>
      </c>
      <c r="P118" t="inlineStr">
        <is>
          <t>MX-CED. CENTRO</t>
        </is>
      </c>
      <c r="Q118" t="n">
        <v>20210712</v>
      </c>
      <c r="R118" t="n">
        <v>20291231</v>
      </c>
      <c r="S118" t="n">
        <v>20230215</v>
      </c>
      <c r="T118" t="n">
        <v>20281231</v>
      </c>
      <c r="U118" t="n">
        <v>921.6900000000001</v>
      </c>
      <c r="V118" t="inlineStr">
        <is>
          <t>MXN</t>
        </is>
      </c>
      <c r="W118" t="inlineStr">
        <is>
          <t>TN</t>
        </is>
      </c>
      <c r="X118" t="n">
        <v>485.1</v>
      </c>
      <c r="Y118" t="inlineStr">
        <is>
          <t>MXN</t>
        </is>
      </c>
      <c r="Z118" t="inlineStr">
        <is>
          <t>TN</t>
        </is>
      </c>
      <c r="AA118" t="inlineStr">
        <is>
          <t>D074</t>
        </is>
      </c>
      <c r="AB118" t="inlineStr">
        <is>
          <t>PD0063 CENTRAL</t>
        </is>
      </c>
      <c r="AC118" t="n">
        <v>56103637</v>
      </c>
      <c r="AD118" t="n">
        <v>6644261540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DW70-900000472-D074-10000643-4</t>
        </is>
      </c>
    </row>
    <row r="119">
      <c r="A119" t="inlineStr">
        <is>
          <t>900003438DW70D11110000811</t>
        </is>
      </c>
      <c r="B119" t="inlineStr">
        <is>
          <t>4600050497-900</t>
        </is>
      </c>
      <c r="C119" t="n">
        <v>4600050497</v>
      </c>
      <c r="D119" t="n">
        <v>900</v>
      </c>
      <c r="E119" t="inlineStr">
        <is>
          <t>MXPO</t>
        </is>
      </c>
      <c r="F119" t="inlineStr">
        <is>
          <t>MXL</t>
        </is>
      </c>
      <c r="G119" t="n">
        <v>900003438</v>
      </c>
      <c r="H119" t="inlineStr">
        <is>
          <t>TC-ED-ESTRATEGIAS AVANZADAS</t>
        </is>
      </c>
      <c r="I119" t="n">
        <v>5049458</v>
      </c>
      <c r="J119" t="inlineStr">
        <is>
          <t>ESTRATEGIAS AVANZADAS PARA OBTEN</t>
        </is>
      </c>
      <c r="K119" t="inlineStr">
        <is>
          <t>Z03</t>
        </is>
      </c>
      <c r="L119" t="inlineStr">
        <is>
          <t>(AP) 15 Dias</t>
        </is>
      </c>
      <c r="M119" t="n">
        <v>10000811</v>
      </c>
      <c r="N119" t="inlineStr">
        <is>
          <t>Grava Triturada Caliza 20 mm - 3/4"</t>
        </is>
      </c>
      <c r="O119" t="inlineStr">
        <is>
          <t>DW70</t>
        </is>
      </c>
      <c r="P119" t="inlineStr">
        <is>
          <t>MX-CED. CENTRO</t>
        </is>
      </c>
      <c r="Q119" t="n">
        <v>20210712</v>
      </c>
      <c r="R119" t="n">
        <v>20281231</v>
      </c>
      <c r="S119" t="n">
        <v>20211215</v>
      </c>
      <c r="T119" t="n">
        <v>20261231</v>
      </c>
      <c r="U119" t="n">
        <v>456.12</v>
      </c>
      <c r="V119" t="inlineStr">
        <is>
          <t>MXN</t>
        </is>
      </c>
      <c r="W119" t="inlineStr">
        <is>
          <t>M3</t>
        </is>
      </c>
      <c r="X119" t="n">
        <v>315.12</v>
      </c>
      <c r="Y119" t="inlineStr">
        <is>
          <t>MXN</t>
        </is>
      </c>
      <c r="Z119" t="inlineStr">
        <is>
          <t>M3</t>
        </is>
      </c>
      <c r="AA119" t="inlineStr">
        <is>
          <t>D111</t>
        </is>
      </c>
      <c r="AB119" t="inlineStr">
        <is>
          <t>PD0317 TOLUCA LERMAS 2</t>
        </is>
      </c>
      <c r="AC119" t="n">
        <v>56103637</v>
      </c>
      <c r="AD119" t="n">
        <v>6644261540</v>
      </c>
      <c r="AE119" t="n">
        <v>4</v>
      </c>
      <c r="AF119" t="inlineStr">
        <is>
          <t>ENTREGA DIRECTA</t>
        </is>
      </c>
      <c r="AG119" t="n">
        <v>1.447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DW70-900003438-D111-10000811-4</t>
        </is>
      </c>
    </row>
    <row r="120">
      <c r="A120" t="inlineStr">
        <is>
          <t>900000472DW70D08810190932</t>
        </is>
      </c>
      <c r="B120" t="inlineStr">
        <is>
          <t>4600050481-740</t>
        </is>
      </c>
      <c r="C120" t="n">
        <v>4600050481</v>
      </c>
      <c r="D120" t="n">
        <v>740</v>
      </c>
      <c r="E120" t="inlineStr">
        <is>
          <t>MXPO</t>
        </is>
      </c>
      <c r="F120" t="inlineStr">
        <is>
          <t>MXL</t>
        </is>
      </c>
      <c r="G120" t="n">
        <v>900000472</v>
      </c>
      <c r="H120" t="inlineStr">
        <is>
          <t>TC-ED-TRIMCAV</t>
        </is>
      </c>
      <c r="I120" t="n">
        <v>5010147</v>
      </c>
      <c r="J120" t="inlineStr">
        <is>
          <t>TRITURACIONES DE MARMOL Y CALCIOS</t>
        </is>
      </c>
      <c r="K120" t="inlineStr">
        <is>
          <t>Z04</t>
        </is>
      </c>
      <c r="L120" t="inlineStr">
        <is>
          <t>(AP) 30 Dias</t>
        </is>
      </c>
      <c r="M120" t="n">
        <v>10190932</v>
      </c>
      <c r="N120" t="inlineStr">
        <is>
          <t>GRAVA TRITURADA MÁRMOL NEGRO 20 MM - 3/4</t>
        </is>
      </c>
      <c r="O120" t="inlineStr">
        <is>
          <t>DW70</t>
        </is>
      </c>
      <c r="P120" t="inlineStr">
        <is>
          <t>MX-CED. CENTRO</t>
        </is>
      </c>
      <c r="Q120" t="n">
        <v>20210712</v>
      </c>
      <c r="R120" t="n">
        <v>20291231</v>
      </c>
      <c r="S120" t="n">
        <v>20210712</v>
      </c>
      <c r="T120" t="n">
        <v>20251231</v>
      </c>
      <c r="U120" t="n">
        <v>1300</v>
      </c>
      <c r="V120" t="inlineStr">
        <is>
          <t>MXN</t>
        </is>
      </c>
      <c r="W120" t="inlineStr">
        <is>
          <t>TN</t>
        </is>
      </c>
      <c r="X120" t="n">
        <v>650</v>
      </c>
      <c r="Y120" t="inlineStr">
        <is>
          <t>MXN</t>
        </is>
      </c>
      <c r="Z120" t="inlineStr">
        <is>
          <t>TN</t>
        </is>
      </c>
      <c r="AA120" t="inlineStr">
        <is>
          <t>D088</t>
        </is>
      </c>
      <c r="AB120" t="inlineStr">
        <is>
          <t>PD081 HUEHUETOCA V</t>
        </is>
      </c>
      <c r="AC120" t="n">
        <v>56103637</v>
      </c>
      <c r="AD120" t="n">
        <v>6644261540</v>
      </c>
      <c r="AE120" t="n">
        <v>4</v>
      </c>
      <c r="AF120" t="inlineStr">
        <is>
          <t>ENTREGA DIRECTA</t>
        </is>
      </c>
      <c r="AG120" t="n">
        <v>1</v>
      </c>
      <c r="AH120" t="inlineStr">
        <is>
          <t>TO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DW70-900000472-D088-10190932-4</t>
        </is>
      </c>
    </row>
    <row r="121">
      <c r="A121" t="inlineStr">
        <is>
          <t>900000472DW70D08410165790</t>
        </is>
      </c>
      <c r="B121" t="inlineStr">
        <is>
          <t>4600050481-40</t>
        </is>
      </c>
      <c r="C121" t="n">
        <v>4600050481</v>
      </c>
      <c r="D121" t="n">
        <v>40</v>
      </c>
      <c r="E121" t="inlineStr">
        <is>
          <t>MXPO</t>
        </is>
      </c>
      <c r="F121" t="inlineStr">
        <is>
          <t>MXL</t>
        </is>
      </c>
      <c r="G121" t="n">
        <v>900000472</v>
      </c>
      <c r="H121" t="inlineStr">
        <is>
          <t>TC-ED-TRIMCAV</t>
        </is>
      </c>
      <c r="I121" t="n">
        <v>5010147</v>
      </c>
      <c r="J121" t="inlineStr">
        <is>
          <t>TRITURACIONES DE MARMOL Y CALCIOS</t>
        </is>
      </c>
      <c r="K121" t="inlineStr">
        <is>
          <t>Z04</t>
        </is>
      </c>
      <c r="L121" t="inlineStr">
        <is>
          <t>(AP) 30 Dias</t>
        </is>
      </c>
      <c r="M121" t="n">
        <v>10165790</v>
      </c>
      <c r="N121" t="inlineStr">
        <is>
          <t>GRAVA TRITURADA MARMOL 1"</t>
        </is>
      </c>
      <c r="O121" t="inlineStr">
        <is>
          <t>DW70</t>
        </is>
      </c>
      <c r="P121" t="inlineStr">
        <is>
          <t>MX-CED. CENTRO</t>
        </is>
      </c>
      <c r="Q121" t="n">
        <v>20210712</v>
      </c>
      <c r="R121" t="n">
        <v>20291231</v>
      </c>
      <c r="S121" t="n">
        <v>20210712</v>
      </c>
      <c r="T121" t="n">
        <v>20251231</v>
      </c>
      <c r="U121" t="n">
        <v>900</v>
      </c>
      <c r="V121" t="inlineStr">
        <is>
          <t>MXN</t>
        </is>
      </c>
      <c r="W121" t="inlineStr">
        <is>
          <t>TN</t>
        </is>
      </c>
      <c r="X121" t="n">
        <v>385</v>
      </c>
      <c r="Y121" t="inlineStr">
        <is>
          <t>MXN</t>
        </is>
      </c>
      <c r="Z121" t="inlineStr">
        <is>
          <t>TN</t>
        </is>
      </c>
      <c r="AA121" t="inlineStr">
        <is>
          <t>D084</t>
        </is>
      </c>
      <c r="AB121" t="inlineStr">
        <is>
          <t>PD0186 IZTAPALAPA</t>
        </is>
      </c>
      <c r="AC121" t="n">
        <v>56103637</v>
      </c>
      <c r="AD121" t="n">
        <v>6644261540</v>
      </c>
      <c r="AE121" t="n">
        <v>4</v>
      </c>
      <c r="AF121" t="inlineStr">
        <is>
          <t>ENTREGA DIRECTA</t>
        </is>
      </c>
      <c r="AG121" t="n">
        <v>1</v>
      </c>
      <c r="AH121" t="inlineStr">
        <is>
          <t>TO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DW70-900000472-D084-10165790-4</t>
        </is>
      </c>
    </row>
    <row r="122">
      <c r="A122" t="inlineStr">
        <is>
          <t>900000472DW70D07310000655</t>
        </is>
      </c>
      <c r="B122" t="inlineStr">
        <is>
          <t>4600050481-180</t>
        </is>
      </c>
      <c r="C122" t="n">
        <v>4600050481</v>
      </c>
      <c r="D122" t="n">
        <v>180</v>
      </c>
      <c r="E122" t="inlineStr">
        <is>
          <t>MXPO</t>
        </is>
      </c>
      <c r="F122" t="inlineStr">
        <is>
          <t>MXL</t>
        </is>
      </c>
      <c r="G122" t="n">
        <v>900000472</v>
      </c>
      <c r="H122" t="inlineStr">
        <is>
          <t>TC-ED-TRIMCAV</t>
        </is>
      </c>
      <c r="I122" t="n">
        <v>5010147</v>
      </c>
      <c r="J122" t="inlineStr">
        <is>
          <t>TRITURACIONES DE MARMOL Y CALCIOS</t>
        </is>
      </c>
      <c r="K122" t="inlineStr">
        <is>
          <t>Z04</t>
        </is>
      </c>
      <c r="L122" t="inlineStr">
        <is>
          <t>(AP) 30 Dias</t>
        </is>
      </c>
      <c r="M122" t="n">
        <v>10000655</v>
      </c>
      <c r="N122" t="inlineStr">
        <is>
          <t>Grava Triturada Marmol 10 mm - 3/8"</t>
        </is>
      </c>
      <c r="O122" t="inlineStr">
        <is>
          <t>DW70</t>
        </is>
      </c>
      <c r="P122" t="inlineStr">
        <is>
          <t>MX-CED. CENTRO</t>
        </is>
      </c>
      <c r="Q122" t="n">
        <v>20210712</v>
      </c>
      <c r="R122" t="n">
        <v>20291231</v>
      </c>
      <c r="S122" t="n">
        <v>20230215</v>
      </c>
      <c r="T122" t="n">
        <v>20281231</v>
      </c>
      <c r="U122" t="n">
        <v>921.6900000000001</v>
      </c>
      <c r="V122" t="inlineStr">
        <is>
          <t>MXN</t>
        </is>
      </c>
      <c r="W122" t="inlineStr">
        <is>
          <t>TN</t>
        </is>
      </c>
      <c r="X122" t="n">
        <v>485.1</v>
      </c>
      <c r="Y122" t="inlineStr">
        <is>
          <t>MXN</t>
        </is>
      </c>
      <c r="Z122" t="inlineStr">
        <is>
          <t>TN</t>
        </is>
      </c>
      <c r="AA122" t="inlineStr">
        <is>
          <t>D073</t>
        </is>
      </c>
      <c r="AB122" t="inlineStr">
        <is>
          <t>PD0037 TULA V</t>
        </is>
      </c>
      <c r="AC122" t="n">
        <v>56103637</v>
      </c>
      <c r="AD122" t="n">
        <v>6644261540</v>
      </c>
      <c r="AE122" t="n">
        <v>4</v>
      </c>
      <c r="AF122" t="inlineStr">
        <is>
          <t>ENTREGA DIRECTA</t>
        </is>
      </c>
      <c r="AG122" t="n">
        <v>1</v>
      </c>
      <c r="AH122" t="inlineStr">
        <is>
          <t>TO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DW70-900000472-D073-10000655-4</t>
        </is>
      </c>
    </row>
    <row r="123">
      <c r="A123" t="inlineStr">
        <is>
          <t>900000472DW70D08410190932</t>
        </is>
      </c>
      <c r="B123" t="inlineStr">
        <is>
          <t>4600050481-710</t>
        </is>
      </c>
      <c r="C123" t="n">
        <v>4600050481</v>
      </c>
      <c r="D123" t="n">
        <v>710</v>
      </c>
      <c r="E123" t="inlineStr">
        <is>
          <t>MXPO</t>
        </is>
      </c>
      <c r="F123" t="inlineStr">
        <is>
          <t>MXL</t>
        </is>
      </c>
      <c r="G123" t="n">
        <v>900000472</v>
      </c>
      <c r="H123" t="inlineStr">
        <is>
          <t>TC-ED-TRIMCAV</t>
        </is>
      </c>
      <c r="I123" t="n">
        <v>5010147</v>
      </c>
      <c r="J123" t="inlineStr">
        <is>
          <t>TRITURACIONES DE MARMOL Y CALCIOS</t>
        </is>
      </c>
      <c r="K123" t="inlineStr">
        <is>
          <t>Z04</t>
        </is>
      </c>
      <c r="L123" t="inlineStr">
        <is>
          <t>(AP) 30 Dias</t>
        </is>
      </c>
      <c r="M123" t="n">
        <v>10190932</v>
      </c>
      <c r="N123" t="inlineStr">
        <is>
          <t>GRAVA TRITURADA MÁRMOL NEGRO 20 MM - 3/4</t>
        </is>
      </c>
      <c r="O123" t="inlineStr">
        <is>
          <t>DW70</t>
        </is>
      </c>
      <c r="P123" t="inlineStr">
        <is>
          <t>MX-CED. CENTRO</t>
        </is>
      </c>
      <c r="Q123" t="n">
        <v>20210712</v>
      </c>
      <c r="R123" t="n">
        <v>20291231</v>
      </c>
      <c r="S123" t="n">
        <v>20210712</v>
      </c>
      <c r="T123" t="n">
        <v>20251231</v>
      </c>
      <c r="U123" t="n">
        <v>1300</v>
      </c>
      <c r="V123" t="inlineStr">
        <is>
          <t>MXN</t>
        </is>
      </c>
      <c r="W123" t="inlineStr">
        <is>
          <t>TN</t>
        </is>
      </c>
      <c r="X123" t="n">
        <v>650</v>
      </c>
      <c r="Y123" t="inlineStr">
        <is>
          <t>MXN</t>
        </is>
      </c>
      <c r="Z123" t="inlineStr">
        <is>
          <t>TN</t>
        </is>
      </c>
      <c r="AA123" t="inlineStr">
        <is>
          <t>D084</t>
        </is>
      </c>
      <c r="AB123" t="inlineStr">
        <is>
          <t>PD0186 IZTAPALAPA</t>
        </is>
      </c>
      <c r="AC123" t="n">
        <v>56103637</v>
      </c>
      <c r="AD123" t="n">
        <v>6644261540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DW70-900000472-D084-10190932-4</t>
        </is>
      </c>
    </row>
    <row r="124">
      <c r="A124" t="inlineStr">
        <is>
          <t>900000472DW70D08010188219</t>
        </is>
      </c>
      <c r="B124" t="inlineStr">
        <is>
          <t>4600050481-90</t>
        </is>
      </c>
      <c r="C124" t="n">
        <v>4600050481</v>
      </c>
      <c r="D124" t="n">
        <v>90</v>
      </c>
      <c r="E124" t="inlineStr">
        <is>
          <t>MXPO</t>
        </is>
      </c>
      <c r="F124" t="inlineStr">
        <is>
          <t>MXL</t>
        </is>
      </c>
      <c r="G124" t="n">
        <v>900000472</v>
      </c>
      <c r="H124" t="inlineStr">
        <is>
          <t>TC-ED-TRIMCAV</t>
        </is>
      </c>
      <c r="I124" t="n">
        <v>5010147</v>
      </c>
      <c r="J124" t="inlineStr">
        <is>
          <t>TRITURACIONES DE MARMOL Y CALCIOS</t>
        </is>
      </c>
      <c r="K124" t="inlineStr">
        <is>
          <t>Z04</t>
        </is>
      </c>
      <c r="L124" t="inlineStr">
        <is>
          <t>(AP) 30 Dias</t>
        </is>
      </c>
      <c r="M124" t="n">
        <v>10188219</v>
      </c>
      <c r="N124" t="inlineStr">
        <is>
          <t>ARENA TRITURADA MÁRMOL NEGRO MALLA 4</t>
        </is>
      </c>
      <c r="O124" t="inlineStr">
        <is>
          <t>DW70</t>
        </is>
      </c>
      <c r="P124" t="inlineStr">
        <is>
          <t>MX-CED. CENTRO</t>
        </is>
      </c>
      <c r="Q124" t="n">
        <v>20210712</v>
      </c>
      <c r="R124" t="n">
        <v>20291231</v>
      </c>
      <c r="S124" t="n">
        <v>20210712</v>
      </c>
      <c r="T124" t="n">
        <v>20251231</v>
      </c>
      <c r="U124" t="n">
        <v>1300</v>
      </c>
      <c r="V124" t="inlineStr">
        <is>
          <t>MXN</t>
        </is>
      </c>
      <c r="W124" t="inlineStr">
        <is>
          <t>TN</t>
        </is>
      </c>
      <c r="X124" t="n">
        <v>650</v>
      </c>
      <c r="Y124" t="inlineStr">
        <is>
          <t>MXN</t>
        </is>
      </c>
      <c r="Z124" t="inlineStr">
        <is>
          <t>TN</t>
        </is>
      </c>
      <c r="AA124" t="inlineStr">
        <is>
          <t>D080</t>
        </is>
      </c>
      <c r="AB124" t="inlineStr">
        <is>
          <t>PD0086 VALLEJO</t>
        </is>
      </c>
      <c r="AC124" t="n">
        <v>56103638</v>
      </c>
      <c r="AD124" t="n">
        <v>6644261540</v>
      </c>
      <c r="AE124" t="n">
        <v>4</v>
      </c>
      <c r="AF124" t="inlineStr">
        <is>
          <t>ENTREGA DIRECTA</t>
        </is>
      </c>
      <c r="AG124" t="n">
        <v>1</v>
      </c>
      <c r="AH124" t="inlineStr">
        <is>
          <t>TO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DW70-900000472-D080-10188219-4</t>
        </is>
      </c>
    </row>
    <row r="125">
      <c r="A125" t="inlineStr">
        <is>
          <t>900003438DW70D08610000630</t>
        </is>
      </c>
      <c r="B125" t="inlineStr">
        <is>
          <t>4600050497-70</t>
        </is>
      </c>
      <c r="C125" t="n">
        <v>4600050497</v>
      </c>
      <c r="D125" t="n">
        <v>70</v>
      </c>
      <c r="E125" t="inlineStr">
        <is>
          <t>MXPO</t>
        </is>
      </c>
      <c r="F125" t="inlineStr">
        <is>
          <t>MXL</t>
        </is>
      </c>
      <c r="G125" t="n">
        <v>900003438</v>
      </c>
      <c r="H125" t="inlineStr">
        <is>
          <t>TC-ED-ESTRATEGIAS AVANZADAS</t>
        </is>
      </c>
      <c r="I125" t="n">
        <v>5049458</v>
      </c>
      <c r="J125" t="inlineStr">
        <is>
          <t>ESTRATEGIAS AVANZADAS PARA OBTEN</t>
        </is>
      </c>
      <c r="K125" t="inlineStr">
        <is>
          <t>Z03</t>
        </is>
      </c>
      <c r="L125" t="inlineStr">
        <is>
          <t>(AP) 15 Dias</t>
        </is>
      </c>
      <c r="M125" t="n">
        <v>10000630</v>
      </c>
      <c r="N125" t="inlineStr">
        <is>
          <t>Grava Triturada Caliza 13 mm - 1/2"</t>
        </is>
      </c>
      <c r="O125" t="inlineStr">
        <is>
          <t>DW70</t>
        </is>
      </c>
      <c r="P125" t="inlineStr">
        <is>
          <t>MX-CED. CENTRO</t>
        </is>
      </c>
      <c r="Q125" t="n">
        <v>20210712</v>
      </c>
      <c r="R125" t="n">
        <v>20281231</v>
      </c>
      <c r="S125" t="n">
        <v>20230501</v>
      </c>
      <c r="T125" t="n">
        <v>20281231</v>
      </c>
      <c r="U125" t="n">
        <v>397.3</v>
      </c>
      <c r="V125" t="inlineStr">
        <is>
          <t>MXN</t>
        </is>
      </c>
      <c r="W125" t="inlineStr">
        <is>
          <t>M3</t>
        </is>
      </c>
      <c r="X125" t="n">
        <v>242.3</v>
      </c>
      <c r="Y125" t="inlineStr">
        <is>
          <t>MXN</t>
        </is>
      </c>
      <c r="Z125" t="inlineStr">
        <is>
          <t>M3</t>
        </is>
      </c>
      <c r="AA125" t="inlineStr">
        <is>
          <t>D086</t>
        </is>
      </c>
      <c r="AB125" t="inlineStr">
        <is>
          <t>PD0190 XALOSTC</t>
        </is>
      </c>
      <c r="AC125" t="n">
        <v>56103637</v>
      </c>
      <c r="AD125" t="n">
        <v>6644261540</v>
      </c>
      <c r="AE125" t="n">
        <v>4</v>
      </c>
      <c r="AF125" t="inlineStr">
        <is>
          <t>ENTREGA DIRECTA</t>
        </is>
      </c>
      <c r="AG125" t="n">
        <v>1.4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DW70-900003438-D086-10000630-4</t>
        </is>
      </c>
    </row>
    <row r="126">
      <c r="A126" t="inlineStr">
        <is>
          <t>900003438DW70D08310002802</t>
        </is>
      </c>
      <c r="B126" t="inlineStr">
        <is>
          <t>4600050497-480</t>
        </is>
      </c>
      <c r="C126" t="n">
        <v>4600050497</v>
      </c>
      <c r="D126" t="n">
        <v>480</v>
      </c>
      <c r="E126" t="inlineStr">
        <is>
          <t>MXPO</t>
        </is>
      </c>
      <c r="F126" t="inlineStr">
        <is>
          <t>MXL</t>
        </is>
      </c>
      <c r="G126" t="n">
        <v>900003438</v>
      </c>
      <c r="H126" t="inlineStr">
        <is>
          <t>TC-ED-ESTRATEGIAS AVANZADAS</t>
        </is>
      </c>
      <c r="I126" t="n">
        <v>5049458</v>
      </c>
      <c r="J126" t="inlineStr">
        <is>
          <t>ESTRATEGIAS AVANZADAS PARA OBTEN</t>
        </is>
      </c>
      <c r="K126" t="inlineStr">
        <is>
          <t>Z03</t>
        </is>
      </c>
      <c r="L126" t="inlineStr">
        <is>
          <t>(AP) 15 Dias</t>
        </is>
      </c>
      <c r="M126" t="n">
        <v>10002802</v>
      </c>
      <c r="N126" t="inlineStr">
        <is>
          <t>Arena Clasificada Río Malla 4 Lavado</t>
        </is>
      </c>
      <c r="O126" t="inlineStr">
        <is>
          <t>DW70</t>
        </is>
      </c>
      <c r="P126" t="inlineStr">
        <is>
          <t>MX-CED. CENTRO</t>
        </is>
      </c>
      <c r="Q126" t="n">
        <v>20210712</v>
      </c>
      <c r="R126" t="n">
        <v>20281231</v>
      </c>
      <c r="S126" t="n">
        <v>20230501</v>
      </c>
      <c r="T126" t="n">
        <v>20281231</v>
      </c>
      <c r="U126" t="n">
        <v>389.75</v>
      </c>
      <c r="V126" t="inlineStr">
        <is>
          <t>MXN</t>
        </is>
      </c>
      <c r="W126" t="inlineStr">
        <is>
          <t>M3</t>
        </is>
      </c>
      <c r="X126" t="n">
        <v>239.75</v>
      </c>
      <c r="Y126" t="inlineStr">
        <is>
          <t>MXN</t>
        </is>
      </c>
      <c r="Z126" t="inlineStr">
        <is>
          <t>M3</t>
        </is>
      </c>
      <c r="AA126" t="inlineStr">
        <is>
          <t>D083</t>
        </is>
      </c>
      <c r="AB126" t="inlineStr">
        <is>
          <t>PD0099 MINAS</t>
        </is>
      </c>
      <c r="AC126" t="n">
        <v>56103638</v>
      </c>
      <c r="AD126" t="n">
        <v>6644261540</v>
      </c>
      <c r="AE126" t="n">
        <v>4</v>
      </c>
      <c r="AF126" t="inlineStr">
        <is>
          <t>ENTREGA DIRECTA</t>
        </is>
      </c>
      <c r="AG126" t="n">
        <v>1.463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DW70-900003438-D083-10002802-4</t>
        </is>
      </c>
    </row>
    <row r="127">
      <c r="A127" t="inlineStr">
        <is>
          <t>900000472DW70D10510000655</t>
        </is>
      </c>
      <c r="B127" t="inlineStr">
        <is>
          <t>4600050481-160</t>
        </is>
      </c>
      <c r="C127" t="n">
        <v>4600050481</v>
      </c>
      <c r="D127" t="n">
        <v>160</v>
      </c>
      <c r="E127" t="inlineStr">
        <is>
          <t>MXPO</t>
        </is>
      </c>
      <c r="F127" t="inlineStr">
        <is>
          <t>MXL</t>
        </is>
      </c>
      <c r="G127" t="n">
        <v>900000472</v>
      </c>
      <c r="H127" t="inlineStr">
        <is>
          <t>TC-ED-TRIMCAV</t>
        </is>
      </c>
      <c r="I127" t="n">
        <v>5010147</v>
      </c>
      <c r="J127" t="inlineStr">
        <is>
          <t>TRITURACIONES DE MARMOL Y CALCIOS</t>
        </is>
      </c>
      <c r="K127" t="inlineStr">
        <is>
          <t>Z04</t>
        </is>
      </c>
      <c r="L127" t="inlineStr">
        <is>
          <t>(AP) 30 Dias</t>
        </is>
      </c>
      <c r="M127" t="n">
        <v>10000655</v>
      </c>
      <c r="N127" t="inlineStr">
        <is>
          <t>Grava Triturada Marmol 10 mm - 3/8"</t>
        </is>
      </c>
      <c r="O127" t="inlineStr">
        <is>
          <t>DW70</t>
        </is>
      </c>
      <c r="P127" t="inlineStr">
        <is>
          <t>MX-CED. CENTRO</t>
        </is>
      </c>
      <c r="Q127" t="n">
        <v>20210712</v>
      </c>
      <c r="R127" t="n">
        <v>20291231</v>
      </c>
      <c r="S127" t="n">
        <v>20230215</v>
      </c>
      <c r="T127" t="n">
        <v>20281231</v>
      </c>
      <c r="U127" t="n">
        <v>921.6900000000001</v>
      </c>
      <c r="V127" t="inlineStr">
        <is>
          <t>MXN</t>
        </is>
      </c>
      <c r="W127" t="inlineStr">
        <is>
          <t>TN</t>
        </is>
      </c>
      <c r="X127" t="n">
        <v>485.1</v>
      </c>
      <c r="Y127" t="inlineStr">
        <is>
          <t>MXN</t>
        </is>
      </c>
      <c r="Z127" t="inlineStr">
        <is>
          <t>TN</t>
        </is>
      </c>
      <c r="AA127" t="inlineStr">
        <is>
          <t>D105</t>
        </is>
      </c>
      <c r="AB127" t="inlineStr">
        <is>
          <t>PD0331 NAUCALPAN II</t>
        </is>
      </c>
      <c r="AC127" t="n">
        <v>56103637</v>
      </c>
      <c r="AD127" t="n">
        <v>6644261540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DW70-900000472-D105-10000655-4</t>
        </is>
      </c>
    </row>
    <row r="128">
      <c r="A128" t="inlineStr">
        <is>
          <t>900003438DW70D07910000630</t>
        </is>
      </c>
      <c r="B128" t="inlineStr">
        <is>
          <t>4600050497-130</t>
        </is>
      </c>
      <c r="C128" t="n">
        <v>4600050497</v>
      </c>
      <c r="D128" t="n">
        <v>130</v>
      </c>
      <c r="E128" t="inlineStr">
        <is>
          <t>MXPO</t>
        </is>
      </c>
      <c r="F128" t="inlineStr">
        <is>
          <t>MXL</t>
        </is>
      </c>
      <c r="G128" t="n">
        <v>900003438</v>
      </c>
      <c r="H128" t="inlineStr">
        <is>
          <t>TC-ED-ESTRATEGIAS AVANZADAS</t>
        </is>
      </c>
      <c r="I128" t="n">
        <v>5049458</v>
      </c>
      <c r="J128" t="inlineStr">
        <is>
          <t>ESTRATEGIAS AVANZADAS PARA OBTEN</t>
        </is>
      </c>
      <c r="K128" t="inlineStr">
        <is>
          <t>Z03</t>
        </is>
      </c>
      <c r="L128" t="inlineStr">
        <is>
          <t>(AP) 15 Dias</t>
        </is>
      </c>
      <c r="M128" t="n">
        <v>10000630</v>
      </c>
      <c r="N128" t="inlineStr">
        <is>
          <t>Grava Triturada Caliza 13 mm - 1/2"</t>
        </is>
      </c>
      <c r="O128" t="inlineStr">
        <is>
          <t>DW70</t>
        </is>
      </c>
      <c r="P128" t="inlineStr">
        <is>
          <t>MX-CED. CENTRO</t>
        </is>
      </c>
      <c r="Q128" t="n">
        <v>20210712</v>
      </c>
      <c r="R128" t="n">
        <v>20281231</v>
      </c>
      <c r="S128" t="n">
        <v>20230501</v>
      </c>
      <c r="T128" t="n">
        <v>20281231</v>
      </c>
      <c r="U128" t="n">
        <v>463.73</v>
      </c>
      <c r="V128" t="inlineStr">
        <is>
          <t>MXN</t>
        </is>
      </c>
      <c r="W128" t="inlineStr">
        <is>
          <t>M3</t>
        </is>
      </c>
      <c r="X128" t="n">
        <v>308.73</v>
      </c>
      <c r="Y128" t="inlineStr">
        <is>
          <t>MXN</t>
        </is>
      </c>
      <c r="Z128" t="inlineStr">
        <is>
          <t>M3</t>
        </is>
      </c>
      <c r="AA128" t="inlineStr">
        <is>
          <t>D079</t>
        </is>
      </c>
      <c r="AB128" t="inlineStr">
        <is>
          <t>PD0071 XOCHIMILCO</t>
        </is>
      </c>
      <c r="AC128" t="n">
        <v>56103637</v>
      </c>
      <c r="AD128" t="n">
        <v>6644261540</v>
      </c>
      <c r="AE128" t="n">
        <v>4</v>
      </c>
      <c r="AF128" t="inlineStr">
        <is>
          <t>ENTREGA DIRECTA</t>
        </is>
      </c>
      <c r="AG128" t="n">
        <v>1.4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DW70-900003438-D079-10000630-4</t>
        </is>
      </c>
    </row>
    <row r="129">
      <c r="A129" t="inlineStr">
        <is>
          <t>900003438DW70D13610000811</t>
        </is>
      </c>
      <c r="B129" t="inlineStr">
        <is>
          <t>4600050497-920</t>
        </is>
      </c>
      <c r="C129" t="n">
        <v>4600050497</v>
      </c>
      <c r="D129" t="n">
        <v>920</v>
      </c>
      <c r="E129" t="inlineStr">
        <is>
          <t>MXPO</t>
        </is>
      </c>
      <c r="F129" t="inlineStr">
        <is>
          <t>MXL</t>
        </is>
      </c>
      <c r="G129" t="n">
        <v>900003438</v>
      </c>
      <c r="H129" t="inlineStr">
        <is>
          <t>TC-ED-ESTRATEGIAS AVANZADAS</t>
        </is>
      </c>
      <c r="I129" t="n">
        <v>5049458</v>
      </c>
      <c r="J129" t="inlineStr">
        <is>
          <t>ESTRATEGIAS AVANZADAS PARA OBTEN</t>
        </is>
      </c>
      <c r="K129" t="inlineStr">
        <is>
          <t>Z03</t>
        </is>
      </c>
      <c r="L129" t="inlineStr">
        <is>
          <t>(AP) 15 Dias</t>
        </is>
      </c>
      <c r="M129" t="n">
        <v>10000811</v>
      </c>
      <c r="N129" t="inlineStr">
        <is>
          <t>Grava Triturada Caliza 20 mm - 3/4"</t>
        </is>
      </c>
      <c r="O129" t="inlineStr">
        <is>
          <t>DW70</t>
        </is>
      </c>
      <c r="P129" t="inlineStr">
        <is>
          <t>MX-CED. CENTRO</t>
        </is>
      </c>
      <c r="Q129" t="n">
        <v>20210712</v>
      </c>
      <c r="R129" t="n">
        <v>20281231</v>
      </c>
      <c r="S129" t="n">
        <v>20211215</v>
      </c>
      <c r="T129" t="n">
        <v>20261231</v>
      </c>
      <c r="U129" t="n">
        <v>388.38</v>
      </c>
      <c r="V129" t="inlineStr">
        <is>
          <t>MXN</t>
        </is>
      </c>
      <c r="W129" t="inlineStr">
        <is>
          <t>M3</t>
        </is>
      </c>
      <c r="X129" t="n">
        <v>247.38</v>
      </c>
      <c r="Y129" t="inlineStr">
        <is>
          <t>MXN</t>
        </is>
      </c>
      <c r="Z129" t="inlineStr">
        <is>
          <t>M3</t>
        </is>
      </c>
      <c r="AA129" t="inlineStr">
        <is>
          <t>D136</t>
        </is>
      </c>
      <c r="AB129" t="inlineStr">
        <is>
          <t>PD0237 LA ESTRELLA</t>
        </is>
      </c>
      <c r="AC129" t="n">
        <v>56103637</v>
      </c>
      <c r="AD129" t="n">
        <v>6644261540</v>
      </c>
      <c r="AE129" t="n">
        <v>4</v>
      </c>
      <c r="AF129" t="inlineStr">
        <is>
          <t>ENTREGA DIRECTA</t>
        </is>
      </c>
      <c r="AG129" t="n">
        <v>1.447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DW70-900003438-D136-10000811-4</t>
        </is>
      </c>
    </row>
    <row r="130">
      <c r="A130" t="inlineStr">
        <is>
          <t>900000472DW70D08010189170</t>
        </is>
      </c>
      <c r="B130" t="inlineStr">
        <is>
          <t>4600050481-460</t>
        </is>
      </c>
      <c r="C130" t="n">
        <v>4600050481</v>
      </c>
      <c r="D130" t="n">
        <v>460</v>
      </c>
      <c r="E130" t="inlineStr">
        <is>
          <t>MXPO</t>
        </is>
      </c>
      <c r="F130" t="inlineStr">
        <is>
          <t>MXL</t>
        </is>
      </c>
      <c r="G130" t="n">
        <v>900000472</v>
      </c>
      <c r="H130" t="inlineStr">
        <is>
          <t>TC-ED-TRIMCAV</t>
        </is>
      </c>
      <c r="I130" t="n">
        <v>5010147</v>
      </c>
      <c r="J130" t="inlineStr">
        <is>
          <t>TRITURACIONES DE MARMOL Y CALCIOS</t>
        </is>
      </c>
      <c r="K130" t="inlineStr">
        <is>
          <t>Z04</t>
        </is>
      </c>
      <c r="L130" t="inlineStr">
        <is>
          <t>(AP) 30 Dias</t>
        </is>
      </c>
      <c r="M130" t="n">
        <v>10189170</v>
      </c>
      <c r="N130" t="inlineStr">
        <is>
          <t>GRAVA TRITURADA MÁRMOL NEGRO 10 MM - 3/8</t>
        </is>
      </c>
      <c r="O130" t="inlineStr">
        <is>
          <t>DW70</t>
        </is>
      </c>
      <c r="P130" t="inlineStr">
        <is>
          <t>MX-CED. CENTRO</t>
        </is>
      </c>
      <c r="Q130" t="n">
        <v>20210712</v>
      </c>
      <c r="R130" t="n">
        <v>20291231</v>
      </c>
      <c r="S130" t="n">
        <v>20210712</v>
      </c>
      <c r="T130" t="n">
        <v>20251231</v>
      </c>
      <c r="U130" t="n">
        <v>1300</v>
      </c>
      <c r="V130" t="inlineStr">
        <is>
          <t>MXN</t>
        </is>
      </c>
      <c r="W130" t="inlineStr">
        <is>
          <t>TN</t>
        </is>
      </c>
      <c r="X130" t="n">
        <v>650</v>
      </c>
      <c r="Y130" t="inlineStr">
        <is>
          <t>MXN</t>
        </is>
      </c>
      <c r="Z130" t="inlineStr">
        <is>
          <t>TN</t>
        </is>
      </c>
      <c r="AA130" t="inlineStr">
        <is>
          <t>D080</t>
        </is>
      </c>
      <c r="AB130" t="inlineStr">
        <is>
          <t>PD0086 VALLEJO</t>
        </is>
      </c>
      <c r="AC130" t="n">
        <v>56103637</v>
      </c>
      <c r="AD130" t="n">
        <v>6644261540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DW70-900000472-D080-10189170-4</t>
        </is>
      </c>
    </row>
    <row r="131">
      <c r="A131" t="inlineStr">
        <is>
          <t>900000472DW70D08110188219</t>
        </is>
      </c>
      <c r="B131" t="inlineStr">
        <is>
          <t>4600050481-100</t>
        </is>
      </c>
      <c r="C131" t="n">
        <v>4600050481</v>
      </c>
      <c r="D131" t="n">
        <v>100</v>
      </c>
      <c r="E131" t="inlineStr">
        <is>
          <t>MXPO</t>
        </is>
      </c>
      <c r="F131" t="inlineStr">
        <is>
          <t>MXL</t>
        </is>
      </c>
      <c r="G131" t="n">
        <v>900000472</v>
      </c>
      <c r="H131" t="inlineStr">
        <is>
          <t>TC-ED-TRIMCAV</t>
        </is>
      </c>
      <c r="I131" t="n">
        <v>5010147</v>
      </c>
      <c r="J131" t="inlineStr">
        <is>
          <t>TRITURACIONES DE MARMOL Y CALCIOS</t>
        </is>
      </c>
      <c r="K131" t="inlineStr">
        <is>
          <t>Z04</t>
        </is>
      </c>
      <c r="L131" t="inlineStr">
        <is>
          <t>(AP) 30 Dias</t>
        </is>
      </c>
      <c r="M131" t="n">
        <v>10188219</v>
      </c>
      <c r="N131" t="inlineStr">
        <is>
          <t>ARENA TRITURADA MÁRMOL NEGRO MALLA 4</t>
        </is>
      </c>
      <c r="O131" t="inlineStr">
        <is>
          <t>DW70</t>
        </is>
      </c>
      <c r="P131" t="inlineStr">
        <is>
          <t>MX-CED. CENTRO</t>
        </is>
      </c>
      <c r="Q131" t="n">
        <v>20210712</v>
      </c>
      <c r="R131" t="n">
        <v>20291231</v>
      </c>
      <c r="S131" t="n">
        <v>20210712</v>
      </c>
      <c r="T131" t="n">
        <v>20251231</v>
      </c>
      <c r="U131" t="n">
        <v>1300</v>
      </c>
      <c r="V131" t="inlineStr">
        <is>
          <t>MXN</t>
        </is>
      </c>
      <c r="W131" t="inlineStr">
        <is>
          <t>TN</t>
        </is>
      </c>
      <c r="X131" t="n">
        <v>650</v>
      </c>
      <c r="Y131" t="inlineStr">
        <is>
          <t>MXN</t>
        </is>
      </c>
      <c r="Z131" t="inlineStr">
        <is>
          <t>TN</t>
        </is>
      </c>
      <c r="AA131" t="inlineStr">
        <is>
          <t>D081</t>
        </is>
      </c>
      <c r="AB131" t="inlineStr">
        <is>
          <t>PD0088 ARMAS</t>
        </is>
      </c>
      <c r="AC131" t="n">
        <v>56103638</v>
      </c>
      <c r="AD131" t="n">
        <v>6644261540</v>
      </c>
      <c r="AE131" t="n">
        <v>4</v>
      </c>
      <c r="AF131" t="inlineStr">
        <is>
          <t>ENTREGA DIRECTA</t>
        </is>
      </c>
      <c r="AG131" t="n">
        <v>1</v>
      </c>
      <c r="AH131" t="inlineStr">
        <is>
          <t>TO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DW70-900000472-D081-10188219-4</t>
        </is>
      </c>
    </row>
    <row r="132">
      <c r="A132" t="inlineStr">
        <is>
          <t>900000472DW70D09310190932</t>
        </is>
      </c>
      <c r="B132" t="inlineStr">
        <is>
          <t>4600050481-780</t>
        </is>
      </c>
      <c r="C132" t="n">
        <v>4600050481</v>
      </c>
      <c r="D132" t="n">
        <v>780</v>
      </c>
      <c r="E132" t="inlineStr">
        <is>
          <t>MXPO</t>
        </is>
      </c>
      <c r="F132" t="inlineStr">
        <is>
          <t>MXL</t>
        </is>
      </c>
      <c r="G132" t="n">
        <v>900000472</v>
      </c>
      <c r="H132" t="inlineStr">
        <is>
          <t>TC-ED-TRIMCAV</t>
        </is>
      </c>
      <c r="I132" t="n">
        <v>5010147</v>
      </c>
      <c r="J132" t="inlineStr">
        <is>
          <t>TRITURACIONES DE MARMOL Y CALCIOS</t>
        </is>
      </c>
      <c r="K132" t="inlineStr">
        <is>
          <t>Z04</t>
        </is>
      </c>
      <c r="L132" t="inlineStr">
        <is>
          <t>(AP) 30 Dias</t>
        </is>
      </c>
      <c r="M132" t="n">
        <v>10190932</v>
      </c>
      <c r="N132" t="inlineStr">
        <is>
          <t>GRAVA TRITURADA MÁRMOL NEGRO 20 MM - 3/4</t>
        </is>
      </c>
      <c r="O132" t="inlineStr">
        <is>
          <t>DW70</t>
        </is>
      </c>
      <c r="P132" t="inlineStr">
        <is>
          <t>MX-CED. CENTRO</t>
        </is>
      </c>
      <c r="Q132" t="n">
        <v>20210712</v>
      </c>
      <c r="R132" t="n">
        <v>20291231</v>
      </c>
      <c r="S132" t="n">
        <v>20210712</v>
      </c>
      <c r="T132" t="n">
        <v>20251231</v>
      </c>
      <c r="U132" t="n">
        <v>1300</v>
      </c>
      <c r="V132" t="inlineStr">
        <is>
          <t>MXN</t>
        </is>
      </c>
      <c r="W132" t="inlineStr">
        <is>
          <t>TN</t>
        </is>
      </c>
      <c r="X132" t="n">
        <v>650</v>
      </c>
      <c r="Y132" t="inlineStr">
        <is>
          <t>MXN</t>
        </is>
      </c>
      <c r="Z132" t="inlineStr">
        <is>
          <t>TN</t>
        </is>
      </c>
      <c r="AA132" t="inlineStr">
        <is>
          <t>D093</t>
        </is>
      </c>
      <c r="AB132" t="inlineStr">
        <is>
          <t>PD0556 ZUMPANGO</t>
        </is>
      </c>
      <c r="AC132" t="n">
        <v>56103637</v>
      </c>
      <c r="AD132" t="n">
        <v>6644261540</v>
      </c>
      <c r="AE132" t="n">
        <v>4</v>
      </c>
      <c r="AF132" t="inlineStr">
        <is>
          <t>ENTREGA DIRECTA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DW70-900000472-D093-10190932-4</t>
        </is>
      </c>
    </row>
    <row r="133">
      <c r="A133" t="inlineStr">
        <is>
          <t>900003438DW70D08010000630</t>
        </is>
      </c>
      <c r="B133" t="inlineStr">
        <is>
          <t>4600050497-120</t>
        </is>
      </c>
      <c r="C133" t="n">
        <v>4600050497</v>
      </c>
      <c r="D133" t="n">
        <v>120</v>
      </c>
      <c r="E133" t="inlineStr">
        <is>
          <t>MXPO</t>
        </is>
      </c>
      <c r="F133" t="inlineStr">
        <is>
          <t>MXL</t>
        </is>
      </c>
      <c r="G133" t="n">
        <v>900003438</v>
      </c>
      <c r="H133" t="inlineStr">
        <is>
          <t>TC-ED-ESTRATEGIAS AVANZADAS</t>
        </is>
      </c>
      <c r="I133" t="n">
        <v>5049458</v>
      </c>
      <c r="J133" t="inlineStr">
        <is>
          <t>ESTRATEGIAS AVANZADAS PARA OBTEN</t>
        </is>
      </c>
      <c r="K133" t="inlineStr">
        <is>
          <t>Z03</t>
        </is>
      </c>
      <c r="L133" t="inlineStr">
        <is>
          <t>(AP) 15 Dias</t>
        </is>
      </c>
      <c r="M133" t="n">
        <v>10000630</v>
      </c>
      <c r="N133" t="inlineStr">
        <is>
          <t>Grava Triturada Caliza 13 mm - 1/2"</t>
        </is>
      </c>
      <c r="O133" t="inlineStr">
        <is>
          <t>DW70</t>
        </is>
      </c>
      <c r="P133" t="inlineStr">
        <is>
          <t>MX-CED. CENTRO</t>
        </is>
      </c>
      <c r="Q133" t="n">
        <v>20210712</v>
      </c>
      <c r="R133" t="n">
        <v>20281231</v>
      </c>
      <c r="S133" t="n">
        <v>20230501</v>
      </c>
      <c r="T133" t="n">
        <v>20281231</v>
      </c>
      <c r="U133" t="n">
        <v>362.64</v>
      </c>
      <c r="V133" t="inlineStr">
        <is>
          <t>MXN</t>
        </is>
      </c>
      <c r="W133" t="inlineStr">
        <is>
          <t>M3</t>
        </is>
      </c>
      <c r="X133" t="n">
        <v>207.64</v>
      </c>
      <c r="Y133" t="inlineStr">
        <is>
          <t>MXN</t>
        </is>
      </c>
      <c r="Z133" t="inlineStr">
        <is>
          <t>M3</t>
        </is>
      </c>
      <c r="AA133" t="inlineStr">
        <is>
          <t>D080</t>
        </is>
      </c>
      <c r="AB133" t="inlineStr">
        <is>
          <t>PD0086 VALLEJO</t>
        </is>
      </c>
      <c r="AC133" t="n">
        <v>56103637</v>
      </c>
      <c r="AD133" t="n">
        <v>6644261540</v>
      </c>
      <c r="AE133" t="n">
        <v>4</v>
      </c>
      <c r="AF133" t="inlineStr">
        <is>
          <t>ENTREGA DIRECTA</t>
        </is>
      </c>
      <c r="AG133" t="n">
        <v>1.4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DW70-900003438-D080-10000630-4</t>
        </is>
      </c>
    </row>
    <row r="134">
      <c r="A134" t="inlineStr">
        <is>
          <t>900003438DW70D07710000623</t>
        </is>
      </c>
      <c r="B134" t="inlineStr">
        <is>
          <t>4600050497-300</t>
        </is>
      </c>
      <c r="C134" t="n">
        <v>4600050497</v>
      </c>
      <c r="D134" t="n">
        <v>300</v>
      </c>
      <c r="E134" t="inlineStr">
        <is>
          <t>MXPO</t>
        </is>
      </c>
      <c r="F134" t="inlineStr">
        <is>
          <t>MXL</t>
        </is>
      </c>
      <c r="G134" t="n">
        <v>900003438</v>
      </c>
      <c r="H134" t="inlineStr">
        <is>
          <t>TC-ED-ESTRATEGIAS AVANZADAS</t>
        </is>
      </c>
      <c r="I134" t="n">
        <v>5049458</v>
      </c>
      <c r="J134" t="inlineStr">
        <is>
          <t>ESTRATEGIAS AVANZADAS PARA OBTEN</t>
        </is>
      </c>
      <c r="K134" t="inlineStr">
        <is>
          <t>Z03</t>
        </is>
      </c>
      <c r="L134" t="inlineStr">
        <is>
          <t>(AP) 15 Dias</t>
        </is>
      </c>
      <c r="M134" t="n">
        <v>10000623</v>
      </c>
      <c r="N134" t="inlineStr">
        <is>
          <t>Grava Triturada Caliza 10 mm - 3/8"</t>
        </is>
      </c>
      <c r="O134" t="inlineStr">
        <is>
          <t>DW70</t>
        </is>
      </c>
      <c r="P134" t="inlineStr">
        <is>
          <t>MX-CED. CENTRO</t>
        </is>
      </c>
      <c r="Q134" t="n">
        <v>20210712</v>
      </c>
      <c r="R134" t="n">
        <v>20281231</v>
      </c>
      <c r="S134" t="n">
        <v>20230501</v>
      </c>
      <c r="T134" t="n">
        <v>20281231</v>
      </c>
      <c r="U134" t="n">
        <v>466.61</v>
      </c>
      <c r="V134" t="inlineStr">
        <is>
          <t>MXN</t>
        </is>
      </c>
      <c r="W134" t="inlineStr">
        <is>
          <t>M3</t>
        </is>
      </c>
      <c r="X134" t="n">
        <v>311.61</v>
      </c>
      <c r="Y134" t="inlineStr">
        <is>
          <t>MXN</t>
        </is>
      </c>
      <c r="Z134" t="inlineStr">
        <is>
          <t>M3</t>
        </is>
      </c>
      <c r="AA134" t="inlineStr">
        <is>
          <t>D077</t>
        </is>
      </c>
      <c r="AB134" t="inlineStr">
        <is>
          <t>PD0067 LOS REYES</t>
        </is>
      </c>
      <c r="AC134" t="n">
        <v>56103637</v>
      </c>
      <c r="AD134" t="n">
        <v>6644261540</v>
      </c>
      <c r="AE134" t="n">
        <v>4</v>
      </c>
      <c r="AF134" t="inlineStr">
        <is>
          <t>ENTREGA DIRECTA</t>
        </is>
      </c>
      <c r="AG134" t="n">
        <v>1.41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DW70-900003438-D077-10000623-4</t>
        </is>
      </c>
    </row>
    <row r="135">
      <c r="A135" t="inlineStr">
        <is>
          <t>900000472DW70D14510000635</t>
        </is>
      </c>
      <c r="B135" t="inlineStr">
        <is>
          <t>4600050481-270</t>
        </is>
      </c>
      <c r="C135" t="n">
        <v>4600050481</v>
      </c>
      <c r="D135" t="n">
        <v>270</v>
      </c>
      <c r="E135" t="inlineStr">
        <is>
          <t>MXPO</t>
        </is>
      </c>
      <c r="F135" t="inlineStr">
        <is>
          <t>MXL</t>
        </is>
      </c>
      <c r="G135" t="n">
        <v>900000472</v>
      </c>
      <c r="H135" t="inlineStr">
        <is>
          <t>TC-ED-TRIMCAV</t>
        </is>
      </c>
      <c r="I135" t="n">
        <v>5010147</v>
      </c>
      <c r="J135" t="inlineStr">
        <is>
          <t>TRITURACIONES DE MARMOL Y CALCIOS</t>
        </is>
      </c>
      <c r="K135" t="inlineStr">
        <is>
          <t>Z04</t>
        </is>
      </c>
      <c r="L135" t="inlineStr">
        <is>
          <t>(AP) 30 Dias</t>
        </is>
      </c>
      <c r="M135" t="n">
        <v>10000635</v>
      </c>
      <c r="N135" t="inlineStr">
        <is>
          <t>Arena Triturada Marmol Malla 4</t>
        </is>
      </c>
      <c r="O135" t="inlineStr">
        <is>
          <t>DW70</t>
        </is>
      </c>
      <c r="P135" t="inlineStr">
        <is>
          <t>MX-CED. CENTRO</t>
        </is>
      </c>
      <c r="Q135" t="n">
        <v>20210712</v>
      </c>
      <c r="R135" t="n">
        <v>20291231</v>
      </c>
      <c r="S135" t="n">
        <v>20230215</v>
      </c>
      <c r="T135" t="n">
        <v>20281231</v>
      </c>
      <c r="U135" t="n">
        <v>921.6900000000001</v>
      </c>
      <c r="V135" t="inlineStr">
        <is>
          <t>MXN</t>
        </is>
      </c>
      <c r="W135" t="inlineStr">
        <is>
          <t>TN</t>
        </is>
      </c>
      <c r="X135" t="n">
        <v>485.1</v>
      </c>
      <c r="Y135" t="inlineStr">
        <is>
          <t>MXN</t>
        </is>
      </c>
      <c r="Z135" t="inlineStr">
        <is>
          <t>TN</t>
        </is>
      </c>
      <c r="AA135" t="inlineStr">
        <is>
          <t>D145</t>
        </is>
      </c>
      <c r="AB135" t="inlineStr">
        <is>
          <t>PD0458 ECATEPEC II</t>
        </is>
      </c>
      <c r="AC135" t="n">
        <v>56103638</v>
      </c>
      <c r="AD135" t="n">
        <v>6644261540</v>
      </c>
      <c r="AE135" t="n">
        <v>4</v>
      </c>
      <c r="AF135" t="inlineStr">
        <is>
          <t>ENTREGA DIRECTA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DW70-900000472-D145-10000635-4</t>
        </is>
      </c>
    </row>
    <row r="136">
      <c r="A136" t="inlineStr">
        <is>
          <t>900003438DW70D08010000811</t>
        </is>
      </c>
      <c r="B136" t="inlineStr">
        <is>
          <t>4600050497-770</t>
        </is>
      </c>
      <c r="C136" t="n">
        <v>4600050497</v>
      </c>
      <c r="D136" t="n">
        <v>770</v>
      </c>
      <c r="E136" t="inlineStr">
        <is>
          <t>MXPO</t>
        </is>
      </c>
      <c r="F136" t="inlineStr">
        <is>
          <t>MXL</t>
        </is>
      </c>
      <c r="G136" t="n">
        <v>900003438</v>
      </c>
      <c r="H136" t="inlineStr">
        <is>
          <t>TC-ED-ESTRATEGIAS AVANZADAS</t>
        </is>
      </c>
      <c r="I136" t="n">
        <v>5049458</v>
      </c>
      <c r="J136" t="inlineStr">
        <is>
          <t>ESTRATEGIAS AVANZADAS PARA OBTEN</t>
        </is>
      </c>
      <c r="K136" t="inlineStr">
        <is>
          <t>Z03</t>
        </is>
      </c>
      <c r="L136" t="inlineStr">
        <is>
          <t>(AP) 15 Dias</t>
        </is>
      </c>
      <c r="M136" t="n">
        <v>10000811</v>
      </c>
      <c r="N136" t="inlineStr">
        <is>
          <t>Grava Triturada Caliza 20 mm - 3/4"</t>
        </is>
      </c>
      <c r="O136" t="inlineStr">
        <is>
          <t>DW70</t>
        </is>
      </c>
      <c r="P136" t="inlineStr">
        <is>
          <t>MX-CED. CENTRO</t>
        </is>
      </c>
      <c r="Q136" t="n">
        <v>20210712</v>
      </c>
      <c r="R136" t="n">
        <v>20281231</v>
      </c>
      <c r="S136" t="n">
        <v>20211215</v>
      </c>
      <c r="T136" t="n">
        <v>20261231</v>
      </c>
      <c r="U136" t="n">
        <v>353.04</v>
      </c>
      <c r="V136" t="inlineStr">
        <is>
          <t>MXN</t>
        </is>
      </c>
      <c r="W136" t="inlineStr">
        <is>
          <t>M3</t>
        </is>
      </c>
      <c r="X136" t="n">
        <v>212.04</v>
      </c>
      <c r="Y136" t="inlineStr">
        <is>
          <t>MXN</t>
        </is>
      </c>
      <c r="Z136" t="inlineStr">
        <is>
          <t>M3</t>
        </is>
      </c>
      <c r="AA136" t="inlineStr">
        <is>
          <t>D080</t>
        </is>
      </c>
      <c r="AB136" t="inlineStr">
        <is>
          <t>PD0086 VALLEJO</t>
        </is>
      </c>
      <c r="AC136" t="n">
        <v>56103637</v>
      </c>
      <c r="AD136" t="n">
        <v>6644261540</v>
      </c>
      <c r="AE136" t="n">
        <v>4</v>
      </c>
      <c r="AF136" t="inlineStr">
        <is>
          <t>ENTREGA DIRECTA</t>
        </is>
      </c>
      <c r="AG136" t="n">
        <v>1.447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DW70-900003438-D080-10000811-4</t>
        </is>
      </c>
    </row>
    <row r="137">
      <c r="A137" t="inlineStr">
        <is>
          <t>900000472DW70D07410190932</t>
        </is>
      </c>
      <c r="B137" t="inlineStr">
        <is>
          <t>4600050481-320</t>
        </is>
      </c>
      <c r="C137" t="n">
        <v>4600050481</v>
      </c>
      <c r="D137" t="n">
        <v>320</v>
      </c>
      <c r="E137" t="inlineStr">
        <is>
          <t>MXPO</t>
        </is>
      </c>
      <c r="F137" t="inlineStr">
        <is>
          <t>MXL</t>
        </is>
      </c>
      <c r="G137" t="n">
        <v>900000472</v>
      </c>
      <c r="H137" t="inlineStr">
        <is>
          <t>TC-ED-TRIMCAV</t>
        </is>
      </c>
      <c r="I137" t="n">
        <v>5010147</v>
      </c>
      <c r="J137" t="inlineStr">
        <is>
          <t>TRITURACIONES DE MARMOL Y CALCIOS</t>
        </is>
      </c>
      <c r="K137" t="inlineStr">
        <is>
          <t>Z04</t>
        </is>
      </c>
      <c r="L137" t="inlineStr">
        <is>
          <t>(AP) 30 Dias</t>
        </is>
      </c>
      <c r="M137" t="n">
        <v>10190932</v>
      </c>
      <c r="N137" t="inlineStr">
        <is>
          <t>GRAVA TRITURADA MÁRMOL NEGRO 20 MM - 3/4</t>
        </is>
      </c>
      <c r="O137" t="inlineStr">
        <is>
          <t>DW70</t>
        </is>
      </c>
      <c r="P137" t="inlineStr">
        <is>
          <t>MX-CED. CENTRO</t>
        </is>
      </c>
      <c r="Q137" t="n">
        <v>20210712</v>
      </c>
      <c r="R137" t="n">
        <v>20291231</v>
      </c>
      <c r="S137" t="n">
        <v>20210712</v>
      </c>
      <c r="T137" t="n">
        <v>20251231</v>
      </c>
      <c r="U137" t="n">
        <v>1300</v>
      </c>
      <c r="V137" t="inlineStr">
        <is>
          <t>MXN</t>
        </is>
      </c>
      <c r="W137" t="inlineStr">
        <is>
          <t>TN</t>
        </is>
      </c>
      <c r="X137" t="n">
        <v>650</v>
      </c>
      <c r="Y137" t="inlineStr">
        <is>
          <t>MXN</t>
        </is>
      </c>
      <c r="Z137" t="inlineStr">
        <is>
          <t>TN</t>
        </is>
      </c>
      <c r="AA137" t="inlineStr">
        <is>
          <t>D074</t>
        </is>
      </c>
      <c r="AB137" t="inlineStr">
        <is>
          <t>PD0063 CENTRAL</t>
        </is>
      </c>
      <c r="AC137" t="n">
        <v>56103637</v>
      </c>
      <c r="AD137" t="n">
        <v>6644261540</v>
      </c>
      <c r="AE137" t="n">
        <v>4</v>
      </c>
      <c r="AF137" t="inlineStr">
        <is>
          <t>ENTREGA DIRECTA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DW70-900000472-D074-10190932-4</t>
        </is>
      </c>
    </row>
    <row r="138">
      <c r="A138" t="inlineStr">
        <is>
          <t>900000472DW70D08110189170</t>
        </is>
      </c>
      <c r="B138" t="inlineStr">
        <is>
          <t>4600050481-450</t>
        </is>
      </c>
      <c r="C138" t="n">
        <v>4600050481</v>
      </c>
      <c r="D138" t="n">
        <v>450</v>
      </c>
      <c r="E138" t="inlineStr">
        <is>
          <t>MXPO</t>
        </is>
      </c>
      <c r="F138" t="inlineStr">
        <is>
          <t>MXL</t>
        </is>
      </c>
      <c r="G138" t="n">
        <v>900000472</v>
      </c>
      <c r="H138" t="inlineStr">
        <is>
          <t>TC-ED-TRIMCAV</t>
        </is>
      </c>
      <c r="I138" t="n">
        <v>5010147</v>
      </c>
      <c r="J138" t="inlineStr">
        <is>
          <t>TRITURACIONES DE MARMOL Y CALCIOS</t>
        </is>
      </c>
      <c r="K138" t="inlineStr">
        <is>
          <t>Z04</t>
        </is>
      </c>
      <c r="L138" t="inlineStr">
        <is>
          <t>(AP) 30 Dias</t>
        </is>
      </c>
      <c r="M138" t="n">
        <v>10189170</v>
      </c>
      <c r="N138" t="inlineStr">
        <is>
          <t>GRAVA TRITURADA MÁRMOL NEGRO 10 MM - 3/8</t>
        </is>
      </c>
      <c r="O138" t="inlineStr">
        <is>
          <t>DW70</t>
        </is>
      </c>
      <c r="P138" t="inlineStr">
        <is>
          <t>MX-CED. CENTRO</t>
        </is>
      </c>
      <c r="Q138" t="n">
        <v>20210712</v>
      </c>
      <c r="R138" t="n">
        <v>20291231</v>
      </c>
      <c r="S138" t="n">
        <v>20210712</v>
      </c>
      <c r="T138" t="n">
        <v>20251231</v>
      </c>
      <c r="U138" t="n">
        <v>1300</v>
      </c>
      <c r="V138" t="inlineStr">
        <is>
          <t>MXN</t>
        </is>
      </c>
      <c r="W138" t="inlineStr">
        <is>
          <t>TN</t>
        </is>
      </c>
      <c r="X138" t="n">
        <v>650</v>
      </c>
      <c r="Y138" t="inlineStr">
        <is>
          <t>MXN</t>
        </is>
      </c>
      <c r="Z138" t="inlineStr">
        <is>
          <t>TN</t>
        </is>
      </c>
      <c r="AA138" t="inlineStr">
        <is>
          <t>D081</t>
        </is>
      </c>
      <c r="AB138" t="inlineStr">
        <is>
          <t>PD0088 ARMAS</t>
        </is>
      </c>
      <c r="AC138" t="n">
        <v>56103637</v>
      </c>
      <c r="AD138" t="n">
        <v>6644261540</v>
      </c>
      <c r="AE138" t="n">
        <v>4</v>
      </c>
      <c r="AF138" t="inlineStr">
        <is>
          <t>ENTREGA DIRECTA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DW70-900000472-D081-10189170-4</t>
        </is>
      </c>
    </row>
    <row r="139">
      <c r="A139" t="inlineStr">
        <is>
          <t>900000472DW70D14510000655</t>
        </is>
      </c>
      <c r="B139" t="inlineStr">
        <is>
          <t>4600050481-170</t>
        </is>
      </c>
      <c r="C139" t="n">
        <v>4600050481</v>
      </c>
      <c r="D139" t="n">
        <v>170</v>
      </c>
      <c r="E139" t="inlineStr">
        <is>
          <t>MXPO</t>
        </is>
      </c>
      <c r="F139" t="inlineStr">
        <is>
          <t>MXL</t>
        </is>
      </c>
      <c r="G139" t="n">
        <v>900000472</v>
      </c>
      <c r="H139" t="inlineStr">
        <is>
          <t>TC-ED-TRIMCAV</t>
        </is>
      </c>
      <c r="I139" t="n">
        <v>5010147</v>
      </c>
      <c r="J139" t="inlineStr">
        <is>
          <t>TRITURACIONES DE MARMOL Y CALCIOS</t>
        </is>
      </c>
      <c r="K139" t="inlineStr">
        <is>
          <t>Z04</t>
        </is>
      </c>
      <c r="L139" t="inlineStr">
        <is>
          <t>(AP) 30 Dias</t>
        </is>
      </c>
      <c r="M139" t="n">
        <v>10000655</v>
      </c>
      <c r="N139" t="inlineStr">
        <is>
          <t>Grava Triturada Marmol 10 mm - 3/8"</t>
        </is>
      </c>
      <c r="O139" t="inlineStr">
        <is>
          <t>DW70</t>
        </is>
      </c>
      <c r="P139" t="inlineStr">
        <is>
          <t>MX-CED. CENTRO</t>
        </is>
      </c>
      <c r="Q139" t="n">
        <v>20210712</v>
      </c>
      <c r="R139" t="n">
        <v>20291231</v>
      </c>
      <c r="S139" t="n">
        <v>20230215</v>
      </c>
      <c r="T139" t="n">
        <v>20281231</v>
      </c>
      <c r="U139" t="n">
        <v>921.6900000000001</v>
      </c>
      <c r="V139" t="inlineStr">
        <is>
          <t>MXN</t>
        </is>
      </c>
      <c r="W139" t="inlineStr">
        <is>
          <t>TN</t>
        </is>
      </c>
      <c r="X139" t="n">
        <v>485.1</v>
      </c>
      <c r="Y139" t="inlineStr">
        <is>
          <t>MXN</t>
        </is>
      </c>
      <c r="Z139" t="inlineStr">
        <is>
          <t>TN</t>
        </is>
      </c>
      <c r="AA139" t="inlineStr">
        <is>
          <t>D145</t>
        </is>
      </c>
      <c r="AB139" t="inlineStr">
        <is>
          <t>PD0458 ECATEPEC II</t>
        </is>
      </c>
      <c r="AC139" t="n">
        <v>56103637</v>
      </c>
      <c r="AD139" t="n">
        <v>6644261540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DW70-900000472-D145-10000655-4</t>
        </is>
      </c>
    </row>
    <row r="140">
      <c r="A140" t="inlineStr">
        <is>
          <t>900003438DW70D08110017387</t>
        </is>
      </c>
      <c r="B140" t="inlineStr">
        <is>
          <t>4600050497-430</t>
        </is>
      </c>
      <c r="C140" t="n">
        <v>4600050497</v>
      </c>
      <c r="D140" t="n">
        <v>430</v>
      </c>
      <c r="E140" t="inlineStr">
        <is>
          <t>MXPO</t>
        </is>
      </c>
      <c r="F140" t="inlineStr">
        <is>
          <t>MXL</t>
        </is>
      </c>
      <c r="G140" t="n">
        <v>900003438</v>
      </c>
      <c r="H140" t="inlineStr">
        <is>
          <t>TC-ED-ESTRATEGIAS AVANZADAS</t>
        </is>
      </c>
      <c r="I140" t="n">
        <v>5049458</v>
      </c>
      <c r="J140" t="inlineStr">
        <is>
          <t>ESTRATEGIAS AVANZADAS PARA OBTEN</t>
        </is>
      </c>
      <c r="K140" t="inlineStr">
        <is>
          <t>Z03</t>
        </is>
      </c>
      <c r="L140" t="inlineStr">
        <is>
          <t>(AP) 15 Dias</t>
        </is>
      </c>
      <c r="M140" t="n">
        <v>10017387</v>
      </c>
      <c r="N140" t="inlineStr">
        <is>
          <t>Arena Triturada Marmol Malla 4  -Oax</t>
        </is>
      </c>
      <c r="O140" t="inlineStr">
        <is>
          <t>DW70</t>
        </is>
      </c>
      <c r="P140" t="inlineStr">
        <is>
          <t>MX-CED. CENTRO</t>
        </is>
      </c>
      <c r="Q140" t="n">
        <v>20210712</v>
      </c>
      <c r="R140" t="n">
        <v>20281231</v>
      </c>
      <c r="S140" t="n">
        <v>20210712</v>
      </c>
      <c r="T140" t="n">
        <v>20251231</v>
      </c>
      <c r="U140" t="n">
        <v>2400</v>
      </c>
      <c r="V140" t="inlineStr">
        <is>
          <t>MXN</t>
        </is>
      </c>
      <c r="W140" t="inlineStr">
        <is>
          <t>TN</t>
        </is>
      </c>
      <c r="X140" t="n">
        <v>400</v>
      </c>
      <c r="Y140" t="inlineStr">
        <is>
          <t>MXN</t>
        </is>
      </c>
      <c r="Z140" t="inlineStr">
        <is>
          <t>TN</t>
        </is>
      </c>
      <c r="AA140" t="inlineStr">
        <is>
          <t>D081</t>
        </is>
      </c>
      <c r="AB140" t="inlineStr">
        <is>
          <t>PD0088 ARMAS</t>
        </is>
      </c>
      <c r="AC140" t="n">
        <v>56103638</v>
      </c>
      <c r="AD140" t="n">
        <v>6644261540</v>
      </c>
      <c r="AE140" t="n">
        <v>4</v>
      </c>
      <c r="AF140" t="inlineStr">
        <is>
          <t>ENTREGA DIRECTA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DW70-900003438-D081-10017387-4</t>
        </is>
      </c>
    </row>
    <row r="141">
      <c r="A141" t="inlineStr">
        <is>
          <t>900000472DW70D08410189170</t>
        </is>
      </c>
      <c r="B141" t="inlineStr">
        <is>
          <t>4600050481-430</t>
        </is>
      </c>
      <c r="C141" t="n">
        <v>4600050481</v>
      </c>
      <c r="D141" t="n">
        <v>430</v>
      </c>
      <c r="E141" t="inlineStr">
        <is>
          <t>MXPO</t>
        </is>
      </c>
      <c r="F141" t="inlineStr">
        <is>
          <t>MXL</t>
        </is>
      </c>
      <c r="G141" t="n">
        <v>900000472</v>
      </c>
      <c r="H141" t="inlineStr">
        <is>
          <t>TC-ED-TRIMCAV</t>
        </is>
      </c>
      <c r="I141" t="n">
        <v>5010147</v>
      </c>
      <c r="J141" t="inlineStr">
        <is>
          <t>TRITURACIONES DE MARMOL Y CALCIOS</t>
        </is>
      </c>
      <c r="K141" t="inlineStr">
        <is>
          <t>Z04</t>
        </is>
      </c>
      <c r="L141" t="inlineStr">
        <is>
          <t>(AP) 30 Dias</t>
        </is>
      </c>
      <c r="M141" t="n">
        <v>10189170</v>
      </c>
      <c r="N141" t="inlineStr">
        <is>
          <t>GRAVA TRITURADA MÁRMOL NEGRO 10 MM - 3/8</t>
        </is>
      </c>
      <c r="O141" t="inlineStr">
        <is>
          <t>DW70</t>
        </is>
      </c>
      <c r="P141" t="inlineStr">
        <is>
          <t>MX-CED. CENTRO</t>
        </is>
      </c>
      <c r="Q141" t="n">
        <v>20210712</v>
      </c>
      <c r="R141" t="n">
        <v>20291231</v>
      </c>
      <c r="S141" t="n">
        <v>20210712</v>
      </c>
      <c r="T141" t="n">
        <v>20251231</v>
      </c>
      <c r="U141" t="n">
        <v>1300</v>
      </c>
      <c r="V141" t="inlineStr">
        <is>
          <t>MXN</t>
        </is>
      </c>
      <c r="W141" t="inlineStr">
        <is>
          <t>TN</t>
        </is>
      </c>
      <c r="X141" t="n">
        <v>650</v>
      </c>
      <c r="Y141" t="inlineStr">
        <is>
          <t>MXN</t>
        </is>
      </c>
      <c r="Z141" t="inlineStr">
        <is>
          <t>TN</t>
        </is>
      </c>
      <c r="AA141" t="inlineStr">
        <is>
          <t>D084</t>
        </is>
      </c>
      <c r="AB141" t="inlineStr">
        <is>
          <t>PD0186 IZTAPALAPA</t>
        </is>
      </c>
      <c r="AC141" t="n">
        <v>56103637</v>
      </c>
      <c r="AD141" t="n">
        <v>6644261540</v>
      </c>
      <c r="AE141" t="n">
        <v>4</v>
      </c>
      <c r="AF141" t="inlineStr">
        <is>
          <t>ENTREGA DIRECTA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DW70-900000472-D084-10189170-4</t>
        </is>
      </c>
    </row>
    <row r="142">
      <c r="A142" t="inlineStr">
        <is>
          <t>900003438DW70D08110002802</t>
        </is>
      </c>
      <c r="B142" t="inlineStr">
        <is>
          <t>4600050497-360</t>
        </is>
      </c>
      <c r="C142" t="n">
        <v>4600050497</v>
      </c>
      <c r="D142" t="n">
        <v>360</v>
      </c>
      <c r="E142" t="inlineStr">
        <is>
          <t>MXPO</t>
        </is>
      </c>
      <c r="F142" t="inlineStr">
        <is>
          <t>MXL</t>
        </is>
      </c>
      <c r="G142" t="n">
        <v>900003438</v>
      </c>
      <c r="H142" t="inlineStr">
        <is>
          <t>TC-ED-ESTRATEGIAS AVANZADAS</t>
        </is>
      </c>
      <c r="I142" t="n">
        <v>5049458</v>
      </c>
      <c r="J142" t="inlineStr">
        <is>
          <t>ESTRATEGIAS AVANZADAS PARA OBTEN</t>
        </is>
      </c>
      <c r="K142" t="inlineStr">
        <is>
          <t>Z03</t>
        </is>
      </c>
      <c r="L142" t="inlineStr">
        <is>
          <t>(AP) 15 Dias</t>
        </is>
      </c>
      <c r="M142" t="n">
        <v>10002802</v>
      </c>
      <c r="N142" t="inlineStr">
        <is>
          <t>Arena Clasificada Río Malla 4 Lavado</t>
        </is>
      </c>
      <c r="O142" t="inlineStr">
        <is>
          <t>DW70</t>
        </is>
      </c>
      <c r="P142" t="inlineStr">
        <is>
          <t>MX-CED. CENTRO</t>
        </is>
      </c>
      <c r="Q142" t="n">
        <v>20210712</v>
      </c>
      <c r="R142" t="n">
        <v>20281231</v>
      </c>
      <c r="S142" t="n">
        <v>20230501</v>
      </c>
      <c r="T142" t="n">
        <v>20281231</v>
      </c>
      <c r="U142" t="n">
        <v>372.39</v>
      </c>
      <c r="V142" t="inlineStr">
        <is>
          <t>MXN</t>
        </is>
      </c>
      <c r="W142" t="inlineStr">
        <is>
          <t>M3</t>
        </is>
      </c>
      <c r="X142" t="n">
        <v>222.39</v>
      </c>
      <c r="Y142" t="inlineStr">
        <is>
          <t>MXN</t>
        </is>
      </c>
      <c r="Z142" t="inlineStr">
        <is>
          <t>M3</t>
        </is>
      </c>
      <c r="AA142" t="inlineStr">
        <is>
          <t>D081</t>
        </is>
      </c>
      <c r="AB142" t="inlineStr">
        <is>
          <t>PD0088 ARMAS</t>
        </is>
      </c>
      <c r="AC142" t="n">
        <v>56103638</v>
      </c>
      <c r="AD142" t="n">
        <v>6644261540</v>
      </c>
      <c r="AE142" t="n">
        <v>4</v>
      </c>
      <c r="AF142" t="inlineStr">
        <is>
          <t>ENTREGA DIRECTA</t>
        </is>
      </c>
      <c r="AG142" t="n">
        <v>1.463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DW70-900003438-D081-10002802-4</t>
        </is>
      </c>
    </row>
    <row r="143">
      <c r="A143" t="inlineStr">
        <is>
          <t>900003438DW70D14510000623</t>
        </is>
      </c>
      <c r="B143" t="inlineStr">
        <is>
          <t>4600050497-190</t>
        </is>
      </c>
      <c r="C143" t="n">
        <v>4600050497</v>
      </c>
      <c r="D143" t="n">
        <v>190</v>
      </c>
      <c r="E143" t="inlineStr">
        <is>
          <t>MXPO</t>
        </is>
      </c>
      <c r="F143" t="inlineStr">
        <is>
          <t>MXL</t>
        </is>
      </c>
      <c r="G143" t="n">
        <v>900003438</v>
      </c>
      <c r="H143" t="inlineStr">
        <is>
          <t>TC-ED-ESTRATEGIAS AVANZADAS</t>
        </is>
      </c>
      <c r="I143" t="n">
        <v>5049458</v>
      </c>
      <c r="J143" t="inlineStr">
        <is>
          <t>ESTRATEGIAS AVANZADAS PARA OBTEN</t>
        </is>
      </c>
      <c r="K143" t="inlineStr">
        <is>
          <t>Z03</t>
        </is>
      </c>
      <c r="L143" t="inlineStr">
        <is>
          <t>(AP) 15 Dias</t>
        </is>
      </c>
      <c r="M143" t="n">
        <v>10000623</v>
      </c>
      <c r="N143" t="inlineStr">
        <is>
          <t>Grava Triturada Caliza 10 mm - 3/8"</t>
        </is>
      </c>
      <c r="O143" t="inlineStr">
        <is>
          <t>DW70</t>
        </is>
      </c>
      <c r="P143" t="inlineStr">
        <is>
          <t>MX-CED. CENTRO</t>
        </is>
      </c>
      <c r="Q143" t="n">
        <v>20210712</v>
      </c>
      <c r="R143" t="n">
        <v>20281231</v>
      </c>
      <c r="S143" t="n">
        <v>20230501</v>
      </c>
      <c r="T143" t="n">
        <v>20281231</v>
      </c>
      <c r="U143" t="n">
        <v>374.19</v>
      </c>
      <c r="V143" t="inlineStr">
        <is>
          <t>MXN</t>
        </is>
      </c>
      <c r="W143" t="inlineStr">
        <is>
          <t>M3</t>
        </is>
      </c>
      <c r="X143" t="n">
        <v>219.19</v>
      </c>
      <c r="Y143" t="inlineStr">
        <is>
          <t>MXN</t>
        </is>
      </c>
      <c r="Z143" t="inlineStr">
        <is>
          <t>M3</t>
        </is>
      </c>
      <c r="AA143" t="inlineStr">
        <is>
          <t>D145</t>
        </is>
      </c>
      <c r="AB143" t="inlineStr">
        <is>
          <t>PD0458 ECATEPEC II</t>
        </is>
      </c>
      <c r="AC143" t="n">
        <v>56103637</v>
      </c>
      <c r="AD143" t="n">
        <v>6644261540</v>
      </c>
      <c r="AE143" t="n">
        <v>4</v>
      </c>
      <c r="AF143" t="inlineStr">
        <is>
          <t>ENTREGA DIRECTA</t>
        </is>
      </c>
      <c r="AG143" t="n">
        <v>1.41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DW70-900003438-D145-10000623-4</t>
        </is>
      </c>
    </row>
    <row r="144">
      <c r="A144" t="inlineStr">
        <is>
          <t>900000472DW70D14510000643</t>
        </is>
      </c>
      <c r="B144" t="inlineStr">
        <is>
          <t>4600050481-670</t>
        </is>
      </c>
      <c r="C144" t="n">
        <v>4600050481</v>
      </c>
      <c r="D144" t="n">
        <v>670</v>
      </c>
      <c r="E144" t="inlineStr">
        <is>
          <t>MXPO</t>
        </is>
      </c>
      <c r="F144" t="inlineStr">
        <is>
          <t>MXL</t>
        </is>
      </c>
      <c r="G144" t="n">
        <v>900000472</v>
      </c>
      <c r="H144" t="inlineStr">
        <is>
          <t>TC-ED-TRIMCAV</t>
        </is>
      </c>
      <c r="I144" t="n">
        <v>5010147</v>
      </c>
      <c r="J144" t="inlineStr">
        <is>
          <t>TRITURACIONES DE MARMOL Y CALCIOS</t>
        </is>
      </c>
      <c r="K144" t="inlineStr">
        <is>
          <t>Z04</t>
        </is>
      </c>
      <c r="L144" t="inlineStr">
        <is>
          <t>(AP) 30 Dias</t>
        </is>
      </c>
      <c r="M144" t="n">
        <v>10000643</v>
      </c>
      <c r="N144" t="inlineStr">
        <is>
          <t>Grava Triturada Marmol 20 mm - 3/4"</t>
        </is>
      </c>
      <c r="O144" t="inlineStr">
        <is>
          <t>DW70</t>
        </is>
      </c>
      <c r="P144" t="inlineStr">
        <is>
          <t>MX-CED. CENTRO</t>
        </is>
      </c>
      <c r="Q144" t="n">
        <v>20210712</v>
      </c>
      <c r="R144" t="n">
        <v>20291231</v>
      </c>
      <c r="S144" t="n">
        <v>20230215</v>
      </c>
      <c r="T144" t="n">
        <v>20281231</v>
      </c>
      <c r="U144" t="n">
        <v>921.6900000000001</v>
      </c>
      <c r="V144" t="inlineStr">
        <is>
          <t>MXN</t>
        </is>
      </c>
      <c r="W144" t="inlineStr">
        <is>
          <t>TN</t>
        </is>
      </c>
      <c r="X144" t="n">
        <v>485.1</v>
      </c>
      <c r="Y144" t="inlineStr">
        <is>
          <t>MXN</t>
        </is>
      </c>
      <c r="Z144" t="inlineStr">
        <is>
          <t>TN</t>
        </is>
      </c>
      <c r="AA144" t="inlineStr">
        <is>
          <t>D145</t>
        </is>
      </c>
      <c r="AB144" t="inlineStr">
        <is>
          <t>PD0458 ECATEPEC II</t>
        </is>
      </c>
      <c r="AC144" t="n">
        <v>56103637</v>
      </c>
      <c r="AD144" t="n">
        <v>6644261540</v>
      </c>
      <c r="AE144" t="n">
        <v>4</v>
      </c>
      <c r="AF144" t="inlineStr">
        <is>
          <t>ENTREGA DIRECTA</t>
        </is>
      </c>
      <c r="AG144" t="n">
        <v>1</v>
      </c>
      <c r="AH144" t="inlineStr">
        <is>
          <t>TO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DW70-900000472-D145-10000643-4</t>
        </is>
      </c>
    </row>
    <row r="145">
      <c r="A145" t="inlineStr">
        <is>
          <t>900003438DW70D11110002802</t>
        </is>
      </c>
      <c r="B145" t="inlineStr">
        <is>
          <t>4600050497-530</t>
        </is>
      </c>
      <c r="C145" t="n">
        <v>4600050497</v>
      </c>
      <c r="D145" t="n">
        <v>530</v>
      </c>
      <c r="E145" t="inlineStr">
        <is>
          <t>MXPO</t>
        </is>
      </c>
      <c r="F145" t="inlineStr">
        <is>
          <t>MXL</t>
        </is>
      </c>
      <c r="G145" t="n">
        <v>900003438</v>
      </c>
      <c r="H145" t="inlineStr">
        <is>
          <t>TC-ED-ESTRATEGIAS AVANZADAS</t>
        </is>
      </c>
      <c r="I145" t="n">
        <v>5049458</v>
      </c>
      <c r="J145" t="inlineStr">
        <is>
          <t>ESTRATEGIAS AVANZADAS PARA OBTEN</t>
        </is>
      </c>
      <c r="K145" t="inlineStr">
        <is>
          <t>Z03</t>
        </is>
      </c>
      <c r="L145" t="inlineStr">
        <is>
          <t>(AP) 15 Dias</t>
        </is>
      </c>
      <c r="M145" t="n">
        <v>10002802</v>
      </c>
      <c r="N145" t="inlineStr">
        <is>
          <t>Arena Clasificada Río Malla 4 Lavado</t>
        </is>
      </c>
      <c r="O145" t="inlineStr">
        <is>
          <t>DW70</t>
        </is>
      </c>
      <c r="P145" t="inlineStr">
        <is>
          <t>MX-CED. CENTRO</t>
        </is>
      </c>
      <c r="Q145" t="n">
        <v>20210712</v>
      </c>
      <c r="R145" t="n">
        <v>20281231</v>
      </c>
      <c r="S145" t="n">
        <v>20210712</v>
      </c>
      <c r="T145" t="n">
        <v>20251231</v>
      </c>
      <c r="U145" t="n">
        <v>426</v>
      </c>
      <c r="V145" t="inlineStr">
        <is>
          <t>MXN</t>
        </is>
      </c>
      <c r="W145" t="inlineStr">
        <is>
          <t>M3</t>
        </is>
      </c>
      <c r="X145" t="n">
        <v>294</v>
      </c>
      <c r="Y145" t="inlineStr">
        <is>
          <t>MXN</t>
        </is>
      </c>
      <c r="Z145" t="inlineStr">
        <is>
          <t>M3</t>
        </is>
      </c>
      <c r="AA145" t="inlineStr">
        <is>
          <t>D111</t>
        </is>
      </c>
      <c r="AB145" t="inlineStr">
        <is>
          <t>PD0317 TOLUCA LERMAS 2</t>
        </is>
      </c>
      <c r="AC145" t="n">
        <v>56103638</v>
      </c>
      <c r="AD145" t="n">
        <v>6644261540</v>
      </c>
      <c r="AE145" t="n">
        <v>4</v>
      </c>
      <c r="AF145" t="inlineStr">
        <is>
          <t>ENTREGA DIRECTA</t>
        </is>
      </c>
      <c r="AG145" t="n">
        <v>1.463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DW70-900003438-D111-10002802-4</t>
        </is>
      </c>
    </row>
    <row r="146">
      <c r="A146" t="inlineStr">
        <is>
          <t>900000472DW70D08310188219</t>
        </is>
      </c>
      <c r="B146" t="inlineStr">
        <is>
          <t>4600050481-110</t>
        </is>
      </c>
      <c r="C146" t="n">
        <v>4600050481</v>
      </c>
      <c r="D146" t="n">
        <v>110</v>
      </c>
      <c r="E146" t="inlineStr">
        <is>
          <t>MXPO</t>
        </is>
      </c>
      <c r="F146" t="inlineStr">
        <is>
          <t>MXL</t>
        </is>
      </c>
      <c r="G146" t="n">
        <v>900000472</v>
      </c>
      <c r="H146" t="inlineStr">
        <is>
          <t>TC-ED-TRIMCAV</t>
        </is>
      </c>
      <c r="I146" t="n">
        <v>5010147</v>
      </c>
      <c r="J146" t="inlineStr">
        <is>
          <t>TRITURACIONES DE MARMOL Y CALCIOS</t>
        </is>
      </c>
      <c r="K146" t="inlineStr">
        <is>
          <t>Z04</t>
        </is>
      </c>
      <c r="L146" t="inlineStr">
        <is>
          <t>(AP) 30 Dias</t>
        </is>
      </c>
      <c r="M146" t="n">
        <v>10188219</v>
      </c>
      <c r="N146" t="inlineStr">
        <is>
          <t>ARENA TRITURADA MÁRMOL NEGRO MALLA 4</t>
        </is>
      </c>
      <c r="O146" t="inlineStr">
        <is>
          <t>DW70</t>
        </is>
      </c>
      <c r="P146" t="inlineStr">
        <is>
          <t>MX-CED. CENTRO</t>
        </is>
      </c>
      <c r="Q146" t="n">
        <v>20210712</v>
      </c>
      <c r="R146" t="n">
        <v>20291231</v>
      </c>
      <c r="S146" t="n">
        <v>20210712</v>
      </c>
      <c r="T146" t="n">
        <v>20251231</v>
      </c>
      <c r="U146" t="n">
        <v>1300</v>
      </c>
      <c r="V146" t="inlineStr">
        <is>
          <t>MXN</t>
        </is>
      </c>
      <c r="W146" t="inlineStr">
        <is>
          <t>TN</t>
        </is>
      </c>
      <c r="X146" t="n">
        <v>650</v>
      </c>
      <c r="Y146" t="inlineStr">
        <is>
          <t>MXN</t>
        </is>
      </c>
      <c r="Z146" t="inlineStr">
        <is>
          <t>TN</t>
        </is>
      </c>
      <c r="AA146" t="inlineStr">
        <is>
          <t>D083</t>
        </is>
      </c>
      <c r="AB146" t="inlineStr">
        <is>
          <t>PD0099 MINAS</t>
        </is>
      </c>
      <c r="AC146" t="n">
        <v>56103638</v>
      </c>
      <c r="AD146" t="n">
        <v>6644261540</v>
      </c>
      <c r="AE146" t="n">
        <v>4</v>
      </c>
      <c r="AF146" t="inlineStr">
        <is>
          <t>ENTREGA DIRECTA</t>
        </is>
      </c>
      <c r="AG146" t="n">
        <v>1</v>
      </c>
      <c r="AH146" t="inlineStr">
        <is>
          <t>TO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DW70-900000472-D083-10188219-4</t>
        </is>
      </c>
    </row>
    <row r="147">
      <c r="A147" t="inlineStr">
        <is>
          <t>900000472DW70D08310190932</t>
        </is>
      </c>
      <c r="B147" t="inlineStr">
        <is>
          <t>4600050481-700</t>
        </is>
      </c>
      <c r="C147" t="n">
        <v>4600050481</v>
      </c>
      <c r="D147" t="n">
        <v>700</v>
      </c>
      <c r="E147" t="inlineStr">
        <is>
          <t>MXPO</t>
        </is>
      </c>
      <c r="F147" t="inlineStr">
        <is>
          <t>MXL</t>
        </is>
      </c>
      <c r="G147" t="n">
        <v>900000472</v>
      </c>
      <c r="H147" t="inlineStr">
        <is>
          <t>TC-ED-TRIMCAV</t>
        </is>
      </c>
      <c r="I147" t="n">
        <v>5010147</v>
      </c>
      <c r="J147" t="inlineStr">
        <is>
          <t>TRITURACIONES DE MARMOL Y CALCIOS</t>
        </is>
      </c>
      <c r="K147" t="inlineStr">
        <is>
          <t>Z04</t>
        </is>
      </c>
      <c r="L147" t="inlineStr">
        <is>
          <t>(AP) 30 Dias</t>
        </is>
      </c>
      <c r="M147" t="n">
        <v>10190932</v>
      </c>
      <c r="N147" t="inlineStr">
        <is>
          <t>GRAVA TRITURADA MÁRMOL NEGRO 20 MM - 3/4</t>
        </is>
      </c>
      <c r="O147" t="inlineStr">
        <is>
          <t>DW70</t>
        </is>
      </c>
      <c r="P147" t="inlineStr">
        <is>
          <t>MX-CED. CENTRO</t>
        </is>
      </c>
      <c r="Q147" t="n">
        <v>20210712</v>
      </c>
      <c r="R147" t="n">
        <v>20291231</v>
      </c>
      <c r="S147" t="n">
        <v>20210712</v>
      </c>
      <c r="T147" t="n">
        <v>20251231</v>
      </c>
      <c r="U147" t="n">
        <v>1300</v>
      </c>
      <c r="V147" t="inlineStr">
        <is>
          <t>MXN</t>
        </is>
      </c>
      <c r="W147" t="inlineStr">
        <is>
          <t>TN</t>
        </is>
      </c>
      <c r="X147" t="n">
        <v>650</v>
      </c>
      <c r="Y147" t="inlineStr">
        <is>
          <t>MXN</t>
        </is>
      </c>
      <c r="Z147" t="inlineStr">
        <is>
          <t>TN</t>
        </is>
      </c>
      <c r="AA147" t="inlineStr">
        <is>
          <t>D083</t>
        </is>
      </c>
      <c r="AB147" t="inlineStr">
        <is>
          <t>PD0099 MINAS</t>
        </is>
      </c>
      <c r="AC147" t="n">
        <v>56103637</v>
      </c>
      <c r="AD147" t="n">
        <v>6644261540</v>
      </c>
      <c r="AE147" t="n">
        <v>4</v>
      </c>
      <c r="AF147" t="inlineStr">
        <is>
          <t>ENTREGA DIRECTA</t>
        </is>
      </c>
      <c r="AG147" t="n">
        <v>1</v>
      </c>
      <c r="AH147" t="inlineStr">
        <is>
          <t>TO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DW70-900000472-D083-10190932-4</t>
        </is>
      </c>
    </row>
    <row r="148">
      <c r="A148" t="inlineStr">
        <is>
          <t>900003438DW70D07410000811</t>
        </is>
      </c>
      <c r="B148" t="inlineStr">
        <is>
          <t>4600050497-780</t>
        </is>
      </c>
      <c r="C148" t="n">
        <v>4600050497</v>
      </c>
      <c r="D148" t="n">
        <v>780</v>
      </c>
      <c r="E148" t="inlineStr">
        <is>
          <t>MXPO</t>
        </is>
      </c>
      <c r="F148" t="inlineStr">
        <is>
          <t>MXL</t>
        </is>
      </c>
      <c r="G148" t="n">
        <v>900003438</v>
      </c>
      <c r="H148" t="inlineStr">
        <is>
          <t>TC-ED-ESTRATEGIAS AVANZADAS</t>
        </is>
      </c>
      <c r="I148" t="n">
        <v>5049458</v>
      </c>
      <c r="J148" t="inlineStr">
        <is>
          <t>ESTRATEGIAS AVANZADAS PARA OBTEN</t>
        </is>
      </c>
      <c r="K148" t="inlineStr">
        <is>
          <t>Z03</t>
        </is>
      </c>
      <c r="L148" t="inlineStr">
        <is>
          <t>(AP) 15 Dias</t>
        </is>
      </c>
      <c r="M148" t="n">
        <v>10000811</v>
      </c>
      <c r="N148" t="inlineStr">
        <is>
          <t>Grava Triturada Caliza 20 mm - 3/4"</t>
        </is>
      </c>
      <c r="O148" t="inlineStr">
        <is>
          <t>DW70</t>
        </is>
      </c>
      <c r="P148" t="inlineStr">
        <is>
          <t>MX-CED. CENTRO</t>
        </is>
      </c>
      <c r="Q148" t="n">
        <v>20210712</v>
      </c>
      <c r="R148" t="n">
        <v>20281231</v>
      </c>
      <c r="S148" t="n">
        <v>20211215</v>
      </c>
      <c r="T148" t="n">
        <v>20261231</v>
      </c>
      <c r="U148" t="n">
        <v>382.49</v>
      </c>
      <c r="V148" t="inlineStr">
        <is>
          <t>MXN</t>
        </is>
      </c>
      <c r="W148" t="inlineStr">
        <is>
          <t>M3</t>
        </is>
      </c>
      <c r="X148" t="n">
        <v>241.49</v>
      </c>
      <c r="Y148" t="inlineStr">
        <is>
          <t>MXN</t>
        </is>
      </c>
      <c r="Z148" t="inlineStr">
        <is>
          <t>M3</t>
        </is>
      </c>
      <c r="AA148" t="inlineStr">
        <is>
          <t>D074</t>
        </is>
      </c>
      <c r="AB148" t="inlineStr">
        <is>
          <t>PD0063 CENTRAL</t>
        </is>
      </c>
      <c r="AC148" t="n">
        <v>56103637</v>
      </c>
      <c r="AD148" t="n">
        <v>6644261540</v>
      </c>
      <c r="AE148" t="n">
        <v>4</v>
      </c>
      <c r="AF148" t="inlineStr">
        <is>
          <t>ENTREGA DIRECTA</t>
        </is>
      </c>
      <c r="AG148" t="n">
        <v>1.447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DW70-900003438-D074-10000811-4</t>
        </is>
      </c>
    </row>
    <row r="149">
      <c r="A149" t="inlineStr">
        <is>
          <t>900003438DW70D09310000623</t>
        </is>
      </c>
      <c r="B149" t="inlineStr">
        <is>
          <t>4600050497-170</t>
        </is>
      </c>
      <c r="C149" t="n">
        <v>4600050497</v>
      </c>
      <c r="D149" t="n">
        <v>170</v>
      </c>
      <c r="E149" t="inlineStr">
        <is>
          <t>MXPO</t>
        </is>
      </c>
      <c r="F149" t="inlineStr">
        <is>
          <t>MXL</t>
        </is>
      </c>
      <c r="G149" t="n">
        <v>900003438</v>
      </c>
      <c r="H149" t="inlineStr">
        <is>
          <t>TC-ED-ESTRATEGIAS AVANZADAS</t>
        </is>
      </c>
      <c r="I149" t="n">
        <v>5049458</v>
      </c>
      <c r="J149" t="inlineStr">
        <is>
          <t>ESTRATEGIAS AVANZADAS PARA OBTEN</t>
        </is>
      </c>
      <c r="K149" t="inlineStr">
        <is>
          <t>Z03</t>
        </is>
      </c>
      <c r="L149" t="inlineStr">
        <is>
          <t>(AP) 15 Dias</t>
        </is>
      </c>
      <c r="M149" t="n">
        <v>10000623</v>
      </c>
      <c r="N149" t="inlineStr">
        <is>
          <t>Grava Triturada Caliza 10 mm - 3/8"</t>
        </is>
      </c>
      <c r="O149" t="inlineStr">
        <is>
          <t>DW70</t>
        </is>
      </c>
      <c r="P149" t="inlineStr">
        <is>
          <t>MX-CED. CENTRO</t>
        </is>
      </c>
      <c r="Q149" t="n">
        <v>20210712</v>
      </c>
      <c r="R149" t="n">
        <v>20281231</v>
      </c>
      <c r="S149" t="n">
        <v>20230501</v>
      </c>
      <c r="T149" t="n">
        <v>20281231</v>
      </c>
      <c r="U149" t="n">
        <v>287.86</v>
      </c>
      <c r="V149" t="inlineStr">
        <is>
          <t>MXN</t>
        </is>
      </c>
      <c r="W149" t="inlineStr">
        <is>
          <t>M3</t>
        </is>
      </c>
      <c r="X149" t="n">
        <v>132.86</v>
      </c>
      <c r="Y149" t="inlineStr">
        <is>
          <t>MXN</t>
        </is>
      </c>
      <c r="Z149" t="inlineStr">
        <is>
          <t>M3</t>
        </is>
      </c>
      <c r="AA149" t="inlineStr">
        <is>
          <t>D093</t>
        </is>
      </c>
      <c r="AB149" t="inlineStr">
        <is>
          <t>PD0556 ZUMPANGO</t>
        </is>
      </c>
      <c r="AC149" t="n">
        <v>56103637</v>
      </c>
      <c r="AD149" t="n">
        <v>6644261540</v>
      </c>
      <c r="AE149" t="n">
        <v>4</v>
      </c>
      <c r="AF149" t="inlineStr">
        <is>
          <t>ENTREGA DIRECTA</t>
        </is>
      </c>
      <c r="AG149" t="n">
        <v>1.41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DW70-900003438-D093-10000623-4</t>
        </is>
      </c>
    </row>
    <row r="150">
      <c r="A150" t="inlineStr">
        <is>
          <t>900000472DW70D07410000635</t>
        </is>
      </c>
      <c r="B150" t="inlineStr">
        <is>
          <t>4600050481-810</t>
        </is>
      </c>
      <c r="C150" t="n">
        <v>4600050481</v>
      </c>
      <c r="D150" t="n">
        <v>810</v>
      </c>
      <c r="E150" t="inlineStr">
        <is>
          <t>MXPO</t>
        </is>
      </c>
      <c r="F150" t="inlineStr">
        <is>
          <t>MXL</t>
        </is>
      </c>
      <c r="G150" t="n">
        <v>900000472</v>
      </c>
      <c r="H150" t="inlineStr">
        <is>
          <t>TC-ED-TRIMCAV</t>
        </is>
      </c>
      <c r="I150" t="n">
        <v>5010147</v>
      </c>
      <c r="J150" t="inlineStr">
        <is>
          <t>TRITURACIONES DE MARMOL Y CALCIOS</t>
        </is>
      </c>
      <c r="K150" t="inlineStr">
        <is>
          <t>Z04</t>
        </is>
      </c>
      <c r="L150" t="inlineStr">
        <is>
          <t>(AP) 30 Dias</t>
        </is>
      </c>
      <c r="M150" t="n">
        <v>10000635</v>
      </c>
      <c r="N150" t="inlineStr">
        <is>
          <t>Arena Triturada Marmol Malla 4</t>
        </is>
      </c>
      <c r="O150" t="inlineStr">
        <is>
          <t>DW70</t>
        </is>
      </c>
      <c r="P150" t="inlineStr">
        <is>
          <t>MX-CED. CENTRO</t>
        </is>
      </c>
      <c r="Q150" t="n">
        <v>20210712</v>
      </c>
      <c r="R150" t="n">
        <v>20291231</v>
      </c>
      <c r="S150" t="n">
        <v>20230215</v>
      </c>
      <c r="T150" t="n">
        <v>20281231</v>
      </c>
      <c r="U150" t="n">
        <v>921.6900000000001</v>
      </c>
      <c r="V150" t="inlineStr">
        <is>
          <t>MXN</t>
        </is>
      </c>
      <c r="W150" t="inlineStr">
        <is>
          <t>TN</t>
        </is>
      </c>
      <c r="X150" t="n">
        <v>485.1</v>
      </c>
      <c r="Y150" t="inlineStr">
        <is>
          <t>MXN</t>
        </is>
      </c>
      <c r="Z150" t="inlineStr">
        <is>
          <t>TN</t>
        </is>
      </c>
      <c r="AA150" t="inlineStr">
        <is>
          <t>D074</t>
        </is>
      </c>
      <c r="AB150" t="inlineStr">
        <is>
          <t>PD0063 CENTRAL</t>
        </is>
      </c>
      <c r="AC150" t="n">
        <v>56103638</v>
      </c>
      <c r="AD150" t="n">
        <v>6644261540</v>
      </c>
      <c r="AE150" t="n">
        <v>4</v>
      </c>
      <c r="AF150" t="inlineStr">
        <is>
          <t>ENTREGA DIRECTA</t>
        </is>
      </c>
      <c r="AG150" t="n">
        <v>1</v>
      </c>
      <c r="AH150" t="inlineStr">
        <is>
          <t>TO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DW70-900000472-D074-10000635-4</t>
        </is>
      </c>
    </row>
    <row r="151">
      <c r="A151" t="inlineStr">
        <is>
          <t>900000472DW70D08810000655</t>
        </is>
      </c>
      <c r="B151" t="inlineStr">
        <is>
          <t>4600050481-910</t>
        </is>
      </c>
      <c r="C151" t="n">
        <v>4600050481</v>
      </c>
      <c r="D151" t="n">
        <v>910</v>
      </c>
      <c r="E151" t="inlineStr">
        <is>
          <t>MXPO</t>
        </is>
      </c>
      <c r="F151" t="inlineStr">
        <is>
          <t>MXL</t>
        </is>
      </c>
      <c r="G151" t="n">
        <v>900000472</v>
      </c>
      <c r="H151" t="inlineStr">
        <is>
          <t>TC-ED-TRIMCAV</t>
        </is>
      </c>
      <c r="I151" t="n">
        <v>5010147</v>
      </c>
      <c r="J151" t="inlineStr">
        <is>
          <t>TRITURACIONES DE MARMOL Y CALCIOS</t>
        </is>
      </c>
      <c r="K151" t="inlineStr">
        <is>
          <t>Z04</t>
        </is>
      </c>
      <c r="L151" t="inlineStr">
        <is>
          <t>(AP) 30 Dias</t>
        </is>
      </c>
      <c r="M151" t="n">
        <v>10000655</v>
      </c>
      <c r="N151" t="inlineStr">
        <is>
          <t>Grava Triturada Marmol 10 mm - 3/8"</t>
        </is>
      </c>
      <c r="O151" t="inlineStr">
        <is>
          <t>DW70</t>
        </is>
      </c>
      <c r="P151" t="inlineStr">
        <is>
          <t>MX-CED. CENTRO</t>
        </is>
      </c>
      <c r="Q151" t="n">
        <v>20210712</v>
      </c>
      <c r="R151" t="n">
        <v>20291231</v>
      </c>
      <c r="S151" t="n">
        <v>20230215</v>
      </c>
      <c r="T151" t="n">
        <v>20281231</v>
      </c>
      <c r="U151" t="n">
        <v>921.6900000000001</v>
      </c>
      <c r="V151" t="inlineStr">
        <is>
          <t>MXN</t>
        </is>
      </c>
      <c r="W151" t="inlineStr">
        <is>
          <t>TN</t>
        </is>
      </c>
      <c r="X151" t="n">
        <v>485.1</v>
      </c>
      <c r="Y151" t="inlineStr">
        <is>
          <t>MXN</t>
        </is>
      </c>
      <c r="Z151" t="inlineStr">
        <is>
          <t>TN</t>
        </is>
      </c>
      <c r="AA151" t="inlineStr">
        <is>
          <t>D088</t>
        </is>
      </c>
      <c r="AB151" t="inlineStr">
        <is>
          <t>PD081 HUEHUETOCA V</t>
        </is>
      </c>
      <c r="AC151" t="n">
        <v>56103637</v>
      </c>
      <c r="AD151" t="n">
        <v>6644261540</v>
      </c>
      <c r="AE151" t="n">
        <v>4</v>
      </c>
      <c r="AF151" t="inlineStr">
        <is>
          <t>ENTREGA DIRECTA</t>
        </is>
      </c>
      <c r="AG151" t="n">
        <v>1</v>
      </c>
      <c r="AH151" t="inlineStr">
        <is>
          <t>TO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DW70-900000472-D088-10000655-4</t>
        </is>
      </c>
    </row>
    <row r="152">
      <c r="A152" t="inlineStr">
        <is>
          <t>900000472DW70D08010190932</t>
        </is>
      </c>
      <c r="B152" t="inlineStr">
        <is>
          <t>4600050481-680</t>
        </is>
      </c>
      <c r="C152" t="n">
        <v>4600050481</v>
      </c>
      <c r="D152" t="n">
        <v>680</v>
      </c>
      <c r="E152" t="inlineStr">
        <is>
          <t>MXPO</t>
        </is>
      </c>
      <c r="F152" t="inlineStr">
        <is>
          <t>MXL</t>
        </is>
      </c>
      <c r="G152" t="n">
        <v>900000472</v>
      </c>
      <c r="H152" t="inlineStr">
        <is>
          <t>TC-ED-TRIMCAV</t>
        </is>
      </c>
      <c r="I152" t="n">
        <v>5010147</v>
      </c>
      <c r="J152" t="inlineStr">
        <is>
          <t>TRITURACIONES DE MARMOL Y CALCIOS</t>
        </is>
      </c>
      <c r="K152" t="inlineStr">
        <is>
          <t>Z04</t>
        </is>
      </c>
      <c r="L152" t="inlineStr">
        <is>
          <t>(AP) 30 Dias</t>
        </is>
      </c>
      <c r="M152" t="n">
        <v>10190932</v>
      </c>
      <c r="N152" t="inlineStr">
        <is>
          <t>GRAVA TRITURADA MÁRMOL NEGRO 20 MM - 3/4</t>
        </is>
      </c>
      <c r="O152" t="inlineStr">
        <is>
          <t>DW70</t>
        </is>
      </c>
      <c r="P152" t="inlineStr">
        <is>
          <t>MX-CED. CENTRO</t>
        </is>
      </c>
      <c r="Q152" t="n">
        <v>20210712</v>
      </c>
      <c r="R152" t="n">
        <v>20291231</v>
      </c>
      <c r="S152" t="n">
        <v>20210712</v>
      </c>
      <c r="T152" t="n">
        <v>20251231</v>
      </c>
      <c r="U152" t="n">
        <v>1300</v>
      </c>
      <c r="V152" t="inlineStr">
        <is>
          <t>MXN</t>
        </is>
      </c>
      <c r="W152" t="inlineStr">
        <is>
          <t>TN</t>
        </is>
      </c>
      <c r="X152" t="n">
        <v>650</v>
      </c>
      <c r="Y152" t="inlineStr">
        <is>
          <t>MXN</t>
        </is>
      </c>
      <c r="Z152" t="inlineStr">
        <is>
          <t>TN</t>
        </is>
      </c>
      <c r="AA152" t="inlineStr">
        <is>
          <t>D080</t>
        </is>
      </c>
      <c r="AB152" t="inlineStr">
        <is>
          <t>PD0086 VALLEJO</t>
        </is>
      </c>
      <c r="AC152" t="n">
        <v>56103637</v>
      </c>
      <c r="AD152" t="n">
        <v>6644261540</v>
      </c>
      <c r="AE152" t="n">
        <v>4</v>
      </c>
      <c r="AF152" t="inlineStr">
        <is>
          <t>ENTREGA DIRECTA</t>
        </is>
      </c>
      <c r="AG152" t="n">
        <v>1</v>
      </c>
      <c r="AH152" t="inlineStr">
        <is>
          <t>TO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DW70-900000472-D080-10190932-4</t>
        </is>
      </c>
    </row>
    <row r="153">
      <c r="A153" t="inlineStr">
        <is>
          <t>900000472DW70D08610004432</t>
        </is>
      </c>
      <c r="B153" t="inlineStr">
        <is>
          <t>4600050481-10</t>
        </is>
      </c>
      <c r="C153" t="n">
        <v>4600050481</v>
      </c>
      <c r="D153" t="n">
        <v>10</v>
      </c>
      <c r="E153" t="inlineStr">
        <is>
          <t>MXPO</t>
        </is>
      </c>
      <c r="F153" t="inlineStr">
        <is>
          <t>MXL</t>
        </is>
      </c>
      <c r="G153" t="n">
        <v>900000472</v>
      </c>
      <c r="H153" t="inlineStr">
        <is>
          <t>TC-ED-TRIMCAV</t>
        </is>
      </c>
      <c r="I153" t="n">
        <v>5010147</v>
      </c>
      <c r="J153" t="inlineStr">
        <is>
          <t>TRITURACIONES DE MARMOL Y CALCIOS</t>
        </is>
      </c>
      <c r="K153" t="inlineStr">
        <is>
          <t>Z04</t>
        </is>
      </c>
      <c r="L153" t="inlineStr">
        <is>
          <t>(AP) 30 Dias</t>
        </is>
      </c>
      <c r="M153" t="n">
        <v>10004432</v>
      </c>
      <c r="N153" t="inlineStr">
        <is>
          <t>Grava Triturada Barita 20 mm - 3/4"</t>
        </is>
      </c>
      <c r="O153" t="inlineStr">
        <is>
          <t>DW70</t>
        </is>
      </c>
      <c r="P153" t="inlineStr">
        <is>
          <t>MX-CED. CENTRO</t>
        </is>
      </c>
      <c r="Q153" t="n">
        <v>20210712</v>
      </c>
      <c r="R153" t="n">
        <v>20291231</v>
      </c>
      <c r="S153" t="n">
        <v>20210712</v>
      </c>
      <c r="T153" t="n">
        <v>20251231</v>
      </c>
      <c r="U153" t="n">
        <v>4600</v>
      </c>
      <c r="V153" t="inlineStr">
        <is>
          <t>MXN</t>
        </is>
      </c>
      <c r="W153" t="inlineStr">
        <is>
          <t>TN</t>
        </is>
      </c>
      <c r="X153" t="n">
        <v>600</v>
      </c>
      <c r="Y153" t="inlineStr">
        <is>
          <t>MXN</t>
        </is>
      </c>
      <c r="Z153" t="inlineStr">
        <is>
          <t>TN</t>
        </is>
      </c>
      <c r="AA153" t="inlineStr">
        <is>
          <t>D086</t>
        </is>
      </c>
      <c r="AB153" t="inlineStr">
        <is>
          <t>PD0190 XALOSTC</t>
        </is>
      </c>
      <c r="AC153" t="n">
        <v>56103637</v>
      </c>
      <c r="AD153" t="n">
        <v>6644261540</v>
      </c>
      <c r="AE153" t="n">
        <v>4</v>
      </c>
      <c r="AF153" t="inlineStr">
        <is>
          <t>ENTREGA DIRECTA</t>
        </is>
      </c>
      <c r="AG153" t="n">
        <v>1</v>
      </c>
      <c r="AH153" t="inlineStr">
        <is>
          <t>TO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DW70-900000472-D086-10004432-4</t>
        </is>
      </c>
    </row>
    <row r="154">
      <c r="A154" t="inlineStr">
        <is>
          <t>900000472DW70D08910000655</t>
        </is>
      </c>
      <c r="B154" t="inlineStr">
        <is>
          <t>4600050481-570</t>
        </is>
      </c>
      <c r="C154" t="n">
        <v>4600050481</v>
      </c>
      <c r="D154" t="n">
        <v>570</v>
      </c>
      <c r="E154" t="inlineStr">
        <is>
          <t>MXPO</t>
        </is>
      </c>
      <c r="F154" t="inlineStr">
        <is>
          <t>MXL</t>
        </is>
      </c>
      <c r="G154" t="n">
        <v>900000472</v>
      </c>
      <c r="H154" t="inlineStr">
        <is>
          <t>TC-ED-TRIMCAV</t>
        </is>
      </c>
      <c r="I154" t="n">
        <v>5010147</v>
      </c>
      <c r="J154" t="inlineStr">
        <is>
          <t>TRITURACIONES DE MARMOL Y CALCIOS</t>
        </is>
      </c>
      <c r="K154" t="inlineStr">
        <is>
          <t>Z04</t>
        </is>
      </c>
      <c r="L154" t="inlineStr">
        <is>
          <t>(AP) 30 Dias</t>
        </is>
      </c>
      <c r="M154" t="n">
        <v>10000655</v>
      </c>
      <c r="N154" t="inlineStr">
        <is>
          <t>Grava Triturada Marmol 10 mm - 3/8"</t>
        </is>
      </c>
      <c r="O154" t="inlineStr">
        <is>
          <t>DW70</t>
        </is>
      </c>
      <c r="P154" t="inlineStr">
        <is>
          <t>MX-CED. CENTRO</t>
        </is>
      </c>
      <c r="Q154" t="n">
        <v>20210712</v>
      </c>
      <c r="R154" t="n">
        <v>20291231</v>
      </c>
      <c r="S154" t="n">
        <v>20230215</v>
      </c>
      <c r="T154" t="n">
        <v>20281231</v>
      </c>
      <c r="U154" t="n">
        <v>921.6900000000001</v>
      </c>
      <c r="V154" t="inlineStr">
        <is>
          <t>MXN</t>
        </is>
      </c>
      <c r="W154" t="inlineStr">
        <is>
          <t>TN</t>
        </is>
      </c>
      <c r="X154" t="n">
        <v>485.1</v>
      </c>
      <c r="Y154" t="inlineStr">
        <is>
          <t>MXN</t>
        </is>
      </c>
      <c r="Z154" t="inlineStr">
        <is>
          <t>TN</t>
        </is>
      </c>
      <c r="AA154" t="inlineStr">
        <is>
          <t>D089</t>
        </is>
      </c>
      <c r="AB154" t="inlineStr">
        <is>
          <t>PD0091 TULA IV</t>
        </is>
      </c>
      <c r="AC154" t="n">
        <v>56103637</v>
      </c>
      <c r="AD154" t="n">
        <v>6644261540</v>
      </c>
      <c r="AE154" t="n">
        <v>4</v>
      </c>
      <c r="AF154" t="inlineStr">
        <is>
          <t>ENTREGA DIRECTA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DW70-900000472-D089-10000655-4</t>
        </is>
      </c>
    </row>
    <row r="155">
      <c r="A155" t="inlineStr">
        <is>
          <t>900000472DW70D08610000635</t>
        </is>
      </c>
      <c r="B155" t="inlineStr">
        <is>
          <t>4600050481-980</t>
        </is>
      </c>
      <c r="C155" t="n">
        <v>4600050481</v>
      </c>
      <c r="D155" t="n">
        <v>980</v>
      </c>
      <c r="E155" t="inlineStr">
        <is>
          <t>MXPO</t>
        </is>
      </c>
      <c r="F155" t="inlineStr">
        <is>
          <t>MXL</t>
        </is>
      </c>
      <c r="G155" t="n">
        <v>900000472</v>
      </c>
      <c r="H155" t="inlineStr">
        <is>
          <t>TC-ED-TRIMCAV</t>
        </is>
      </c>
      <c r="I155" t="n">
        <v>5010147</v>
      </c>
      <c r="J155" t="inlineStr">
        <is>
          <t>TRITURACIONES DE MARMOL Y CALCIOS</t>
        </is>
      </c>
      <c r="K155" t="inlineStr">
        <is>
          <t>Z04</t>
        </is>
      </c>
      <c r="L155" t="inlineStr">
        <is>
          <t>(AP) 30 Dias</t>
        </is>
      </c>
      <c r="M155" t="n">
        <v>10000635</v>
      </c>
      <c r="N155" t="inlineStr">
        <is>
          <t>Arena Triturada Marmol Malla 4</t>
        </is>
      </c>
      <c r="O155" t="inlineStr">
        <is>
          <t>DW70</t>
        </is>
      </c>
      <c r="P155" t="inlineStr">
        <is>
          <t>MX-CED. CENTRO</t>
        </is>
      </c>
      <c r="Q155" t="n">
        <v>20210712</v>
      </c>
      <c r="R155" t="n">
        <v>20291231</v>
      </c>
      <c r="S155" t="n">
        <v>20230215</v>
      </c>
      <c r="T155" t="n">
        <v>20281231</v>
      </c>
      <c r="U155" t="n">
        <v>921.6900000000001</v>
      </c>
      <c r="V155" t="inlineStr">
        <is>
          <t>MXN</t>
        </is>
      </c>
      <c r="W155" t="inlineStr">
        <is>
          <t>TN</t>
        </is>
      </c>
      <c r="X155" t="n">
        <v>485.1</v>
      </c>
      <c r="Y155" t="inlineStr">
        <is>
          <t>MXN</t>
        </is>
      </c>
      <c r="Z155" t="inlineStr">
        <is>
          <t>TN</t>
        </is>
      </c>
      <c r="AA155" t="inlineStr">
        <is>
          <t>D086</t>
        </is>
      </c>
      <c r="AB155" t="inlineStr">
        <is>
          <t>PD0190 XALOSTC</t>
        </is>
      </c>
      <c r="AC155" t="n">
        <v>56103638</v>
      </c>
      <c r="AD155" t="n">
        <v>6644261540</v>
      </c>
      <c r="AE155" t="n">
        <v>4</v>
      </c>
      <c r="AF155" t="inlineStr">
        <is>
          <t>ENTREGA DIRECTA</t>
        </is>
      </c>
      <c r="AG155" t="n">
        <v>1</v>
      </c>
      <c r="AH155" t="inlineStr">
        <is>
          <t>TO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DW70-900000472-D086-10000635-4</t>
        </is>
      </c>
    </row>
    <row r="156">
      <c r="A156" t="inlineStr">
        <is>
          <t>900000472DW70D14510190932</t>
        </is>
      </c>
      <c r="B156" t="inlineStr">
        <is>
          <t>4600050481-770</t>
        </is>
      </c>
      <c r="C156" t="n">
        <v>4600050481</v>
      </c>
      <c r="D156" t="n">
        <v>770</v>
      </c>
      <c r="E156" t="inlineStr">
        <is>
          <t>MXPO</t>
        </is>
      </c>
      <c r="F156" t="inlineStr">
        <is>
          <t>MXL</t>
        </is>
      </c>
      <c r="G156" t="n">
        <v>900000472</v>
      </c>
      <c r="H156" t="inlineStr">
        <is>
          <t>TC-ED-TRIMCAV</t>
        </is>
      </c>
      <c r="I156" t="n">
        <v>5010147</v>
      </c>
      <c r="J156" t="inlineStr">
        <is>
          <t>TRITURACIONES DE MARMOL Y CALCIOS</t>
        </is>
      </c>
      <c r="K156" t="inlineStr">
        <is>
          <t>Z04</t>
        </is>
      </c>
      <c r="L156" t="inlineStr">
        <is>
          <t>(AP) 30 Dias</t>
        </is>
      </c>
      <c r="M156" t="n">
        <v>10190932</v>
      </c>
      <c r="N156" t="inlineStr">
        <is>
          <t>GRAVA TRITURADA MÁRMOL NEGRO 20 MM - 3/4</t>
        </is>
      </c>
      <c r="O156" t="inlineStr">
        <is>
          <t>DW70</t>
        </is>
      </c>
      <c r="P156" t="inlineStr">
        <is>
          <t>MX-CED. CENTRO</t>
        </is>
      </c>
      <c r="Q156" t="n">
        <v>20210712</v>
      </c>
      <c r="R156" t="n">
        <v>20291231</v>
      </c>
      <c r="S156" t="n">
        <v>20210712</v>
      </c>
      <c r="T156" t="n">
        <v>20251231</v>
      </c>
      <c r="U156" t="n">
        <v>1300</v>
      </c>
      <c r="V156" t="inlineStr">
        <is>
          <t>MXN</t>
        </is>
      </c>
      <c r="W156" t="inlineStr">
        <is>
          <t>TN</t>
        </is>
      </c>
      <c r="X156" t="n">
        <v>650</v>
      </c>
      <c r="Y156" t="inlineStr">
        <is>
          <t>MXN</t>
        </is>
      </c>
      <c r="Z156" t="inlineStr">
        <is>
          <t>TN</t>
        </is>
      </c>
      <c r="AA156" t="inlineStr">
        <is>
          <t>D145</t>
        </is>
      </c>
      <c r="AB156" t="inlineStr">
        <is>
          <t>PD0458 ECATEPEC II</t>
        </is>
      </c>
      <c r="AC156" t="n">
        <v>56103637</v>
      </c>
      <c r="AD156" t="n">
        <v>6644261540</v>
      </c>
      <c r="AE156" t="n">
        <v>4</v>
      </c>
      <c r="AF156" t="inlineStr">
        <is>
          <t>ENTREGA DIRECTA</t>
        </is>
      </c>
      <c r="AG156" t="n">
        <v>1</v>
      </c>
      <c r="AH156" t="inlineStr">
        <is>
          <t>TO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DW70-900000472-D145-10190932-4</t>
        </is>
      </c>
    </row>
    <row r="157">
      <c r="A157" t="inlineStr">
        <is>
          <t>900003438DW70D07710002802</t>
        </is>
      </c>
      <c r="B157" t="inlineStr">
        <is>
          <t>4600050497-350</t>
        </is>
      </c>
      <c r="C157" t="n">
        <v>4600050497</v>
      </c>
      <c r="D157" t="n">
        <v>350</v>
      </c>
      <c r="E157" t="inlineStr">
        <is>
          <t>MXPO</t>
        </is>
      </c>
      <c r="F157" t="inlineStr">
        <is>
          <t>MXL</t>
        </is>
      </c>
      <c r="G157" t="n">
        <v>900003438</v>
      </c>
      <c r="H157" t="inlineStr">
        <is>
          <t>TC-ED-ESTRATEGIAS AVANZADAS</t>
        </is>
      </c>
      <c r="I157" t="n">
        <v>5049458</v>
      </c>
      <c r="J157" t="inlineStr">
        <is>
          <t>ESTRATEGIAS AVANZADAS PARA OBTEN</t>
        </is>
      </c>
      <c r="K157" t="inlineStr">
        <is>
          <t>Z03</t>
        </is>
      </c>
      <c r="L157" t="inlineStr">
        <is>
          <t>(AP) 15 Dias</t>
        </is>
      </c>
      <c r="M157" t="n">
        <v>10002802</v>
      </c>
      <c r="N157" t="inlineStr">
        <is>
          <t>Arena Clasificada Río Malla 4 Lavado</t>
        </is>
      </c>
      <c r="O157" t="inlineStr">
        <is>
          <t>DW70</t>
        </is>
      </c>
      <c r="P157" t="inlineStr">
        <is>
          <t>MX-CED. CENTRO</t>
        </is>
      </c>
      <c r="Q157" t="n">
        <v>20210712</v>
      </c>
      <c r="R157" t="n">
        <v>20281231</v>
      </c>
      <c r="S157" t="n">
        <v>20230501</v>
      </c>
      <c r="T157" t="n">
        <v>20281231</v>
      </c>
      <c r="U157" t="n">
        <v>269.78</v>
      </c>
      <c r="V157" t="inlineStr">
        <is>
          <t>MXN</t>
        </is>
      </c>
      <c r="W157" t="inlineStr">
        <is>
          <t>M3</t>
        </is>
      </c>
      <c r="X157" t="n">
        <v>119.78</v>
      </c>
      <c r="Y157" t="inlineStr">
        <is>
          <t>MXN</t>
        </is>
      </c>
      <c r="Z157" t="inlineStr">
        <is>
          <t>M3</t>
        </is>
      </c>
      <c r="AA157" t="inlineStr">
        <is>
          <t>D077</t>
        </is>
      </c>
      <c r="AB157" t="inlineStr">
        <is>
          <t>PD0067 LOS REYES</t>
        </is>
      </c>
      <c r="AC157" t="n">
        <v>56103638</v>
      </c>
      <c r="AD157" t="n">
        <v>6644261540</v>
      </c>
      <c r="AE157" t="n">
        <v>4</v>
      </c>
      <c r="AF157" t="inlineStr">
        <is>
          <t>ENTREGA DIRECTA</t>
        </is>
      </c>
      <c r="AG157" t="n">
        <v>1.463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DW70-900003438-D077-10002802-4</t>
        </is>
      </c>
    </row>
    <row r="158">
      <c r="A158" t="inlineStr">
        <is>
          <t>900000472DW70D07710000655</t>
        </is>
      </c>
      <c r="B158" t="inlineStr">
        <is>
          <t>4600050481-210</t>
        </is>
      </c>
      <c r="C158" t="n">
        <v>4600050481</v>
      </c>
      <c r="D158" t="n">
        <v>210</v>
      </c>
      <c r="E158" t="inlineStr">
        <is>
          <t>MXPO</t>
        </is>
      </c>
      <c r="F158" t="inlineStr">
        <is>
          <t>MXL</t>
        </is>
      </c>
      <c r="G158" t="n">
        <v>900000472</v>
      </c>
      <c r="H158" t="inlineStr">
        <is>
          <t>TC-ED-TRIMCAV</t>
        </is>
      </c>
      <c r="I158" t="n">
        <v>5010147</v>
      </c>
      <c r="J158" t="inlineStr">
        <is>
          <t>TRITURACIONES DE MARMOL Y CALCIOS</t>
        </is>
      </c>
      <c r="K158" t="inlineStr">
        <is>
          <t>Z04</t>
        </is>
      </c>
      <c r="L158" t="inlineStr">
        <is>
          <t>(AP) 30 Dias</t>
        </is>
      </c>
      <c r="M158" t="n">
        <v>10000655</v>
      </c>
      <c r="N158" t="inlineStr">
        <is>
          <t>Grava Triturada Marmol 10 mm - 3/8"</t>
        </is>
      </c>
      <c r="O158" t="inlineStr">
        <is>
          <t>DW70</t>
        </is>
      </c>
      <c r="P158" t="inlineStr">
        <is>
          <t>MX-CED. CENTRO</t>
        </is>
      </c>
      <c r="Q158" t="n">
        <v>20210712</v>
      </c>
      <c r="R158" t="n">
        <v>20291231</v>
      </c>
      <c r="S158" t="n">
        <v>20230215</v>
      </c>
      <c r="T158" t="n">
        <v>20281231</v>
      </c>
      <c r="U158" t="n">
        <v>921.6900000000001</v>
      </c>
      <c r="V158" t="inlineStr">
        <is>
          <t>MXN</t>
        </is>
      </c>
      <c r="W158" t="inlineStr">
        <is>
          <t>TN</t>
        </is>
      </c>
      <c r="X158" t="n">
        <v>485.1</v>
      </c>
      <c r="Y158" t="inlineStr">
        <is>
          <t>MXN</t>
        </is>
      </c>
      <c r="Z158" t="inlineStr">
        <is>
          <t>TN</t>
        </is>
      </c>
      <c r="AA158" t="inlineStr">
        <is>
          <t>D077</t>
        </is>
      </c>
      <c r="AB158" t="inlineStr">
        <is>
          <t>PD0067 LOS REYES</t>
        </is>
      </c>
      <c r="AC158" t="n">
        <v>56103637</v>
      </c>
      <c r="AD158" t="n">
        <v>6644261540</v>
      </c>
      <c r="AE158" t="n">
        <v>4</v>
      </c>
      <c r="AF158" t="inlineStr">
        <is>
          <t>ENTREGA DIRECTA</t>
        </is>
      </c>
      <c r="AG158" t="n">
        <v>1</v>
      </c>
      <c r="AH158" t="inlineStr">
        <is>
          <t>TO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DW70-900000472-D077-10000655-4</t>
        </is>
      </c>
    </row>
    <row r="159">
      <c r="A159" t="inlineStr">
        <is>
          <t>900003438DW70D07710000630</t>
        </is>
      </c>
      <c r="B159" t="inlineStr">
        <is>
          <t>4600050497-140</t>
        </is>
      </c>
      <c r="C159" t="n">
        <v>4600050497</v>
      </c>
      <c r="D159" t="n">
        <v>140</v>
      </c>
      <c r="E159" t="inlineStr">
        <is>
          <t>MXPO</t>
        </is>
      </c>
      <c r="F159" t="inlineStr">
        <is>
          <t>MXL</t>
        </is>
      </c>
      <c r="G159" t="n">
        <v>900003438</v>
      </c>
      <c r="H159" t="inlineStr">
        <is>
          <t>TC-ED-ESTRATEGIAS AVANZADAS</t>
        </is>
      </c>
      <c r="I159" t="n">
        <v>5049458</v>
      </c>
      <c r="J159" t="inlineStr">
        <is>
          <t>ESTRATEGIAS AVANZADAS PARA OBTEN</t>
        </is>
      </c>
      <c r="K159" t="inlineStr">
        <is>
          <t>Z03</t>
        </is>
      </c>
      <c r="L159" t="inlineStr">
        <is>
          <t>(AP) 15 Dias</t>
        </is>
      </c>
      <c r="M159" t="n">
        <v>10000630</v>
      </c>
      <c r="N159" t="inlineStr">
        <is>
          <t>Grava Triturada Caliza 13 mm - 1/2"</t>
        </is>
      </c>
      <c r="O159" t="inlineStr">
        <is>
          <t>DW70</t>
        </is>
      </c>
      <c r="P159" t="inlineStr">
        <is>
          <t>MX-CED. CENTRO</t>
        </is>
      </c>
      <c r="Q159" t="n">
        <v>20210712</v>
      </c>
      <c r="R159" t="n">
        <v>20281231</v>
      </c>
      <c r="S159" t="n">
        <v>20230501</v>
      </c>
      <c r="T159" t="n">
        <v>20281231</v>
      </c>
      <c r="U159" t="n">
        <v>466.61</v>
      </c>
      <c r="V159" t="inlineStr">
        <is>
          <t>MXN</t>
        </is>
      </c>
      <c r="W159" t="inlineStr">
        <is>
          <t>M3</t>
        </is>
      </c>
      <c r="X159" t="n">
        <v>311.61</v>
      </c>
      <c r="Y159" t="inlineStr">
        <is>
          <t>MXN</t>
        </is>
      </c>
      <c r="Z159" t="inlineStr">
        <is>
          <t>M3</t>
        </is>
      </c>
      <c r="AA159" t="inlineStr">
        <is>
          <t>D077</t>
        </is>
      </c>
      <c r="AB159" t="inlineStr">
        <is>
          <t>PD0067 LOS REYES</t>
        </is>
      </c>
      <c r="AC159" t="n">
        <v>56103637</v>
      </c>
      <c r="AD159" t="n">
        <v>6644261540</v>
      </c>
      <c r="AE159" t="n">
        <v>4</v>
      </c>
      <c r="AF159" t="inlineStr">
        <is>
          <t>ENTREGA DIRECTA</t>
        </is>
      </c>
      <c r="AG159" t="n">
        <v>1.4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DW70-900003438-D077-10000630-4</t>
        </is>
      </c>
    </row>
    <row r="160">
      <c r="A160" t="inlineStr">
        <is>
          <t>900000472DW70D10510188219</t>
        </is>
      </c>
      <c r="B160" t="inlineStr">
        <is>
          <t>4600050481-530</t>
        </is>
      </c>
      <c r="C160" t="n">
        <v>4600050481</v>
      </c>
      <c r="D160" t="n">
        <v>530</v>
      </c>
      <c r="E160" t="inlineStr">
        <is>
          <t>MXPO</t>
        </is>
      </c>
      <c r="F160" t="inlineStr">
        <is>
          <t>MXL</t>
        </is>
      </c>
      <c r="G160" t="n">
        <v>900000472</v>
      </c>
      <c r="H160" t="inlineStr">
        <is>
          <t>TC-ED-TRIMCAV</t>
        </is>
      </c>
      <c r="I160" t="n">
        <v>5010147</v>
      </c>
      <c r="J160" t="inlineStr">
        <is>
          <t>TRITURACIONES DE MARMOL Y CALCIOS</t>
        </is>
      </c>
      <c r="K160" t="inlineStr">
        <is>
          <t>Z04</t>
        </is>
      </c>
      <c r="L160" t="inlineStr">
        <is>
          <t>(AP) 30 Dias</t>
        </is>
      </c>
      <c r="M160" t="n">
        <v>10188219</v>
      </c>
      <c r="N160" t="inlineStr">
        <is>
          <t>ARENA TRITURADA MÁRMOL NEGRO MALLA 4</t>
        </is>
      </c>
      <c r="O160" t="inlineStr">
        <is>
          <t>DW70</t>
        </is>
      </c>
      <c r="P160" t="inlineStr">
        <is>
          <t>MX-CED. CENTRO</t>
        </is>
      </c>
      <c r="Q160" t="n">
        <v>20210712</v>
      </c>
      <c r="R160" t="n">
        <v>20291231</v>
      </c>
      <c r="S160" t="n">
        <v>20210712</v>
      </c>
      <c r="T160" t="n">
        <v>20251231</v>
      </c>
      <c r="U160" t="n">
        <v>1300</v>
      </c>
      <c r="V160" t="inlineStr">
        <is>
          <t>MXN</t>
        </is>
      </c>
      <c r="W160" t="inlineStr">
        <is>
          <t>TN</t>
        </is>
      </c>
      <c r="X160" t="n">
        <v>650</v>
      </c>
      <c r="Y160" t="inlineStr">
        <is>
          <t>MXN</t>
        </is>
      </c>
      <c r="Z160" t="inlineStr">
        <is>
          <t>TN</t>
        </is>
      </c>
      <c r="AA160" t="inlineStr">
        <is>
          <t>D105</t>
        </is>
      </c>
      <c r="AB160" t="inlineStr">
        <is>
          <t>PD0331 NAUCALPAN II</t>
        </is>
      </c>
      <c r="AC160" t="n">
        <v>56103638</v>
      </c>
      <c r="AD160" t="n">
        <v>6644261540</v>
      </c>
      <c r="AE160" t="n">
        <v>4</v>
      </c>
      <c r="AF160" t="inlineStr">
        <is>
          <t>ENTREGA DIRECTA</t>
        </is>
      </c>
      <c r="AG160" t="n">
        <v>1</v>
      </c>
      <c r="AH160" t="inlineStr">
        <is>
          <t>TO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DW70-900000472-D105-10188219-4</t>
        </is>
      </c>
    </row>
    <row r="161">
      <c r="A161" t="inlineStr">
        <is>
          <t>900000472DW70D07510000655</t>
        </is>
      </c>
      <c r="B161" t="inlineStr">
        <is>
          <t>4600050481-200</t>
        </is>
      </c>
      <c r="C161" t="n">
        <v>4600050481</v>
      </c>
      <c r="D161" t="n">
        <v>200</v>
      </c>
      <c r="E161" t="inlineStr">
        <is>
          <t>MXPO</t>
        </is>
      </c>
      <c r="F161" t="inlineStr">
        <is>
          <t>MXL</t>
        </is>
      </c>
      <c r="G161" t="n">
        <v>900000472</v>
      </c>
      <c r="H161" t="inlineStr">
        <is>
          <t>TC-ED-TRIMCAV</t>
        </is>
      </c>
      <c r="I161" t="n">
        <v>5010147</v>
      </c>
      <c r="J161" t="inlineStr">
        <is>
          <t>TRITURACIONES DE MARMOL Y CALCIOS</t>
        </is>
      </c>
      <c r="K161" t="inlineStr">
        <is>
          <t>Z04</t>
        </is>
      </c>
      <c r="L161" t="inlineStr">
        <is>
          <t>(AP) 30 Dias</t>
        </is>
      </c>
      <c r="M161" t="n">
        <v>10000655</v>
      </c>
      <c r="N161" t="inlineStr">
        <is>
          <t>Grava Triturada Marmol 10 mm - 3/8"</t>
        </is>
      </c>
      <c r="O161" t="inlineStr">
        <is>
          <t>DW70</t>
        </is>
      </c>
      <c r="P161" t="inlineStr">
        <is>
          <t>MX-CED. CENTRO</t>
        </is>
      </c>
      <c r="Q161" t="n">
        <v>20210712</v>
      </c>
      <c r="R161" t="n">
        <v>20291231</v>
      </c>
      <c r="S161" t="n">
        <v>20230215</v>
      </c>
      <c r="T161" t="n">
        <v>20281231</v>
      </c>
      <c r="U161" t="n">
        <v>921.6900000000001</v>
      </c>
      <c r="V161" t="inlineStr">
        <is>
          <t>MXN</t>
        </is>
      </c>
      <c r="W161" t="inlineStr">
        <is>
          <t>TN</t>
        </is>
      </c>
      <c r="X161" t="n">
        <v>485.1</v>
      </c>
      <c r="Y161" t="inlineStr">
        <is>
          <t>MXN</t>
        </is>
      </c>
      <c r="Z161" t="inlineStr">
        <is>
          <t>TN</t>
        </is>
      </c>
      <c r="AA161" t="inlineStr">
        <is>
          <t>D075</t>
        </is>
      </c>
      <c r="AB161" t="inlineStr">
        <is>
          <t>PD0065 CEYLAN</t>
        </is>
      </c>
      <c r="AC161" t="n">
        <v>56103637</v>
      </c>
      <c r="AD161" t="n">
        <v>6644261540</v>
      </c>
      <c r="AE161" t="n">
        <v>4</v>
      </c>
      <c r="AF161" t="inlineStr">
        <is>
          <t>ENTREGA DIRECTA</t>
        </is>
      </c>
      <c r="AG161" t="n">
        <v>1</v>
      </c>
      <c r="AH161" t="inlineStr">
        <is>
          <t>TO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DW70-900000472-D075-10000655-4</t>
        </is>
      </c>
    </row>
    <row r="162">
      <c r="A162" t="inlineStr">
        <is>
          <t>900000472DW70D08410000655</t>
        </is>
      </c>
      <c r="B162" t="inlineStr">
        <is>
          <t>4600050481-250</t>
        </is>
      </c>
      <c r="C162" t="n">
        <v>4600050481</v>
      </c>
      <c r="D162" t="n">
        <v>250</v>
      </c>
      <c r="E162" t="inlineStr">
        <is>
          <t>MXPO</t>
        </is>
      </c>
      <c r="F162" t="inlineStr">
        <is>
          <t>MXL</t>
        </is>
      </c>
      <c r="G162" t="n">
        <v>900000472</v>
      </c>
      <c r="H162" t="inlineStr">
        <is>
          <t>TC-ED-TRIMCAV</t>
        </is>
      </c>
      <c r="I162" t="n">
        <v>5010147</v>
      </c>
      <c r="J162" t="inlineStr">
        <is>
          <t>TRITURACIONES DE MARMOL Y CALCIOS</t>
        </is>
      </c>
      <c r="K162" t="inlineStr">
        <is>
          <t>Z04</t>
        </is>
      </c>
      <c r="L162" t="inlineStr">
        <is>
          <t>(AP) 30 Dias</t>
        </is>
      </c>
      <c r="M162" t="n">
        <v>10000655</v>
      </c>
      <c r="N162" t="inlineStr">
        <is>
          <t>Grava Triturada Marmol 10 mm - 3/8"</t>
        </is>
      </c>
      <c r="O162" t="inlineStr">
        <is>
          <t>DW70</t>
        </is>
      </c>
      <c r="P162" t="inlineStr">
        <is>
          <t>MX-CED. CENTRO</t>
        </is>
      </c>
      <c r="Q162" t="n">
        <v>20210712</v>
      </c>
      <c r="R162" t="n">
        <v>20291231</v>
      </c>
      <c r="S162" t="n">
        <v>20230215</v>
      </c>
      <c r="T162" t="n">
        <v>20281231</v>
      </c>
      <c r="U162" t="n">
        <v>921.6900000000001</v>
      </c>
      <c r="V162" t="inlineStr">
        <is>
          <t>MXN</t>
        </is>
      </c>
      <c r="W162" t="inlineStr">
        <is>
          <t>TN</t>
        </is>
      </c>
      <c r="X162" t="n">
        <v>485.1</v>
      </c>
      <c r="Y162" t="inlineStr">
        <is>
          <t>MXN</t>
        </is>
      </c>
      <c r="Z162" t="inlineStr">
        <is>
          <t>TN</t>
        </is>
      </c>
      <c r="AA162" t="inlineStr">
        <is>
          <t>D084</t>
        </is>
      </c>
      <c r="AB162" t="inlineStr">
        <is>
          <t>PD0186 IZTAPALAPA</t>
        </is>
      </c>
      <c r="AC162" t="n">
        <v>56103637</v>
      </c>
      <c r="AD162" t="n">
        <v>6644261540</v>
      </c>
      <c r="AE162" t="n">
        <v>4</v>
      </c>
      <c r="AF162" t="inlineStr">
        <is>
          <t>ENTREGA DIRECTA</t>
        </is>
      </c>
      <c r="AG162" t="n">
        <v>1</v>
      </c>
      <c r="AH162" t="inlineStr">
        <is>
          <t>TO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DW70-900000472-D084-10000655-4</t>
        </is>
      </c>
    </row>
    <row r="163">
      <c r="A163" t="inlineStr">
        <is>
          <t>900000472DW70D08710000643</t>
        </is>
      </c>
      <c r="B163" t="inlineStr">
        <is>
          <t>4600050481-600</t>
        </is>
      </c>
      <c r="C163" t="n">
        <v>4600050481</v>
      </c>
      <c r="D163" t="n">
        <v>600</v>
      </c>
      <c r="E163" t="inlineStr">
        <is>
          <t>MXPO</t>
        </is>
      </c>
      <c r="F163" t="inlineStr">
        <is>
          <t>MXL</t>
        </is>
      </c>
      <c r="G163" t="n">
        <v>900000472</v>
      </c>
      <c r="H163" t="inlineStr">
        <is>
          <t>TC-ED-TRIMCAV</t>
        </is>
      </c>
      <c r="I163" t="n">
        <v>5010147</v>
      </c>
      <c r="J163" t="inlineStr">
        <is>
          <t>TRITURACIONES DE MARMOL Y CALCIOS</t>
        </is>
      </c>
      <c r="K163" t="inlineStr">
        <is>
          <t>Z04</t>
        </is>
      </c>
      <c r="L163" t="inlineStr">
        <is>
          <t>(AP) 30 Dias</t>
        </is>
      </c>
      <c r="M163" t="n">
        <v>10000643</v>
      </c>
      <c r="N163" t="inlineStr">
        <is>
          <t>Grava Triturada Marmol 20 mm - 3/4"</t>
        </is>
      </c>
      <c r="O163" t="inlineStr">
        <is>
          <t>DW70</t>
        </is>
      </c>
      <c r="P163" t="inlineStr">
        <is>
          <t>MX-CED. CENTRO</t>
        </is>
      </c>
      <c r="Q163" t="n">
        <v>20210712</v>
      </c>
      <c r="R163" t="n">
        <v>20291231</v>
      </c>
      <c r="S163" t="n">
        <v>20230215</v>
      </c>
      <c r="T163" t="n">
        <v>20281231</v>
      </c>
      <c r="U163" t="n">
        <v>921.6900000000001</v>
      </c>
      <c r="V163" t="inlineStr">
        <is>
          <t>MXN</t>
        </is>
      </c>
      <c r="W163" t="inlineStr">
        <is>
          <t>TN</t>
        </is>
      </c>
      <c r="X163" t="n">
        <v>485.1</v>
      </c>
      <c r="Y163" t="inlineStr">
        <is>
          <t>MXN</t>
        </is>
      </c>
      <c r="Z163" t="inlineStr">
        <is>
          <t>TN</t>
        </is>
      </c>
      <c r="AA163" t="inlineStr">
        <is>
          <t>D087</t>
        </is>
      </c>
      <c r="AB163" t="inlineStr">
        <is>
          <t>PD0192 ZUMPANGO 2</t>
        </is>
      </c>
      <c r="AC163" t="n">
        <v>56103637</v>
      </c>
      <c r="AD163" t="n">
        <v>6644261540</v>
      </c>
      <c r="AE163" t="n">
        <v>4</v>
      </c>
      <c r="AF163" t="inlineStr">
        <is>
          <t>ENTREGA DIRECTA</t>
        </is>
      </c>
      <c r="AG163" t="n">
        <v>1</v>
      </c>
      <c r="AH163" t="inlineStr">
        <is>
          <t>TO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DW70-900000472-D087-10000643-4</t>
        </is>
      </c>
    </row>
    <row r="164">
      <c r="A164" t="inlineStr">
        <is>
          <t>900000472DW70D07410188219</t>
        </is>
      </c>
      <c r="B164" t="inlineStr">
        <is>
          <t>4600050481-20</t>
        </is>
      </c>
      <c r="C164" t="n">
        <v>4600050481</v>
      </c>
      <c r="D164" t="n">
        <v>20</v>
      </c>
      <c r="E164" t="inlineStr">
        <is>
          <t>MXPO</t>
        </is>
      </c>
      <c r="F164" t="inlineStr">
        <is>
          <t>MXL</t>
        </is>
      </c>
      <c r="G164" t="n">
        <v>900000472</v>
      </c>
      <c r="H164" t="inlineStr">
        <is>
          <t>TC-ED-TRIMCAV</t>
        </is>
      </c>
      <c r="I164" t="n">
        <v>5010147</v>
      </c>
      <c r="J164" t="inlineStr">
        <is>
          <t>TRITURACIONES DE MARMOL Y CALCIOS</t>
        </is>
      </c>
      <c r="K164" t="inlineStr">
        <is>
          <t>Z04</t>
        </is>
      </c>
      <c r="L164" t="inlineStr">
        <is>
          <t>(AP) 30 Dias</t>
        </is>
      </c>
      <c r="M164" t="n">
        <v>10188219</v>
      </c>
      <c r="N164" t="inlineStr">
        <is>
          <t>ARENA TRITURADA MÁRMOL NEGRO MALLA 4</t>
        </is>
      </c>
      <c r="O164" t="inlineStr">
        <is>
          <t>DW70</t>
        </is>
      </c>
      <c r="P164" t="inlineStr">
        <is>
          <t>MX-CED. CENTRO</t>
        </is>
      </c>
      <c r="Q164" t="n">
        <v>20210712</v>
      </c>
      <c r="R164" t="n">
        <v>20291231</v>
      </c>
      <c r="S164" t="n">
        <v>20210712</v>
      </c>
      <c r="T164" t="n">
        <v>20251231</v>
      </c>
      <c r="U164" t="n">
        <v>1300</v>
      </c>
      <c r="V164" t="inlineStr">
        <is>
          <t>MXN</t>
        </is>
      </c>
      <c r="W164" t="inlineStr">
        <is>
          <t>TN</t>
        </is>
      </c>
      <c r="X164" t="n">
        <v>650</v>
      </c>
      <c r="Y164" t="inlineStr">
        <is>
          <t>MXN</t>
        </is>
      </c>
      <c r="Z164" t="inlineStr">
        <is>
          <t>TN</t>
        </is>
      </c>
      <c r="AA164" t="inlineStr">
        <is>
          <t>D074</t>
        </is>
      </c>
      <c r="AB164" t="inlineStr">
        <is>
          <t>PD0063 CENTRAL</t>
        </is>
      </c>
      <c r="AC164" t="n">
        <v>56103638</v>
      </c>
      <c r="AD164" t="n">
        <v>6644261540</v>
      </c>
      <c r="AE164" t="n">
        <v>4</v>
      </c>
      <c r="AF164" t="inlineStr">
        <is>
          <t>ENTREGA DIRECTA</t>
        </is>
      </c>
      <c r="AG164" t="n">
        <v>1</v>
      </c>
      <c r="AH164" t="inlineStr">
        <is>
          <t>TO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DW70-900000472-D074-10188219-4</t>
        </is>
      </c>
    </row>
    <row r="165">
      <c r="A165" t="inlineStr">
        <is>
          <t>900003438DW70E67310207892</t>
        </is>
      </c>
      <c r="B165" t="inlineStr">
        <is>
          <t>4600050497-590</t>
        </is>
      </c>
      <c r="C165" t="n">
        <v>4600050497</v>
      </c>
      <c r="D165" t="n">
        <v>590</v>
      </c>
      <c r="E165" t="inlineStr">
        <is>
          <t>MXPO</t>
        </is>
      </c>
      <c r="F165" t="inlineStr">
        <is>
          <t>MXL</t>
        </is>
      </c>
      <c r="G165" t="n">
        <v>900003438</v>
      </c>
      <c r="H165" t="inlineStr">
        <is>
          <t>TC-ED-ESTRATEGIAS AVANZADAS</t>
        </is>
      </c>
      <c r="I165" t="n">
        <v>5049458</v>
      </c>
      <c r="J165" t="inlineStr">
        <is>
          <t>ESTRATEGIAS AVANZADAS PARA OBTEN</t>
        </is>
      </c>
      <c r="K165" t="inlineStr">
        <is>
          <t>Z03</t>
        </is>
      </c>
      <c r="L165" t="inlineStr">
        <is>
          <t>(AP) 15 Dias</t>
        </is>
      </c>
      <c r="M165" t="n">
        <v>10207892</v>
      </c>
      <c r="N165" t="inlineStr">
        <is>
          <t>TEPETATE TRITURADO TIERRA NA (EA)</t>
        </is>
      </c>
      <c r="O165" t="inlineStr">
        <is>
          <t>DW70</t>
        </is>
      </c>
      <c r="P165" t="inlineStr">
        <is>
          <t>MX-CED. CENTRO</t>
        </is>
      </c>
      <c r="Q165" t="n">
        <v>20210712</v>
      </c>
      <c r="R165" t="n">
        <v>20281231</v>
      </c>
      <c r="S165" t="n">
        <v>20211025</v>
      </c>
      <c r="T165" t="n">
        <v>20261231</v>
      </c>
      <c r="U165" t="n">
        <v>155</v>
      </c>
      <c r="V165" t="inlineStr">
        <is>
          <t>MXN</t>
        </is>
      </c>
      <c r="W165" t="inlineStr">
        <is>
          <t>M3</t>
        </is>
      </c>
      <c r="X165" t="n">
        <v>123.5</v>
      </c>
      <c r="Y165" t="inlineStr">
        <is>
          <t>MXN</t>
        </is>
      </c>
      <c r="Z165" t="inlineStr">
        <is>
          <t>M3</t>
        </is>
      </c>
      <c r="AA165" t="inlineStr">
        <is>
          <t>E673</t>
        </is>
      </c>
      <c r="AB165" t="inlineStr">
        <is>
          <t>MX-PD0267 BASE AEREA STA.LUCIA</t>
        </is>
      </c>
      <c r="AC165" t="n">
        <v>56103695</v>
      </c>
      <c r="AD165" t="n">
        <v>6644261540</v>
      </c>
      <c r="AE165" t="n">
        <v>4</v>
      </c>
      <c r="AF165" t="inlineStr">
        <is>
          <t>ENTREGA DIRECTA</t>
        </is>
      </c>
      <c r="AG165" t="n">
        <v>1.249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DW70-900003438-E673-10207892-4</t>
        </is>
      </c>
    </row>
    <row r="166">
      <c r="A166" t="inlineStr">
        <is>
          <t>900003438DW70D11010002802</t>
        </is>
      </c>
      <c r="B166" t="inlineStr">
        <is>
          <t>4600050497-510</t>
        </is>
      </c>
      <c r="C166" t="n">
        <v>4600050497</v>
      </c>
      <c r="D166" t="n">
        <v>510</v>
      </c>
      <c r="E166" t="inlineStr">
        <is>
          <t>MXPO</t>
        </is>
      </c>
      <c r="F166" t="inlineStr">
        <is>
          <t>MXL</t>
        </is>
      </c>
      <c r="G166" t="n">
        <v>900003438</v>
      </c>
      <c r="H166" t="inlineStr">
        <is>
          <t>TC-ED-ESTRATEGIAS AVANZADAS</t>
        </is>
      </c>
      <c r="I166" t="n">
        <v>5049458</v>
      </c>
      <c r="J166" t="inlineStr">
        <is>
          <t>ESTRATEGIAS AVANZADAS PARA OBTEN</t>
        </is>
      </c>
      <c r="K166" t="inlineStr">
        <is>
          <t>Z03</t>
        </is>
      </c>
      <c r="L166" t="inlineStr">
        <is>
          <t>(AP) 15 Dias</t>
        </is>
      </c>
      <c r="M166" t="n">
        <v>10002802</v>
      </c>
      <c r="N166" t="inlineStr">
        <is>
          <t>Arena Clasificada Río Malla 4 Lavado</t>
        </is>
      </c>
      <c r="O166" t="inlineStr">
        <is>
          <t>DW70</t>
        </is>
      </c>
      <c r="P166" t="inlineStr">
        <is>
          <t>MX-CED. CENTRO</t>
        </is>
      </c>
      <c r="Q166" t="n">
        <v>20210712</v>
      </c>
      <c r="R166" t="n">
        <v>20281231</v>
      </c>
      <c r="S166" t="n">
        <v>20210712</v>
      </c>
      <c r="T166" t="n">
        <v>20251231</v>
      </c>
      <c r="U166" t="n">
        <v>370.92</v>
      </c>
      <c r="V166" t="inlineStr">
        <is>
          <t>MXN</t>
        </is>
      </c>
      <c r="W166" t="inlineStr">
        <is>
          <t>M3</t>
        </is>
      </c>
      <c r="X166" t="n">
        <v>245.99</v>
      </c>
      <c r="Y166" t="inlineStr">
        <is>
          <t>MXN</t>
        </is>
      </c>
      <c r="Z166" t="inlineStr">
        <is>
          <t>M3</t>
        </is>
      </c>
      <c r="AA166" t="inlineStr">
        <is>
          <t>D110</t>
        </is>
      </c>
      <c r="AB166" t="inlineStr">
        <is>
          <t>PD0338 TEPEJI 2</t>
        </is>
      </c>
      <c r="AC166" t="n">
        <v>56103638</v>
      </c>
      <c r="AD166" t="n">
        <v>6644261540</v>
      </c>
      <c r="AE166" t="n">
        <v>4</v>
      </c>
      <c r="AF166" t="inlineStr">
        <is>
          <t>ENTREGA DIRECTA</t>
        </is>
      </c>
      <c r="AG166" t="n">
        <v>1.463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DW70-900003438-D110-10002802-4</t>
        </is>
      </c>
    </row>
    <row r="167">
      <c r="A167" t="inlineStr">
        <is>
          <t>900003438DW70EQ7510000206</t>
        </is>
      </c>
      <c r="B167" t="inlineStr">
        <is>
          <t>4600050497-550</t>
        </is>
      </c>
      <c r="C167" t="n">
        <v>4600050497</v>
      </c>
      <c r="D167" t="n">
        <v>550</v>
      </c>
      <c r="E167" t="inlineStr">
        <is>
          <t>MXPO</t>
        </is>
      </c>
      <c r="F167" t="inlineStr">
        <is>
          <t>MXL</t>
        </is>
      </c>
      <c r="G167" t="n">
        <v>900003438</v>
      </c>
      <c r="H167" t="inlineStr">
        <is>
          <t>TC-ED-ESTRATEGIAS AVANZADAS</t>
        </is>
      </c>
      <c r="I167" t="n">
        <v>5049458</v>
      </c>
      <c r="J167" t="inlineStr">
        <is>
          <t>ESTRATEGIAS AVANZADAS PARA OBTEN</t>
        </is>
      </c>
      <c r="K167" t="inlineStr">
        <is>
          <t>Z03</t>
        </is>
      </c>
      <c r="L167" t="inlineStr">
        <is>
          <t>(AP) 15 Dias</t>
        </is>
      </c>
      <c r="M167" t="n">
        <v>10000206</v>
      </c>
      <c r="N167" t="inlineStr">
        <is>
          <t>Tepetate Triturado Tierra NA</t>
        </is>
      </c>
      <c r="O167" t="inlineStr">
        <is>
          <t>DW70</t>
        </is>
      </c>
      <c r="P167" t="inlineStr">
        <is>
          <t>MX-CED. CENTRO</t>
        </is>
      </c>
      <c r="Q167" t="n">
        <v>20210712</v>
      </c>
      <c r="R167" t="n">
        <v>20281231</v>
      </c>
      <c r="S167" t="n">
        <v>20210801</v>
      </c>
      <c r="T167" t="n">
        <v>20211231</v>
      </c>
      <c r="U167" t="n">
        <v>0</v>
      </c>
      <c r="V167" t="inlineStr">
        <is>
          <t>MXN</t>
        </is>
      </c>
      <c r="W167" t="inlineStr">
        <is>
          <t>M3</t>
        </is>
      </c>
      <c r="X167" t="n">
        <v>123.5</v>
      </c>
      <c r="Y167" t="inlineStr">
        <is>
          <t>MXN</t>
        </is>
      </c>
      <c r="Z167" t="inlineStr">
        <is>
          <t>M3</t>
        </is>
      </c>
      <c r="AA167" t="inlineStr">
        <is>
          <t>EQ75</t>
        </is>
      </c>
      <c r="AB167" t="inlineStr">
        <is>
          <t>MX-PD0399 TM CHEMUYIL</t>
        </is>
      </c>
      <c r="AC167" t="n">
        <v>56103695</v>
      </c>
      <c r="AD167" t="n">
        <v>6644261540</v>
      </c>
      <c r="AE167" t="n">
        <v>4</v>
      </c>
      <c r="AF167" t="inlineStr">
        <is>
          <t>ENTREGA DIRECTA</t>
        </is>
      </c>
      <c r="AG167" t="n">
        <v>1.249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20230907</v>
      </c>
      <c r="AM167" t="inlineStr">
        <is>
          <t>DW70-900003438-EQ75-10000206-4</t>
        </is>
      </c>
    </row>
    <row r="168">
      <c r="A168" t="inlineStr">
        <is>
          <t>900000472DW70D07410000655</t>
        </is>
      </c>
      <c r="B168" t="inlineStr">
        <is>
          <t>4600050481-190</t>
        </is>
      </c>
      <c r="C168" t="n">
        <v>4600050481</v>
      </c>
      <c r="D168" t="n">
        <v>190</v>
      </c>
      <c r="E168" t="inlineStr">
        <is>
          <t>MXPO</t>
        </is>
      </c>
      <c r="F168" t="inlineStr">
        <is>
          <t>MXL</t>
        </is>
      </c>
      <c r="G168" t="n">
        <v>900000472</v>
      </c>
      <c r="H168" t="inlineStr">
        <is>
          <t>TC-ED-TRIMCAV</t>
        </is>
      </c>
      <c r="I168" t="n">
        <v>5010147</v>
      </c>
      <c r="J168" t="inlineStr">
        <is>
          <t>TRITURACIONES DE MARMOL Y CALCIOS</t>
        </is>
      </c>
      <c r="K168" t="inlineStr">
        <is>
          <t>Z04</t>
        </is>
      </c>
      <c r="L168" t="inlineStr">
        <is>
          <t>(AP) 30 Dias</t>
        </is>
      </c>
      <c r="M168" t="n">
        <v>10000655</v>
      </c>
      <c r="N168" t="inlineStr">
        <is>
          <t>Grava Triturada Marmol 10 mm - 3/8"</t>
        </is>
      </c>
      <c r="O168" t="inlineStr">
        <is>
          <t>DW70</t>
        </is>
      </c>
      <c r="P168" t="inlineStr">
        <is>
          <t>MX-CED. CENTRO</t>
        </is>
      </c>
      <c r="Q168" t="n">
        <v>20210712</v>
      </c>
      <c r="R168" t="n">
        <v>20291231</v>
      </c>
      <c r="S168" t="n">
        <v>20230215</v>
      </c>
      <c r="T168" t="n">
        <v>20281231</v>
      </c>
      <c r="U168" t="n">
        <v>921.6900000000001</v>
      </c>
      <c r="V168" t="inlineStr">
        <is>
          <t>MXN</t>
        </is>
      </c>
      <c r="W168" t="inlineStr">
        <is>
          <t>TN</t>
        </is>
      </c>
      <c r="X168" t="n">
        <v>485.1</v>
      </c>
      <c r="Y168" t="inlineStr">
        <is>
          <t>MXN</t>
        </is>
      </c>
      <c r="Z168" t="inlineStr">
        <is>
          <t>TN</t>
        </is>
      </c>
      <c r="AA168" t="inlineStr">
        <is>
          <t>D074</t>
        </is>
      </c>
      <c r="AB168" t="inlineStr">
        <is>
          <t>PD0063 CENTRAL</t>
        </is>
      </c>
      <c r="AC168" t="n">
        <v>56103637</v>
      </c>
      <c r="AD168" t="n">
        <v>6644261540</v>
      </c>
      <c r="AE168" t="n">
        <v>4</v>
      </c>
      <c r="AF168" t="inlineStr">
        <is>
          <t>ENTREGA DIRECTA</t>
        </is>
      </c>
      <c r="AG168" t="n">
        <v>1</v>
      </c>
      <c r="AH168" t="inlineStr">
        <is>
          <t>TO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DW70-900000472-D074-10000655-4</t>
        </is>
      </c>
    </row>
    <row r="169">
      <c r="A169" t="inlineStr">
        <is>
          <t>900003438DW70E67310207871</t>
        </is>
      </c>
      <c r="B169" t="inlineStr">
        <is>
          <t>4600050497-600</t>
        </is>
      </c>
      <c r="C169" t="n">
        <v>4600050497</v>
      </c>
      <c r="D169" t="n">
        <v>600</v>
      </c>
      <c r="E169" t="inlineStr">
        <is>
          <t>MXPO</t>
        </is>
      </c>
      <c r="F169" t="inlineStr">
        <is>
          <t>MXL</t>
        </is>
      </c>
      <c r="G169" t="n">
        <v>900003438</v>
      </c>
      <c r="H169" t="inlineStr">
        <is>
          <t>TC-ED-ESTRATEGIAS AVANZADAS</t>
        </is>
      </c>
      <c r="I169" t="n">
        <v>5049458</v>
      </c>
      <c r="J169" t="inlineStr">
        <is>
          <t>ESTRATEGIAS AVANZADAS PARA OBTEN</t>
        </is>
      </c>
      <c r="K169" t="inlineStr">
        <is>
          <t>Z03</t>
        </is>
      </c>
      <c r="L169" t="inlineStr">
        <is>
          <t>(AP) 15 Dias</t>
        </is>
      </c>
      <c r="M169" t="n">
        <v>10207871</v>
      </c>
      <c r="N169" t="inlineStr">
        <is>
          <t>GRAVA TRITURADA TEZONTLE 20MM - 3/4" (EA</t>
        </is>
      </c>
      <c r="O169" t="inlineStr">
        <is>
          <t>DW70</t>
        </is>
      </c>
      <c r="P169" t="inlineStr">
        <is>
          <t>MX-CED. CENTRO</t>
        </is>
      </c>
      <c r="Q169" t="n">
        <v>20210712</v>
      </c>
      <c r="R169" t="n">
        <v>20281231</v>
      </c>
      <c r="S169" t="n">
        <v>20211025</v>
      </c>
      <c r="T169" t="n">
        <v>20261231</v>
      </c>
      <c r="U169" t="n">
        <v>220</v>
      </c>
      <c r="V169" t="inlineStr">
        <is>
          <t>MXN</t>
        </is>
      </c>
      <c r="W169" t="inlineStr">
        <is>
          <t>M3</t>
        </is>
      </c>
      <c r="X169" t="n">
        <v>110.27</v>
      </c>
      <c r="Y169" t="inlineStr">
        <is>
          <t>MXN</t>
        </is>
      </c>
      <c r="Z169" t="inlineStr">
        <is>
          <t>M3</t>
        </is>
      </c>
      <c r="AA169" t="inlineStr">
        <is>
          <t>E673</t>
        </is>
      </c>
      <c r="AB169" t="inlineStr">
        <is>
          <t>MX-PD0267 BASE AEREA STA.LUCIA</t>
        </is>
      </c>
      <c r="AC169" t="n">
        <v>56103637</v>
      </c>
      <c r="AD169" t="n">
        <v>6644261540</v>
      </c>
      <c r="AE169" t="n">
        <v>4</v>
      </c>
      <c r="AF169" t="inlineStr">
        <is>
          <t>ENTREGA DIRECTA</t>
        </is>
      </c>
      <c r="AG169" t="n">
        <v>1.3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DW70-900003438-E673-10207871-4</t>
        </is>
      </c>
    </row>
    <row r="170">
      <c r="A170" t="inlineStr">
        <is>
          <t>900003438DW70D07910000623</t>
        </is>
      </c>
      <c r="B170" t="inlineStr">
        <is>
          <t>4600050497-290</t>
        </is>
      </c>
      <c r="C170" t="n">
        <v>4600050497</v>
      </c>
      <c r="D170" t="n">
        <v>290</v>
      </c>
      <c r="E170" t="inlineStr">
        <is>
          <t>MXPO</t>
        </is>
      </c>
      <c r="F170" t="inlineStr">
        <is>
          <t>MXL</t>
        </is>
      </c>
      <c r="G170" t="n">
        <v>900003438</v>
      </c>
      <c r="H170" t="inlineStr">
        <is>
          <t>TC-ED-ESTRATEGIAS AVANZADAS</t>
        </is>
      </c>
      <c r="I170" t="n">
        <v>5049458</v>
      </c>
      <c r="J170" t="inlineStr">
        <is>
          <t>ESTRATEGIAS AVANZADAS PARA OBTEN</t>
        </is>
      </c>
      <c r="K170" t="inlineStr">
        <is>
          <t>Z03</t>
        </is>
      </c>
      <c r="L170" t="inlineStr">
        <is>
          <t>(AP) 15 Dias</t>
        </is>
      </c>
      <c r="M170" t="n">
        <v>10000623</v>
      </c>
      <c r="N170" t="inlineStr">
        <is>
          <t>Grava Triturada Caliza 10 mm - 3/8"</t>
        </is>
      </c>
      <c r="O170" t="inlineStr">
        <is>
          <t>DW70</t>
        </is>
      </c>
      <c r="P170" t="inlineStr">
        <is>
          <t>MX-CED. CENTRO</t>
        </is>
      </c>
      <c r="Q170" t="n">
        <v>20210712</v>
      </c>
      <c r="R170" t="n">
        <v>20281231</v>
      </c>
      <c r="S170" t="n">
        <v>20230501</v>
      </c>
      <c r="T170" t="n">
        <v>20281231</v>
      </c>
      <c r="U170" t="n">
        <v>463.73</v>
      </c>
      <c r="V170" t="inlineStr">
        <is>
          <t>MXN</t>
        </is>
      </c>
      <c r="W170" t="inlineStr">
        <is>
          <t>M3</t>
        </is>
      </c>
      <c r="X170" t="n">
        <v>308.73</v>
      </c>
      <c r="Y170" t="inlineStr">
        <is>
          <t>MXN</t>
        </is>
      </c>
      <c r="Z170" t="inlineStr">
        <is>
          <t>M3</t>
        </is>
      </c>
      <c r="AA170" t="inlineStr">
        <is>
          <t>D079</t>
        </is>
      </c>
      <c r="AB170" t="inlineStr">
        <is>
          <t>PD0071 XOCHIMILCO</t>
        </is>
      </c>
      <c r="AC170" t="n">
        <v>56103637</v>
      </c>
      <c r="AD170" t="n">
        <v>6644261540</v>
      </c>
      <c r="AE170" t="n">
        <v>4</v>
      </c>
      <c r="AF170" t="inlineStr">
        <is>
          <t>ENTREGA DIRECTA</t>
        </is>
      </c>
      <c r="AG170" t="n">
        <v>1.41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DW70-900003438-D079-10000623-4</t>
        </is>
      </c>
    </row>
    <row r="171">
      <c r="A171" t="inlineStr">
        <is>
          <t>900000472DW70D09310188219</t>
        </is>
      </c>
      <c r="B171" t="inlineStr">
        <is>
          <t>4600050481-510</t>
        </is>
      </c>
      <c r="C171" t="n">
        <v>4600050481</v>
      </c>
      <c r="D171" t="n">
        <v>510</v>
      </c>
      <c r="E171" t="inlineStr">
        <is>
          <t>MXPO</t>
        </is>
      </c>
      <c r="F171" t="inlineStr">
        <is>
          <t>MXL</t>
        </is>
      </c>
      <c r="G171" t="n">
        <v>900000472</v>
      </c>
      <c r="H171" t="inlineStr">
        <is>
          <t>TC-ED-TRIMCAV</t>
        </is>
      </c>
      <c r="I171" t="n">
        <v>5010147</v>
      </c>
      <c r="J171" t="inlineStr">
        <is>
          <t>TRITURACIONES DE MARMOL Y CALCIOS</t>
        </is>
      </c>
      <c r="K171" t="inlineStr">
        <is>
          <t>Z04</t>
        </is>
      </c>
      <c r="L171" t="inlineStr">
        <is>
          <t>(AP) 30 Dias</t>
        </is>
      </c>
      <c r="M171" t="n">
        <v>10188219</v>
      </c>
      <c r="N171" t="inlineStr">
        <is>
          <t>ARENA TRITURADA MÁRMOL NEGRO MALLA 4</t>
        </is>
      </c>
      <c r="O171" t="inlineStr">
        <is>
          <t>DW70</t>
        </is>
      </c>
      <c r="P171" t="inlineStr">
        <is>
          <t>MX-CED. CENTRO</t>
        </is>
      </c>
      <c r="Q171" t="n">
        <v>20210712</v>
      </c>
      <c r="R171" t="n">
        <v>20291231</v>
      </c>
      <c r="S171" t="n">
        <v>20210712</v>
      </c>
      <c r="T171" t="n">
        <v>20251231</v>
      </c>
      <c r="U171" t="n">
        <v>1300</v>
      </c>
      <c r="V171" t="inlineStr">
        <is>
          <t>MXN</t>
        </is>
      </c>
      <c r="W171" t="inlineStr">
        <is>
          <t>TN</t>
        </is>
      </c>
      <c r="X171" t="n">
        <v>650</v>
      </c>
      <c r="Y171" t="inlineStr">
        <is>
          <t>MXN</t>
        </is>
      </c>
      <c r="Z171" t="inlineStr">
        <is>
          <t>TN</t>
        </is>
      </c>
      <c r="AA171" t="inlineStr">
        <is>
          <t>D093</t>
        </is>
      </c>
      <c r="AB171" t="inlineStr">
        <is>
          <t>PD0556 ZUMPANGO</t>
        </is>
      </c>
      <c r="AC171" t="n">
        <v>56103638</v>
      </c>
      <c r="AD171" t="n">
        <v>6644261540</v>
      </c>
      <c r="AE171" t="n">
        <v>4</v>
      </c>
      <c r="AF171" t="inlineStr">
        <is>
          <t>ENTREGA DIRECTA</t>
        </is>
      </c>
      <c r="AG171" t="n">
        <v>1</v>
      </c>
      <c r="AH171" t="inlineStr">
        <is>
          <t>TO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DW70-900000472-D093-10188219-4</t>
        </is>
      </c>
    </row>
    <row r="172">
      <c r="A172" t="inlineStr">
        <is>
          <t>900003438DW70D11110000623</t>
        </is>
      </c>
      <c r="B172" t="inlineStr">
        <is>
          <t>4600050497-330</t>
        </is>
      </c>
      <c r="C172" t="n">
        <v>4600050497</v>
      </c>
      <c r="D172" t="n">
        <v>330</v>
      </c>
      <c r="E172" t="inlineStr">
        <is>
          <t>MXPO</t>
        </is>
      </c>
      <c r="F172" t="inlineStr">
        <is>
          <t>MXL</t>
        </is>
      </c>
      <c r="G172" t="n">
        <v>900003438</v>
      </c>
      <c r="H172" t="inlineStr">
        <is>
          <t>TC-ED-ESTRATEGIAS AVANZADAS</t>
        </is>
      </c>
      <c r="I172" t="n">
        <v>5049458</v>
      </c>
      <c r="J172" t="inlineStr">
        <is>
          <t>ESTRATEGIAS AVANZADAS PARA OBTEN</t>
        </is>
      </c>
      <c r="K172" t="inlineStr">
        <is>
          <t>Z03</t>
        </is>
      </c>
      <c r="L172" t="inlineStr">
        <is>
          <t>(AP) 15 Dias</t>
        </is>
      </c>
      <c r="M172" t="n">
        <v>10000623</v>
      </c>
      <c r="N172" t="inlineStr">
        <is>
          <t>Grava Triturada Caliza 10 mm - 3/8"</t>
        </is>
      </c>
      <c r="O172" t="inlineStr">
        <is>
          <t>DW70</t>
        </is>
      </c>
      <c r="P172" t="inlineStr">
        <is>
          <t>MX-CED. CENTRO</t>
        </is>
      </c>
      <c r="Q172" t="n">
        <v>20210712</v>
      </c>
      <c r="R172" t="n">
        <v>20281231</v>
      </c>
      <c r="S172" t="n">
        <v>20210712</v>
      </c>
      <c r="T172" t="n">
        <v>20251231</v>
      </c>
      <c r="U172" t="n">
        <v>404.28</v>
      </c>
      <c r="V172" t="inlineStr">
        <is>
          <t>MXN</t>
        </is>
      </c>
      <c r="W172" t="inlineStr">
        <is>
          <t>M3</t>
        </is>
      </c>
      <c r="X172" t="n">
        <v>269.28</v>
      </c>
      <c r="Y172" t="inlineStr">
        <is>
          <t>MXN</t>
        </is>
      </c>
      <c r="Z172" t="inlineStr">
        <is>
          <t>M3</t>
        </is>
      </c>
      <c r="AA172" t="inlineStr">
        <is>
          <t>D111</t>
        </is>
      </c>
      <c r="AB172" t="inlineStr">
        <is>
          <t>PD0317 TOLUCA LERMAS 2</t>
        </is>
      </c>
      <c r="AC172" t="n">
        <v>56103637</v>
      </c>
      <c r="AD172" t="n">
        <v>6644261540</v>
      </c>
      <c r="AE172" t="n">
        <v>4</v>
      </c>
      <c r="AF172" t="inlineStr">
        <is>
          <t>ENTREGA DIRECTA</t>
        </is>
      </c>
      <c r="AG172" t="n">
        <v>1.41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20230920</v>
      </c>
      <c r="AM172" t="inlineStr">
        <is>
          <t>DW70-900003438-D111-10000623-4</t>
        </is>
      </c>
    </row>
    <row r="173">
      <c r="A173" t="inlineStr">
        <is>
          <t>900003438DW70D07510000623</t>
        </is>
      </c>
      <c r="B173" t="inlineStr">
        <is>
          <t>4600050497-310</t>
        </is>
      </c>
      <c r="C173" t="n">
        <v>4600050497</v>
      </c>
      <c r="D173" t="n">
        <v>310</v>
      </c>
      <c r="E173" t="inlineStr">
        <is>
          <t>MXPO</t>
        </is>
      </c>
      <c r="F173" t="inlineStr">
        <is>
          <t>MXL</t>
        </is>
      </c>
      <c r="G173" t="n">
        <v>900003438</v>
      </c>
      <c r="H173" t="inlineStr">
        <is>
          <t>TC-ED-ESTRATEGIAS AVANZADAS</t>
        </is>
      </c>
      <c r="I173" t="n">
        <v>5049458</v>
      </c>
      <c r="J173" t="inlineStr">
        <is>
          <t>ESTRATEGIAS AVANZADAS PARA OBTEN</t>
        </is>
      </c>
      <c r="K173" t="inlineStr">
        <is>
          <t>Z03</t>
        </is>
      </c>
      <c r="L173" t="inlineStr">
        <is>
          <t>(AP) 15 Dias</t>
        </is>
      </c>
      <c r="M173" t="n">
        <v>10000623</v>
      </c>
      <c r="N173" t="inlineStr">
        <is>
          <t>Grava Triturada Caliza 10 mm - 3/8"</t>
        </is>
      </c>
      <c r="O173" t="inlineStr">
        <is>
          <t>DW70</t>
        </is>
      </c>
      <c r="P173" t="inlineStr">
        <is>
          <t>MX-CED. CENTRO</t>
        </is>
      </c>
      <c r="Q173" t="n">
        <v>20210712</v>
      </c>
      <c r="R173" t="n">
        <v>20281231</v>
      </c>
      <c r="S173" t="n">
        <v>20230501</v>
      </c>
      <c r="T173" t="n">
        <v>20281231</v>
      </c>
      <c r="U173" t="n">
        <v>362.64</v>
      </c>
      <c r="V173" t="inlineStr">
        <is>
          <t>MXN</t>
        </is>
      </c>
      <c r="W173" t="inlineStr">
        <is>
          <t>M3</t>
        </is>
      </c>
      <c r="X173" t="n">
        <v>207.64</v>
      </c>
      <c r="Y173" t="inlineStr">
        <is>
          <t>MXN</t>
        </is>
      </c>
      <c r="Z173" t="inlineStr">
        <is>
          <t>M3</t>
        </is>
      </c>
      <c r="AA173" t="inlineStr">
        <is>
          <t>D075</t>
        </is>
      </c>
      <c r="AB173" t="inlineStr">
        <is>
          <t>PD0065 CEYLAN</t>
        </is>
      </c>
      <c r="AC173" t="n">
        <v>56103637</v>
      </c>
      <c r="AD173" t="n">
        <v>6644261540</v>
      </c>
      <c r="AE173" t="n">
        <v>4</v>
      </c>
      <c r="AF173" t="inlineStr">
        <is>
          <t>ENTREGA DIRECTA</t>
        </is>
      </c>
      <c r="AG173" t="n">
        <v>1.41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DW70-900003438-D075-10000623-4</t>
        </is>
      </c>
    </row>
    <row r="174">
      <c r="A174" t="inlineStr">
        <is>
          <t>900000472DW70D09310000655</t>
        </is>
      </c>
      <c r="B174" t="inlineStr">
        <is>
          <t>4600050481-850</t>
        </is>
      </c>
      <c r="C174" t="n">
        <v>4600050481</v>
      </c>
      <c r="D174" t="n">
        <v>850</v>
      </c>
      <c r="E174" t="inlineStr">
        <is>
          <t>MXPO</t>
        </is>
      </c>
      <c r="F174" t="inlineStr">
        <is>
          <t>MXL</t>
        </is>
      </c>
      <c r="G174" t="n">
        <v>900000472</v>
      </c>
      <c r="H174" t="inlineStr">
        <is>
          <t>TC-ED-TRIMCAV</t>
        </is>
      </c>
      <c r="I174" t="n">
        <v>5010147</v>
      </c>
      <c r="J174" t="inlineStr">
        <is>
          <t>TRITURACIONES DE MARMOL Y CALCIOS</t>
        </is>
      </c>
      <c r="K174" t="inlineStr">
        <is>
          <t>Z04</t>
        </is>
      </c>
      <c r="L174" t="inlineStr">
        <is>
          <t>(AP) 30 Dias</t>
        </is>
      </c>
      <c r="M174" t="n">
        <v>10000655</v>
      </c>
      <c r="N174" t="inlineStr">
        <is>
          <t>Grava Triturada Marmol 10 mm - 3/8"</t>
        </is>
      </c>
      <c r="O174" t="inlineStr">
        <is>
          <t>DW70</t>
        </is>
      </c>
      <c r="P174" t="inlineStr">
        <is>
          <t>MX-CED. CENTRO</t>
        </is>
      </c>
      <c r="Q174" t="n">
        <v>20210712</v>
      </c>
      <c r="R174" t="n">
        <v>20291231</v>
      </c>
      <c r="S174" t="n">
        <v>20230215</v>
      </c>
      <c r="T174" t="n">
        <v>20281231</v>
      </c>
      <c r="U174" t="n">
        <v>921.6900000000001</v>
      </c>
      <c r="V174" t="inlineStr">
        <is>
          <t>MXN</t>
        </is>
      </c>
      <c r="W174" t="inlineStr">
        <is>
          <t>TN</t>
        </is>
      </c>
      <c r="X174" t="n">
        <v>485.1</v>
      </c>
      <c r="Y174" t="inlineStr">
        <is>
          <t>MXN</t>
        </is>
      </c>
      <c r="Z174" t="inlineStr">
        <is>
          <t>TN</t>
        </is>
      </c>
      <c r="AA174" t="inlineStr">
        <is>
          <t>D093</t>
        </is>
      </c>
      <c r="AB174" t="inlineStr">
        <is>
          <t>PD0556 ZUMPANGO</t>
        </is>
      </c>
      <c r="AC174" t="n">
        <v>56103637</v>
      </c>
      <c r="AD174" t="n">
        <v>6644261540</v>
      </c>
      <c r="AE174" t="n">
        <v>4</v>
      </c>
      <c r="AF174" t="inlineStr">
        <is>
          <t>ENTREGA DIRECTA</t>
        </is>
      </c>
      <c r="AG174" t="n">
        <v>1</v>
      </c>
      <c r="AH174" t="inlineStr">
        <is>
          <t>TO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DW70-900000472-D093-10000655-4</t>
        </is>
      </c>
    </row>
    <row r="175">
      <c r="A175" t="inlineStr">
        <is>
          <t>900000472DW70D08010000643</t>
        </is>
      </c>
      <c r="B175" t="inlineStr">
        <is>
          <t>4600050481-650</t>
        </is>
      </c>
      <c r="C175" t="n">
        <v>4600050481</v>
      </c>
      <c r="D175" t="n">
        <v>650</v>
      </c>
      <c r="E175" t="inlineStr">
        <is>
          <t>MXPO</t>
        </is>
      </c>
      <c r="F175" t="inlineStr">
        <is>
          <t>MXL</t>
        </is>
      </c>
      <c r="G175" t="n">
        <v>900000472</v>
      </c>
      <c r="H175" t="inlineStr">
        <is>
          <t>TC-ED-TRIMCAV</t>
        </is>
      </c>
      <c r="I175" t="n">
        <v>5010147</v>
      </c>
      <c r="J175" t="inlineStr">
        <is>
          <t>TRITURACIONES DE MARMOL Y CALCIOS</t>
        </is>
      </c>
      <c r="K175" t="inlineStr">
        <is>
          <t>Z04</t>
        </is>
      </c>
      <c r="L175" t="inlineStr">
        <is>
          <t>(AP) 30 Dias</t>
        </is>
      </c>
      <c r="M175" t="n">
        <v>10000643</v>
      </c>
      <c r="N175" t="inlineStr">
        <is>
          <t>Grava Triturada Marmol 20 mm - 3/4"</t>
        </is>
      </c>
      <c r="O175" t="inlineStr">
        <is>
          <t>DW70</t>
        </is>
      </c>
      <c r="P175" t="inlineStr">
        <is>
          <t>MX-CED. CENTRO</t>
        </is>
      </c>
      <c r="Q175" t="n">
        <v>20210712</v>
      </c>
      <c r="R175" t="n">
        <v>20291231</v>
      </c>
      <c r="S175" t="n">
        <v>20230215</v>
      </c>
      <c r="T175" t="n">
        <v>20281231</v>
      </c>
      <c r="U175" t="n">
        <v>921.6900000000001</v>
      </c>
      <c r="V175" t="inlineStr">
        <is>
          <t>MXN</t>
        </is>
      </c>
      <c r="W175" t="inlineStr">
        <is>
          <t>TN</t>
        </is>
      </c>
      <c r="X175" t="n">
        <v>485.1</v>
      </c>
      <c r="Y175" t="inlineStr">
        <is>
          <t>MXN</t>
        </is>
      </c>
      <c r="Z175" t="inlineStr">
        <is>
          <t>TN</t>
        </is>
      </c>
      <c r="AA175" t="inlineStr">
        <is>
          <t>D080</t>
        </is>
      </c>
      <c r="AB175" t="inlineStr">
        <is>
          <t>PD0086 VALLEJO</t>
        </is>
      </c>
      <c r="AC175" t="n">
        <v>56103637</v>
      </c>
      <c r="AD175" t="n">
        <v>6644261540</v>
      </c>
      <c r="AE175" t="n">
        <v>4</v>
      </c>
      <c r="AF175" t="inlineStr">
        <is>
          <t>ENTREGA DIRECTA</t>
        </is>
      </c>
      <c r="AG175" t="n">
        <v>1</v>
      </c>
      <c r="AH175" t="inlineStr">
        <is>
          <t>TO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DW70-900000472-D080-10000643-4</t>
        </is>
      </c>
    </row>
    <row r="176">
      <c r="A176" t="inlineStr">
        <is>
          <t>900000472DW70D07910190932</t>
        </is>
      </c>
      <c r="B176" t="inlineStr">
        <is>
          <t>4600050481-290</t>
        </is>
      </c>
      <c r="C176" t="n">
        <v>4600050481</v>
      </c>
      <c r="D176" t="n">
        <v>290</v>
      </c>
      <c r="E176" t="inlineStr">
        <is>
          <t>MXPO</t>
        </is>
      </c>
      <c r="F176" t="inlineStr">
        <is>
          <t>MXL</t>
        </is>
      </c>
      <c r="G176" t="n">
        <v>900000472</v>
      </c>
      <c r="H176" t="inlineStr">
        <is>
          <t>TC-ED-TRIMCAV</t>
        </is>
      </c>
      <c r="I176" t="n">
        <v>5010147</v>
      </c>
      <c r="J176" t="inlineStr">
        <is>
          <t>TRITURACIONES DE MARMOL Y CALCIOS</t>
        </is>
      </c>
      <c r="K176" t="inlineStr">
        <is>
          <t>Z04</t>
        </is>
      </c>
      <c r="L176" t="inlineStr">
        <is>
          <t>(AP) 30 Dias</t>
        </is>
      </c>
      <c r="M176" t="n">
        <v>10190932</v>
      </c>
      <c r="N176" t="inlineStr">
        <is>
          <t>GRAVA TRITURADA MÁRMOL NEGRO 20 MM - 3/4</t>
        </is>
      </c>
      <c r="O176" t="inlineStr">
        <is>
          <t>DW70</t>
        </is>
      </c>
      <c r="P176" t="inlineStr">
        <is>
          <t>MX-CED. CENTRO</t>
        </is>
      </c>
      <c r="Q176" t="n">
        <v>20210712</v>
      </c>
      <c r="R176" t="n">
        <v>20291231</v>
      </c>
      <c r="S176" t="n">
        <v>20210712</v>
      </c>
      <c r="T176" t="n">
        <v>20251231</v>
      </c>
      <c r="U176" t="n">
        <v>1300</v>
      </c>
      <c r="V176" t="inlineStr">
        <is>
          <t>MXN</t>
        </is>
      </c>
      <c r="W176" t="inlineStr">
        <is>
          <t>TN</t>
        </is>
      </c>
      <c r="X176" t="n">
        <v>650</v>
      </c>
      <c r="Y176" t="inlineStr">
        <is>
          <t>MXN</t>
        </is>
      </c>
      <c r="Z176" t="inlineStr">
        <is>
          <t>TN</t>
        </is>
      </c>
      <c r="AA176" t="inlineStr">
        <is>
          <t>D079</t>
        </is>
      </c>
      <c r="AB176" t="inlineStr">
        <is>
          <t>PD0071 XOCHIMILCO</t>
        </is>
      </c>
      <c r="AC176" t="n">
        <v>56103637</v>
      </c>
      <c r="AD176" t="n">
        <v>6644261540</v>
      </c>
      <c r="AE176" t="n">
        <v>4</v>
      </c>
      <c r="AF176" t="inlineStr">
        <is>
          <t>ENTREGA DIRECTA</t>
        </is>
      </c>
      <c r="AG176" t="n">
        <v>1</v>
      </c>
      <c r="AH176" t="inlineStr">
        <is>
          <t>TO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DW70-900000472-D079-10190932-4</t>
        </is>
      </c>
    </row>
    <row r="177">
      <c r="A177" t="inlineStr">
        <is>
          <t>900000472DW70D08010004432</t>
        </is>
      </c>
      <c r="B177" t="inlineStr">
        <is>
          <t>4600050481-1040</t>
        </is>
      </c>
      <c r="C177" t="n">
        <v>4600050481</v>
      </c>
      <c r="D177" t="n">
        <v>1040</v>
      </c>
      <c r="E177" t="inlineStr">
        <is>
          <t>MXPO</t>
        </is>
      </c>
      <c r="F177" t="inlineStr">
        <is>
          <t>MXL</t>
        </is>
      </c>
      <c r="G177" t="n">
        <v>900000472</v>
      </c>
      <c r="H177" t="inlineStr">
        <is>
          <t>TC-ED-TRIMCAV</t>
        </is>
      </c>
      <c r="I177" t="n">
        <v>5010147</v>
      </c>
      <c r="J177" t="inlineStr">
        <is>
          <t>TRITURACIONES DE MARMOL Y CALCIOS</t>
        </is>
      </c>
      <c r="K177" t="inlineStr">
        <is>
          <t>Z04</t>
        </is>
      </c>
      <c r="L177" t="inlineStr">
        <is>
          <t>(AP) 30 Dias</t>
        </is>
      </c>
      <c r="M177" t="n">
        <v>10004432</v>
      </c>
      <c r="N177" t="inlineStr">
        <is>
          <t>Grava Triturada Barita 20 mm - 3/4"</t>
        </is>
      </c>
      <c r="O177" t="inlineStr">
        <is>
          <t>DW70</t>
        </is>
      </c>
      <c r="P177" t="inlineStr">
        <is>
          <t>MX-CED. CENTRO</t>
        </is>
      </c>
      <c r="Q177" t="n">
        <v>20210712</v>
      </c>
      <c r="R177" t="n">
        <v>20291231</v>
      </c>
      <c r="S177" t="n">
        <v>20211214</v>
      </c>
      <c r="T177" t="n">
        <v>20261231</v>
      </c>
      <c r="U177" t="n">
        <v>5200</v>
      </c>
      <c r="V177" t="inlineStr">
        <is>
          <t>MXN</t>
        </is>
      </c>
      <c r="W177" t="inlineStr">
        <is>
          <t>TN</t>
        </is>
      </c>
      <c r="X177" t="n">
        <v>2600</v>
      </c>
      <c r="Y177" t="inlineStr">
        <is>
          <t>MXN</t>
        </is>
      </c>
      <c r="Z177" t="inlineStr">
        <is>
          <t>TN</t>
        </is>
      </c>
      <c r="AA177" t="inlineStr">
        <is>
          <t>D080</t>
        </is>
      </c>
      <c r="AB177" t="inlineStr">
        <is>
          <t>PD0086 VALLEJO</t>
        </is>
      </c>
      <c r="AC177" t="n">
        <v>56103637</v>
      </c>
      <c r="AD177" t="n">
        <v>6644261540</v>
      </c>
      <c r="AE177" t="n">
        <v>4</v>
      </c>
      <c r="AF177" t="inlineStr">
        <is>
          <t>ENTREGA DIRECTA</t>
        </is>
      </c>
      <c r="AG177" t="n">
        <v>1</v>
      </c>
      <c r="AH177" t="inlineStr">
        <is>
          <t>TO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DW70-900000472-D080-10004432-4</t>
        </is>
      </c>
    </row>
    <row r="178">
      <c r="A178" t="inlineStr">
        <is>
          <t>900000472DW70D08610189170</t>
        </is>
      </c>
      <c r="B178" t="inlineStr">
        <is>
          <t>4600050481-410</t>
        </is>
      </c>
      <c r="C178" t="n">
        <v>4600050481</v>
      </c>
      <c r="D178" t="n">
        <v>410</v>
      </c>
      <c r="E178" t="inlineStr">
        <is>
          <t>MXPO</t>
        </is>
      </c>
      <c r="F178" t="inlineStr">
        <is>
          <t>MXL</t>
        </is>
      </c>
      <c r="G178" t="n">
        <v>900000472</v>
      </c>
      <c r="H178" t="inlineStr">
        <is>
          <t>TC-ED-TRIMCAV</t>
        </is>
      </c>
      <c r="I178" t="n">
        <v>5010147</v>
      </c>
      <c r="J178" t="inlineStr">
        <is>
          <t>TRITURACIONES DE MARMOL Y CALCIOS</t>
        </is>
      </c>
      <c r="K178" t="inlineStr">
        <is>
          <t>Z04</t>
        </is>
      </c>
      <c r="L178" t="inlineStr">
        <is>
          <t>(AP) 30 Dias</t>
        </is>
      </c>
      <c r="M178" t="n">
        <v>10189170</v>
      </c>
      <c r="N178" t="inlineStr">
        <is>
          <t>GRAVA TRITURADA MÁRMOL NEGRO 10 MM - 3/8</t>
        </is>
      </c>
      <c r="O178" t="inlineStr">
        <is>
          <t>DW70</t>
        </is>
      </c>
      <c r="P178" t="inlineStr">
        <is>
          <t>MX-CED. CENTRO</t>
        </is>
      </c>
      <c r="Q178" t="n">
        <v>20210712</v>
      </c>
      <c r="R178" t="n">
        <v>20291231</v>
      </c>
      <c r="S178" t="n">
        <v>20210712</v>
      </c>
      <c r="T178" t="n">
        <v>20251231</v>
      </c>
      <c r="U178" t="n">
        <v>1300</v>
      </c>
      <c r="V178" t="inlineStr">
        <is>
          <t>MXN</t>
        </is>
      </c>
      <c r="W178" t="inlineStr">
        <is>
          <t>TN</t>
        </is>
      </c>
      <c r="X178" t="n">
        <v>650</v>
      </c>
      <c r="Y178" t="inlineStr">
        <is>
          <t>MXN</t>
        </is>
      </c>
      <c r="Z178" t="inlineStr">
        <is>
          <t>TN</t>
        </is>
      </c>
      <c r="AA178" t="inlineStr">
        <is>
          <t>D086</t>
        </is>
      </c>
      <c r="AB178" t="inlineStr">
        <is>
          <t>PD0190 XALOSTC</t>
        </is>
      </c>
      <c r="AC178" t="n">
        <v>56103637</v>
      </c>
      <c r="AD178" t="n">
        <v>6644261540</v>
      </c>
      <c r="AE178" t="n">
        <v>4</v>
      </c>
      <c r="AF178" t="inlineStr">
        <is>
          <t>ENTREGA DIRECTA</t>
        </is>
      </c>
      <c r="AG178" t="n">
        <v>1</v>
      </c>
      <c r="AH178" t="inlineStr">
        <is>
          <t>TO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DW70-900000472-D086-10189170-4</t>
        </is>
      </c>
    </row>
    <row r="179">
      <c r="A179" t="inlineStr">
        <is>
          <t>900003438DW70D14510000630</t>
        </is>
      </c>
      <c r="B179" t="inlineStr">
        <is>
          <t>4600050497-10</t>
        </is>
      </c>
      <c r="C179" t="n">
        <v>4600050497</v>
      </c>
      <c r="D179" t="n">
        <v>10</v>
      </c>
      <c r="E179" t="inlineStr">
        <is>
          <t>MXPO</t>
        </is>
      </c>
      <c r="F179" t="inlineStr">
        <is>
          <t>MXL</t>
        </is>
      </c>
      <c r="G179" t="n">
        <v>900003438</v>
      </c>
      <c r="H179" t="inlineStr">
        <is>
          <t>TC-ED-ESTRATEGIAS AVANZADAS</t>
        </is>
      </c>
      <c r="I179" t="n">
        <v>5049458</v>
      </c>
      <c r="J179" t="inlineStr">
        <is>
          <t>ESTRATEGIAS AVANZADAS PARA OBTEN</t>
        </is>
      </c>
      <c r="K179" t="inlineStr">
        <is>
          <t>Z03</t>
        </is>
      </c>
      <c r="L179" t="inlineStr">
        <is>
          <t>(AP) 15 Dias</t>
        </is>
      </c>
      <c r="M179" t="n">
        <v>10000630</v>
      </c>
      <c r="N179" t="inlineStr">
        <is>
          <t>Grava Triturada Caliza 13 mm - 1/2"</t>
        </is>
      </c>
      <c r="O179" t="inlineStr">
        <is>
          <t>DW70</t>
        </is>
      </c>
      <c r="P179" t="inlineStr">
        <is>
          <t>MX-CED. CENTRO</t>
        </is>
      </c>
      <c r="Q179" t="n">
        <v>20210712</v>
      </c>
      <c r="R179" t="n">
        <v>20281231</v>
      </c>
      <c r="S179" t="n">
        <v>20230501</v>
      </c>
      <c r="T179" t="n">
        <v>20281231</v>
      </c>
      <c r="U179" t="n">
        <v>374.19</v>
      </c>
      <c r="V179" t="inlineStr">
        <is>
          <t>MXN</t>
        </is>
      </c>
      <c r="W179" t="inlineStr">
        <is>
          <t>M3</t>
        </is>
      </c>
      <c r="X179" t="n">
        <v>219.19</v>
      </c>
      <c r="Y179" t="inlineStr">
        <is>
          <t>MXN</t>
        </is>
      </c>
      <c r="Z179" t="inlineStr">
        <is>
          <t>M3</t>
        </is>
      </c>
      <c r="AA179" t="inlineStr">
        <is>
          <t>D145</t>
        </is>
      </c>
      <c r="AB179" t="inlineStr">
        <is>
          <t>PD0458 ECATEPEC II</t>
        </is>
      </c>
      <c r="AC179" t="n">
        <v>56103637</v>
      </c>
      <c r="AD179" t="n">
        <v>6644261540</v>
      </c>
      <c r="AE179" t="n">
        <v>4</v>
      </c>
      <c r="AF179" t="inlineStr">
        <is>
          <t>ENTREGA DIRECTA</t>
        </is>
      </c>
      <c r="AG179" t="n">
        <v>1.4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DW70-900003438-D145-10000630-4</t>
        </is>
      </c>
    </row>
    <row r="180">
      <c r="A180" t="inlineStr">
        <is>
          <t>900003438DW70D08410000630</t>
        </is>
      </c>
      <c r="B180" t="inlineStr">
        <is>
          <t>4600050497-90</t>
        </is>
      </c>
      <c r="C180" t="n">
        <v>4600050497</v>
      </c>
      <c r="D180" t="n">
        <v>90</v>
      </c>
      <c r="E180" t="inlineStr">
        <is>
          <t>MXPO</t>
        </is>
      </c>
      <c r="F180" t="inlineStr">
        <is>
          <t>MXL</t>
        </is>
      </c>
      <c r="G180" t="n">
        <v>900003438</v>
      </c>
      <c r="H180" t="inlineStr">
        <is>
          <t>TC-ED-ESTRATEGIAS AVANZADAS</t>
        </is>
      </c>
      <c r="I180" t="n">
        <v>5049458</v>
      </c>
      <c r="J180" t="inlineStr">
        <is>
          <t>ESTRATEGIAS AVANZADAS PARA OBTEN</t>
        </is>
      </c>
      <c r="K180" t="inlineStr">
        <is>
          <t>Z03</t>
        </is>
      </c>
      <c r="L180" t="inlineStr">
        <is>
          <t>(AP) 15 Dias</t>
        </is>
      </c>
      <c r="M180" t="n">
        <v>10000630</v>
      </c>
      <c r="N180" t="inlineStr">
        <is>
          <t>Grava Triturada Caliza 13 mm - 1/2"</t>
        </is>
      </c>
      <c r="O180" t="inlineStr">
        <is>
          <t>DW70</t>
        </is>
      </c>
      <c r="P180" t="inlineStr">
        <is>
          <t>MX-CED. CENTRO</t>
        </is>
      </c>
      <c r="Q180" t="n">
        <v>20210712</v>
      </c>
      <c r="R180" t="n">
        <v>20281231</v>
      </c>
      <c r="S180" t="n">
        <v>20230501</v>
      </c>
      <c r="T180" t="n">
        <v>20281231</v>
      </c>
      <c r="U180" t="n">
        <v>446.4</v>
      </c>
      <c r="V180" t="inlineStr">
        <is>
          <t>MXN</t>
        </is>
      </c>
      <c r="W180" t="inlineStr">
        <is>
          <t>M3</t>
        </is>
      </c>
      <c r="X180" t="n">
        <v>291.4</v>
      </c>
      <c r="Y180" t="inlineStr">
        <is>
          <t>MXN</t>
        </is>
      </c>
      <c r="Z180" t="inlineStr">
        <is>
          <t>M3</t>
        </is>
      </c>
      <c r="AA180" t="inlineStr">
        <is>
          <t>D084</t>
        </is>
      </c>
      <c r="AB180" t="inlineStr">
        <is>
          <t>PD0186 IZTAPALAPA</t>
        </is>
      </c>
      <c r="AC180" t="n">
        <v>56103637</v>
      </c>
      <c r="AD180" t="n">
        <v>6644261540</v>
      </c>
      <c r="AE180" t="n">
        <v>4</v>
      </c>
      <c r="AF180" t="inlineStr">
        <is>
          <t>ENTREGA DIRECTA</t>
        </is>
      </c>
      <c r="AG180" t="n">
        <v>1.4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DW70-900003438-D084-10000630-4</t>
        </is>
      </c>
    </row>
    <row r="181">
      <c r="A181" t="inlineStr">
        <is>
          <t>900000472DW70D07910188219</t>
        </is>
      </c>
      <c r="B181" t="inlineStr">
        <is>
          <t>4600050481-80</t>
        </is>
      </c>
      <c r="C181" t="n">
        <v>4600050481</v>
      </c>
      <c r="D181" t="n">
        <v>80</v>
      </c>
      <c r="E181" t="inlineStr">
        <is>
          <t>MXPO</t>
        </is>
      </c>
      <c r="F181" t="inlineStr">
        <is>
          <t>MXL</t>
        </is>
      </c>
      <c r="G181" t="n">
        <v>900000472</v>
      </c>
      <c r="H181" t="inlineStr">
        <is>
          <t>TC-ED-TRIMCAV</t>
        </is>
      </c>
      <c r="I181" t="n">
        <v>5010147</v>
      </c>
      <c r="J181" t="inlineStr">
        <is>
          <t>TRITURACIONES DE MARMOL Y CALCIOS</t>
        </is>
      </c>
      <c r="K181" t="inlineStr">
        <is>
          <t>Z04</t>
        </is>
      </c>
      <c r="L181" t="inlineStr">
        <is>
          <t>(AP) 30 Dias</t>
        </is>
      </c>
      <c r="M181" t="n">
        <v>10188219</v>
      </c>
      <c r="N181" t="inlineStr">
        <is>
          <t>ARENA TRITURADA MÁRMOL NEGRO MALLA 4</t>
        </is>
      </c>
      <c r="O181" t="inlineStr">
        <is>
          <t>DW70</t>
        </is>
      </c>
      <c r="P181" t="inlineStr">
        <is>
          <t>MX-CED. CENTRO</t>
        </is>
      </c>
      <c r="Q181" t="n">
        <v>20210712</v>
      </c>
      <c r="R181" t="n">
        <v>20291231</v>
      </c>
      <c r="S181" t="n">
        <v>20210712</v>
      </c>
      <c r="T181" t="n">
        <v>20251231</v>
      </c>
      <c r="U181" t="n">
        <v>1300</v>
      </c>
      <c r="V181" t="inlineStr">
        <is>
          <t>MXN</t>
        </is>
      </c>
      <c r="W181" t="inlineStr">
        <is>
          <t>TN</t>
        </is>
      </c>
      <c r="X181" t="n">
        <v>650</v>
      </c>
      <c r="Y181" t="inlineStr">
        <is>
          <t>MXN</t>
        </is>
      </c>
      <c r="Z181" t="inlineStr">
        <is>
          <t>TN</t>
        </is>
      </c>
      <c r="AA181" t="inlineStr">
        <is>
          <t>D079</t>
        </is>
      </c>
      <c r="AB181" t="inlineStr">
        <is>
          <t>PD0071 XOCHIMILCO</t>
        </is>
      </c>
      <c r="AC181" t="n">
        <v>56103638</v>
      </c>
      <c r="AD181" t="n">
        <v>6644261540</v>
      </c>
      <c r="AE181" t="n">
        <v>4</v>
      </c>
      <c r="AF181" t="inlineStr">
        <is>
          <t>ENTREGA DIRECTA</t>
        </is>
      </c>
      <c r="AG181" t="n">
        <v>1</v>
      </c>
      <c r="AH181" t="inlineStr">
        <is>
          <t>TO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DW70-900000472-D079-10188219-4</t>
        </is>
      </c>
    </row>
    <row r="182">
      <c r="A182" t="inlineStr">
        <is>
          <t>900000472DW70D08010000655</t>
        </is>
      </c>
      <c r="B182" t="inlineStr">
        <is>
          <t>4600050481-220</t>
        </is>
      </c>
      <c r="C182" t="n">
        <v>4600050481</v>
      </c>
      <c r="D182" t="n">
        <v>220</v>
      </c>
      <c r="E182" t="inlineStr">
        <is>
          <t>MXPO</t>
        </is>
      </c>
      <c r="F182" t="inlineStr">
        <is>
          <t>MXL</t>
        </is>
      </c>
      <c r="G182" t="n">
        <v>900000472</v>
      </c>
      <c r="H182" t="inlineStr">
        <is>
          <t>TC-ED-TRIMCAV</t>
        </is>
      </c>
      <c r="I182" t="n">
        <v>5010147</v>
      </c>
      <c r="J182" t="inlineStr">
        <is>
          <t>TRITURACIONES DE MARMOL Y CALCIOS</t>
        </is>
      </c>
      <c r="K182" t="inlineStr">
        <is>
          <t>Z04</t>
        </is>
      </c>
      <c r="L182" t="inlineStr">
        <is>
          <t>(AP) 30 Dias</t>
        </is>
      </c>
      <c r="M182" t="n">
        <v>10000655</v>
      </c>
      <c r="N182" t="inlineStr">
        <is>
          <t>Grava Triturada Marmol 10 mm - 3/8"</t>
        </is>
      </c>
      <c r="O182" t="inlineStr">
        <is>
          <t>DW70</t>
        </is>
      </c>
      <c r="P182" t="inlineStr">
        <is>
          <t>MX-CED. CENTRO</t>
        </is>
      </c>
      <c r="Q182" t="n">
        <v>20210712</v>
      </c>
      <c r="R182" t="n">
        <v>20291231</v>
      </c>
      <c r="S182" t="n">
        <v>20230215</v>
      </c>
      <c r="T182" t="n">
        <v>20281231</v>
      </c>
      <c r="U182" t="n">
        <v>921.6900000000001</v>
      </c>
      <c r="V182" t="inlineStr">
        <is>
          <t>MXN</t>
        </is>
      </c>
      <c r="W182" t="inlineStr">
        <is>
          <t>TN</t>
        </is>
      </c>
      <c r="X182" t="n">
        <v>485.1</v>
      </c>
      <c r="Y182" t="inlineStr">
        <is>
          <t>MXN</t>
        </is>
      </c>
      <c r="Z182" t="inlineStr">
        <is>
          <t>TN</t>
        </is>
      </c>
      <c r="AA182" t="inlineStr">
        <is>
          <t>D080</t>
        </is>
      </c>
      <c r="AB182" t="inlineStr">
        <is>
          <t>PD0086 VALLEJO</t>
        </is>
      </c>
      <c r="AC182" t="n">
        <v>56103637</v>
      </c>
      <c r="AD182" t="n">
        <v>6644261540</v>
      </c>
      <c r="AE182" t="n">
        <v>4</v>
      </c>
      <c r="AF182" t="inlineStr">
        <is>
          <t>ENTREGA DIRECTA</t>
        </is>
      </c>
      <c r="AG182" t="n">
        <v>1</v>
      </c>
      <c r="AH182" t="inlineStr">
        <is>
          <t>TO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DW70-900000472-D080-10000655-4</t>
        </is>
      </c>
    </row>
    <row r="183">
      <c r="A183" t="inlineStr">
        <is>
          <t>900003438DW70D08110000630</t>
        </is>
      </c>
      <c r="B183" t="inlineStr">
        <is>
          <t>4600050497-110</t>
        </is>
      </c>
      <c r="C183" t="n">
        <v>4600050497</v>
      </c>
      <c r="D183" t="n">
        <v>110</v>
      </c>
      <c r="E183" t="inlineStr">
        <is>
          <t>MXPO</t>
        </is>
      </c>
      <c r="F183" t="inlineStr">
        <is>
          <t>MXL</t>
        </is>
      </c>
      <c r="G183" t="n">
        <v>900003438</v>
      </c>
      <c r="H183" t="inlineStr">
        <is>
          <t>TC-ED-ESTRATEGIAS AVANZADAS</t>
        </is>
      </c>
      <c r="I183" t="n">
        <v>5049458</v>
      </c>
      <c r="J183" t="inlineStr">
        <is>
          <t>ESTRATEGIAS AVANZADAS PARA OBTEN</t>
        </is>
      </c>
      <c r="K183" t="inlineStr">
        <is>
          <t>Z03</t>
        </is>
      </c>
      <c r="L183" t="inlineStr">
        <is>
          <t>(AP) 15 Dias</t>
        </is>
      </c>
      <c r="M183" t="n">
        <v>10000630</v>
      </c>
      <c r="N183" t="inlineStr">
        <is>
          <t>Grava Triturada Caliza 13 mm - 1/2"</t>
        </is>
      </c>
      <c r="O183" t="inlineStr">
        <is>
          <t>DW70</t>
        </is>
      </c>
      <c r="P183" t="inlineStr">
        <is>
          <t>MX-CED. CENTRO</t>
        </is>
      </c>
      <c r="Q183" t="n">
        <v>20210712</v>
      </c>
      <c r="R183" t="n">
        <v>20281231</v>
      </c>
      <c r="S183" t="n">
        <v>20230501</v>
      </c>
      <c r="T183" t="n">
        <v>20281231</v>
      </c>
      <c r="U183" t="n">
        <v>348.2</v>
      </c>
      <c r="V183" t="inlineStr">
        <is>
          <t>MXN</t>
        </is>
      </c>
      <c r="W183" t="inlineStr">
        <is>
          <t>M3</t>
        </is>
      </c>
      <c r="X183" t="n">
        <v>193.2</v>
      </c>
      <c r="Y183" t="inlineStr">
        <is>
          <t>MXN</t>
        </is>
      </c>
      <c r="Z183" t="inlineStr">
        <is>
          <t>M3</t>
        </is>
      </c>
      <c r="AA183" t="inlineStr">
        <is>
          <t>D081</t>
        </is>
      </c>
      <c r="AB183" t="inlineStr">
        <is>
          <t>PD0088 ARMAS</t>
        </is>
      </c>
      <c r="AC183" t="n">
        <v>56103637</v>
      </c>
      <c r="AD183" t="n">
        <v>6644261540</v>
      </c>
      <c r="AE183" t="n">
        <v>4</v>
      </c>
      <c r="AF183" t="inlineStr">
        <is>
          <t>ENTREGA DIRECTA</t>
        </is>
      </c>
      <c r="AG183" t="n">
        <v>1.4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20230920</v>
      </c>
      <c r="AM183" t="inlineStr">
        <is>
          <t>DW70-900003438-D081-10000630-4</t>
        </is>
      </c>
    </row>
    <row r="184">
      <c r="A184" t="inlineStr">
        <is>
          <t>900000472DW70D10510004432</t>
        </is>
      </c>
      <c r="B184" t="inlineStr">
        <is>
          <t>4600050481-1050</t>
        </is>
      </c>
      <c r="C184" t="n">
        <v>4600050481</v>
      </c>
      <c r="D184" t="n">
        <v>1050</v>
      </c>
      <c r="E184" t="inlineStr">
        <is>
          <t>MXPO</t>
        </is>
      </c>
      <c r="F184" t="inlineStr">
        <is>
          <t>MXL</t>
        </is>
      </c>
      <c r="G184" t="n">
        <v>900000472</v>
      </c>
      <c r="H184" t="inlineStr">
        <is>
          <t>TC-ED-TRIMCAV</t>
        </is>
      </c>
      <c r="I184" t="n">
        <v>5010147</v>
      </c>
      <c r="J184" t="inlineStr">
        <is>
          <t>TRITURACIONES DE MARMOL Y CALCIOS</t>
        </is>
      </c>
      <c r="K184" t="inlineStr">
        <is>
          <t>Z04</t>
        </is>
      </c>
      <c r="L184" t="inlineStr">
        <is>
          <t>(AP) 30 Dias</t>
        </is>
      </c>
      <c r="M184" t="n">
        <v>10004432</v>
      </c>
      <c r="N184" t="inlineStr">
        <is>
          <t>Grava Triturada Barita 20 mm - 3/4"</t>
        </is>
      </c>
      <c r="O184" t="inlineStr">
        <is>
          <t>DW70</t>
        </is>
      </c>
      <c r="P184" t="inlineStr">
        <is>
          <t>MX-CED. CENTRO</t>
        </is>
      </c>
      <c r="Q184" t="n">
        <v>20210712</v>
      </c>
      <c r="R184" t="n">
        <v>20291231</v>
      </c>
      <c r="S184" t="n">
        <v>20211214</v>
      </c>
      <c r="T184" t="n">
        <v>20261231</v>
      </c>
      <c r="U184" t="n">
        <v>5200</v>
      </c>
      <c r="V184" t="inlineStr">
        <is>
          <t>MXN</t>
        </is>
      </c>
      <c r="W184" t="inlineStr">
        <is>
          <t>TN</t>
        </is>
      </c>
      <c r="X184" t="n">
        <v>2600</v>
      </c>
      <c r="Y184" t="inlineStr">
        <is>
          <t>MXN</t>
        </is>
      </c>
      <c r="Z184" t="inlineStr">
        <is>
          <t>TN</t>
        </is>
      </c>
      <c r="AA184" t="inlineStr">
        <is>
          <t>D105</t>
        </is>
      </c>
      <c r="AB184" t="inlineStr">
        <is>
          <t>PD0331 NAUCALPAN II</t>
        </is>
      </c>
      <c r="AC184" t="n">
        <v>56103637</v>
      </c>
      <c r="AD184" t="n">
        <v>6644261540</v>
      </c>
      <c r="AE184" t="n">
        <v>4</v>
      </c>
      <c r="AF184" t="inlineStr">
        <is>
          <t>ENTREGA DIRECTA</t>
        </is>
      </c>
      <c r="AG184" t="n">
        <v>1</v>
      </c>
      <c r="AH184" t="inlineStr">
        <is>
          <t>TO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20230920</v>
      </c>
      <c r="AM184" t="inlineStr">
        <is>
          <t>DW70-900000472-D105-10004432-4</t>
        </is>
      </c>
    </row>
    <row r="185">
      <c r="A185" t="inlineStr">
        <is>
          <t>900003438DW70D08810000623</t>
        </is>
      </c>
      <c r="B185" t="inlineStr">
        <is>
          <t>4600050497-220</t>
        </is>
      </c>
      <c r="C185" t="n">
        <v>4600050497</v>
      </c>
      <c r="D185" t="n">
        <v>220</v>
      </c>
      <c r="E185" t="inlineStr">
        <is>
          <t>MXPO</t>
        </is>
      </c>
      <c r="F185" t="inlineStr">
        <is>
          <t>MXL</t>
        </is>
      </c>
      <c r="G185" t="n">
        <v>900003438</v>
      </c>
      <c r="H185" t="inlineStr">
        <is>
          <t>TC-ED-ESTRATEGIAS AVANZADAS</t>
        </is>
      </c>
      <c r="I185" t="n">
        <v>5049458</v>
      </c>
      <c r="J185" t="inlineStr">
        <is>
          <t>ESTRATEGIAS AVANZADAS PARA OBTEN</t>
        </is>
      </c>
      <c r="K185" t="inlineStr">
        <is>
          <t>Z03</t>
        </is>
      </c>
      <c r="L185" t="inlineStr">
        <is>
          <t>(AP) 15 Dias</t>
        </is>
      </c>
      <c r="M185" t="n">
        <v>10000623</v>
      </c>
      <c r="N185" t="inlineStr">
        <is>
          <t>Grava Triturada Caliza 10 mm - 3/8"</t>
        </is>
      </c>
      <c r="O185" t="inlineStr">
        <is>
          <t>DW70</t>
        </is>
      </c>
      <c r="P185" t="inlineStr">
        <is>
          <t>MX-CED. CENTRO</t>
        </is>
      </c>
      <c r="Q185" t="n">
        <v>20210712</v>
      </c>
      <c r="R185" t="n">
        <v>20281231</v>
      </c>
      <c r="S185" t="n">
        <v>20210712</v>
      </c>
      <c r="T185" t="n">
        <v>20251231</v>
      </c>
      <c r="U185" t="n">
        <v>195.72</v>
      </c>
      <c r="V185" t="inlineStr">
        <is>
          <t>MXN</t>
        </is>
      </c>
      <c r="W185" t="inlineStr">
        <is>
          <t>M3</t>
        </is>
      </c>
      <c r="X185" t="n">
        <v>60.72</v>
      </c>
      <c r="Y185" t="inlineStr">
        <is>
          <t>MXN</t>
        </is>
      </c>
      <c r="Z185" t="inlineStr">
        <is>
          <t>M3</t>
        </is>
      </c>
      <c r="AA185" t="inlineStr">
        <is>
          <t>D088</t>
        </is>
      </c>
      <c r="AB185" t="inlineStr">
        <is>
          <t>PD081 HUEHUETOCA V</t>
        </is>
      </c>
      <c r="AC185" t="n">
        <v>56103637</v>
      </c>
      <c r="AD185" t="n">
        <v>6644261540</v>
      </c>
      <c r="AE185" t="n">
        <v>4</v>
      </c>
      <c r="AF185" t="inlineStr">
        <is>
          <t>ENTREGA DIRECTA</t>
        </is>
      </c>
      <c r="AG185" t="n">
        <v>1.41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20230920</v>
      </c>
      <c r="AM185" t="inlineStr">
        <is>
          <t>DW70-900003438-D088-10000623-4</t>
        </is>
      </c>
    </row>
    <row r="186">
      <c r="A186" t="inlineStr">
        <is>
          <t>900009480DW7010000160</t>
        </is>
      </c>
      <c r="B186" t="inlineStr">
        <is>
          <t>4600071977-10</t>
        </is>
      </c>
      <c r="C186" t="n">
        <v>4600071977</v>
      </c>
      <c r="D186" t="n">
        <v>10</v>
      </c>
      <c r="E186" t="inlineStr">
        <is>
          <t>MXPO</t>
        </is>
      </c>
      <c r="F186" t="inlineStr">
        <is>
          <t>MXL</t>
        </is>
      </c>
      <c r="G186" t="n">
        <v>900009480</v>
      </c>
      <c r="H186" t="inlineStr">
        <is>
          <t>SF TC-LOMA ANCHA SC</t>
        </is>
      </c>
      <c r="I186" t="n">
        <v>5047262</v>
      </c>
      <c r="J186" t="inlineStr">
        <is>
          <t>AGREGADOS PETREOS SAN CRISTOBAL</t>
        </is>
      </c>
      <c r="K186" t="inlineStr">
        <is>
          <t>Z03</t>
        </is>
      </c>
      <c r="L186" t="inlineStr">
        <is>
          <t>(AP) 15 Dias</t>
        </is>
      </c>
      <c r="M186" t="n">
        <v>10000160</v>
      </c>
      <c r="N186" t="inlineStr">
        <is>
          <t>Arena Triturada Andesita Malla 4</t>
        </is>
      </c>
      <c r="O186" t="inlineStr">
        <is>
          <t>DW70</t>
        </is>
      </c>
      <c r="P186" t="inlineStr">
        <is>
          <t>MX-CED. CENTRO</t>
        </is>
      </c>
      <c r="Q186" t="n">
        <v>20260211</v>
      </c>
      <c r="R186" t="n">
        <v>20301231</v>
      </c>
      <c r="U186" t="n">
        <v>0</v>
      </c>
      <c r="V186" t="inlineStr">
        <is>
          <t>MXN</t>
        </is>
      </c>
      <c r="W186" t="inlineStr">
        <is>
          <t>M3</t>
        </is>
      </c>
      <c r="AC186" t="n">
        <v>56103638</v>
      </c>
      <c r="AD186" t="n">
        <v>6644261540</v>
      </c>
      <c r="AE186" t="n">
        <v>1</v>
      </c>
      <c r="AF186" t="inlineStr">
        <is>
          <t>ENTREGADO</t>
        </is>
      </c>
      <c r="AG186" t="n">
        <v>1.409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20260311</v>
      </c>
      <c r="AM186" t="inlineStr">
        <is>
          <t>DW70-900009480-10000160</t>
        </is>
      </c>
    </row>
    <row r="187">
      <c r="A187" t="inlineStr">
        <is>
          <t>900008265DW70ENXE10271724</t>
        </is>
      </c>
      <c r="B187" t="inlineStr">
        <is>
          <t>4600071526-50</t>
        </is>
      </c>
      <c r="C187" t="n">
        <v>4600071526</v>
      </c>
      <c r="D187" t="n">
        <v>50</v>
      </c>
      <c r="E187" t="inlineStr">
        <is>
          <t>MXPO</t>
        </is>
      </c>
      <c r="F187" t="inlineStr">
        <is>
          <t>MXL</t>
        </is>
      </c>
      <c r="G187" t="n">
        <v>900008265</v>
      </c>
      <c r="H187" t="inlineStr">
        <is>
          <t>SF TC-ED CONCRETOS Y PAVIMENTOS</t>
        </is>
      </c>
      <c r="I187" t="n">
        <v>5089601</v>
      </c>
      <c r="J187" t="inlineStr">
        <is>
          <t>CONCRETOS Y PAVIMENTOS EXTERIORES S</t>
        </is>
      </c>
      <c r="K187" t="inlineStr">
        <is>
          <t>N90</t>
        </is>
      </c>
      <c r="L187" t="inlineStr">
        <is>
          <t>(AP) NAFIN 90 Dias</t>
        </is>
      </c>
      <c r="M187" t="n">
        <v>10271724</v>
      </c>
      <c r="N187" t="inlineStr">
        <is>
          <t>MP RESIDUO DE CONCRETO</t>
        </is>
      </c>
      <c r="O187" t="inlineStr">
        <is>
          <t>DW70</t>
        </is>
      </c>
      <c r="P187" t="inlineStr">
        <is>
          <t>MX-CED. CENTRO</t>
        </is>
      </c>
      <c r="Q187" t="n">
        <v>20250807</v>
      </c>
      <c r="R187" t="n">
        <v>20301231</v>
      </c>
      <c r="S187" t="n">
        <v>20251218</v>
      </c>
      <c r="T187" t="n">
        <v>20301231</v>
      </c>
      <c r="U187" t="n">
        <v>241.8</v>
      </c>
      <c r="V187" t="inlineStr">
        <is>
          <t>MXN</t>
        </is>
      </c>
      <c r="W187" t="inlineStr">
        <is>
          <t>M3</t>
        </is>
      </c>
      <c r="X187" t="n">
        <v>200</v>
      </c>
      <c r="Y187" t="inlineStr">
        <is>
          <t>MXN</t>
        </is>
      </c>
      <c r="Z187" t="inlineStr">
        <is>
          <t>M3</t>
        </is>
      </c>
      <c r="AA187" t="inlineStr">
        <is>
          <t>ENXE</t>
        </is>
      </c>
      <c r="AB187" t="inlineStr">
        <is>
          <t>PUENTES PERIFERICO ORIENTE/SICT</t>
        </is>
      </c>
      <c r="AC187" t="n">
        <v>56103636</v>
      </c>
      <c r="AD187" t="n">
        <v>6644261540</v>
      </c>
      <c r="AE187" t="n">
        <v>4</v>
      </c>
      <c r="AF187" t="inlineStr">
        <is>
          <t>ENTREGA DIRECTA</t>
        </is>
      </c>
      <c r="AG187" t="n">
        <v>1.9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20251224</v>
      </c>
      <c r="AM187" t="inlineStr">
        <is>
          <t>DW70-900008265-ENXE-10271724-4</t>
        </is>
      </c>
    </row>
    <row r="188">
      <c r="A188" t="inlineStr">
        <is>
          <t>900006172DW70D08110233033</t>
        </is>
      </c>
      <c r="B188" t="inlineStr">
        <is>
          <t>4600072309-60</t>
        </is>
      </c>
      <c r="C188" t="n">
        <v>4600072309</v>
      </c>
      <c r="D188" t="n">
        <v>60</v>
      </c>
      <c r="E188" t="inlineStr">
        <is>
          <t>MXPO</t>
        </is>
      </c>
      <c r="F188" t="inlineStr">
        <is>
          <t>MXL</t>
        </is>
      </c>
      <c r="G188" t="n">
        <v>900006172</v>
      </c>
      <c r="H188" t="inlineStr">
        <is>
          <t>SF TC-ED ESTRATEGIAS SANTA CALIZA</t>
        </is>
      </c>
      <c r="I188" t="n">
        <v>5049458</v>
      </c>
      <c r="J188" t="inlineStr">
        <is>
          <t>ESTRATEGIAS AVANZADAS PARA OBTEN</t>
        </is>
      </c>
      <c r="K188" t="inlineStr">
        <is>
          <t>Z03</t>
        </is>
      </c>
      <c r="L188" t="inlineStr">
        <is>
          <t>(AP) 15 Dias</t>
        </is>
      </c>
      <c r="M188" t="n">
        <v>10233033</v>
      </c>
      <c r="N188" t="inlineStr">
        <is>
          <t>GRAVA TRITURADA CALIZA 13 MM - 1/2" P</t>
        </is>
      </c>
      <c r="O188" t="inlineStr">
        <is>
          <t>DW70</t>
        </is>
      </c>
      <c r="P188" t="inlineStr">
        <is>
          <t>MX-CED. CENTRO</t>
        </is>
      </c>
      <c r="Q188" t="n">
        <v>20260616</v>
      </c>
      <c r="R188" t="n">
        <v>20301231</v>
      </c>
      <c r="S188" t="n">
        <v>20260616</v>
      </c>
      <c r="T188" t="n">
        <v>20301231</v>
      </c>
      <c r="U188" t="n">
        <v>507</v>
      </c>
      <c r="V188" t="inlineStr">
        <is>
          <t>MXN</t>
        </is>
      </c>
      <c r="W188" t="inlineStr">
        <is>
          <t>M3</t>
        </is>
      </c>
      <c r="X188" t="n">
        <v>351</v>
      </c>
      <c r="Y188" t="inlineStr">
        <is>
          <t>MXN</t>
        </is>
      </c>
      <c r="Z188" t="inlineStr">
        <is>
          <t>M3</t>
        </is>
      </c>
      <c r="AA188" t="inlineStr">
        <is>
          <t>D081</t>
        </is>
      </c>
      <c r="AB188" t="inlineStr">
        <is>
          <t>PD0088 ARMAS</t>
        </is>
      </c>
      <c r="AC188" t="n">
        <v>56103637</v>
      </c>
      <c r="AD188" t="n">
        <v>6644261540</v>
      </c>
      <c r="AE188" t="n">
        <v>4</v>
      </c>
      <c r="AF188" t="inlineStr">
        <is>
          <t>ENTREGA DIRECTA</t>
        </is>
      </c>
      <c r="AG188" t="n">
        <v>1.4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20260622</v>
      </c>
      <c r="AM188" t="inlineStr">
        <is>
          <t>DW70-900006172-D081-10233033-4</t>
        </is>
      </c>
    </row>
    <row r="189">
      <c r="A189" t="inlineStr">
        <is>
          <t>900000472DW70D13610000175</t>
        </is>
      </c>
      <c r="B189" t="inlineStr">
        <is>
          <t>4600050481-1090</t>
        </is>
      </c>
      <c r="C189" t="n">
        <v>4600050481</v>
      </c>
      <c r="D189" t="n">
        <v>1090</v>
      </c>
      <c r="E189" t="inlineStr">
        <is>
          <t>MXPO</t>
        </is>
      </c>
      <c r="F189" t="inlineStr">
        <is>
          <t>MXL</t>
        </is>
      </c>
      <c r="G189" t="n">
        <v>900000472</v>
      </c>
      <c r="H189" t="inlineStr">
        <is>
          <t>TC-ED-TRIMCAV</t>
        </is>
      </c>
      <c r="I189" t="n">
        <v>5010147</v>
      </c>
      <c r="J189" t="inlineStr">
        <is>
          <t>TRITURACIONES DE MARMOL Y CALCIOS</t>
        </is>
      </c>
      <c r="K189" t="inlineStr">
        <is>
          <t>Z04</t>
        </is>
      </c>
      <c r="L189" t="inlineStr">
        <is>
          <t>(AP) 30 Dias</t>
        </is>
      </c>
      <c r="M189" t="n">
        <v>10000175</v>
      </c>
      <c r="N189" t="inlineStr">
        <is>
          <t>Arena Triturada Caliza Malla 4</t>
        </is>
      </c>
      <c r="O189" t="inlineStr">
        <is>
          <t>DW70</t>
        </is>
      </c>
      <c r="P189" t="inlineStr">
        <is>
          <t>MX-CED. CENTRO</t>
        </is>
      </c>
      <c r="Q189" t="n">
        <v>20210712</v>
      </c>
      <c r="R189" t="n">
        <v>20291231</v>
      </c>
      <c r="S189" t="n">
        <v>20260605</v>
      </c>
      <c r="T189" t="n">
        <v>20301231</v>
      </c>
      <c r="U189" t="n">
        <v>600</v>
      </c>
      <c r="V189" t="inlineStr">
        <is>
          <t>MXN</t>
        </is>
      </c>
      <c r="W189" t="inlineStr">
        <is>
          <t>TN</t>
        </is>
      </c>
      <c r="X189" t="n">
        <v>440.86</v>
      </c>
      <c r="Y189" t="inlineStr">
        <is>
          <t>MXN</t>
        </is>
      </c>
      <c r="Z189" t="inlineStr">
        <is>
          <t>TN</t>
        </is>
      </c>
      <c r="AA189" t="inlineStr">
        <is>
          <t>D136</t>
        </is>
      </c>
      <c r="AB189" t="inlineStr">
        <is>
          <t>PD0237 LA ESTRELLA</t>
        </is>
      </c>
      <c r="AC189" t="n">
        <v>56103638</v>
      </c>
      <c r="AD189" t="n">
        <v>6644261540</v>
      </c>
      <c r="AE189" t="n">
        <v>4</v>
      </c>
      <c r="AF189" t="inlineStr">
        <is>
          <t>ENTREGA DIRECTA</t>
        </is>
      </c>
      <c r="AG189" t="n">
        <v>1</v>
      </c>
      <c r="AH189" t="inlineStr">
        <is>
          <t>TO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20260611</v>
      </c>
      <c r="AM189" t="inlineStr">
        <is>
          <t>DW70-900000472-D136-10000175-4</t>
        </is>
      </c>
    </row>
    <row r="190">
      <c r="A190" t="inlineStr">
        <is>
          <t>900006172DW70D10510233033</t>
        </is>
      </c>
      <c r="B190" t="inlineStr">
        <is>
          <t>4600072309-120</t>
        </is>
      </c>
      <c r="C190" t="n">
        <v>4600072309</v>
      </c>
      <c r="D190" t="n">
        <v>120</v>
      </c>
      <c r="E190" t="inlineStr">
        <is>
          <t>MXPO</t>
        </is>
      </c>
      <c r="F190" t="inlineStr">
        <is>
          <t>MXL</t>
        </is>
      </c>
      <c r="G190" t="n">
        <v>900006172</v>
      </c>
      <c r="H190" t="inlineStr">
        <is>
          <t>SF TC-ED ESTRATEGIAS SANTA CALIZA</t>
        </is>
      </c>
      <c r="I190" t="n">
        <v>5049458</v>
      </c>
      <c r="J190" t="inlineStr">
        <is>
          <t>ESTRATEGIAS AVANZADAS PARA OBTEN</t>
        </is>
      </c>
      <c r="K190" t="inlineStr">
        <is>
          <t>Z03</t>
        </is>
      </c>
      <c r="L190" t="inlineStr">
        <is>
          <t>(AP) 15 Dias</t>
        </is>
      </c>
      <c r="M190" t="n">
        <v>10233033</v>
      </c>
      <c r="N190" t="inlineStr">
        <is>
          <t>GRAVA TRITURADA CALIZA 13 MM - 1/2" P</t>
        </is>
      </c>
      <c r="O190" t="inlineStr">
        <is>
          <t>DW70</t>
        </is>
      </c>
      <c r="P190" t="inlineStr">
        <is>
          <t>MX-CED. CENTRO</t>
        </is>
      </c>
      <c r="Q190" t="n">
        <v>20260616</v>
      </c>
      <c r="R190" t="n">
        <v>20301231</v>
      </c>
      <c r="S190" t="n">
        <v>20260616</v>
      </c>
      <c r="T190" t="n">
        <v>20301231</v>
      </c>
      <c r="U190" t="n">
        <v>516</v>
      </c>
      <c r="V190" t="inlineStr">
        <is>
          <t>MXN</t>
        </is>
      </c>
      <c r="W190" t="inlineStr">
        <is>
          <t>M3</t>
        </is>
      </c>
      <c r="X190" t="n">
        <v>360</v>
      </c>
      <c r="Y190" t="inlineStr">
        <is>
          <t>MXN</t>
        </is>
      </c>
      <c r="Z190" t="inlineStr">
        <is>
          <t>M3</t>
        </is>
      </c>
      <c r="AA190" t="inlineStr">
        <is>
          <t>D105</t>
        </is>
      </c>
      <c r="AB190" t="inlineStr">
        <is>
          <t>PD0331 NAUCALPAN II</t>
        </is>
      </c>
      <c r="AC190" t="n">
        <v>56103637</v>
      </c>
      <c r="AD190" t="n">
        <v>6644261540</v>
      </c>
      <c r="AE190" t="n">
        <v>4</v>
      </c>
      <c r="AF190" t="inlineStr">
        <is>
          <t>ENTREGA DIRECTA</t>
        </is>
      </c>
      <c r="AG190" t="n">
        <v>1.4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20260622</v>
      </c>
      <c r="AM190" t="inlineStr">
        <is>
          <t>DW70-900006172-D105-10233033-4</t>
        </is>
      </c>
    </row>
    <row r="191">
      <c r="A191" t="inlineStr">
        <is>
          <t>900006172DW70D08510233033</t>
        </is>
      </c>
      <c r="B191" t="inlineStr">
        <is>
          <t>4600072309-90</t>
        </is>
      </c>
      <c r="C191" t="n">
        <v>4600072309</v>
      </c>
      <c r="D191" t="n">
        <v>90</v>
      </c>
      <c r="E191" t="inlineStr">
        <is>
          <t>MXPO</t>
        </is>
      </c>
      <c r="F191" t="inlineStr">
        <is>
          <t>MXL</t>
        </is>
      </c>
      <c r="G191" t="n">
        <v>900006172</v>
      </c>
      <c r="H191" t="inlineStr">
        <is>
          <t>SF TC-ED ESTRATEGIAS SANTA CALIZA</t>
        </is>
      </c>
      <c r="I191" t="n">
        <v>5049458</v>
      </c>
      <c r="J191" t="inlineStr">
        <is>
          <t>ESTRATEGIAS AVANZADAS PARA OBTEN</t>
        </is>
      </c>
      <c r="K191" t="inlineStr">
        <is>
          <t>Z03</t>
        </is>
      </c>
      <c r="L191" t="inlineStr">
        <is>
          <t>(AP) 15 Dias</t>
        </is>
      </c>
      <c r="M191" t="n">
        <v>10233033</v>
      </c>
      <c r="N191" t="inlineStr">
        <is>
          <t>GRAVA TRITURADA CALIZA 13 MM - 1/2" P</t>
        </is>
      </c>
      <c r="O191" t="inlineStr">
        <is>
          <t>DW70</t>
        </is>
      </c>
      <c r="P191" t="inlineStr">
        <is>
          <t>MX-CED. CENTRO</t>
        </is>
      </c>
      <c r="Q191" t="n">
        <v>20260616</v>
      </c>
      <c r="R191" t="n">
        <v>20301231</v>
      </c>
      <c r="S191" t="n">
        <v>20260616</v>
      </c>
      <c r="T191" t="n">
        <v>20301231</v>
      </c>
      <c r="U191" t="n">
        <v>636</v>
      </c>
      <c r="V191" t="inlineStr">
        <is>
          <t>MXN</t>
        </is>
      </c>
      <c r="W191" t="inlineStr">
        <is>
          <t>M3</t>
        </is>
      </c>
      <c r="X191" t="n">
        <v>480</v>
      </c>
      <c r="Y191" t="inlineStr">
        <is>
          <t>MXN</t>
        </is>
      </c>
      <c r="Z191" t="inlineStr">
        <is>
          <t>M3</t>
        </is>
      </c>
      <c r="AA191" t="inlineStr">
        <is>
          <t>D085</t>
        </is>
      </c>
      <c r="AB191" t="inlineStr">
        <is>
          <t>PD0189 ROJO GOMEZ</t>
        </is>
      </c>
      <c r="AC191" t="n">
        <v>56103637</v>
      </c>
      <c r="AD191" t="n">
        <v>6644261540</v>
      </c>
      <c r="AE191" t="n">
        <v>4</v>
      </c>
      <c r="AF191" t="inlineStr">
        <is>
          <t>ENTREGA DIRECTA</t>
        </is>
      </c>
      <c r="AG191" t="n">
        <v>1.4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20260622</v>
      </c>
      <c r="AM191" t="inlineStr">
        <is>
          <t>DW70-900006172-D085-10233033-4</t>
        </is>
      </c>
    </row>
    <row r="192">
      <c r="A192" t="inlineStr">
        <is>
          <t>900006172DW70D14510233033</t>
        </is>
      </c>
      <c r="B192" t="inlineStr">
        <is>
          <t>4600072309-130</t>
        </is>
      </c>
      <c r="C192" t="n">
        <v>4600072309</v>
      </c>
      <c r="D192" t="n">
        <v>130</v>
      </c>
      <c r="E192" t="inlineStr">
        <is>
          <t>MXPO</t>
        </is>
      </c>
      <c r="F192" t="inlineStr">
        <is>
          <t>MXL</t>
        </is>
      </c>
      <c r="G192" t="n">
        <v>900006172</v>
      </c>
      <c r="H192" t="inlineStr">
        <is>
          <t>SF TC-ED ESTRATEGIAS SANTA CALIZA</t>
        </is>
      </c>
      <c r="I192" t="n">
        <v>5049458</v>
      </c>
      <c r="J192" t="inlineStr">
        <is>
          <t>ESTRATEGIAS AVANZADAS PARA OBTEN</t>
        </is>
      </c>
      <c r="K192" t="inlineStr">
        <is>
          <t>Z03</t>
        </is>
      </c>
      <c r="L192" t="inlineStr">
        <is>
          <t>(AP) 15 Dias</t>
        </is>
      </c>
      <c r="M192" t="n">
        <v>10233033</v>
      </c>
      <c r="N192" t="inlineStr">
        <is>
          <t>GRAVA TRITURADA CALIZA 13 MM - 1/2" P</t>
        </is>
      </c>
      <c r="O192" t="inlineStr">
        <is>
          <t>DW70</t>
        </is>
      </c>
      <c r="P192" t="inlineStr">
        <is>
          <t>MX-CED. CENTRO</t>
        </is>
      </c>
      <c r="Q192" t="n">
        <v>20260616</v>
      </c>
      <c r="R192" t="n">
        <v>20301231</v>
      </c>
      <c r="S192" t="n">
        <v>20260616</v>
      </c>
      <c r="T192" t="n">
        <v>20301231</v>
      </c>
      <c r="U192" t="n">
        <v>454</v>
      </c>
      <c r="V192" t="inlineStr">
        <is>
          <t>MXN</t>
        </is>
      </c>
      <c r="W192" t="inlineStr">
        <is>
          <t>M3</t>
        </is>
      </c>
      <c r="X192" t="n">
        <v>298</v>
      </c>
      <c r="Y192" t="inlineStr">
        <is>
          <t>MXN</t>
        </is>
      </c>
      <c r="Z192" t="inlineStr">
        <is>
          <t>M3</t>
        </is>
      </c>
      <c r="AA192" t="inlineStr">
        <is>
          <t>D145</t>
        </is>
      </c>
      <c r="AB192" t="inlineStr">
        <is>
          <t>PD0458 ECATEPEC II</t>
        </is>
      </c>
      <c r="AC192" t="n">
        <v>56103637</v>
      </c>
      <c r="AD192" t="n">
        <v>6644261540</v>
      </c>
      <c r="AE192" t="n">
        <v>4</v>
      </c>
      <c r="AF192" t="inlineStr">
        <is>
          <t>ENTREGA DIRECTA</t>
        </is>
      </c>
      <c r="AG192" t="n">
        <v>1.4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20260622</v>
      </c>
      <c r="AM192" t="inlineStr">
        <is>
          <t>DW70-900006172-D145-10233033-4</t>
        </is>
      </c>
    </row>
    <row r="193">
      <c r="A193" t="inlineStr">
        <is>
          <t>900006172DW70D09810233033</t>
        </is>
      </c>
      <c r="B193" t="inlineStr">
        <is>
          <t>4600072309-110</t>
        </is>
      </c>
      <c r="C193" t="n">
        <v>4600072309</v>
      </c>
      <c r="D193" t="n">
        <v>110</v>
      </c>
      <c r="E193" t="inlineStr">
        <is>
          <t>MXPO</t>
        </is>
      </c>
      <c r="F193" t="inlineStr">
        <is>
          <t>MXL</t>
        </is>
      </c>
      <c r="G193" t="n">
        <v>900006172</v>
      </c>
      <c r="H193" t="inlineStr">
        <is>
          <t>SF TC-ED ESTRATEGIAS SANTA CALIZA</t>
        </is>
      </c>
      <c r="I193" t="n">
        <v>5049458</v>
      </c>
      <c r="J193" t="inlineStr">
        <is>
          <t>ESTRATEGIAS AVANZADAS PARA OBTEN</t>
        </is>
      </c>
      <c r="K193" t="inlineStr">
        <is>
          <t>Z03</t>
        </is>
      </c>
      <c r="L193" t="inlineStr">
        <is>
          <t>(AP) 15 Dias</t>
        </is>
      </c>
      <c r="M193" t="n">
        <v>10233033</v>
      </c>
      <c r="N193" t="inlineStr">
        <is>
          <t>GRAVA TRITURADA CALIZA 13 MM - 1/2" P</t>
        </is>
      </c>
      <c r="O193" t="inlineStr">
        <is>
          <t>DW70</t>
        </is>
      </c>
      <c r="P193" t="inlineStr">
        <is>
          <t>MX-CED. CENTRO</t>
        </is>
      </c>
      <c r="Q193" t="n">
        <v>20260616</v>
      </c>
      <c r="R193" t="n">
        <v>20301231</v>
      </c>
      <c r="S193" t="n">
        <v>20260616</v>
      </c>
      <c r="T193" t="n">
        <v>20301231</v>
      </c>
      <c r="U193" t="n">
        <v>405</v>
      </c>
      <c r="V193" t="inlineStr">
        <is>
          <t>MXN</t>
        </is>
      </c>
      <c r="W193" t="inlineStr">
        <is>
          <t>M3</t>
        </is>
      </c>
      <c r="X193" t="n">
        <v>249</v>
      </c>
      <c r="Y193" t="inlineStr">
        <is>
          <t>MXN</t>
        </is>
      </c>
      <c r="Z193" t="inlineStr">
        <is>
          <t>M3</t>
        </is>
      </c>
      <c r="AA193" t="inlineStr">
        <is>
          <t>D098</t>
        </is>
      </c>
      <c r="AB193" t="inlineStr">
        <is>
          <t>PD0315 CUAUTITLAN II</t>
        </is>
      </c>
      <c r="AC193" t="n">
        <v>56103637</v>
      </c>
      <c r="AD193" t="n">
        <v>6644261540</v>
      </c>
      <c r="AE193" t="n">
        <v>4</v>
      </c>
      <c r="AF193" t="inlineStr">
        <is>
          <t>ENTREGA DIRECTA</t>
        </is>
      </c>
      <c r="AG193" t="n">
        <v>1.4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20260622</v>
      </c>
      <c r="AM193" t="inlineStr">
        <is>
          <t>DW70-900006172-D098-10233033-4</t>
        </is>
      </c>
    </row>
    <row r="194">
      <c r="A194" t="inlineStr">
        <is>
          <t>900006172DW70D08310233033</t>
        </is>
      </c>
      <c r="B194" t="inlineStr">
        <is>
          <t>4600072309-70</t>
        </is>
      </c>
      <c r="C194" t="n">
        <v>4600072309</v>
      </c>
      <c r="D194" t="n">
        <v>70</v>
      </c>
      <c r="E194" t="inlineStr">
        <is>
          <t>MXPO</t>
        </is>
      </c>
      <c r="F194" t="inlineStr">
        <is>
          <t>MXL</t>
        </is>
      </c>
      <c r="G194" t="n">
        <v>900006172</v>
      </c>
      <c r="H194" t="inlineStr">
        <is>
          <t>SF TC-ED ESTRATEGIAS SANTA CALIZA</t>
        </is>
      </c>
      <c r="I194" t="n">
        <v>5049458</v>
      </c>
      <c r="J194" t="inlineStr">
        <is>
          <t>ESTRATEGIAS AVANZADAS PARA OBTEN</t>
        </is>
      </c>
      <c r="K194" t="inlineStr">
        <is>
          <t>Z03</t>
        </is>
      </c>
      <c r="L194" t="inlineStr">
        <is>
          <t>(AP) 15 Dias</t>
        </is>
      </c>
      <c r="M194" t="n">
        <v>10233033</v>
      </c>
      <c r="N194" t="inlineStr">
        <is>
          <t>GRAVA TRITURADA CALIZA 13 MM - 1/2" P</t>
        </is>
      </c>
      <c r="O194" t="inlineStr">
        <is>
          <t>DW70</t>
        </is>
      </c>
      <c r="P194" t="inlineStr">
        <is>
          <t>MX-CED. CENTRO</t>
        </is>
      </c>
      <c r="Q194" t="n">
        <v>20260616</v>
      </c>
      <c r="R194" t="n">
        <v>20301231</v>
      </c>
      <c r="S194" t="n">
        <v>20260616</v>
      </c>
      <c r="T194" t="n">
        <v>20301231</v>
      </c>
      <c r="U194" t="n">
        <v>579</v>
      </c>
      <c r="V194" t="inlineStr">
        <is>
          <t>MXN</t>
        </is>
      </c>
      <c r="W194" t="inlineStr">
        <is>
          <t>M3</t>
        </is>
      </c>
      <c r="X194" t="n">
        <v>423</v>
      </c>
      <c r="Y194" t="inlineStr">
        <is>
          <t>MXN</t>
        </is>
      </c>
      <c r="Z194" t="inlineStr">
        <is>
          <t>M3</t>
        </is>
      </c>
      <c r="AA194" t="inlineStr">
        <is>
          <t>D083</t>
        </is>
      </c>
      <c r="AB194" t="inlineStr">
        <is>
          <t>PD0099 MINAS</t>
        </is>
      </c>
      <c r="AC194" t="n">
        <v>56103637</v>
      </c>
      <c r="AD194" t="n">
        <v>6644261540</v>
      </c>
      <c r="AE194" t="n">
        <v>4</v>
      </c>
      <c r="AF194" t="inlineStr">
        <is>
          <t>ENTREGA DIRECTA</t>
        </is>
      </c>
      <c r="AG194" t="n">
        <v>1.4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20260622</v>
      </c>
      <c r="AM194" t="inlineStr">
        <is>
          <t>DW70-900006172-D083-10233033-4</t>
        </is>
      </c>
    </row>
    <row r="195">
      <c r="A195" t="inlineStr">
        <is>
          <t>900006172DW70D07410233033</t>
        </is>
      </c>
      <c r="B195" t="inlineStr">
        <is>
          <t>4600072309-10</t>
        </is>
      </c>
      <c r="C195" t="n">
        <v>4600072309</v>
      </c>
      <c r="D195" t="n">
        <v>10</v>
      </c>
      <c r="E195" t="inlineStr">
        <is>
          <t>MXPO</t>
        </is>
      </c>
      <c r="F195" t="inlineStr">
        <is>
          <t>MXL</t>
        </is>
      </c>
      <c r="G195" t="n">
        <v>900006172</v>
      </c>
      <c r="H195" t="inlineStr">
        <is>
          <t>SF TC-ED ESTRATEGIAS SANTA CALIZA</t>
        </is>
      </c>
      <c r="I195" t="n">
        <v>5049458</v>
      </c>
      <c r="J195" t="inlineStr">
        <is>
          <t>ESTRATEGIAS AVANZADAS PARA OBTEN</t>
        </is>
      </c>
      <c r="K195" t="inlineStr">
        <is>
          <t>Z03</t>
        </is>
      </c>
      <c r="L195" t="inlineStr">
        <is>
          <t>(AP) 15 Dias</t>
        </is>
      </c>
      <c r="M195" t="n">
        <v>10233033</v>
      </c>
      <c r="N195" t="inlineStr">
        <is>
          <t>GRAVA TRITURADA CALIZA 13 MM - 1/2" P</t>
        </is>
      </c>
      <c r="O195" t="inlineStr">
        <is>
          <t>DW70</t>
        </is>
      </c>
      <c r="P195" t="inlineStr">
        <is>
          <t>MX-CED. CENTRO</t>
        </is>
      </c>
      <c r="Q195" t="n">
        <v>20260616</v>
      </c>
      <c r="R195" t="n">
        <v>20301231</v>
      </c>
      <c r="S195" t="n">
        <v>20260616</v>
      </c>
      <c r="T195" t="n">
        <v>20301231</v>
      </c>
      <c r="U195" t="n">
        <v>569</v>
      </c>
      <c r="V195" t="inlineStr">
        <is>
          <t>MXN</t>
        </is>
      </c>
      <c r="W195" t="inlineStr">
        <is>
          <t>M3</t>
        </is>
      </c>
      <c r="X195" t="n">
        <v>413</v>
      </c>
      <c r="Y195" t="inlineStr">
        <is>
          <t>MXN</t>
        </is>
      </c>
      <c r="Z195" t="inlineStr">
        <is>
          <t>M3</t>
        </is>
      </c>
      <c r="AA195" t="inlineStr">
        <is>
          <t>D074</t>
        </is>
      </c>
      <c r="AB195" t="inlineStr">
        <is>
          <t>PD0063 CENTRAL</t>
        </is>
      </c>
      <c r="AC195" t="n">
        <v>56103637</v>
      </c>
      <c r="AD195" t="n">
        <v>6644261540</v>
      </c>
      <c r="AE195" t="n">
        <v>4</v>
      </c>
      <c r="AF195" t="inlineStr">
        <is>
          <t>ENTREGA DIRECTA</t>
        </is>
      </c>
      <c r="AG195" t="n">
        <v>1.4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20260622</v>
      </c>
      <c r="AM195" t="inlineStr">
        <is>
          <t>DW70-900006172-D074-10233033-4</t>
        </is>
      </c>
    </row>
    <row r="196">
      <c r="A196" t="inlineStr">
        <is>
          <t>900006172DW70D07910233033</t>
        </is>
      </c>
      <c r="B196" t="inlineStr">
        <is>
          <t>4600072309-40</t>
        </is>
      </c>
      <c r="C196" t="n">
        <v>4600072309</v>
      </c>
      <c r="D196" t="n">
        <v>40</v>
      </c>
      <c r="E196" t="inlineStr">
        <is>
          <t>MXPO</t>
        </is>
      </c>
      <c r="F196" t="inlineStr">
        <is>
          <t>MXL</t>
        </is>
      </c>
      <c r="G196" t="n">
        <v>900006172</v>
      </c>
      <c r="H196" t="inlineStr">
        <is>
          <t>SF TC-ED ESTRATEGIAS SANTA CALIZA</t>
        </is>
      </c>
      <c r="I196" t="n">
        <v>5049458</v>
      </c>
      <c r="J196" t="inlineStr">
        <is>
          <t>ESTRATEGIAS AVANZADAS PARA OBTEN</t>
        </is>
      </c>
      <c r="K196" t="inlineStr">
        <is>
          <t>Z03</t>
        </is>
      </c>
      <c r="L196" t="inlineStr">
        <is>
          <t>(AP) 15 Dias</t>
        </is>
      </c>
      <c r="M196" t="n">
        <v>10233033</v>
      </c>
      <c r="N196" t="inlineStr">
        <is>
          <t>GRAVA TRITURADA CALIZA 13 MM - 1/2" P</t>
        </is>
      </c>
      <c r="O196" t="inlineStr">
        <is>
          <t>DW70</t>
        </is>
      </c>
      <c r="P196" t="inlineStr">
        <is>
          <t>MX-CED. CENTRO</t>
        </is>
      </c>
      <c r="Q196" t="n">
        <v>20260616</v>
      </c>
      <c r="R196" t="n">
        <v>20301231</v>
      </c>
      <c r="S196" t="n">
        <v>20260616</v>
      </c>
      <c r="T196" t="n">
        <v>20301231</v>
      </c>
      <c r="U196" t="n">
        <v>694</v>
      </c>
      <c r="V196" t="inlineStr">
        <is>
          <t>MXN</t>
        </is>
      </c>
      <c r="W196" t="inlineStr">
        <is>
          <t>M3</t>
        </is>
      </c>
      <c r="X196" t="n">
        <v>538</v>
      </c>
      <c r="Y196" t="inlineStr">
        <is>
          <t>MXN</t>
        </is>
      </c>
      <c r="Z196" t="inlineStr">
        <is>
          <t>M3</t>
        </is>
      </c>
      <c r="AA196" t="inlineStr">
        <is>
          <t>D079</t>
        </is>
      </c>
      <c r="AB196" t="inlineStr">
        <is>
          <t>PD0071 XOCHIMILCO</t>
        </is>
      </c>
      <c r="AC196" t="n">
        <v>56103637</v>
      </c>
      <c r="AD196" t="n">
        <v>6644261540</v>
      </c>
      <c r="AE196" t="n">
        <v>4</v>
      </c>
      <c r="AF196" t="inlineStr">
        <is>
          <t>ENTREGA DIRECTA</t>
        </is>
      </c>
      <c r="AG196" t="n">
        <v>1.4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20260622</v>
      </c>
      <c r="AM196" t="inlineStr">
        <is>
          <t>DW70-900006172-D079-10233033-4</t>
        </is>
      </c>
    </row>
    <row r="197">
      <c r="A197" t="inlineStr">
        <is>
          <t>900008570DW7010248830</t>
        </is>
      </c>
      <c r="B197" t="inlineStr">
        <is>
          <t>4600068578-10</t>
        </is>
      </c>
      <c r="C197" t="n">
        <v>4600068578</v>
      </c>
      <c r="D197" t="n">
        <v>10</v>
      </c>
      <c r="E197" t="inlineStr">
        <is>
          <t>MXPO</t>
        </is>
      </c>
      <c r="F197" t="inlineStr">
        <is>
          <t>MXL</t>
        </is>
      </c>
      <c r="G197" t="n">
        <v>900008570</v>
      </c>
      <c r="H197" t="inlineStr">
        <is>
          <t>SF TC-MINA EL DUENDE</t>
        </is>
      </c>
      <c r="I197" t="n">
        <v>5090107</v>
      </c>
      <c r="J197" t="inlineStr">
        <is>
          <t>MORALES BARRIOS GASPAR GERARDO</t>
        </is>
      </c>
      <c r="K197" t="inlineStr">
        <is>
          <t>Z09</t>
        </is>
      </c>
      <c r="L197" t="inlineStr">
        <is>
          <t>(AP) 90 Dias</t>
        </is>
      </c>
      <c r="M197" t="n">
        <v>10248830</v>
      </c>
      <c r="N197" t="inlineStr">
        <is>
          <t>ARENA CLASIFICADA RIO LAVADA MALLA 4</t>
        </is>
      </c>
      <c r="O197" t="inlineStr">
        <is>
          <t>DW70</t>
        </is>
      </c>
      <c r="P197" t="inlineStr">
        <is>
          <t>MX-CED. CENTRO</t>
        </is>
      </c>
      <c r="Q197" t="n">
        <v>20231005</v>
      </c>
      <c r="R197" t="n">
        <v>20291231</v>
      </c>
      <c r="S197" t="n">
        <v>20260601</v>
      </c>
      <c r="T197" t="n">
        <v>20301231</v>
      </c>
      <c r="U197" t="n">
        <v>150</v>
      </c>
      <c r="V197" t="inlineStr">
        <is>
          <t>MXN</t>
        </is>
      </c>
      <c r="W197" t="inlineStr">
        <is>
          <t>M3</t>
        </is>
      </c>
      <c r="X197" t="n">
        <v>0</v>
      </c>
      <c r="Y197" t="inlineStr">
        <is>
          <t>MXN</t>
        </is>
      </c>
      <c r="Z197" t="inlineStr">
        <is>
          <t>M3</t>
        </is>
      </c>
      <c r="AC197" t="n">
        <v>56103638</v>
      </c>
      <c r="AD197" t="n">
        <v>6644261540</v>
      </c>
      <c r="AE197" t="n">
        <v>1</v>
      </c>
      <c r="AF197" t="inlineStr">
        <is>
          <t>ENTREGADO</t>
        </is>
      </c>
      <c r="AG197" t="n">
        <v>1.608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20260611</v>
      </c>
      <c r="AM197" t="inlineStr">
        <is>
          <t>DW70-900008570-10248830</t>
        </is>
      </c>
    </row>
    <row r="198">
      <c r="A198" t="inlineStr">
        <is>
          <t>900006172DW70D07510233033</t>
        </is>
      </c>
      <c r="B198" t="inlineStr">
        <is>
          <t>4600072309-20</t>
        </is>
      </c>
      <c r="C198" t="n">
        <v>4600072309</v>
      </c>
      <c r="D198" t="n">
        <v>20</v>
      </c>
      <c r="E198" t="inlineStr">
        <is>
          <t>MXPO</t>
        </is>
      </c>
      <c r="F198" t="inlineStr">
        <is>
          <t>MXL</t>
        </is>
      </c>
      <c r="G198" t="n">
        <v>900006172</v>
      </c>
      <c r="H198" t="inlineStr">
        <is>
          <t>SF TC-ED ESTRATEGIAS SANTA CALIZA</t>
        </is>
      </c>
      <c r="I198" t="n">
        <v>5049458</v>
      </c>
      <c r="J198" t="inlineStr">
        <is>
          <t>ESTRATEGIAS AVANZADAS PARA OBTEN</t>
        </is>
      </c>
      <c r="K198" t="inlineStr">
        <is>
          <t>Z03</t>
        </is>
      </c>
      <c r="L198" t="inlineStr">
        <is>
          <t>(AP) 15 Dias</t>
        </is>
      </c>
      <c r="M198" t="n">
        <v>10233033</v>
      </c>
      <c r="N198" t="inlineStr">
        <is>
          <t>GRAVA TRITURADA CALIZA 13 MM - 1/2" P</t>
        </is>
      </c>
      <c r="O198" t="inlineStr">
        <is>
          <t>DW70</t>
        </is>
      </c>
      <c r="P198" t="inlineStr">
        <is>
          <t>MX-CED. CENTRO</t>
        </is>
      </c>
      <c r="Q198" t="n">
        <v>20260616</v>
      </c>
      <c r="R198" t="n">
        <v>20301231</v>
      </c>
      <c r="S198" t="n">
        <v>20260616</v>
      </c>
      <c r="T198" t="n">
        <v>20301231</v>
      </c>
      <c r="U198" t="n">
        <v>507</v>
      </c>
      <c r="V198" t="inlineStr">
        <is>
          <t>MXN</t>
        </is>
      </c>
      <c r="W198" t="inlineStr">
        <is>
          <t>M3</t>
        </is>
      </c>
      <c r="X198" t="n">
        <v>351</v>
      </c>
      <c r="Y198" t="inlineStr">
        <is>
          <t>MXN</t>
        </is>
      </c>
      <c r="Z198" t="inlineStr">
        <is>
          <t>M3</t>
        </is>
      </c>
      <c r="AA198" t="inlineStr">
        <is>
          <t>D075</t>
        </is>
      </c>
      <c r="AB198" t="inlineStr">
        <is>
          <t>PD0065 CEYLAN</t>
        </is>
      </c>
      <c r="AC198" t="n">
        <v>56103637</v>
      </c>
      <c r="AD198" t="n">
        <v>6644261540</v>
      </c>
      <c r="AE198" t="n">
        <v>4</v>
      </c>
      <c r="AF198" t="inlineStr">
        <is>
          <t>ENTREGA DIRECTA</t>
        </is>
      </c>
      <c r="AG198" t="n">
        <v>1.4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20260622</v>
      </c>
      <c r="AM198" t="inlineStr">
        <is>
          <t>DW70-900006172-D075-10233033-4</t>
        </is>
      </c>
    </row>
    <row r="199">
      <c r="A199" t="inlineStr">
        <is>
          <t>900006172DW70D68110233033</t>
        </is>
      </c>
      <c r="B199" t="inlineStr">
        <is>
          <t>4600072309-150</t>
        </is>
      </c>
      <c r="C199" t="n">
        <v>4600072309</v>
      </c>
      <c r="D199" t="n">
        <v>150</v>
      </c>
      <c r="E199" t="inlineStr">
        <is>
          <t>MXPO</t>
        </is>
      </c>
      <c r="F199" t="inlineStr">
        <is>
          <t>MXL</t>
        </is>
      </c>
      <c r="G199" t="n">
        <v>900006172</v>
      </c>
      <c r="H199" t="inlineStr">
        <is>
          <t>SF TC-ED ESTRATEGIAS SANTA CALIZA</t>
        </is>
      </c>
      <c r="I199" t="n">
        <v>5049458</v>
      </c>
      <c r="J199" t="inlineStr">
        <is>
          <t>ESTRATEGIAS AVANZADAS PARA OBTEN</t>
        </is>
      </c>
      <c r="K199" t="inlineStr">
        <is>
          <t>Z03</t>
        </is>
      </c>
      <c r="L199" t="inlineStr">
        <is>
          <t>(AP) 15 Dias</t>
        </is>
      </c>
      <c r="M199" t="n">
        <v>10233033</v>
      </c>
      <c r="N199" t="inlineStr">
        <is>
          <t>GRAVA TRITURADA CALIZA 13 MM - 1/2" P</t>
        </is>
      </c>
      <c r="O199" t="inlineStr">
        <is>
          <t>DW70</t>
        </is>
      </c>
      <c r="P199" t="inlineStr">
        <is>
          <t>MX-CED. CENTRO</t>
        </is>
      </c>
      <c r="Q199" t="n">
        <v>20260616</v>
      </c>
      <c r="R199" t="n">
        <v>20301231</v>
      </c>
      <c r="S199" t="n">
        <v>20260616</v>
      </c>
      <c r="T199" t="n">
        <v>20301231</v>
      </c>
      <c r="U199" t="n">
        <v>436</v>
      </c>
      <c r="V199" t="inlineStr">
        <is>
          <t>MXN</t>
        </is>
      </c>
      <c r="W199" t="inlineStr">
        <is>
          <t>M3</t>
        </is>
      </c>
      <c r="X199" t="n">
        <v>280</v>
      </c>
      <c r="Y199" t="inlineStr">
        <is>
          <t>MXN</t>
        </is>
      </c>
      <c r="Z199" t="inlineStr">
        <is>
          <t>M3</t>
        </is>
      </c>
      <c r="AA199" t="inlineStr">
        <is>
          <t>D681</t>
        </is>
      </c>
      <c r="AB199" t="inlineStr">
        <is>
          <t>PD0639 TULTEPEC</t>
        </is>
      </c>
      <c r="AC199" t="n">
        <v>56103637</v>
      </c>
      <c r="AD199" t="n">
        <v>6644261540</v>
      </c>
      <c r="AE199" t="n">
        <v>4</v>
      </c>
      <c r="AF199" t="inlineStr">
        <is>
          <t>ENTREGA DIRECTA</t>
        </is>
      </c>
      <c r="AG199" t="n">
        <v>1.4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20260622</v>
      </c>
      <c r="AM199" t="inlineStr">
        <is>
          <t>DW70-900006172-D681-10233033-4</t>
        </is>
      </c>
    </row>
    <row r="200">
      <c r="A200" t="inlineStr">
        <is>
          <t>900006172DW70D13610233033</t>
        </is>
      </c>
      <c r="B200" t="inlineStr">
        <is>
          <t>4600072309-100</t>
        </is>
      </c>
      <c r="C200" t="n">
        <v>4600072309</v>
      </c>
      <c r="D200" t="n">
        <v>100</v>
      </c>
      <c r="E200" t="inlineStr">
        <is>
          <t>MXPO</t>
        </is>
      </c>
      <c r="F200" t="inlineStr">
        <is>
          <t>MXL</t>
        </is>
      </c>
      <c r="G200" t="n">
        <v>900006172</v>
      </c>
      <c r="H200" t="inlineStr">
        <is>
          <t>SF TC-ED ESTRATEGIAS SANTA CALIZA</t>
        </is>
      </c>
      <c r="I200" t="n">
        <v>5049458</v>
      </c>
      <c r="J200" t="inlineStr">
        <is>
          <t>ESTRATEGIAS AVANZADAS PARA OBTEN</t>
        </is>
      </c>
      <c r="K200" t="inlineStr">
        <is>
          <t>Z03</t>
        </is>
      </c>
      <c r="L200" t="inlineStr">
        <is>
          <t>(AP) 15 Dias</t>
        </is>
      </c>
      <c r="M200" t="n">
        <v>10233033</v>
      </c>
      <c r="N200" t="inlineStr">
        <is>
          <t>GRAVA TRITURADA CALIZA 13 MM - 1/2" P</t>
        </is>
      </c>
      <c r="O200" t="inlineStr">
        <is>
          <t>DW70</t>
        </is>
      </c>
      <c r="P200" t="inlineStr">
        <is>
          <t>MX-CED. CENTRO</t>
        </is>
      </c>
      <c r="Q200" t="n">
        <v>20260616</v>
      </c>
      <c r="R200" t="n">
        <v>20301231</v>
      </c>
      <c r="S200" t="n">
        <v>20260616</v>
      </c>
      <c r="T200" t="n">
        <v>20301231</v>
      </c>
      <c r="U200" t="n">
        <v>627</v>
      </c>
      <c r="V200" t="inlineStr">
        <is>
          <t>MXN</t>
        </is>
      </c>
      <c r="W200" t="inlineStr">
        <is>
          <t>M3</t>
        </is>
      </c>
      <c r="X200" t="n">
        <v>471</v>
      </c>
      <c r="Y200" t="inlineStr">
        <is>
          <t>MXN</t>
        </is>
      </c>
      <c r="Z200" t="inlineStr">
        <is>
          <t>M3</t>
        </is>
      </c>
      <c r="AA200" t="inlineStr">
        <is>
          <t>D136</t>
        </is>
      </c>
      <c r="AB200" t="inlineStr">
        <is>
          <t>PD0237 LA ESTRELLA</t>
        </is>
      </c>
      <c r="AC200" t="n">
        <v>56103637</v>
      </c>
      <c r="AD200" t="n">
        <v>6644261540</v>
      </c>
      <c r="AE200" t="n">
        <v>4</v>
      </c>
      <c r="AF200" t="inlineStr">
        <is>
          <t>ENTREGA DIRECTA</t>
        </is>
      </c>
      <c r="AG200" t="n">
        <v>1.4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20260622</v>
      </c>
      <c r="AM200" t="inlineStr">
        <is>
          <t>DW70-900006172-D136-10233033-4</t>
        </is>
      </c>
    </row>
    <row r="201">
      <c r="A201" t="inlineStr">
        <is>
          <t>900006172DW70D08010233033</t>
        </is>
      </c>
      <c r="B201" t="inlineStr">
        <is>
          <t>4600072309-50</t>
        </is>
      </c>
      <c r="C201" t="n">
        <v>4600072309</v>
      </c>
      <c r="D201" t="n">
        <v>50</v>
      </c>
      <c r="E201" t="inlineStr">
        <is>
          <t>MXPO</t>
        </is>
      </c>
      <c r="F201" t="inlineStr">
        <is>
          <t>MXL</t>
        </is>
      </c>
      <c r="G201" t="n">
        <v>900006172</v>
      </c>
      <c r="H201" t="inlineStr">
        <is>
          <t>SF TC-ED ESTRATEGIAS SANTA CALIZA</t>
        </is>
      </c>
      <c r="I201" t="n">
        <v>5049458</v>
      </c>
      <c r="J201" t="inlineStr">
        <is>
          <t>ESTRATEGIAS AVANZADAS PARA OBTEN</t>
        </is>
      </c>
      <c r="K201" t="inlineStr">
        <is>
          <t>Z03</t>
        </is>
      </c>
      <c r="L201" t="inlineStr">
        <is>
          <t>(AP) 15 Dias</t>
        </is>
      </c>
      <c r="M201" t="n">
        <v>10233033</v>
      </c>
      <c r="N201" t="inlineStr">
        <is>
          <t>GRAVA TRITURADA CALIZA 13 MM - 1/2" P</t>
        </is>
      </c>
      <c r="O201" t="inlineStr">
        <is>
          <t>DW70</t>
        </is>
      </c>
      <c r="P201" t="inlineStr">
        <is>
          <t>MX-CED. CENTRO</t>
        </is>
      </c>
      <c r="Q201" t="n">
        <v>20260616</v>
      </c>
      <c r="R201" t="n">
        <v>20301231</v>
      </c>
      <c r="S201" t="n">
        <v>20260616</v>
      </c>
      <c r="T201" t="n">
        <v>20301231</v>
      </c>
      <c r="U201" t="n">
        <v>507</v>
      </c>
      <c r="V201" t="inlineStr">
        <is>
          <t>MXN</t>
        </is>
      </c>
      <c r="W201" t="inlineStr">
        <is>
          <t>M3</t>
        </is>
      </c>
      <c r="X201" t="n">
        <v>351</v>
      </c>
      <c r="Y201" t="inlineStr">
        <is>
          <t>MXN</t>
        </is>
      </c>
      <c r="Z201" t="inlineStr">
        <is>
          <t>M3</t>
        </is>
      </c>
      <c r="AA201" t="inlineStr">
        <is>
          <t>D080</t>
        </is>
      </c>
      <c r="AB201" t="inlineStr">
        <is>
          <t>PD0086 VALLEJO</t>
        </is>
      </c>
      <c r="AC201" t="n">
        <v>56103637</v>
      </c>
      <c r="AD201" t="n">
        <v>6644261540</v>
      </c>
      <c r="AE201" t="n">
        <v>4</v>
      </c>
      <c r="AF201" t="inlineStr">
        <is>
          <t>ENTREGA DIRECTA</t>
        </is>
      </c>
      <c r="AG201" t="n">
        <v>1.4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20260622</v>
      </c>
      <c r="AM201" t="inlineStr">
        <is>
          <t>DW70-900006172-D080-10233033-4</t>
        </is>
      </c>
    </row>
    <row r="202">
      <c r="A202" t="inlineStr">
        <is>
          <t>900006172DW70D08410233033</t>
        </is>
      </c>
      <c r="B202" t="inlineStr">
        <is>
          <t>4600072309-80</t>
        </is>
      </c>
      <c r="C202" t="n">
        <v>4600072309</v>
      </c>
      <c r="D202" t="n">
        <v>80</v>
      </c>
      <c r="E202" t="inlineStr">
        <is>
          <t>MXPO</t>
        </is>
      </c>
      <c r="F202" t="inlineStr">
        <is>
          <t>MXL</t>
        </is>
      </c>
      <c r="G202" t="n">
        <v>900006172</v>
      </c>
      <c r="H202" t="inlineStr">
        <is>
          <t>SF TC-ED ESTRATEGIAS SANTA CALIZA</t>
        </is>
      </c>
      <c r="I202" t="n">
        <v>5049458</v>
      </c>
      <c r="J202" t="inlineStr">
        <is>
          <t>ESTRATEGIAS AVANZADAS PARA OBTEN</t>
        </is>
      </c>
      <c r="K202" t="inlineStr">
        <is>
          <t>Z03</t>
        </is>
      </c>
      <c r="L202" t="inlineStr">
        <is>
          <t>(AP) 15 Dias</t>
        </is>
      </c>
      <c r="M202" t="n">
        <v>10233033</v>
      </c>
      <c r="N202" t="inlineStr">
        <is>
          <t>GRAVA TRITURADA CALIZA 13 MM - 1/2" P</t>
        </is>
      </c>
      <c r="O202" t="inlineStr">
        <is>
          <t>DW70</t>
        </is>
      </c>
      <c r="P202" t="inlineStr">
        <is>
          <t>MX-CED. CENTRO</t>
        </is>
      </c>
      <c r="Q202" t="n">
        <v>20260616</v>
      </c>
      <c r="R202" t="n">
        <v>20301231</v>
      </c>
      <c r="S202" t="n">
        <v>20260616</v>
      </c>
      <c r="T202" t="n">
        <v>20301231</v>
      </c>
      <c r="U202" t="n">
        <v>627</v>
      </c>
      <c r="V202" t="inlineStr">
        <is>
          <t>MXN</t>
        </is>
      </c>
      <c r="W202" t="inlineStr">
        <is>
          <t>M3</t>
        </is>
      </c>
      <c r="X202" t="n">
        <v>471</v>
      </c>
      <c r="Y202" t="inlineStr">
        <is>
          <t>MXN</t>
        </is>
      </c>
      <c r="Z202" t="inlineStr">
        <is>
          <t>M3</t>
        </is>
      </c>
      <c r="AA202" t="inlineStr">
        <is>
          <t>D084</t>
        </is>
      </c>
      <c r="AB202" t="inlineStr">
        <is>
          <t>PD0186 IZTAPALAPA</t>
        </is>
      </c>
      <c r="AC202" t="n">
        <v>56103637</v>
      </c>
      <c r="AD202" t="n">
        <v>6644261540</v>
      </c>
      <c r="AE202" t="n">
        <v>4</v>
      </c>
      <c r="AF202" t="inlineStr">
        <is>
          <t>ENTREGA DIRECTA</t>
        </is>
      </c>
      <c r="AG202" t="n">
        <v>1.4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20260622</v>
      </c>
      <c r="AM202" t="inlineStr">
        <is>
          <t>DW70-900006172-D084-10233033-4</t>
        </is>
      </c>
    </row>
    <row r="203">
      <c r="A203" t="inlineStr">
        <is>
          <t>900006172DW70D07710233033</t>
        </is>
      </c>
      <c r="B203" t="inlineStr">
        <is>
          <t>4600072309-30</t>
        </is>
      </c>
      <c r="C203" t="n">
        <v>4600072309</v>
      </c>
      <c r="D203" t="n">
        <v>30</v>
      </c>
      <c r="E203" t="inlineStr">
        <is>
          <t>MXPO</t>
        </is>
      </c>
      <c r="F203" t="inlineStr">
        <is>
          <t>MXL</t>
        </is>
      </c>
      <c r="G203" t="n">
        <v>900006172</v>
      </c>
      <c r="H203" t="inlineStr">
        <is>
          <t>SF TC-ED ESTRATEGIAS SANTA CALIZA</t>
        </is>
      </c>
      <c r="I203" t="n">
        <v>5049458</v>
      </c>
      <c r="J203" t="inlineStr">
        <is>
          <t>ESTRATEGIAS AVANZADAS PARA OBTEN</t>
        </is>
      </c>
      <c r="K203" t="inlineStr">
        <is>
          <t>Z03</t>
        </is>
      </c>
      <c r="L203" t="inlineStr">
        <is>
          <t>(AP) 15 Dias</t>
        </is>
      </c>
      <c r="M203" t="n">
        <v>10233033</v>
      </c>
      <c r="N203" t="inlineStr">
        <is>
          <t>GRAVA TRITURADA CALIZA 13 MM - 1/2" P</t>
        </is>
      </c>
      <c r="O203" t="inlineStr">
        <is>
          <t>DW70</t>
        </is>
      </c>
      <c r="P203" t="inlineStr">
        <is>
          <t>MX-CED. CENTRO</t>
        </is>
      </c>
      <c r="Q203" t="n">
        <v>20260616</v>
      </c>
      <c r="R203" t="n">
        <v>20301231</v>
      </c>
      <c r="S203" t="n">
        <v>20260616</v>
      </c>
      <c r="T203" t="n">
        <v>20301231</v>
      </c>
      <c r="U203" t="n">
        <v>677</v>
      </c>
      <c r="V203" t="inlineStr">
        <is>
          <t>MXN</t>
        </is>
      </c>
      <c r="W203" t="inlineStr">
        <is>
          <t>M3</t>
        </is>
      </c>
      <c r="X203" t="n">
        <v>521</v>
      </c>
      <c r="Y203" t="inlineStr">
        <is>
          <t>MXN</t>
        </is>
      </c>
      <c r="Z203" t="inlineStr">
        <is>
          <t>M3</t>
        </is>
      </c>
      <c r="AA203" t="inlineStr">
        <is>
          <t>D077</t>
        </is>
      </c>
      <c r="AB203" t="inlineStr">
        <is>
          <t>PD0067 LOS REYES</t>
        </is>
      </c>
      <c r="AC203" t="n">
        <v>56103637</v>
      </c>
      <c r="AD203" t="n">
        <v>6644261540</v>
      </c>
      <c r="AE203" t="n">
        <v>4</v>
      </c>
      <c r="AF203" t="inlineStr">
        <is>
          <t>ENTREGA DIRECTA</t>
        </is>
      </c>
      <c r="AG203" t="n">
        <v>1.4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20260622</v>
      </c>
      <c r="AM203" t="inlineStr">
        <is>
          <t>DW70-900006172-D077-10233033-4</t>
        </is>
      </c>
    </row>
    <row r="204">
      <c r="A204" t="inlineStr">
        <is>
          <t>900006172DW70D09310233033</t>
        </is>
      </c>
      <c r="B204" t="inlineStr">
        <is>
          <t>4600072309-140</t>
        </is>
      </c>
      <c r="C204" t="n">
        <v>4600072309</v>
      </c>
      <c r="D204" t="n">
        <v>140</v>
      </c>
      <c r="E204" t="inlineStr">
        <is>
          <t>MXPO</t>
        </is>
      </c>
      <c r="F204" t="inlineStr">
        <is>
          <t>MXL</t>
        </is>
      </c>
      <c r="G204" t="n">
        <v>900006172</v>
      </c>
      <c r="H204" t="inlineStr">
        <is>
          <t>SF TC-ED ESTRATEGIAS SANTA CALIZA</t>
        </is>
      </c>
      <c r="I204" t="n">
        <v>5049458</v>
      </c>
      <c r="J204" t="inlineStr">
        <is>
          <t>ESTRATEGIAS AVANZADAS PARA OBTEN</t>
        </is>
      </c>
      <c r="K204" t="inlineStr">
        <is>
          <t>Z03</t>
        </is>
      </c>
      <c r="L204" t="inlineStr">
        <is>
          <t>(AP) 15 Dias</t>
        </is>
      </c>
      <c r="M204" t="n">
        <v>10233033</v>
      </c>
      <c r="N204" t="inlineStr">
        <is>
          <t>GRAVA TRITURADA CALIZA 13 MM - 1/2" P</t>
        </is>
      </c>
      <c r="O204" t="inlineStr">
        <is>
          <t>DW70</t>
        </is>
      </c>
      <c r="P204" t="inlineStr">
        <is>
          <t>MX-CED. CENTRO</t>
        </is>
      </c>
      <c r="Q204" t="n">
        <v>20260616</v>
      </c>
      <c r="R204" t="n">
        <v>20301231</v>
      </c>
      <c r="S204" t="n">
        <v>20260616</v>
      </c>
      <c r="T204" t="n">
        <v>20301231</v>
      </c>
      <c r="U204" t="n">
        <v>347</v>
      </c>
      <c r="V204" t="inlineStr">
        <is>
          <t>MXN</t>
        </is>
      </c>
      <c r="W204" t="inlineStr">
        <is>
          <t>M3</t>
        </is>
      </c>
      <c r="X204" t="n">
        <v>191</v>
      </c>
      <c r="Y204" t="inlineStr">
        <is>
          <t>MXN</t>
        </is>
      </c>
      <c r="Z204" t="inlineStr">
        <is>
          <t>M3</t>
        </is>
      </c>
      <c r="AA204" t="inlineStr">
        <is>
          <t>D093</t>
        </is>
      </c>
      <c r="AB204" t="inlineStr">
        <is>
          <t>PD0556 ZUMPANGO</t>
        </is>
      </c>
      <c r="AC204" t="n">
        <v>56103637</v>
      </c>
      <c r="AD204" t="n">
        <v>6644261540</v>
      </c>
      <c r="AE204" t="n">
        <v>4</v>
      </c>
      <c r="AF204" t="inlineStr">
        <is>
          <t>ENTREGA DIRECTA</t>
        </is>
      </c>
      <c r="AG204" t="n">
        <v>1.4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20260622</v>
      </c>
      <c r="AM204" t="inlineStr">
        <is>
          <t>DW70-900006172-D093-10233033-4</t>
        </is>
      </c>
    </row>
    <row r="205">
      <c r="A205" t="inlineStr">
        <is>
          <t>900000034DW7010000623</t>
        </is>
      </c>
      <c r="B205" t="inlineStr">
        <is>
          <t>4600050469-10</t>
        </is>
      </c>
      <c r="C205" t="n">
        <v>4600050469</v>
      </c>
      <c r="D205" t="n">
        <v>10</v>
      </c>
      <c r="E205" t="inlineStr">
        <is>
          <t>MXPO</t>
        </is>
      </c>
      <c r="F205" t="inlineStr">
        <is>
          <t>MXL</t>
        </is>
      </c>
      <c r="G205" t="n">
        <v>900000034</v>
      </c>
      <c r="H205" t="inlineStr">
        <is>
          <t>TC-EJIDO PROGRESO</t>
        </is>
      </c>
      <c r="I205" t="n">
        <v>5001924</v>
      </c>
      <c r="J205" t="inlineStr">
        <is>
          <t>EJIDO PROGRESO</t>
        </is>
      </c>
      <c r="K205" t="inlineStr">
        <is>
          <t>Z04</t>
        </is>
      </c>
      <c r="L205" t="inlineStr">
        <is>
          <t>(AP) 30 Dias</t>
        </is>
      </c>
      <c r="M205" t="n">
        <v>10000623</v>
      </c>
      <c r="N205" t="inlineStr">
        <is>
          <t>Grava Triturada Caliza 10 mm - 3/8"</t>
        </is>
      </c>
      <c r="O205" t="inlineStr">
        <is>
          <t>DW70</t>
        </is>
      </c>
      <c r="P205" t="inlineStr">
        <is>
          <t>MX-CED. CENTRO</t>
        </is>
      </c>
      <c r="Q205" t="n">
        <v>20210712</v>
      </c>
      <c r="R205" t="n">
        <v>20291231</v>
      </c>
      <c r="S205" t="n">
        <v>20250701</v>
      </c>
      <c r="T205" t="n">
        <v>20301231</v>
      </c>
      <c r="U205" t="n">
        <v>100</v>
      </c>
      <c r="V205" t="inlineStr">
        <is>
          <t>MXN</t>
        </is>
      </c>
      <c r="W205" t="inlineStr">
        <is>
          <t>TN</t>
        </is>
      </c>
      <c r="X205" t="n">
        <v>0</v>
      </c>
      <c r="Y205" t="inlineStr">
        <is>
          <t>MXN</t>
        </is>
      </c>
      <c r="Z205" t="inlineStr">
        <is>
          <t>TN</t>
        </is>
      </c>
      <c r="AC205" t="n">
        <v>56103637</v>
      </c>
      <c r="AD205" t="n">
        <v>6644261540</v>
      </c>
      <c r="AE205" t="n">
        <v>1</v>
      </c>
      <c r="AF205" t="inlineStr">
        <is>
          <t>ENTREGADO</t>
        </is>
      </c>
      <c r="AG205" t="n">
        <v>1</v>
      </c>
      <c r="AH205" t="inlineStr">
        <is>
          <t>TO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20250911</v>
      </c>
      <c r="AM205" t="inlineStr">
        <is>
          <t>DW70-900000034-10000623</t>
        </is>
      </c>
    </row>
    <row r="206">
      <c r="A206" t="inlineStr">
        <is>
          <t>900009292DW7010000630</t>
        </is>
      </c>
      <c r="B206" t="inlineStr">
        <is>
          <t>4600071553-20</t>
        </is>
      </c>
      <c r="C206" t="n">
        <v>4600071553</v>
      </c>
      <c r="D206" t="n">
        <v>20</v>
      </c>
      <c r="E206" t="inlineStr">
        <is>
          <t>MXPO</t>
        </is>
      </c>
      <c r="F206" t="inlineStr">
        <is>
          <t>MXL</t>
        </is>
      </c>
      <c r="G206" t="n">
        <v>900009292</v>
      </c>
      <c r="H206" t="inlineStr">
        <is>
          <t>SF TC-GRAVICOR GIL</t>
        </is>
      </c>
      <c r="I206" t="n">
        <v>5096226</v>
      </c>
      <c r="J206" t="inlineStr">
        <is>
          <t>GIL HERNANDEZ RACIEL</t>
        </is>
      </c>
      <c r="K206" t="inlineStr">
        <is>
          <t>N90</t>
        </is>
      </c>
      <c r="L206" t="inlineStr">
        <is>
          <t>(AP) NAFIN 90 Dias</t>
        </is>
      </c>
      <c r="M206" t="n">
        <v>10000630</v>
      </c>
      <c r="N206" t="inlineStr">
        <is>
          <t>Grava Triturada Caliza 13 mm - 1/2"</t>
        </is>
      </c>
      <c r="O206" t="inlineStr">
        <is>
          <t>DW70</t>
        </is>
      </c>
      <c r="P206" t="inlineStr">
        <is>
          <t>MX-CED. CENTRO</t>
        </is>
      </c>
      <c r="Q206" t="n">
        <v>20250813</v>
      </c>
      <c r="R206" t="n">
        <v>20301231</v>
      </c>
      <c r="S206" t="n">
        <v>20250813</v>
      </c>
      <c r="T206" t="n">
        <v>20301231</v>
      </c>
      <c r="U206" t="n">
        <v>193.58</v>
      </c>
      <c r="V206" t="inlineStr">
        <is>
          <t>MXN</t>
        </is>
      </c>
      <c r="W206" t="inlineStr">
        <is>
          <t>M3</t>
        </is>
      </c>
      <c r="X206" t="n">
        <v>0</v>
      </c>
      <c r="Y206" t="inlineStr">
        <is>
          <t>MXN</t>
        </is>
      </c>
      <c r="Z206" t="inlineStr">
        <is>
          <t>M3</t>
        </is>
      </c>
      <c r="AC206" t="n">
        <v>56103637</v>
      </c>
      <c r="AD206" t="n">
        <v>6644261540</v>
      </c>
      <c r="AE206" t="n">
        <v>1</v>
      </c>
      <c r="AF206" t="inlineStr">
        <is>
          <t>ENTREGADO</t>
        </is>
      </c>
      <c r="AG206" t="n">
        <v>1.4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20250815</v>
      </c>
      <c r="AM206" t="inlineStr">
        <is>
          <t>DW70-900009292-10000630</t>
        </is>
      </c>
    </row>
    <row r="207">
      <c r="A207" t="inlineStr">
        <is>
          <t>900009292DW7010269246</t>
        </is>
      </c>
      <c r="B207" t="inlineStr">
        <is>
          <t>4600071553-40</t>
        </is>
      </c>
      <c r="C207" t="n">
        <v>4600071553</v>
      </c>
      <c r="D207" t="n">
        <v>40</v>
      </c>
      <c r="E207" t="inlineStr">
        <is>
          <t>MXPO</t>
        </is>
      </c>
      <c r="F207" t="inlineStr">
        <is>
          <t>MXL</t>
        </is>
      </c>
      <c r="G207" t="n">
        <v>900009292</v>
      </c>
      <c r="H207" t="inlineStr">
        <is>
          <t>SF TC-GRAVICOR GIL</t>
        </is>
      </c>
      <c r="I207" t="n">
        <v>5096226</v>
      </c>
      <c r="J207" t="inlineStr">
        <is>
          <t>GIL HERNANDEZ RACIEL</t>
        </is>
      </c>
      <c r="K207" t="inlineStr">
        <is>
          <t>N90</t>
        </is>
      </c>
      <c r="L207" t="inlineStr">
        <is>
          <t>(AP) NAFIN 90 Dias</t>
        </is>
      </c>
      <c r="M207" t="n">
        <v>10269246</v>
      </c>
      <c r="N207" t="inlineStr">
        <is>
          <t>MP GRAVA TRITURADA CALIZA 1 1/2 - 40MM</t>
        </is>
      </c>
      <c r="O207" t="inlineStr">
        <is>
          <t>DW70</t>
        </is>
      </c>
      <c r="P207" t="inlineStr">
        <is>
          <t>MX-CED. CENTRO</t>
        </is>
      </c>
      <c r="Q207" t="n">
        <v>20250813</v>
      </c>
      <c r="R207" t="n">
        <v>20301231</v>
      </c>
      <c r="S207" t="n">
        <v>20250813</v>
      </c>
      <c r="T207" t="n">
        <v>20301231</v>
      </c>
      <c r="U207" t="n">
        <v>193.58</v>
      </c>
      <c r="V207" t="inlineStr">
        <is>
          <t>MXN</t>
        </is>
      </c>
      <c r="W207" t="inlineStr">
        <is>
          <t>M3</t>
        </is>
      </c>
      <c r="X207" t="n">
        <v>0</v>
      </c>
      <c r="Y207" t="inlineStr">
        <is>
          <t>MXN</t>
        </is>
      </c>
      <c r="Z207" t="inlineStr">
        <is>
          <t>M3</t>
        </is>
      </c>
      <c r="AC207" t="n">
        <v>56103637</v>
      </c>
      <c r="AD207" t="n">
        <v>6644261540</v>
      </c>
      <c r="AE207" t="n">
        <v>1</v>
      </c>
      <c r="AF207" t="inlineStr">
        <is>
          <t>ENTREGADO</t>
        </is>
      </c>
      <c r="AG207" t="n">
        <v>1.4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20250815</v>
      </c>
      <c r="AM207" t="inlineStr">
        <is>
          <t>DW70-900009292-10269246</t>
        </is>
      </c>
    </row>
    <row r="208">
      <c r="A208" t="inlineStr">
        <is>
          <t>900009292DW7010269245</t>
        </is>
      </c>
      <c r="B208" t="inlineStr">
        <is>
          <t>4600071553-10</t>
        </is>
      </c>
      <c r="C208" t="n">
        <v>4600071553</v>
      </c>
      <c r="D208" t="n">
        <v>10</v>
      </c>
      <c r="E208" t="inlineStr">
        <is>
          <t>MXPO</t>
        </is>
      </c>
      <c r="F208" t="inlineStr">
        <is>
          <t>MXL</t>
        </is>
      </c>
      <c r="G208" t="n">
        <v>900009292</v>
      </c>
      <c r="H208" t="inlineStr">
        <is>
          <t>SF TC-GRAVICOR GIL</t>
        </is>
      </c>
      <c r="I208" t="n">
        <v>5096226</v>
      </c>
      <c r="J208" t="inlineStr">
        <is>
          <t>GIL HERNANDEZ RACIEL</t>
        </is>
      </c>
      <c r="K208" t="inlineStr">
        <is>
          <t>N90</t>
        </is>
      </c>
      <c r="L208" t="inlineStr">
        <is>
          <t>(AP) NAFIN 90 Dias</t>
        </is>
      </c>
      <c r="M208" t="n">
        <v>10269245</v>
      </c>
      <c r="N208" t="inlineStr">
        <is>
          <t>MP GRAVA TRITURADA CALIZA 3/8 - 10MM</t>
        </is>
      </c>
      <c r="O208" t="inlineStr">
        <is>
          <t>DW70</t>
        </is>
      </c>
      <c r="P208" t="inlineStr">
        <is>
          <t>MX-CED. CENTRO</t>
        </is>
      </c>
      <c r="Q208" t="n">
        <v>20250813</v>
      </c>
      <c r="R208" t="n">
        <v>20301231</v>
      </c>
      <c r="S208" t="n">
        <v>20250813</v>
      </c>
      <c r="T208" t="n">
        <v>20301231</v>
      </c>
      <c r="U208" t="n">
        <v>199.67</v>
      </c>
      <c r="V208" t="inlineStr">
        <is>
          <t>MXN</t>
        </is>
      </c>
      <c r="W208" t="inlineStr">
        <is>
          <t>M3</t>
        </is>
      </c>
      <c r="X208" t="n">
        <v>0</v>
      </c>
      <c r="Y208" t="inlineStr">
        <is>
          <t>MXN</t>
        </is>
      </c>
      <c r="Z208" t="inlineStr">
        <is>
          <t>M3</t>
        </is>
      </c>
      <c r="AC208" t="n">
        <v>56103637</v>
      </c>
      <c r="AD208" t="n">
        <v>6644261540</v>
      </c>
      <c r="AE208" t="n">
        <v>1</v>
      </c>
      <c r="AF208" t="inlineStr">
        <is>
          <t>ENTREGADO</t>
        </is>
      </c>
      <c r="AG208" t="n">
        <v>1.41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20250815</v>
      </c>
      <c r="AM208" t="inlineStr">
        <is>
          <t>DW70-900009292-10269245</t>
        </is>
      </c>
    </row>
    <row r="209">
      <c r="A209" t="inlineStr">
        <is>
          <t>900004046DW7010002802</t>
        </is>
      </c>
      <c r="B209" t="inlineStr">
        <is>
          <t>4600050501-10</t>
        </is>
      </c>
      <c r="C209" t="n">
        <v>4600050501</v>
      </c>
      <c r="D209" t="n">
        <v>10</v>
      </c>
      <c r="E209" t="inlineStr">
        <is>
          <t>MXPO</t>
        </is>
      </c>
      <c r="F209" t="inlineStr">
        <is>
          <t>MXL</t>
        </is>
      </c>
      <c r="G209" t="n">
        <v>900004046</v>
      </c>
      <c r="H209" t="inlineStr">
        <is>
          <t>TC-SAN JUAN (HUDASA)</t>
        </is>
      </c>
      <c r="I209" t="n">
        <v>5054686</v>
      </c>
      <c r="J209" t="inlineStr">
        <is>
          <t>GRUPO MERCANTIL HUDASA SA DE CV</t>
        </is>
      </c>
      <c r="K209" t="inlineStr">
        <is>
          <t>Z06</t>
        </is>
      </c>
      <c r="L209" t="inlineStr">
        <is>
          <t>(AP) 45 Dias</t>
        </is>
      </c>
      <c r="M209" t="n">
        <v>10002802</v>
      </c>
      <c r="N209" t="inlineStr">
        <is>
          <t>Arena Clasificada Río Malla 4 Lavado</t>
        </is>
      </c>
      <c r="O209" t="inlineStr">
        <is>
          <t>DW70</t>
        </is>
      </c>
      <c r="P209" t="inlineStr">
        <is>
          <t>MX-CED. CENTRO</t>
        </is>
      </c>
      <c r="Q209" t="n">
        <v>20210712</v>
      </c>
      <c r="R209" t="n">
        <v>20261231</v>
      </c>
      <c r="S209" t="n">
        <v>20210712</v>
      </c>
      <c r="T209" t="n">
        <v>20261231</v>
      </c>
      <c r="U209" t="n">
        <v>135</v>
      </c>
      <c r="V209" t="inlineStr">
        <is>
          <t>MXN</t>
        </is>
      </c>
      <c r="W209" t="inlineStr">
        <is>
          <t>M3</t>
        </is>
      </c>
      <c r="X209" t="n">
        <v>0</v>
      </c>
      <c r="Y209" t="inlineStr">
        <is>
          <t>MXN</t>
        </is>
      </c>
      <c r="Z209" t="inlineStr">
        <is>
          <t>M3</t>
        </is>
      </c>
      <c r="AC209" t="n">
        <v>56103638</v>
      </c>
      <c r="AD209" t="n">
        <v>6644261540</v>
      </c>
      <c r="AE209" t="n">
        <v>1</v>
      </c>
      <c r="AF209" t="inlineStr">
        <is>
          <t>ENTREGADO</t>
        </is>
      </c>
      <c r="AG209" t="n">
        <v>1.463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20260108</v>
      </c>
      <c r="AM209" t="inlineStr">
        <is>
          <t>DW70-900004046-10002802</t>
        </is>
      </c>
    </row>
    <row r="210">
      <c r="A210" t="inlineStr">
        <is>
          <t>900005400DW7010059181</t>
        </is>
      </c>
      <c r="B210" t="inlineStr">
        <is>
          <t>4600050519-30</t>
        </is>
      </c>
      <c r="C210" t="n">
        <v>4600050519</v>
      </c>
      <c r="D210" t="n">
        <v>30</v>
      </c>
      <c r="E210" t="inlineStr">
        <is>
          <t>MXPO</t>
        </is>
      </c>
      <c r="F210" t="inlineStr">
        <is>
          <t>MXL</t>
        </is>
      </c>
      <c r="G210" t="n">
        <v>900005400</v>
      </c>
      <c r="H210" t="inlineStr">
        <is>
          <t>TC-DESARROLLO MINERO</t>
        </is>
      </c>
      <c r="I210" t="n">
        <v>5069420</v>
      </c>
      <c r="J210" t="inlineStr">
        <is>
          <t>PROMOTORA DE DESARROLLO MINERO</t>
        </is>
      </c>
      <c r="K210" t="inlineStr">
        <is>
          <t>Z09</t>
        </is>
      </c>
      <c r="L210" t="inlineStr">
        <is>
          <t>(AP) 90 Dias</t>
        </is>
      </c>
      <c r="M210" t="n">
        <v>10059181</v>
      </c>
      <c r="N210" t="inlineStr">
        <is>
          <t>Arena Triturada Andesita Malla 4</t>
        </is>
      </c>
      <c r="O210" t="inlineStr">
        <is>
          <t>DW70</t>
        </is>
      </c>
      <c r="P210" t="inlineStr">
        <is>
          <t>MX-CED. CENTRO</t>
        </is>
      </c>
      <c r="Q210" t="n">
        <v>20210712</v>
      </c>
      <c r="R210" t="n">
        <v>20261231</v>
      </c>
      <c r="S210" t="n">
        <v>20210712</v>
      </c>
      <c r="T210" t="n">
        <v>20261231</v>
      </c>
      <c r="U210" t="n">
        <v>78.75</v>
      </c>
      <c r="V210" t="inlineStr">
        <is>
          <t>MXN</t>
        </is>
      </c>
      <c r="W210" t="inlineStr">
        <is>
          <t>M3</t>
        </is>
      </c>
      <c r="X210" t="n">
        <v>0</v>
      </c>
      <c r="Y210" t="inlineStr">
        <is>
          <t>MXN</t>
        </is>
      </c>
      <c r="Z210" t="inlineStr">
        <is>
          <t>M3</t>
        </is>
      </c>
      <c r="AC210" t="n">
        <v>56103638</v>
      </c>
      <c r="AD210" t="n">
        <v>6644261540</v>
      </c>
      <c r="AE210" t="n">
        <v>1</v>
      </c>
      <c r="AF210" t="inlineStr">
        <is>
          <t>ENTREGADO</t>
        </is>
      </c>
      <c r="AG210" t="n">
        <v>1.221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20260108</v>
      </c>
      <c r="AM210" t="inlineStr">
        <is>
          <t>DW70-900005400-10059181</t>
        </is>
      </c>
    </row>
    <row r="211">
      <c r="A211" t="inlineStr">
        <is>
          <t>900006140DW7010169677</t>
        </is>
      </c>
      <c r="B211" t="inlineStr">
        <is>
          <t>4600050550-10</t>
        </is>
      </c>
      <c r="C211" t="n">
        <v>4600050550</v>
      </c>
      <c r="D211" t="n">
        <v>10</v>
      </c>
      <c r="E211" t="inlineStr">
        <is>
          <t>MXPO</t>
        </is>
      </c>
      <c r="F211" t="inlineStr">
        <is>
          <t>MXL</t>
        </is>
      </c>
      <c r="G211" t="n">
        <v>900006140</v>
      </c>
      <c r="H211" t="inlineStr">
        <is>
          <t>SF TC-ROCA DURA SANTA FE</t>
        </is>
      </c>
      <c r="I211" t="n">
        <v>5032274</v>
      </c>
      <c r="J211" t="inlineStr">
        <is>
          <t>TRITURADORA ROCA DURA SAN MIGUEL</t>
        </is>
      </c>
      <c r="K211" t="inlineStr">
        <is>
          <t>Z03</t>
        </is>
      </c>
      <c r="L211" t="inlineStr">
        <is>
          <t>(AP) 15 Dias</t>
        </is>
      </c>
      <c r="M211" t="n">
        <v>10169677</v>
      </c>
      <c r="N211" t="inlineStr">
        <is>
          <t>BALASTO TRITURADO CALIZA 4" A FINOS</t>
        </is>
      </c>
      <c r="O211" t="inlineStr">
        <is>
          <t>DW70</t>
        </is>
      </c>
      <c r="P211" t="inlineStr">
        <is>
          <t>MX-CED. CENTRO</t>
        </is>
      </c>
      <c r="Q211" t="n">
        <v>20210712</v>
      </c>
      <c r="R211" t="n">
        <v>20261231</v>
      </c>
      <c r="S211" t="n">
        <v>20210712</v>
      </c>
      <c r="T211" t="n">
        <v>20261231</v>
      </c>
      <c r="U211" t="n">
        <v>250</v>
      </c>
      <c r="V211" t="inlineStr">
        <is>
          <t>MXN</t>
        </is>
      </c>
      <c r="W211" t="inlineStr">
        <is>
          <t>M3</t>
        </is>
      </c>
      <c r="X211" t="n">
        <v>0</v>
      </c>
      <c r="Y211" t="inlineStr">
        <is>
          <t>MXN</t>
        </is>
      </c>
      <c r="Z211" t="inlineStr">
        <is>
          <t>M3</t>
        </is>
      </c>
      <c r="AC211" t="n">
        <v>56103591</v>
      </c>
      <c r="AD211" t="n">
        <v>6644261540</v>
      </c>
      <c r="AE211" t="n">
        <v>1</v>
      </c>
      <c r="AF211" t="inlineStr">
        <is>
          <t>ENTREGADO</t>
        </is>
      </c>
      <c r="AG211" t="n">
        <v>1.6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20260108</v>
      </c>
      <c r="AM211" t="inlineStr">
        <is>
          <t>DW70-900006140-10169677</t>
        </is>
      </c>
    </row>
    <row r="212">
      <c r="A212" t="inlineStr">
        <is>
          <t>900006140DW7010165990</t>
        </is>
      </c>
      <c r="B212" t="inlineStr">
        <is>
          <t>4600050550-20</t>
        </is>
      </c>
      <c r="C212" t="n">
        <v>4600050550</v>
      </c>
      <c r="D212" t="n">
        <v>20</v>
      </c>
      <c r="E212" t="inlineStr">
        <is>
          <t>MXPO</t>
        </is>
      </c>
      <c r="F212" t="inlineStr">
        <is>
          <t>MXL</t>
        </is>
      </c>
      <c r="G212" t="n">
        <v>900006140</v>
      </c>
      <c r="H212" t="inlineStr">
        <is>
          <t>SF TC-ROCA DURA SANTA FE</t>
        </is>
      </c>
      <c r="I212" t="n">
        <v>5032274</v>
      </c>
      <c r="J212" t="inlineStr">
        <is>
          <t>TRITURADORA ROCA DURA SAN MIGUEL</t>
        </is>
      </c>
      <c r="K212" t="inlineStr">
        <is>
          <t>Z03</t>
        </is>
      </c>
      <c r="L212" t="inlineStr">
        <is>
          <t>(AP) 15 Dias</t>
        </is>
      </c>
      <c r="M212" t="n">
        <v>10165990</v>
      </c>
      <c r="N212" t="inlineStr">
        <is>
          <t>DESPERDICIO TRITURADO CALIZA</t>
        </is>
      </c>
      <c r="O212" t="inlineStr">
        <is>
          <t>DW70</t>
        </is>
      </c>
      <c r="P212" t="inlineStr">
        <is>
          <t>MX-CED. CENTRO</t>
        </is>
      </c>
      <c r="Q212" t="n">
        <v>20210712</v>
      </c>
      <c r="R212" t="n">
        <v>20261231</v>
      </c>
      <c r="S212" t="n">
        <v>20210712</v>
      </c>
      <c r="T212" t="n">
        <v>20261231</v>
      </c>
      <c r="U212" t="n">
        <v>250</v>
      </c>
      <c r="V212" t="inlineStr">
        <is>
          <t>MXN</t>
        </is>
      </c>
      <c r="W212" t="inlineStr">
        <is>
          <t>M3</t>
        </is>
      </c>
      <c r="X212" t="n">
        <v>0</v>
      </c>
      <c r="Y212" t="inlineStr">
        <is>
          <t>MXN</t>
        </is>
      </c>
      <c r="Z212" t="inlineStr">
        <is>
          <t>M3</t>
        </is>
      </c>
      <c r="AC212" t="n">
        <v>56103695</v>
      </c>
      <c r="AD212" t="n">
        <v>6644261540</v>
      </c>
      <c r="AE212" t="n">
        <v>1</v>
      </c>
      <c r="AF212" t="inlineStr">
        <is>
          <t>ENTREGADO</t>
        </is>
      </c>
      <c r="AG212" t="n">
        <v>1.1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20260108</v>
      </c>
      <c r="AM212" t="inlineStr">
        <is>
          <t>DW70-900006140-10165990</t>
        </is>
      </c>
    </row>
    <row r="213">
      <c r="A213" t="inlineStr">
        <is>
          <t>900006140DW7010165760</t>
        </is>
      </c>
      <c r="B213" t="inlineStr">
        <is>
          <t>4600050550-30</t>
        </is>
      </c>
      <c r="C213" t="n">
        <v>4600050550</v>
      </c>
      <c r="D213" t="n">
        <v>30</v>
      </c>
      <c r="E213" t="inlineStr">
        <is>
          <t>MXPO</t>
        </is>
      </c>
      <c r="F213" t="inlineStr">
        <is>
          <t>MXL</t>
        </is>
      </c>
      <c r="G213" t="n">
        <v>900006140</v>
      </c>
      <c r="H213" t="inlineStr">
        <is>
          <t>SF TC-ROCA DURA SANTA FE</t>
        </is>
      </c>
      <c r="I213" t="n">
        <v>5032274</v>
      </c>
      <c r="J213" t="inlineStr">
        <is>
          <t>TRITURADORA ROCA DURA SAN MIGUEL</t>
        </is>
      </c>
      <c r="K213" t="inlineStr">
        <is>
          <t>Z03</t>
        </is>
      </c>
      <c r="L213" t="inlineStr">
        <is>
          <t>(AP) 15 Dias</t>
        </is>
      </c>
      <c r="M213" t="n">
        <v>10165760</v>
      </c>
      <c r="N213" t="inlineStr">
        <is>
          <t>BALASTO TRITURADO BASALTO 6" A FINOS</t>
        </is>
      </c>
      <c r="O213" t="inlineStr">
        <is>
          <t>DW70</t>
        </is>
      </c>
      <c r="P213" t="inlineStr">
        <is>
          <t>MX-CED. CENTRO</t>
        </is>
      </c>
      <c r="Q213" t="n">
        <v>20210712</v>
      </c>
      <c r="R213" t="n">
        <v>20261231</v>
      </c>
      <c r="S213" t="n">
        <v>20210712</v>
      </c>
      <c r="T213" t="n">
        <v>20261231</v>
      </c>
      <c r="U213" t="n">
        <v>250</v>
      </c>
      <c r="V213" t="inlineStr">
        <is>
          <t>MXN</t>
        </is>
      </c>
      <c r="W213" t="inlineStr">
        <is>
          <t>M3</t>
        </is>
      </c>
      <c r="X213" t="n">
        <v>0</v>
      </c>
      <c r="Y213" t="inlineStr">
        <is>
          <t>MXN</t>
        </is>
      </c>
      <c r="Z213" t="inlineStr">
        <is>
          <t>M3</t>
        </is>
      </c>
      <c r="AC213" t="n">
        <v>56103591</v>
      </c>
      <c r="AD213" t="n">
        <v>6644261540</v>
      </c>
      <c r="AE213" t="n">
        <v>1</v>
      </c>
      <c r="AF213" t="inlineStr">
        <is>
          <t>ENTREGADO</t>
        </is>
      </c>
      <c r="AG213" t="n">
        <v>1.65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20260108</v>
      </c>
      <c r="AM213" t="inlineStr">
        <is>
          <t>DW70-900006140-10165760</t>
        </is>
      </c>
    </row>
    <row r="214">
      <c r="A214" t="inlineStr">
        <is>
          <t>900005400DW7010000627</t>
        </is>
      </c>
      <c r="B214" t="inlineStr">
        <is>
          <t>4600050519-20</t>
        </is>
      </c>
      <c r="C214" t="n">
        <v>4600050519</v>
      </c>
      <c r="D214" t="n">
        <v>20</v>
      </c>
      <c r="E214" t="inlineStr">
        <is>
          <t>MXPO</t>
        </is>
      </c>
      <c r="F214" t="inlineStr">
        <is>
          <t>MXL</t>
        </is>
      </c>
      <c r="G214" t="n">
        <v>900005400</v>
      </c>
      <c r="H214" t="inlineStr">
        <is>
          <t>TC-DESARROLLO MINERO</t>
        </is>
      </c>
      <c r="I214" t="n">
        <v>5069420</v>
      </c>
      <c r="J214" t="inlineStr">
        <is>
          <t>PROMOTORA DE DESARROLLO MINERO</t>
        </is>
      </c>
      <c r="K214" t="inlineStr">
        <is>
          <t>Z09</t>
        </is>
      </c>
      <c r="L214" t="inlineStr">
        <is>
          <t>(AP) 90 Dias</t>
        </is>
      </c>
      <c r="M214" t="n">
        <v>10000627</v>
      </c>
      <c r="N214" t="inlineStr">
        <is>
          <t>Grava Triturada Andesita 10 mm - 3/8"</t>
        </is>
      </c>
      <c r="O214" t="inlineStr">
        <is>
          <t>DW70</t>
        </is>
      </c>
      <c r="P214" t="inlineStr">
        <is>
          <t>MX-CED. CENTRO</t>
        </is>
      </c>
      <c r="Q214" t="n">
        <v>20210712</v>
      </c>
      <c r="R214" t="n">
        <v>20261231</v>
      </c>
      <c r="S214" t="n">
        <v>20210712</v>
      </c>
      <c r="T214" t="n">
        <v>20261231</v>
      </c>
      <c r="U214" t="n">
        <v>78.75</v>
      </c>
      <c r="V214" t="inlineStr">
        <is>
          <t>MXN</t>
        </is>
      </c>
      <c r="W214" t="inlineStr">
        <is>
          <t>M3</t>
        </is>
      </c>
      <c r="X214" t="n">
        <v>0</v>
      </c>
      <c r="Y214" t="inlineStr">
        <is>
          <t>MXN</t>
        </is>
      </c>
      <c r="Z214" t="inlineStr">
        <is>
          <t>M3</t>
        </is>
      </c>
      <c r="AC214" t="n">
        <v>56103637</v>
      </c>
      <c r="AD214" t="n">
        <v>6644261540</v>
      </c>
      <c r="AE214" t="n">
        <v>1</v>
      </c>
      <c r="AF214" t="inlineStr">
        <is>
          <t>ENTREGADO</t>
        </is>
      </c>
      <c r="AG214" t="n">
        <v>1.33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20260108</v>
      </c>
      <c r="AM214" t="inlineStr">
        <is>
          <t>DW70-900005400-10000627</t>
        </is>
      </c>
    </row>
    <row r="215">
      <c r="A215" t="inlineStr">
        <is>
          <t>900006227DW7010170112</t>
        </is>
      </c>
      <c r="B215" t="inlineStr">
        <is>
          <t>4600050552-10</t>
        </is>
      </c>
      <c r="C215" t="n">
        <v>4600050552</v>
      </c>
      <c r="D215" t="n">
        <v>10</v>
      </c>
      <c r="E215" t="inlineStr">
        <is>
          <t>MXPO</t>
        </is>
      </c>
      <c r="F215" t="inlineStr">
        <is>
          <t>MXL</t>
        </is>
      </c>
      <c r="G215" t="n">
        <v>900006227</v>
      </c>
      <c r="H215" t="inlineStr">
        <is>
          <t>SF TC-EL ARBOLILLO</t>
        </is>
      </c>
      <c r="I215" t="n">
        <v>5075949</v>
      </c>
      <c r="J215" t="inlineStr">
        <is>
          <t>AZUL CONCRETOS Y PREMEZCLADOS</t>
        </is>
      </c>
      <c r="K215" t="inlineStr">
        <is>
          <t>Z06</t>
        </is>
      </c>
      <c r="L215" t="inlineStr">
        <is>
          <t>(AP) 45 Dias</t>
        </is>
      </c>
      <c r="M215" t="n">
        <v>10170112</v>
      </c>
      <c r="N215" t="inlineStr">
        <is>
          <t>GRAVA TRITURADA CALIZA 20 MM - 3/4"</t>
        </is>
      </c>
      <c r="O215" t="inlineStr">
        <is>
          <t>DW70</t>
        </is>
      </c>
      <c r="P215" t="inlineStr">
        <is>
          <t>MX-CED. CENTRO</t>
        </is>
      </c>
      <c r="Q215" t="n">
        <v>20210712</v>
      </c>
      <c r="R215" t="n">
        <v>20261231</v>
      </c>
      <c r="S215" t="n">
        <v>20211111</v>
      </c>
      <c r="T215" t="n">
        <v>20261231</v>
      </c>
      <c r="U215" t="n">
        <v>135</v>
      </c>
      <c r="V215" t="inlineStr">
        <is>
          <t>MXN</t>
        </is>
      </c>
      <c r="W215" t="inlineStr">
        <is>
          <t>M3</t>
        </is>
      </c>
      <c r="X215" t="n">
        <v>0</v>
      </c>
      <c r="Y215" t="inlineStr">
        <is>
          <t>MXN</t>
        </is>
      </c>
      <c r="Z215" t="inlineStr">
        <is>
          <t>M3</t>
        </is>
      </c>
      <c r="AC215" t="n">
        <v>56103637</v>
      </c>
      <c r="AD215" t="n">
        <v>6644261540</v>
      </c>
      <c r="AE215" t="n">
        <v>1</v>
      </c>
      <c r="AF215" t="inlineStr">
        <is>
          <t>ENTREGADO</t>
        </is>
      </c>
      <c r="AG215" t="n">
        <v>1.423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DW70-900006227-10170112</t>
        </is>
      </c>
    </row>
    <row r="216">
      <c r="A216" t="inlineStr">
        <is>
          <t>900005705DW7010000811</t>
        </is>
      </c>
      <c r="B216" t="inlineStr">
        <is>
          <t>4600050539-10</t>
        </is>
      </c>
      <c r="C216" t="n">
        <v>4600050539</v>
      </c>
      <c r="D216" t="n">
        <v>10</v>
      </c>
      <c r="E216" t="inlineStr">
        <is>
          <t>MXPO</t>
        </is>
      </c>
      <c r="F216" t="inlineStr">
        <is>
          <t>MXL</t>
        </is>
      </c>
      <c r="G216" t="n">
        <v>900005705</v>
      </c>
      <c r="H216" t="inlineStr">
        <is>
          <t>TC-ROCA DURA LERMA</t>
        </is>
      </c>
      <c r="I216" t="n">
        <v>5032274</v>
      </c>
      <c r="J216" t="inlineStr">
        <is>
          <t>TRITURADORA ROCA DURA SAN MIGUEL</t>
        </is>
      </c>
      <c r="K216" t="inlineStr">
        <is>
          <t>Z03</t>
        </is>
      </c>
      <c r="L216" t="inlineStr">
        <is>
          <t>(AP) 15 Dias</t>
        </is>
      </c>
      <c r="M216" t="n">
        <v>10000811</v>
      </c>
      <c r="N216" t="inlineStr">
        <is>
          <t>Grava Triturada Caliza 20 mm - 3/4"</t>
        </is>
      </c>
      <c r="O216" t="inlineStr">
        <is>
          <t>DW70</t>
        </is>
      </c>
      <c r="P216" t="inlineStr">
        <is>
          <t>MX-CED. CENTRO</t>
        </is>
      </c>
      <c r="Q216" t="n">
        <v>20210712</v>
      </c>
      <c r="R216" t="n">
        <v>20261231</v>
      </c>
      <c r="S216" t="n">
        <v>20220215</v>
      </c>
      <c r="T216" t="n">
        <v>20271231</v>
      </c>
      <c r="U216" t="n">
        <v>365.18</v>
      </c>
      <c r="V216" t="inlineStr">
        <is>
          <t>MXN</t>
        </is>
      </c>
      <c r="W216" t="inlineStr">
        <is>
          <t>M3</t>
        </is>
      </c>
      <c r="X216" t="n">
        <v>0</v>
      </c>
      <c r="Y216" t="inlineStr">
        <is>
          <t>MXN</t>
        </is>
      </c>
      <c r="Z216" t="inlineStr">
        <is>
          <t>M3</t>
        </is>
      </c>
      <c r="AC216" t="n">
        <v>56103637</v>
      </c>
      <c r="AD216" t="n">
        <v>6644261540</v>
      </c>
      <c r="AE216" t="n">
        <v>1</v>
      </c>
      <c r="AF216" t="inlineStr">
        <is>
          <t>ENTREGADO</t>
        </is>
      </c>
      <c r="AG216" t="n">
        <v>1.447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DW70-900005705-10000811</t>
        </is>
      </c>
    </row>
    <row r="217">
      <c r="A217" t="inlineStr">
        <is>
          <t>900005705DW7010161492</t>
        </is>
      </c>
      <c r="B217" t="inlineStr">
        <is>
          <t>4600050539-30</t>
        </is>
      </c>
      <c r="C217" t="n">
        <v>4600050539</v>
      </c>
      <c r="D217" t="n">
        <v>30</v>
      </c>
      <c r="E217" t="inlineStr">
        <is>
          <t>MXPO</t>
        </is>
      </c>
      <c r="F217" t="inlineStr">
        <is>
          <t>MXL</t>
        </is>
      </c>
      <c r="G217" t="n">
        <v>900005705</v>
      </c>
      <c r="H217" t="inlineStr">
        <is>
          <t>TC-ROCA DURA LERMA</t>
        </is>
      </c>
      <c r="I217" t="n">
        <v>5032274</v>
      </c>
      <c r="J217" t="inlineStr">
        <is>
          <t>TRITURADORA ROCA DURA SAN MIGUEL</t>
        </is>
      </c>
      <c r="K217" t="inlineStr">
        <is>
          <t>Z03</t>
        </is>
      </c>
      <c r="L217" t="inlineStr">
        <is>
          <t>(AP) 15 Dias</t>
        </is>
      </c>
      <c r="M217" t="n">
        <v>10161492</v>
      </c>
      <c r="N217" t="inlineStr">
        <is>
          <t>ARENA TRITURADA CALIZA MALLA 4</t>
        </is>
      </c>
      <c r="O217" t="inlineStr">
        <is>
          <t>DW70</t>
        </is>
      </c>
      <c r="P217" t="inlineStr">
        <is>
          <t>MX-CED. CENTRO</t>
        </is>
      </c>
      <c r="Q217" t="n">
        <v>20210712</v>
      </c>
      <c r="R217" t="n">
        <v>20261231</v>
      </c>
      <c r="S217" t="n">
        <v>20210712</v>
      </c>
      <c r="T217" t="n">
        <v>20261231</v>
      </c>
      <c r="U217" t="n">
        <v>291.49</v>
      </c>
      <c r="V217" t="inlineStr">
        <is>
          <t>MXN</t>
        </is>
      </c>
      <c r="W217" t="inlineStr">
        <is>
          <t>M3</t>
        </is>
      </c>
      <c r="X217" t="n">
        <v>0</v>
      </c>
      <c r="Y217" t="inlineStr">
        <is>
          <t>MXN</t>
        </is>
      </c>
      <c r="Z217" t="inlineStr">
        <is>
          <t>M3</t>
        </is>
      </c>
      <c r="AC217" t="n">
        <v>56103638</v>
      </c>
      <c r="AD217" t="n">
        <v>6644261540</v>
      </c>
      <c r="AE217" t="n">
        <v>1</v>
      </c>
      <c r="AF217" t="inlineStr">
        <is>
          <t>ENTREGADO</t>
        </is>
      </c>
      <c r="AG217" t="n">
        <v>1.578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20260108</v>
      </c>
      <c r="AM217" t="inlineStr">
        <is>
          <t>DW70-900005705-10161492</t>
        </is>
      </c>
    </row>
    <row r="218">
      <c r="A218" t="inlineStr">
        <is>
          <t>900006140DW7010161492</t>
        </is>
      </c>
      <c r="B218" t="inlineStr">
        <is>
          <t>4600050550-60</t>
        </is>
      </c>
      <c r="C218" t="n">
        <v>4600050550</v>
      </c>
      <c r="D218" t="n">
        <v>60</v>
      </c>
      <c r="E218" t="inlineStr">
        <is>
          <t>MXPO</t>
        </is>
      </c>
      <c r="F218" t="inlineStr">
        <is>
          <t>MXL</t>
        </is>
      </c>
      <c r="G218" t="n">
        <v>900006140</v>
      </c>
      <c r="H218" t="inlineStr">
        <is>
          <t>SF TC-ROCA DURA SANTA FE</t>
        </is>
      </c>
      <c r="I218" t="n">
        <v>5032274</v>
      </c>
      <c r="J218" t="inlineStr">
        <is>
          <t>TRITURADORA ROCA DURA SAN MIGUEL</t>
        </is>
      </c>
      <c r="K218" t="inlineStr">
        <is>
          <t>Z03</t>
        </is>
      </c>
      <c r="L218" t="inlineStr">
        <is>
          <t>(AP) 15 Dias</t>
        </is>
      </c>
      <c r="M218" t="n">
        <v>10161492</v>
      </c>
      <c r="N218" t="inlineStr">
        <is>
          <t>ARENA TRITURADA CALIZA MALLA 4</t>
        </is>
      </c>
      <c r="O218" t="inlineStr">
        <is>
          <t>DW70</t>
        </is>
      </c>
      <c r="P218" t="inlineStr">
        <is>
          <t>MX-CED. CENTRO</t>
        </is>
      </c>
      <c r="Q218" t="n">
        <v>20210712</v>
      </c>
      <c r="R218" t="n">
        <v>20261231</v>
      </c>
      <c r="S218" t="n">
        <v>20210712</v>
      </c>
      <c r="T218" t="n">
        <v>20261231</v>
      </c>
      <c r="U218" t="n">
        <v>291.49</v>
      </c>
      <c r="V218" t="inlineStr">
        <is>
          <t>MXN</t>
        </is>
      </c>
      <c r="W218" t="inlineStr">
        <is>
          <t>M3</t>
        </is>
      </c>
      <c r="X218" t="n">
        <v>0</v>
      </c>
      <c r="Y218" t="inlineStr">
        <is>
          <t>MXN</t>
        </is>
      </c>
      <c r="Z218" t="inlineStr">
        <is>
          <t>M3</t>
        </is>
      </c>
      <c r="AC218" t="n">
        <v>56103638</v>
      </c>
      <c r="AD218" t="n">
        <v>6644261540</v>
      </c>
      <c r="AE218" t="n">
        <v>1</v>
      </c>
      <c r="AF218" t="inlineStr">
        <is>
          <t>ENTREGADO</t>
        </is>
      </c>
      <c r="AG218" t="n">
        <v>1.578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20260108</v>
      </c>
      <c r="AM218" t="inlineStr">
        <is>
          <t>DW70-900006140-10161492</t>
        </is>
      </c>
    </row>
    <row r="219">
      <c r="A219" t="inlineStr">
        <is>
          <t>900000137DW7010207890</t>
        </is>
      </c>
      <c r="B219" t="inlineStr">
        <is>
          <t>4600050478-50</t>
        </is>
      </c>
      <c r="C219" t="n">
        <v>4600050478</v>
      </c>
      <c r="D219" t="n">
        <v>50</v>
      </c>
      <c r="E219" t="inlineStr">
        <is>
          <t>MXPO</t>
        </is>
      </c>
      <c r="F219" t="inlineStr">
        <is>
          <t>MXL</t>
        </is>
      </c>
      <c r="G219" t="n">
        <v>900000137</v>
      </c>
      <c r="H219" t="inlineStr">
        <is>
          <t>TC-LA VALENCIANA</t>
        </is>
      </c>
      <c r="I219" t="n">
        <v>5005431</v>
      </c>
      <c r="J219" t="inlineStr">
        <is>
          <t>CANTERAS LA VALENCIANA SA DE CV</t>
        </is>
      </c>
      <c r="K219" t="inlineStr">
        <is>
          <t>Z03</t>
        </is>
      </c>
      <c r="L219" t="inlineStr">
        <is>
          <t>(AP) 15 Dias</t>
        </is>
      </c>
      <c r="M219" t="n">
        <v>10207890</v>
      </c>
      <c r="N219" t="inlineStr">
        <is>
          <t>GRAVA TRITURADA CALIZA 40 MM - 1 1/2" (V</t>
        </is>
      </c>
      <c r="O219" t="inlineStr">
        <is>
          <t>DW70</t>
        </is>
      </c>
      <c r="P219" t="inlineStr">
        <is>
          <t>MX-CED. CENTRO</t>
        </is>
      </c>
      <c r="Q219" t="n">
        <v>20210712</v>
      </c>
      <c r="R219" t="n">
        <v>20281231</v>
      </c>
      <c r="S219" t="n">
        <v>20220501</v>
      </c>
      <c r="T219" t="n">
        <v>20271231</v>
      </c>
      <c r="U219" t="n">
        <v>147.7</v>
      </c>
      <c r="V219" t="inlineStr">
        <is>
          <t>MXN</t>
        </is>
      </c>
      <c r="W219" t="inlineStr">
        <is>
          <t>M3</t>
        </is>
      </c>
      <c r="X219" t="n">
        <v>0</v>
      </c>
      <c r="Y219" t="inlineStr">
        <is>
          <t>MXN</t>
        </is>
      </c>
      <c r="Z219" t="inlineStr">
        <is>
          <t>M3</t>
        </is>
      </c>
      <c r="AC219" t="n">
        <v>56103637</v>
      </c>
      <c r="AD219" t="n">
        <v>6644261540</v>
      </c>
      <c r="AE219" t="n">
        <v>1</v>
      </c>
      <c r="AF219" t="inlineStr">
        <is>
          <t>ENTREGADO</t>
        </is>
      </c>
      <c r="AG219" t="n">
        <v>1.45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20230920</v>
      </c>
      <c r="AM219" t="inlineStr">
        <is>
          <t>DW70-900000137-10207890</t>
        </is>
      </c>
    </row>
    <row r="220">
      <c r="A220" t="inlineStr">
        <is>
          <t>900000137DW7010207891</t>
        </is>
      </c>
      <c r="B220" t="inlineStr">
        <is>
          <t>4600050478-60</t>
        </is>
      </c>
      <c r="C220" t="n">
        <v>4600050478</v>
      </c>
      <c r="D220" t="n">
        <v>60</v>
      </c>
      <c r="E220" t="inlineStr">
        <is>
          <t>MXPO</t>
        </is>
      </c>
      <c r="F220" t="inlineStr">
        <is>
          <t>MXL</t>
        </is>
      </c>
      <c r="G220" t="n">
        <v>900000137</v>
      </c>
      <c r="H220" t="inlineStr">
        <is>
          <t>TC-LA VALENCIANA</t>
        </is>
      </c>
      <c r="I220" t="n">
        <v>5005431</v>
      </c>
      <c r="J220" t="inlineStr">
        <is>
          <t>CANTERAS LA VALENCIANA SA DE CV</t>
        </is>
      </c>
      <c r="K220" t="inlineStr">
        <is>
          <t>Z03</t>
        </is>
      </c>
      <c r="L220" t="inlineStr">
        <is>
          <t>(AP) 15 Dias</t>
        </is>
      </c>
      <c r="M220" t="n">
        <v>10207891</v>
      </c>
      <c r="N220" t="inlineStr">
        <is>
          <t>ARENA TRITURADA CALIZA MALLA 4 (V)</t>
        </is>
      </c>
      <c r="O220" t="inlineStr">
        <is>
          <t>DW70</t>
        </is>
      </c>
      <c r="P220" t="inlineStr">
        <is>
          <t>MX-CED. CENTRO</t>
        </is>
      </c>
      <c r="Q220" t="n">
        <v>20210712</v>
      </c>
      <c r="R220" t="n">
        <v>20281231</v>
      </c>
      <c r="S220" t="n">
        <v>20220501</v>
      </c>
      <c r="T220" t="n">
        <v>20271231</v>
      </c>
      <c r="U220" t="n">
        <v>136.25</v>
      </c>
      <c r="V220" t="inlineStr">
        <is>
          <t>MXN</t>
        </is>
      </c>
      <c r="W220" t="inlineStr">
        <is>
          <t>M3</t>
        </is>
      </c>
      <c r="X220" t="n">
        <v>0</v>
      </c>
      <c r="Y220" t="inlineStr">
        <is>
          <t>MXN</t>
        </is>
      </c>
      <c r="Z220" t="inlineStr">
        <is>
          <t>M3</t>
        </is>
      </c>
      <c r="AC220" t="n">
        <v>56103638</v>
      </c>
      <c r="AD220" t="n">
        <v>6644261540</v>
      </c>
      <c r="AE220" t="n">
        <v>1</v>
      </c>
      <c r="AF220" t="inlineStr">
        <is>
          <t>ENTREGADO</t>
        </is>
      </c>
      <c r="AG220" t="n">
        <v>1.62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20230920</v>
      </c>
      <c r="AM220" t="inlineStr">
        <is>
          <t>DW70-900000137-10207891</t>
        </is>
      </c>
    </row>
    <row r="221">
      <c r="A221" t="inlineStr">
        <is>
          <t>900004322DW7010000160</t>
        </is>
      </c>
      <c r="B221" t="inlineStr">
        <is>
          <t>4600050506-10</t>
        </is>
      </c>
      <c r="C221" t="n">
        <v>4600050506</v>
      </c>
      <c r="D221" t="n">
        <v>10</v>
      </c>
      <c r="E221" t="inlineStr">
        <is>
          <t>MXPO</t>
        </is>
      </c>
      <c r="F221" t="inlineStr">
        <is>
          <t>MXL</t>
        </is>
      </c>
      <c r="G221" t="n">
        <v>900004322</v>
      </c>
      <c r="H221" t="inlineStr">
        <is>
          <t>TC-LAS TRANCAS</t>
        </is>
      </c>
      <c r="I221" t="n">
        <v>5047262</v>
      </c>
      <c r="J221" t="inlineStr">
        <is>
          <t>AGREGADOS PETREOS SAN CRISTOBAL</t>
        </is>
      </c>
      <c r="K221" t="inlineStr">
        <is>
          <t>Z03</t>
        </is>
      </c>
      <c r="L221" t="inlineStr">
        <is>
          <t>(AP) 15 Dias</t>
        </is>
      </c>
      <c r="M221" t="n">
        <v>10000160</v>
      </c>
      <c r="N221" t="inlineStr">
        <is>
          <t>Arena Triturada Andesita Malla 4</t>
        </is>
      </c>
      <c r="O221" t="inlineStr">
        <is>
          <t>DW70</t>
        </is>
      </c>
      <c r="P221" t="inlineStr">
        <is>
          <t>MX-CED. CENTRO</t>
        </is>
      </c>
      <c r="Q221" t="n">
        <v>20210712</v>
      </c>
      <c r="R221" t="n">
        <v>20261231</v>
      </c>
      <c r="S221" t="n">
        <v>20210712</v>
      </c>
      <c r="T221" t="n">
        <v>20261231</v>
      </c>
      <c r="U221" t="n">
        <v>81.5</v>
      </c>
      <c r="V221" t="inlineStr">
        <is>
          <t>MXN</t>
        </is>
      </c>
      <c r="W221" t="inlineStr">
        <is>
          <t>M3</t>
        </is>
      </c>
      <c r="X221" t="n">
        <v>0</v>
      </c>
      <c r="Y221" t="inlineStr">
        <is>
          <t>MXN</t>
        </is>
      </c>
      <c r="Z221" t="inlineStr">
        <is>
          <t>M3</t>
        </is>
      </c>
      <c r="AC221" t="n">
        <v>56103638</v>
      </c>
      <c r="AD221" t="n">
        <v>6644261540</v>
      </c>
      <c r="AE221" t="n">
        <v>1</v>
      </c>
      <c r="AF221" t="inlineStr">
        <is>
          <t>ENTREGADO</t>
        </is>
      </c>
      <c r="AG221" t="n">
        <v>1.409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20260108</v>
      </c>
      <c r="AM221" t="inlineStr">
        <is>
          <t>DW70-900004322-10000160</t>
        </is>
      </c>
    </row>
    <row r="222">
      <c r="A222" t="inlineStr">
        <is>
          <t>900005713DW7010000722</t>
        </is>
      </c>
      <c r="B222" t="inlineStr">
        <is>
          <t>4600050540-20</t>
        </is>
      </c>
      <c r="C222" t="n">
        <v>4600050540</v>
      </c>
      <c r="D222" t="n">
        <v>20</v>
      </c>
      <c r="E222" t="inlineStr">
        <is>
          <t>MXPO</t>
        </is>
      </c>
      <c r="F222" t="inlineStr">
        <is>
          <t>MXL</t>
        </is>
      </c>
      <c r="G222" t="n">
        <v>900005713</v>
      </c>
      <c r="H222" t="inlineStr">
        <is>
          <t>TC-AGRECON SANTA MARIA</t>
        </is>
      </c>
      <c r="I222" t="n">
        <v>5072204</v>
      </c>
      <c r="J222" t="inlineStr">
        <is>
          <t>TERRACERIAS Y CONSTRUCCIONES</t>
        </is>
      </c>
      <c r="K222" t="inlineStr">
        <is>
          <t>N90</t>
        </is>
      </c>
      <c r="L222" t="inlineStr">
        <is>
          <t>(AP) NAFIN 90 Dias</t>
        </is>
      </c>
      <c r="M222" t="n">
        <v>10000722</v>
      </c>
      <c r="N222" t="inlineStr">
        <is>
          <t>Grava Triturada Caliza 20 mm - 3/4"</t>
        </is>
      </c>
      <c r="O222" t="inlineStr">
        <is>
          <t>DW70</t>
        </is>
      </c>
      <c r="P222" t="inlineStr">
        <is>
          <t>MX-CED. CENTRO</t>
        </is>
      </c>
      <c r="Q222" t="n">
        <v>20210712</v>
      </c>
      <c r="R222" t="n">
        <v>20261231</v>
      </c>
      <c r="S222" t="n">
        <v>20210712</v>
      </c>
      <c r="T222" t="n">
        <v>20261231</v>
      </c>
      <c r="U222" t="n">
        <v>128</v>
      </c>
      <c r="V222" t="inlineStr">
        <is>
          <t>MXN</t>
        </is>
      </c>
      <c r="W222" t="inlineStr">
        <is>
          <t>M3</t>
        </is>
      </c>
      <c r="X222" t="n">
        <v>0</v>
      </c>
      <c r="Y222" t="inlineStr">
        <is>
          <t>MXN</t>
        </is>
      </c>
      <c r="Z222" t="inlineStr">
        <is>
          <t>M3</t>
        </is>
      </c>
      <c r="AC222" t="n">
        <v>56103637</v>
      </c>
      <c r="AD222" t="n">
        <v>6644261540</v>
      </c>
      <c r="AE222" t="n">
        <v>1</v>
      </c>
      <c r="AF222" t="inlineStr">
        <is>
          <t>ENTREGADO</t>
        </is>
      </c>
      <c r="AG222" t="n">
        <v>1.44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20260108</v>
      </c>
      <c r="AM222" t="inlineStr">
        <is>
          <t>DW70-900005713-10000722</t>
        </is>
      </c>
    </row>
    <row r="223">
      <c r="A223" t="inlineStr">
        <is>
          <t>900006436DW7010128743</t>
        </is>
      </c>
      <c r="B223" t="inlineStr">
        <is>
          <t>4600050555-10</t>
        </is>
      </c>
      <c r="C223" t="n">
        <v>4600050555</v>
      </c>
      <c r="D223" t="n">
        <v>10</v>
      </c>
      <c r="E223" t="inlineStr">
        <is>
          <t>MXPO</t>
        </is>
      </c>
      <c r="F223" t="inlineStr">
        <is>
          <t>MXL</t>
        </is>
      </c>
      <c r="G223" t="n">
        <v>900006436</v>
      </c>
      <c r="H223" t="inlineStr">
        <is>
          <t>SF TC-ASFALTIKA</t>
        </is>
      </c>
      <c r="I223" t="n">
        <v>5077414</v>
      </c>
      <c r="J223" t="inlineStr">
        <is>
          <t>CORPORACION ASFALTIKA SA DE CV</t>
        </is>
      </c>
      <c r="K223" t="inlineStr">
        <is>
          <t>Z09</t>
        </is>
      </c>
      <c r="L223" t="inlineStr">
        <is>
          <t>(AP) 90 Dias</t>
        </is>
      </c>
      <c r="M223" t="n">
        <v>10128743</v>
      </c>
      <c r="N223" t="inlineStr">
        <is>
          <t>GRAVA TRITURADA BASALTO 20 MM - 3/4"</t>
        </is>
      </c>
      <c r="O223" t="inlineStr">
        <is>
          <t>DW70</t>
        </is>
      </c>
      <c r="P223" t="inlineStr">
        <is>
          <t>MX-CED. CENTRO</t>
        </is>
      </c>
      <c r="Q223" t="n">
        <v>20210712</v>
      </c>
      <c r="R223" t="n">
        <v>20261231</v>
      </c>
      <c r="S223" t="n">
        <v>20210712</v>
      </c>
      <c r="T223" t="n">
        <v>20261231</v>
      </c>
      <c r="U223" t="n">
        <v>223.5</v>
      </c>
      <c r="V223" t="inlineStr">
        <is>
          <t>MXN</t>
        </is>
      </c>
      <c r="W223" t="inlineStr">
        <is>
          <t>M3</t>
        </is>
      </c>
      <c r="X223" t="n">
        <v>0</v>
      </c>
      <c r="Y223" t="inlineStr">
        <is>
          <t>MXN</t>
        </is>
      </c>
      <c r="Z223" t="inlineStr">
        <is>
          <t>M3</t>
        </is>
      </c>
      <c r="AC223" t="n">
        <v>56103637</v>
      </c>
      <c r="AD223" t="n">
        <v>6644261540</v>
      </c>
      <c r="AE223" t="n">
        <v>1</v>
      </c>
      <c r="AF223" t="inlineStr">
        <is>
          <t>ENTREGADO</t>
        </is>
      </c>
      <c r="AG223" t="n">
        <v>1.41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20260108</v>
      </c>
      <c r="AM223" t="inlineStr">
        <is>
          <t>DW70-900006436-10128743</t>
        </is>
      </c>
    </row>
    <row r="224">
      <c r="A224" t="inlineStr">
        <is>
          <t>900005270DW7010000623</t>
        </is>
      </c>
      <c r="B224" t="inlineStr">
        <is>
          <t>4600050518-10</t>
        </is>
      </c>
      <c r="C224" t="n">
        <v>4600050518</v>
      </c>
      <c r="D224" t="n">
        <v>10</v>
      </c>
      <c r="E224" t="inlineStr">
        <is>
          <t>MXPO</t>
        </is>
      </c>
      <c r="F224" t="inlineStr">
        <is>
          <t>MXL</t>
        </is>
      </c>
      <c r="G224" t="n">
        <v>900005270</v>
      </c>
      <c r="H224" t="inlineStr">
        <is>
          <t>TC-TICSA</t>
        </is>
      </c>
      <c r="I224" t="n">
        <v>5068086</v>
      </c>
      <c r="J224" t="inlineStr">
        <is>
          <t>TECNOLOGIA EN INGENIERIA Y CONSTRU</t>
        </is>
      </c>
      <c r="K224" t="inlineStr">
        <is>
          <t>Z03</t>
        </is>
      </c>
      <c r="L224" t="inlineStr">
        <is>
          <t>(AP) 15 Dias</t>
        </is>
      </c>
      <c r="M224" t="n">
        <v>10000623</v>
      </c>
      <c r="N224" t="inlineStr">
        <is>
          <t>Grava Triturada Caliza 10 mm - 3/8"</t>
        </is>
      </c>
      <c r="O224" t="inlineStr">
        <is>
          <t>DW70</t>
        </is>
      </c>
      <c r="P224" t="inlineStr">
        <is>
          <t>MX-CED. CENTRO</t>
        </is>
      </c>
      <c r="Q224" t="n">
        <v>20210712</v>
      </c>
      <c r="R224" t="n">
        <v>20261231</v>
      </c>
      <c r="S224" t="n">
        <v>20210712</v>
      </c>
      <c r="T224" t="n">
        <v>20261231</v>
      </c>
      <c r="U224" t="n">
        <v>130</v>
      </c>
      <c r="V224" t="inlineStr">
        <is>
          <t>MXN</t>
        </is>
      </c>
      <c r="W224" t="inlineStr">
        <is>
          <t>M3</t>
        </is>
      </c>
      <c r="X224" t="n">
        <v>0</v>
      </c>
      <c r="Y224" t="inlineStr">
        <is>
          <t>MXN</t>
        </is>
      </c>
      <c r="Z224" t="inlineStr">
        <is>
          <t>M3</t>
        </is>
      </c>
      <c r="AC224" t="n">
        <v>56103637</v>
      </c>
      <c r="AD224" t="n">
        <v>6644261540</v>
      </c>
      <c r="AE224" t="n">
        <v>1</v>
      </c>
      <c r="AF224" t="inlineStr">
        <is>
          <t>ENTREGADO</t>
        </is>
      </c>
      <c r="AG224" t="n">
        <v>1.41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20260108</v>
      </c>
      <c r="AM224" t="inlineStr">
        <is>
          <t>DW70-900005270-10000623</t>
        </is>
      </c>
    </row>
    <row r="225">
      <c r="A225" t="inlineStr">
        <is>
          <t>900005713DW7010156061</t>
        </is>
      </c>
      <c r="B225" t="inlineStr">
        <is>
          <t>4600050540-10</t>
        </is>
      </c>
      <c r="C225" t="n">
        <v>4600050540</v>
      </c>
      <c r="D225" t="n">
        <v>10</v>
      </c>
      <c r="E225" t="inlineStr">
        <is>
          <t>MXPO</t>
        </is>
      </c>
      <c r="F225" t="inlineStr">
        <is>
          <t>MXL</t>
        </is>
      </c>
      <c r="G225" t="n">
        <v>900005713</v>
      </c>
      <c r="H225" t="inlineStr">
        <is>
          <t>TC-AGRECON SANTA MARIA</t>
        </is>
      </c>
      <c r="I225" t="n">
        <v>5072204</v>
      </c>
      <c r="J225" t="inlineStr">
        <is>
          <t>TERRACERIAS Y CONSTRUCCIONES</t>
        </is>
      </c>
      <c r="K225" t="inlineStr">
        <is>
          <t>N90</t>
        </is>
      </c>
      <c r="L225" t="inlineStr">
        <is>
          <t>(AP) NAFIN 90 Dias</t>
        </is>
      </c>
      <c r="M225" t="n">
        <v>10156061</v>
      </c>
      <c r="N225" t="inlineStr">
        <is>
          <t>GRAVA TRITURADA CALIZA 13 MM - 1/2"</t>
        </is>
      </c>
      <c r="O225" t="inlineStr">
        <is>
          <t>DW70</t>
        </is>
      </c>
      <c r="P225" t="inlineStr">
        <is>
          <t>MX-CED. CENTRO</t>
        </is>
      </c>
      <c r="Q225" t="n">
        <v>20210712</v>
      </c>
      <c r="R225" t="n">
        <v>20261231</v>
      </c>
      <c r="S225" t="n">
        <v>20210712</v>
      </c>
      <c r="T225" t="n">
        <v>20261231</v>
      </c>
      <c r="U225" t="n">
        <v>135</v>
      </c>
      <c r="V225" t="inlineStr">
        <is>
          <t>MXN</t>
        </is>
      </c>
      <c r="W225" t="inlineStr">
        <is>
          <t>M3</t>
        </is>
      </c>
      <c r="X225" t="n">
        <v>0</v>
      </c>
      <c r="Y225" t="inlineStr">
        <is>
          <t>MXN</t>
        </is>
      </c>
      <c r="Z225" t="inlineStr">
        <is>
          <t>M3</t>
        </is>
      </c>
      <c r="AC225" t="n">
        <v>56103637</v>
      </c>
      <c r="AD225" t="n">
        <v>6644261540</v>
      </c>
      <c r="AE225" t="n">
        <v>1</v>
      </c>
      <c r="AF225" t="inlineStr">
        <is>
          <t>ENTREGADO</t>
        </is>
      </c>
      <c r="AG225" t="n">
        <v>1.366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20260108</v>
      </c>
      <c r="AM225" t="inlineStr">
        <is>
          <t>DW70-900005713-10156061</t>
        </is>
      </c>
    </row>
    <row r="226">
      <c r="A226" t="inlineStr">
        <is>
          <t>900006140DW7010161192</t>
        </is>
      </c>
      <c r="B226" t="inlineStr">
        <is>
          <t>4600050550-40</t>
        </is>
      </c>
      <c r="C226" t="n">
        <v>4600050550</v>
      </c>
      <c r="D226" t="n">
        <v>40</v>
      </c>
      <c r="E226" t="inlineStr">
        <is>
          <t>MXPO</t>
        </is>
      </c>
      <c r="F226" t="inlineStr">
        <is>
          <t>MXL</t>
        </is>
      </c>
      <c r="G226" t="n">
        <v>900006140</v>
      </c>
      <c r="H226" t="inlineStr">
        <is>
          <t>SF TC-ROCA DURA SANTA FE</t>
        </is>
      </c>
      <c r="I226" t="n">
        <v>5032274</v>
      </c>
      <c r="J226" t="inlineStr">
        <is>
          <t>TRITURADORA ROCA DURA SAN MIGUEL</t>
        </is>
      </c>
      <c r="K226" t="inlineStr">
        <is>
          <t>Z03</t>
        </is>
      </c>
      <c r="L226" t="inlineStr">
        <is>
          <t>(AP) 15 Dias</t>
        </is>
      </c>
      <c r="M226" t="n">
        <v>10161192</v>
      </c>
      <c r="N226" t="inlineStr">
        <is>
          <t>GRAVA TRITURADA CALIZA 10 MM - 3/8"</t>
        </is>
      </c>
      <c r="O226" t="inlineStr">
        <is>
          <t>DW70</t>
        </is>
      </c>
      <c r="P226" t="inlineStr">
        <is>
          <t>MX-CED. CENTRO</t>
        </is>
      </c>
      <c r="Q226" t="n">
        <v>20210712</v>
      </c>
      <c r="R226" t="n">
        <v>20261231</v>
      </c>
      <c r="S226" t="n">
        <v>20210712</v>
      </c>
      <c r="T226" t="n">
        <v>20261231</v>
      </c>
      <c r="U226" t="n">
        <v>382.85</v>
      </c>
      <c r="V226" t="inlineStr">
        <is>
          <t>MXN</t>
        </is>
      </c>
      <c r="W226" t="inlineStr">
        <is>
          <t>M3</t>
        </is>
      </c>
      <c r="X226" t="n">
        <v>0</v>
      </c>
      <c r="Y226" t="inlineStr">
        <is>
          <t>MXN</t>
        </is>
      </c>
      <c r="Z226" t="inlineStr">
        <is>
          <t>M3</t>
        </is>
      </c>
      <c r="AC226" t="n">
        <v>56103637</v>
      </c>
      <c r="AD226" t="n">
        <v>6644261540</v>
      </c>
      <c r="AE226" t="n">
        <v>1</v>
      </c>
      <c r="AF226" t="inlineStr">
        <is>
          <t>ENTREGADO</t>
        </is>
      </c>
      <c r="AG226" t="n">
        <v>1.295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20260108</v>
      </c>
      <c r="AM226" t="inlineStr">
        <is>
          <t>DW70-900006140-10161192</t>
        </is>
      </c>
    </row>
    <row r="227">
      <c r="A227" t="inlineStr">
        <is>
          <t>900006140DW7010000811</t>
        </is>
      </c>
      <c r="B227" t="inlineStr">
        <is>
          <t>4600050550-50</t>
        </is>
      </c>
      <c r="C227" t="n">
        <v>4600050550</v>
      </c>
      <c r="D227" t="n">
        <v>50</v>
      </c>
      <c r="E227" t="inlineStr">
        <is>
          <t>MXPO</t>
        </is>
      </c>
      <c r="F227" t="inlineStr">
        <is>
          <t>MXL</t>
        </is>
      </c>
      <c r="G227" t="n">
        <v>900006140</v>
      </c>
      <c r="H227" t="inlineStr">
        <is>
          <t>SF TC-ROCA DURA SANTA FE</t>
        </is>
      </c>
      <c r="I227" t="n">
        <v>5032274</v>
      </c>
      <c r="J227" t="inlineStr">
        <is>
          <t>TRITURADORA ROCA DURA SAN MIGUEL</t>
        </is>
      </c>
      <c r="K227" t="inlineStr">
        <is>
          <t>Z03</t>
        </is>
      </c>
      <c r="L227" t="inlineStr">
        <is>
          <t>(AP) 15 Dias</t>
        </is>
      </c>
      <c r="M227" t="n">
        <v>10000811</v>
      </c>
      <c r="N227" t="inlineStr">
        <is>
          <t>Grava Triturada Caliza 20 mm - 3/4"</t>
        </is>
      </c>
      <c r="O227" t="inlineStr">
        <is>
          <t>DW70</t>
        </is>
      </c>
      <c r="P227" t="inlineStr">
        <is>
          <t>MX-CED. CENTRO</t>
        </is>
      </c>
      <c r="Q227" t="n">
        <v>20210712</v>
      </c>
      <c r="R227" t="n">
        <v>20261231</v>
      </c>
      <c r="S227" t="n">
        <v>20220215</v>
      </c>
      <c r="T227" t="n">
        <v>20271231</v>
      </c>
      <c r="U227" t="n">
        <v>365.18</v>
      </c>
      <c r="V227" t="inlineStr">
        <is>
          <t>MXN</t>
        </is>
      </c>
      <c r="W227" t="inlineStr">
        <is>
          <t>M3</t>
        </is>
      </c>
      <c r="X227" t="n">
        <v>0</v>
      </c>
      <c r="Y227" t="inlineStr">
        <is>
          <t>MXN</t>
        </is>
      </c>
      <c r="Z227" t="inlineStr">
        <is>
          <t>M3</t>
        </is>
      </c>
      <c r="AC227" t="n">
        <v>56103637</v>
      </c>
      <c r="AD227" t="n">
        <v>6644261540</v>
      </c>
      <c r="AE227" t="n">
        <v>1</v>
      </c>
      <c r="AF227" t="inlineStr">
        <is>
          <t>ENTREGADO</t>
        </is>
      </c>
      <c r="AG227" t="n">
        <v>1.447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DW70-900006140-10000811</t>
        </is>
      </c>
    </row>
    <row r="228">
      <c r="A228" t="inlineStr">
        <is>
          <t>900006227DW7010000624</t>
        </is>
      </c>
      <c r="B228" t="inlineStr">
        <is>
          <t>4600050552-20</t>
        </is>
      </c>
      <c r="C228" t="n">
        <v>4600050552</v>
      </c>
      <c r="D228" t="n">
        <v>20</v>
      </c>
      <c r="E228" t="inlineStr">
        <is>
          <t>MXPO</t>
        </is>
      </c>
      <c r="F228" t="inlineStr">
        <is>
          <t>MXL</t>
        </is>
      </c>
      <c r="G228" t="n">
        <v>900006227</v>
      </c>
      <c r="H228" t="inlineStr">
        <is>
          <t>SF TC-EL ARBOLILLO</t>
        </is>
      </c>
      <c r="I228" t="n">
        <v>5075949</v>
      </c>
      <c r="J228" t="inlineStr">
        <is>
          <t>AZUL CONCRETOS Y PREMEZCLADOS</t>
        </is>
      </c>
      <c r="K228" t="inlineStr">
        <is>
          <t>Z06</t>
        </is>
      </c>
      <c r="L228" t="inlineStr">
        <is>
          <t>(AP) 45 Dias</t>
        </is>
      </c>
      <c r="M228" t="n">
        <v>10000624</v>
      </c>
      <c r="N228" t="inlineStr">
        <is>
          <t>Grava Triturada Caliza 40 mm - 1 1/2"</t>
        </is>
      </c>
      <c r="O228" t="inlineStr">
        <is>
          <t>DW70</t>
        </is>
      </c>
      <c r="P228" t="inlineStr">
        <is>
          <t>MX-CED. CENTRO</t>
        </is>
      </c>
      <c r="Q228" t="n">
        <v>20210712</v>
      </c>
      <c r="R228" t="n">
        <v>20261231</v>
      </c>
      <c r="S228" t="n">
        <v>20211111</v>
      </c>
      <c r="T228" t="n">
        <v>20261231</v>
      </c>
      <c r="U228" t="n">
        <v>135</v>
      </c>
      <c r="V228" t="inlineStr">
        <is>
          <t>MXN</t>
        </is>
      </c>
      <c r="W228" t="inlineStr">
        <is>
          <t>M3</t>
        </is>
      </c>
      <c r="X228" t="n">
        <v>0</v>
      </c>
      <c r="Y228" t="inlineStr">
        <is>
          <t>MXN</t>
        </is>
      </c>
      <c r="Z228" t="inlineStr">
        <is>
          <t>M3</t>
        </is>
      </c>
      <c r="AC228" t="n">
        <v>56103637</v>
      </c>
      <c r="AD228" t="n">
        <v>6644261540</v>
      </c>
      <c r="AE228" t="n">
        <v>1</v>
      </c>
      <c r="AF228" t="inlineStr">
        <is>
          <t>ENTREGADO</t>
        </is>
      </c>
      <c r="AG228" t="n">
        <v>1.45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DW70-900006227-10000624</t>
        </is>
      </c>
    </row>
    <row r="229">
      <c r="A229" t="inlineStr">
        <is>
          <t>900006544DW7010000651</t>
        </is>
      </c>
      <c r="B229" t="inlineStr">
        <is>
          <t>4600050562-10</t>
        </is>
      </c>
      <c r="C229" t="n">
        <v>4600050562</v>
      </c>
      <c r="D229" t="n">
        <v>10</v>
      </c>
      <c r="E229" t="inlineStr">
        <is>
          <t>MXPO</t>
        </is>
      </c>
      <c r="F229" t="inlineStr">
        <is>
          <t>MXL</t>
        </is>
      </c>
      <c r="G229" t="n">
        <v>900006544</v>
      </c>
      <c r="H229" t="inlineStr">
        <is>
          <t>TC-MARTINEZ VILLEGAS</t>
        </is>
      </c>
      <c r="I229" t="n">
        <v>5078107</v>
      </c>
      <c r="J229" t="inlineStr">
        <is>
          <t>MARTINEZ VILLEGAS SA DE CV</t>
        </is>
      </c>
      <c r="K229" t="inlineStr">
        <is>
          <t>Z04</t>
        </is>
      </c>
      <c r="L229" t="inlineStr">
        <is>
          <t>(AP) 30 Dias</t>
        </is>
      </c>
      <c r="M229" t="n">
        <v>10000651</v>
      </c>
      <c r="N229" t="inlineStr">
        <is>
          <t>Arena Triturada Andesita Malla 8</t>
        </is>
      </c>
      <c r="O229" t="inlineStr">
        <is>
          <t>DW70</t>
        </is>
      </c>
      <c r="P229" t="inlineStr">
        <is>
          <t>MX-CED. CENTRO</t>
        </is>
      </c>
      <c r="Q229" t="n">
        <v>20210712</v>
      </c>
      <c r="R229" t="n">
        <v>20261231</v>
      </c>
      <c r="S229" t="n">
        <v>20210712</v>
      </c>
      <c r="T229" t="n">
        <v>20261231</v>
      </c>
      <c r="U229" t="n">
        <v>120</v>
      </c>
      <c r="V229" t="inlineStr">
        <is>
          <t>MXN</t>
        </is>
      </c>
      <c r="W229" t="inlineStr">
        <is>
          <t>M3</t>
        </is>
      </c>
      <c r="X229" t="n">
        <v>0</v>
      </c>
      <c r="Y229" t="inlineStr">
        <is>
          <t>MXN</t>
        </is>
      </c>
      <c r="Z229" t="inlineStr">
        <is>
          <t>M3</t>
        </is>
      </c>
      <c r="AC229" t="n">
        <v>56103638</v>
      </c>
      <c r="AD229" t="n">
        <v>6644261540</v>
      </c>
      <c r="AE229" t="n">
        <v>1</v>
      </c>
      <c r="AF229" t="inlineStr">
        <is>
          <t>ENTREGADO</t>
        </is>
      </c>
      <c r="AG229" t="n">
        <v>1.35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20260108</v>
      </c>
      <c r="AM229" t="inlineStr">
        <is>
          <t>DW70-900006544-10000651</t>
        </is>
      </c>
    </row>
    <row r="230">
      <c r="A230" t="inlineStr">
        <is>
          <t>900004322DW7010000627</t>
        </is>
      </c>
      <c r="B230" t="inlineStr">
        <is>
          <t>4600050506-20</t>
        </is>
      </c>
      <c r="C230" t="n">
        <v>4600050506</v>
      </c>
      <c r="D230" t="n">
        <v>20</v>
      </c>
      <c r="E230" t="inlineStr">
        <is>
          <t>MXPO</t>
        </is>
      </c>
      <c r="F230" t="inlineStr">
        <is>
          <t>MXL</t>
        </is>
      </c>
      <c r="G230" t="n">
        <v>900004322</v>
      </c>
      <c r="H230" t="inlineStr">
        <is>
          <t>TC-LAS TRANCAS</t>
        </is>
      </c>
      <c r="I230" t="n">
        <v>5047262</v>
      </c>
      <c r="J230" t="inlineStr">
        <is>
          <t>AGREGADOS PETREOS SAN CRISTOBAL</t>
        </is>
      </c>
      <c r="K230" t="inlineStr">
        <is>
          <t>Z03</t>
        </is>
      </c>
      <c r="L230" t="inlineStr">
        <is>
          <t>(AP) 15 Dias</t>
        </is>
      </c>
      <c r="M230" t="n">
        <v>10000627</v>
      </c>
      <c r="N230" t="inlineStr">
        <is>
          <t>Grava Triturada Andesita 10 mm - 3/8"</t>
        </is>
      </c>
      <c r="O230" t="inlineStr">
        <is>
          <t>DW70</t>
        </is>
      </c>
      <c r="P230" t="inlineStr">
        <is>
          <t>MX-CED. CENTRO</t>
        </is>
      </c>
      <c r="Q230" t="n">
        <v>20210712</v>
      </c>
      <c r="R230" t="n">
        <v>20261231</v>
      </c>
      <c r="S230" t="n">
        <v>20210712</v>
      </c>
      <c r="T230" t="n">
        <v>20261231</v>
      </c>
      <c r="U230" t="n">
        <v>80</v>
      </c>
      <c r="V230" t="inlineStr">
        <is>
          <t>MXN</t>
        </is>
      </c>
      <c r="W230" t="inlineStr">
        <is>
          <t>M3</t>
        </is>
      </c>
      <c r="X230" t="n">
        <v>0</v>
      </c>
      <c r="Y230" t="inlineStr">
        <is>
          <t>MXN</t>
        </is>
      </c>
      <c r="Z230" t="inlineStr">
        <is>
          <t>M3</t>
        </is>
      </c>
      <c r="AC230" t="n">
        <v>56103637</v>
      </c>
      <c r="AD230" t="n">
        <v>6644261540</v>
      </c>
      <c r="AE230" t="n">
        <v>1</v>
      </c>
      <c r="AF230" t="inlineStr">
        <is>
          <t>ENTREGADO</t>
        </is>
      </c>
      <c r="AG230" t="n">
        <v>1.33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20260108</v>
      </c>
      <c r="AM230" t="inlineStr">
        <is>
          <t>DW70-900004322-10000627</t>
        </is>
      </c>
    </row>
    <row r="231">
      <c r="A231" t="inlineStr">
        <is>
          <t>900004641DW7010002802</t>
        </is>
      </c>
      <c r="B231" t="inlineStr">
        <is>
          <t>4600050512-10</t>
        </is>
      </c>
      <c r="C231" t="n">
        <v>4600050512</v>
      </c>
      <c r="D231" t="n">
        <v>10</v>
      </c>
      <c r="E231" t="inlineStr">
        <is>
          <t>MXPO</t>
        </is>
      </c>
      <c r="F231" t="inlineStr">
        <is>
          <t>MXL</t>
        </is>
      </c>
      <c r="G231" t="n">
        <v>900004641</v>
      </c>
      <c r="H231" t="inlineStr">
        <is>
          <t>TC-ESTRATEGIAS AVANZADAS ENTREGADO</t>
        </is>
      </c>
      <c r="I231" t="n">
        <v>5049458</v>
      </c>
      <c r="J231" t="inlineStr">
        <is>
          <t>ESTRATEGIAS AVANZADAS PARA OBTEN</t>
        </is>
      </c>
      <c r="K231" t="inlineStr">
        <is>
          <t>Z03</t>
        </is>
      </c>
      <c r="L231" t="inlineStr">
        <is>
          <t>(AP) 15 Dias</t>
        </is>
      </c>
      <c r="M231" t="n">
        <v>10002802</v>
      </c>
      <c r="N231" t="inlineStr">
        <is>
          <t>Arena Clasificada Río Malla 4 Lavado</t>
        </is>
      </c>
      <c r="O231" t="inlineStr">
        <is>
          <t>DW70</t>
        </is>
      </c>
      <c r="P231" t="inlineStr">
        <is>
          <t>MX-CED. CENTRO</t>
        </is>
      </c>
      <c r="Q231" t="n">
        <v>20210712</v>
      </c>
      <c r="R231" t="n">
        <v>20261231</v>
      </c>
      <c r="S231" t="n">
        <v>20210712</v>
      </c>
      <c r="T231" t="n">
        <v>20261231</v>
      </c>
      <c r="U231" t="n">
        <v>129.11</v>
      </c>
      <c r="V231" t="inlineStr">
        <is>
          <t>MXN</t>
        </is>
      </c>
      <c r="W231" t="inlineStr">
        <is>
          <t>M3</t>
        </is>
      </c>
      <c r="X231" t="n">
        <v>0</v>
      </c>
      <c r="Y231" t="inlineStr">
        <is>
          <t>MXN</t>
        </is>
      </c>
      <c r="Z231" t="inlineStr">
        <is>
          <t>M3</t>
        </is>
      </c>
      <c r="AC231" t="n">
        <v>56103638</v>
      </c>
      <c r="AD231" t="n">
        <v>6644261540</v>
      </c>
      <c r="AE231" t="n">
        <v>1</v>
      </c>
      <c r="AF231" t="inlineStr">
        <is>
          <t>ENTREGADO</t>
        </is>
      </c>
      <c r="AG231" t="n">
        <v>1.463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20260108</v>
      </c>
      <c r="AM231" t="inlineStr">
        <is>
          <t>DW70-900004641-10002802</t>
        </is>
      </c>
    </row>
    <row r="232">
      <c r="A232" t="inlineStr">
        <is>
          <t>900005400DW7010000651</t>
        </is>
      </c>
      <c r="B232" t="inlineStr">
        <is>
          <t>4600050519-40</t>
        </is>
      </c>
      <c r="C232" t="n">
        <v>4600050519</v>
      </c>
      <c r="D232" t="n">
        <v>40</v>
      </c>
      <c r="E232" t="inlineStr">
        <is>
          <t>MXPO</t>
        </is>
      </c>
      <c r="F232" t="inlineStr">
        <is>
          <t>MXL</t>
        </is>
      </c>
      <c r="G232" t="n">
        <v>900005400</v>
      </c>
      <c r="H232" t="inlineStr">
        <is>
          <t>TC-DESARROLLO MINERO</t>
        </is>
      </c>
      <c r="I232" t="n">
        <v>5069420</v>
      </c>
      <c r="J232" t="inlineStr">
        <is>
          <t>PROMOTORA DE DESARROLLO MINERO</t>
        </is>
      </c>
      <c r="K232" t="inlineStr">
        <is>
          <t>Z09</t>
        </is>
      </c>
      <c r="L232" t="inlineStr">
        <is>
          <t>(AP) 90 Dias</t>
        </is>
      </c>
      <c r="M232" t="n">
        <v>10000651</v>
      </c>
      <c r="N232" t="inlineStr">
        <is>
          <t>Arena Triturada Andesita Malla 8</t>
        </is>
      </c>
      <c r="O232" t="inlineStr">
        <is>
          <t>DW70</t>
        </is>
      </c>
      <c r="P232" t="inlineStr">
        <is>
          <t>MX-CED. CENTRO</t>
        </is>
      </c>
      <c r="Q232" t="n">
        <v>20210712</v>
      </c>
      <c r="R232" t="n">
        <v>20261231</v>
      </c>
      <c r="S232" t="n">
        <v>20210712</v>
      </c>
      <c r="T232" t="n">
        <v>20261231</v>
      </c>
      <c r="U232" t="n">
        <v>94.5</v>
      </c>
      <c r="V232" t="inlineStr">
        <is>
          <t>MXN</t>
        </is>
      </c>
      <c r="W232" t="inlineStr">
        <is>
          <t>M3</t>
        </is>
      </c>
      <c r="X232" t="n">
        <v>0</v>
      </c>
      <c r="Y232" t="inlineStr">
        <is>
          <t>MXN</t>
        </is>
      </c>
      <c r="Z232" t="inlineStr">
        <is>
          <t>M3</t>
        </is>
      </c>
      <c r="AC232" t="n">
        <v>56103638</v>
      </c>
      <c r="AD232" t="n">
        <v>6644261540</v>
      </c>
      <c r="AE232" t="n">
        <v>1</v>
      </c>
      <c r="AF232" t="inlineStr">
        <is>
          <t>ENTREGADO</t>
        </is>
      </c>
      <c r="AG232" t="n">
        <v>1.35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20260108</v>
      </c>
      <c r="AM232" t="inlineStr">
        <is>
          <t>DW70-900005400-10000651</t>
        </is>
      </c>
    </row>
    <row r="233">
      <c r="A233" t="inlineStr">
        <is>
          <t>900005705DW7010161192</t>
        </is>
      </c>
      <c r="B233" t="inlineStr">
        <is>
          <t>4600050539-20</t>
        </is>
      </c>
      <c r="C233" t="n">
        <v>4600050539</v>
      </c>
      <c r="D233" t="n">
        <v>20</v>
      </c>
      <c r="E233" t="inlineStr">
        <is>
          <t>MXPO</t>
        </is>
      </c>
      <c r="F233" t="inlineStr">
        <is>
          <t>MXL</t>
        </is>
      </c>
      <c r="G233" t="n">
        <v>900005705</v>
      </c>
      <c r="H233" t="inlineStr">
        <is>
          <t>TC-ROCA DURA LERMA</t>
        </is>
      </c>
      <c r="I233" t="n">
        <v>5032274</v>
      </c>
      <c r="J233" t="inlineStr">
        <is>
          <t>TRITURADORA ROCA DURA SAN MIGUEL</t>
        </is>
      </c>
      <c r="K233" t="inlineStr">
        <is>
          <t>Z03</t>
        </is>
      </c>
      <c r="L233" t="inlineStr">
        <is>
          <t>(AP) 15 Dias</t>
        </is>
      </c>
      <c r="M233" t="n">
        <v>10161192</v>
      </c>
      <c r="N233" t="inlineStr">
        <is>
          <t>GRAVA TRITURADA CALIZA 10 MM - 3/8"</t>
        </is>
      </c>
      <c r="O233" t="inlineStr">
        <is>
          <t>DW70</t>
        </is>
      </c>
      <c r="P233" t="inlineStr">
        <is>
          <t>MX-CED. CENTRO</t>
        </is>
      </c>
      <c r="Q233" t="n">
        <v>20210712</v>
      </c>
      <c r="R233" t="n">
        <v>20261231</v>
      </c>
      <c r="S233" t="n">
        <v>20210712</v>
      </c>
      <c r="T233" t="n">
        <v>20261231</v>
      </c>
      <c r="U233" t="n">
        <v>382.85</v>
      </c>
      <c r="V233" t="inlineStr">
        <is>
          <t>MXN</t>
        </is>
      </c>
      <c r="W233" t="inlineStr">
        <is>
          <t>M3</t>
        </is>
      </c>
      <c r="X233" t="n">
        <v>0</v>
      </c>
      <c r="Y233" t="inlineStr">
        <is>
          <t>MXN</t>
        </is>
      </c>
      <c r="Z233" t="inlineStr">
        <is>
          <t>M3</t>
        </is>
      </c>
      <c r="AC233" t="n">
        <v>56103637</v>
      </c>
      <c r="AD233" t="n">
        <v>6644261540</v>
      </c>
      <c r="AE233" t="n">
        <v>1</v>
      </c>
      <c r="AF233" t="inlineStr">
        <is>
          <t>ENTREGADO</t>
        </is>
      </c>
      <c r="AG233" t="n">
        <v>1.295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20260108</v>
      </c>
      <c r="AM233" t="inlineStr">
        <is>
          <t>DW70-900005705-10161192</t>
        </is>
      </c>
    </row>
    <row r="234">
      <c r="A234" t="inlineStr">
        <is>
          <t>900006783DW7010186274</t>
        </is>
      </c>
      <c r="B234" t="inlineStr">
        <is>
          <t>4600052186-10</t>
        </is>
      </c>
      <c r="C234" t="n">
        <v>4600052186</v>
      </c>
      <c r="D234" t="n">
        <v>10</v>
      </c>
      <c r="E234" t="inlineStr">
        <is>
          <t>MXPO</t>
        </is>
      </c>
      <c r="F234" t="inlineStr">
        <is>
          <t>MXL</t>
        </is>
      </c>
      <c r="G234" t="n">
        <v>900006783</v>
      </c>
      <c r="H234" t="inlineStr">
        <is>
          <t>SF TC-ALMACEN TULA-TEZONTEPEC</t>
        </is>
      </c>
      <c r="I234" t="n">
        <v>5076363</v>
      </c>
      <c r="J234" t="inlineStr">
        <is>
          <t>FALCON OMAÑA EVELIA</t>
        </is>
      </c>
      <c r="K234" t="inlineStr">
        <is>
          <t>Z04</t>
        </is>
      </c>
      <c r="L234" t="inlineStr">
        <is>
          <t>(AP) 30 Dias</t>
        </is>
      </c>
      <c r="M234" t="n">
        <v>10186274</v>
      </c>
      <c r="N234" t="inlineStr">
        <is>
          <t>ARENA CLASIFICADA RÍO MALLA 4 LAVADO</t>
        </is>
      </c>
      <c r="O234" t="inlineStr">
        <is>
          <t>DW70</t>
        </is>
      </c>
      <c r="P234" t="inlineStr">
        <is>
          <t>MX-CED. CENTRO</t>
        </is>
      </c>
      <c r="Q234" t="n">
        <v>20211008</v>
      </c>
      <c r="R234" t="n">
        <v>20281231</v>
      </c>
      <c r="S234" t="n">
        <v>20230301</v>
      </c>
      <c r="T234" t="n">
        <v>20281231</v>
      </c>
      <c r="U234" t="n">
        <v>261.07</v>
      </c>
      <c r="V234" t="inlineStr">
        <is>
          <t>MXN</t>
        </is>
      </c>
      <c r="W234" t="inlineStr">
        <is>
          <t>M3</t>
        </is>
      </c>
      <c r="X234" t="n">
        <v>0</v>
      </c>
      <c r="Y234" t="inlineStr">
        <is>
          <t>MXN</t>
        </is>
      </c>
      <c r="Z234" t="inlineStr">
        <is>
          <t>M3</t>
        </is>
      </c>
      <c r="AC234" t="n">
        <v>56103638</v>
      </c>
      <c r="AD234" t="n">
        <v>6644261540</v>
      </c>
      <c r="AE234" t="n">
        <v>1</v>
      </c>
      <c r="AF234" t="inlineStr">
        <is>
          <t>ENTREGADO</t>
        </is>
      </c>
      <c r="AG234" t="n">
        <v>1.45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DW70-900006783-10186274</t>
        </is>
      </c>
    </row>
    <row r="235">
      <c r="A235" t="inlineStr">
        <is>
          <t>900007605DW7010227598</t>
        </is>
      </c>
      <c r="B235" t="inlineStr">
        <is>
          <t>4600053970-20</t>
        </is>
      </c>
      <c r="C235" t="n">
        <v>4600053970</v>
      </c>
      <c r="D235" t="n">
        <v>20</v>
      </c>
      <c r="E235" t="inlineStr">
        <is>
          <t>MXPO</t>
        </is>
      </c>
      <c r="F235" t="inlineStr">
        <is>
          <t>MXL</t>
        </is>
      </c>
      <c r="G235" t="n">
        <v>900007605</v>
      </c>
      <c r="H235" t="inlineStr">
        <is>
          <t>SF TC-ARENA DE RIO INTERMEX</t>
        </is>
      </c>
      <c r="I235" t="n">
        <v>5082993</v>
      </c>
      <c r="J235" t="inlineStr">
        <is>
          <t>CAMINOS Y PUENTES INTERMEX SA DE CV</t>
        </is>
      </c>
      <c r="K235" t="inlineStr">
        <is>
          <t>N90</t>
        </is>
      </c>
      <c r="L235" t="inlineStr">
        <is>
          <t>(AP) NAFIN 90 Dias</t>
        </is>
      </c>
      <c r="M235" t="n">
        <v>10227598</v>
      </c>
      <c r="N235" t="inlineStr">
        <is>
          <t>ARENA ANDESITA LIGERA</t>
        </is>
      </c>
      <c r="O235" t="inlineStr">
        <is>
          <t>DW70</t>
        </is>
      </c>
      <c r="P235" t="inlineStr">
        <is>
          <t>MX-CED. CENTRO</t>
        </is>
      </c>
      <c r="Q235" t="n">
        <v>20220518</v>
      </c>
      <c r="R235" t="n">
        <v>20271231</v>
      </c>
      <c r="S235" t="n">
        <v>20221227</v>
      </c>
      <c r="T235" t="n">
        <v>20271231</v>
      </c>
      <c r="U235" t="n">
        <v>115</v>
      </c>
      <c r="V235" t="inlineStr">
        <is>
          <t>MXN</t>
        </is>
      </c>
      <c r="W235" t="inlineStr">
        <is>
          <t>M3</t>
        </is>
      </c>
      <c r="X235" t="n">
        <v>0</v>
      </c>
      <c r="Y235" t="inlineStr">
        <is>
          <t>MXN</t>
        </is>
      </c>
      <c r="Z235" t="inlineStr">
        <is>
          <t>M3</t>
        </is>
      </c>
      <c r="AC235" t="n">
        <v>56103638</v>
      </c>
      <c r="AD235" t="n">
        <v>6644261540</v>
      </c>
      <c r="AE235" t="n">
        <v>1</v>
      </c>
      <c r="AF235" t="inlineStr">
        <is>
          <t>ENTREGADO</t>
        </is>
      </c>
      <c r="AG235" t="n">
        <v>1.185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DW70-900007605-10227598</t>
        </is>
      </c>
    </row>
    <row r="236">
      <c r="A236" t="inlineStr">
        <is>
          <t>900007504DW7010214981</t>
        </is>
      </c>
      <c r="B236" t="inlineStr">
        <is>
          <t>4600053543-20</t>
        </is>
      </c>
      <c r="C236" t="n">
        <v>4600053543</v>
      </c>
      <c r="D236" t="n">
        <v>20</v>
      </c>
      <c r="E236" t="inlineStr">
        <is>
          <t>MXPO</t>
        </is>
      </c>
      <c r="F236" t="inlineStr">
        <is>
          <t>MXL</t>
        </is>
      </c>
      <c r="G236" t="n">
        <v>900007504</v>
      </c>
      <c r="H236" t="inlineStr">
        <is>
          <t>SF TC-EL CASCABEL OLIELL</t>
        </is>
      </c>
      <c r="I236" t="n">
        <v>5048484</v>
      </c>
      <c r="J236" t="inlineStr">
        <is>
          <t>COMERCIALIZADORA Y TRANSPORTADORA O</t>
        </is>
      </c>
      <c r="K236" t="inlineStr">
        <is>
          <t>N90</t>
        </is>
      </c>
      <c r="L236" t="inlineStr">
        <is>
          <t>(AP) NAFIN 90 Dias</t>
        </is>
      </c>
      <c r="M236" t="n">
        <v>10214981</v>
      </c>
      <c r="N236" t="inlineStr">
        <is>
          <t>GRAVA TRITURADA BASALTO 20 MM - 3/4"</t>
        </is>
      </c>
      <c r="O236" t="inlineStr">
        <is>
          <t>DW70</t>
        </is>
      </c>
      <c r="P236" t="inlineStr">
        <is>
          <t>MX-CED. CENTRO</t>
        </is>
      </c>
      <c r="Q236" t="n">
        <v>20220328</v>
      </c>
      <c r="R236" t="n">
        <v>20271231</v>
      </c>
      <c r="S236" t="n">
        <v>20220328</v>
      </c>
      <c r="T236" t="n">
        <v>20271231</v>
      </c>
      <c r="U236" t="n">
        <v>285</v>
      </c>
      <c r="V236" t="inlineStr">
        <is>
          <t>MXN</t>
        </is>
      </c>
      <c r="W236" t="inlineStr">
        <is>
          <t>M3</t>
        </is>
      </c>
      <c r="X236" t="n">
        <v>0</v>
      </c>
      <c r="Y236" t="inlineStr">
        <is>
          <t>MXN</t>
        </is>
      </c>
      <c r="Z236" t="inlineStr">
        <is>
          <t>M3</t>
        </is>
      </c>
      <c r="AC236" t="n">
        <v>56103637</v>
      </c>
      <c r="AD236" t="n">
        <v>6644261540</v>
      </c>
      <c r="AE236" t="n">
        <v>1</v>
      </c>
      <c r="AF236" t="inlineStr">
        <is>
          <t>ENTREGADO</t>
        </is>
      </c>
      <c r="AG236" t="n">
        <v>1.439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DW70-900007504-10214981</t>
        </is>
      </c>
    </row>
    <row r="237">
      <c r="A237" t="inlineStr">
        <is>
          <t>900007504DW7010214980</t>
        </is>
      </c>
      <c r="B237" t="inlineStr">
        <is>
          <t>4600053543-10</t>
        </is>
      </c>
      <c r="C237" t="n">
        <v>4600053543</v>
      </c>
      <c r="D237" t="n">
        <v>10</v>
      </c>
      <c r="E237" t="inlineStr">
        <is>
          <t>MXPO</t>
        </is>
      </c>
      <c r="F237" t="inlineStr">
        <is>
          <t>MXL</t>
        </is>
      </c>
      <c r="G237" t="n">
        <v>900007504</v>
      </c>
      <c r="H237" t="inlineStr">
        <is>
          <t>SF TC-EL CASCABEL OLIELL</t>
        </is>
      </c>
      <c r="I237" t="n">
        <v>5048484</v>
      </c>
      <c r="J237" t="inlineStr">
        <is>
          <t>COMERCIALIZADORA Y TRANSPORTADORA O</t>
        </is>
      </c>
      <c r="K237" t="inlineStr">
        <is>
          <t>N90</t>
        </is>
      </c>
      <c r="L237" t="inlineStr">
        <is>
          <t>(AP) NAFIN 90 Dias</t>
        </is>
      </c>
      <c r="M237" t="n">
        <v>10214980</v>
      </c>
      <c r="N237" t="inlineStr">
        <is>
          <t>GRAVA TRITURADA BASALTO 40 MM - 1 1/2"</t>
        </is>
      </c>
      <c r="O237" t="inlineStr">
        <is>
          <t>DW70</t>
        </is>
      </c>
      <c r="P237" t="inlineStr">
        <is>
          <t>MX-CED. CENTRO</t>
        </is>
      </c>
      <c r="Q237" t="n">
        <v>20220328</v>
      </c>
      <c r="R237" t="n">
        <v>20271231</v>
      </c>
      <c r="S237" t="n">
        <v>20220328</v>
      </c>
      <c r="T237" t="n">
        <v>20271231</v>
      </c>
      <c r="U237" t="n">
        <v>305</v>
      </c>
      <c r="V237" t="inlineStr">
        <is>
          <t>MXN</t>
        </is>
      </c>
      <c r="W237" t="inlineStr">
        <is>
          <t>M3</t>
        </is>
      </c>
      <c r="X237" t="n">
        <v>0</v>
      </c>
      <c r="Y237" t="inlineStr">
        <is>
          <t>MXN</t>
        </is>
      </c>
      <c r="Z237" t="inlineStr">
        <is>
          <t>M3</t>
        </is>
      </c>
      <c r="AC237" t="n">
        <v>56103637</v>
      </c>
      <c r="AD237" t="n">
        <v>6644261540</v>
      </c>
      <c r="AE237" t="n">
        <v>1</v>
      </c>
      <c r="AF237" t="inlineStr">
        <is>
          <t>ENTREGADO</t>
        </is>
      </c>
      <c r="AG237" t="n">
        <v>1.425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20230920</v>
      </c>
      <c r="AM237" t="inlineStr">
        <is>
          <t>DW70-900007504-10214980</t>
        </is>
      </c>
    </row>
    <row r="238">
      <c r="A238" t="inlineStr">
        <is>
          <t>900006550DW7010198093</t>
        </is>
      </c>
      <c r="B238" t="inlineStr">
        <is>
          <t>4600053362-10</t>
        </is>
      </c>
      <c r="C238" t="n">
        <v>4600053362</v>
      </c>
      <c r="D238" t="n">
        <v>10</v>
      </c>
      <c r="E238" t="inlineStr">
        <is>
          <t>MXPO</t>
        </is>
      </c>
      <c r="F238" t="inlineStr">
        <is>
          <t>MXL</t>
        </is>
      </c>
      <c r="G238" t="n">
        <v>900006550</v>
      </c>
      <c r="H238" t="inlineStr">
        <is>
          <t>SF TC- CONCRETOS SUSTENTABLES</t>
        </is>
      </c>
      <c r="I238" t="n">
        <v>5078165</v>
      </c>
      <c r="J238" t="inlineStr">
        <is>
          <t>CONCRETOS SUSTENTABLES MEXICANOS</t>
        </is>
      </c>
      <c r="K238" t="inlineStr">
        <is>
          <t>Z09</t>
        </is>
      </c>
      <c r="L238" t="inlineStr">
        <is>
          <t>(AP) 90 Dias</t>
        </is>
      </c>
      <c r="M238" t="n">
        <v>10198093</v>
      </c>
      <c r="N238" t="inlineStr">
        <is>
          <t>GRAVA RECICLADA ¾” – 20 MM</t>
        </is>
      </c>
      <c r="O238" t="inlineStr">
        <is>
          <t>DW70</t>
        </is>
      </c>
      <c r="P238" t="inlineStr">
        <is>
          <t>MX-CED. CENTRO</t>
        </is>
      </c>
      <c r="Q238" t="n">
        <v>20220301</v>
      </c>
      <c r="R238" t="n">
        <v>20271231</v>
      </c>
      <c r="S238" t="n">
        <v>20220301</v>
      </c>
      <c r="T238" t="n">
        <v>20271231</v>
      </c>
      <c r="U238" t="n">
        <v>95</v>
      </c>
      <c r="V238" t="inlineStr">
        <is>
          <t>MXN</t>
        </is>
      </c>
      <c r="W238" t="inlineStr">
        <is>
          <t>M3</t>
        </is>
      </c>
      <c r="X238" t="n">
        <v>0</v>
      </c>
      <c r="Y238" t="inlineStr">
        <is>
          <t>MXN</t>
        </is>
      </c>
      <c r="Z238" t="inlineStr">
        <is>
          <t>M3</t>
        </is>
      </c>
      <c r="AC238" t="n">
        <v>56103637</v>
      </c>
      <c r="AD238" t="n">
        <v>6644261540</v>
      </c>
      <c r="AE238" t="n">
        <v>1</v>
      </c>
      <c r="AF238" t="inlineStr">
        <is>
          <t>ENTREGADO</t>
        </is>
      </c>
      <c r="AG238" t="n">
        <v>1.1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20230920</v>
      </c>
      <c r="AM238" t="inlineStr">
        <is>
          <t>DW70-900006550-10198093</t>
        </is>
      </c>
    </row>
    <row r="239">
      <c r="A239" t="inlineStr">
        <is>
          <t>900006765DW7010000829</t>
        </is>
      </c>
      <c r="B239" t="inlineStr">
        <is>
          <t>4600054456-20</t>
        </is>
      </c>
      <c r="C239" t="n">
        <v>4600054456</v>
      </c>
      <c r="D239" t="n">
        <v>20</v>
      </c>
      <c r="E239" t="inlineStr">
        <is>
          <t>MXPO</t>
        </is>
      </c>
      <c r="F239" t="inlineStr">
        <is>
          <t>MXL</t>
        </is>
      </c>
      <c r="G239" t="n">
        <v>900006765</v>
      </c>
      <c r="H239" t="inlineStr">
        <is>
          <t>SF TC-AGREGADOS DEL SUR</t>
        </is>
      </c>
      <c r="I239" t="n">
        <v>5078934</v>
      </c>
      <c r="J239" t="inlineStr">
        <is>
          <t>GARCIA CONCHA JANET</t>
        </is>
      </c>
      <c r="K239" t="inlineStr">
        <is>
          <t>Z03</t>
        </is>
      </c>
      <c r="L239" t="inlineStr">
        <is>
          <t>(AP) 15 Dias</t>
        </is>
      </c>
      <c r="M239" t="n">
        <v>10000829</v>
      </c>
      <c r="N239" t="inlineStr">
        <is>
          <t>Arena Triturada Basalto  Malla 5</t>
        </is>
      </c>
      <c r="O239" t="inlineStr">
        <is>
          <t>DW70</t>
        </is>
      </c>
      <c r="P239" t="inlineStr">
        <is>
          <t>MX-CED. CENTRO</t>
        </is>
      </c>
      <c r="Q239" t="n">
        <v>20220704</v>
      </c>
      <c r="R239" t="n">
        <v>20271231</v>
      </c>
      <c r="S239" t="n">
        <v>20220830</v>
      </c>
      <c r="T239" t="n">
        <v>20271231</v>
      </c>
      <c r="U239" t="n">
        <v>65</v>
      </c>
      <c r="V239" t="inlineStr">
        <is>
          <t>MXN</t>
        </is>
      </c>
      <c r="W239" t="inlineStr">
        <is>
          <t>M3</t>
        </is>
      </c>
      <c r="X239" t="n">
        <v>0</v>
      </c>
      <c r="Y239" t="inlineStr">
        <is>
          <t>MXN</t>
        </is>
      </c>
      <c r="Z239" t="inlineStr">
        <is>
          <t>M3</t>
        </is>
      </c>
      <c r="AC239" t="n">
        <v>56103638</v>
      </c>
      <c r="AD239" t="n">
        <v>6644261540</v>
      </c>
      <c r="AE239" t="n">
        <v>1</v>
      </c>
      <c r="AF239" t="inlineStr">
        <is>
          <t>ENTREGADO</t>
        </is>
      </c>
      <c r="AG239" t="n">
        <v>1.43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20230920</v>
      </c>
      <c r="AM239" t="inlineStr">
        <is>
          <t>DW70-900006765-10000829</t>
        </is>
      </c>
    </row>
    <row r="240">
      <c r="A240" t="inlineStr">
        <is>
          <t>900006765DW7010000829</t>
        </is>
      </c>
      <c r="B240" t="inlineStr">
        <is>
          <t>4600054456-10</t>
        </is>
      </c>
      <c r="C240" t="n">
        <v>4600054456</v>
      </c>
      <c r="D240" t="n">
        <v>10</v>
      </c>
      <c r="E240" t="inlineStr">
        <is>
          <t>MXPO</t>
        </is>
      </c>
      <c r="F240" t="inlineStr">
        <is>
          <t>MXL</t>
        </is>
      </c>
      <c r="G240" t="n">
        <v>900006765</v>
      </c>
      <c r="H240" t="inlineStr">
        <is>
          <t>SF TC-AGREGADOS DEL SUR</t>
        </is>
      </c>
      <c r="I240" t="n">
        <v>5078934</v>
      </c>
      <c r="J240" t="inlineStr">
        <is>
          <t>GARCIA CONCHA JANET</t>
        </is>
      </c>
      <c r="K240" t="inlineStr">
        <is>
          <t>Z03</t>
        </is>
      </c>
      <c r="L240" t="inlineStr">
        <is>
          <t>(AP) 15 Dias</t>
        </is>
      </c>
      <c r="M240" t="n">
        <v>10000829</v>
      </c>
      <c r="N240" t="inlineStr">
        <is>
          <t>Arena Triturada Basalto  Malla 5</t>
        </is>
      </c>
      <c r="O240" t="inlineStr">
        <is>
          <t>DW70</t>
        </is>
      </c>
      <c r="P240" t="inlineStr">
        <is>
          <t>MX-CED. CENTRO</t>
        </is>
      </c>
      <c r="Q240" t="n">
        <v>20220704</v>
      </c>
      <c r="R240" t="n">
        <v>20271231</v>
      </c>
      <c r="S240" t="n">
        <v>20220704</v>
      </c>
      <c r="T240" t="n">
        <v>20271231</v>
      </c>
      <c r="U240" t="n">
        <v>65</v>
      </c>
      <c r="V240" t="inlineStr">
        <is>
          <t>MXN</t>
        </is>
      </c>
      <c r="W240" t="inlineStr">
        <is>
          <t>M3</t>
        </is>
      </c>
      <c r="X240" t="n">
        <v>0</v>
      </c>
      <c r="Y240" t="inlineStr">
        <is>
          <t>MXN</t>
        </is>
      </c>
      <c r="Z240" t="inlineStr">
        <is>
          <t>M3</t>
        </is>
      </c>
      <c r="AC240" t="n">
        <v>56103638</v>
      </c>
      <c r="AD240" t="n">
        <v>6644261540</v>
      </c>
      <c r="AE240" t="n">
        <v>1</v>
      </c>
      <c r="AF240" t="inlineStr">
        <is>
          <t>ENTREGADO</t>
        </is>
      </c>
      <c r="AG240" t="n">
        <v>1.43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20230920</v>
      </c>
      <c r="AM240" t="inlineStr">
        <is>
          <t>DW70-900006765-10000829</t>
        </is>
      </c>
    </row>
    <row r="241">
      <c r="A241" t="inlineStr">
        <is>
          <t>900007455DW7010170112</t>
        </is>
      </c>
      <c r="B241" t="inlineStr">
        <is>
          <t>4600052690-10</t>
        </is>
      </c>
      <c r="C241" t="n">
        <v>4600052690</v>
      </c>
      <c r="D241" t="n">
        <v>10</v>
      </c>
      <c r="E241" t="inlineStr">
        <is>
          <t>MXPO</t>
        </is>
      </c>
      <c r="F241" t="inlineStr">
        <is>
          <t>MXL</t>
        </is>
      </c>
      <c r="G241" t="n">
        <v>900007455</v>
      </c>
      <c r="H241" t="inlineStr">
        <is>
          <t>SF TC-EL ARBOLILLO II</t>
        </is>
      </c>
      <c r="I241" t="n">
        <v>5082691</v>
      </c>
      <c r="J241" t="inlineStr">
        <is>
          <t>CEMENTOS Y CONCRETOS LA CRUZ AZUL S</t>
        </is>
      </c>
      <c r="K241" t="inlineStr">
        <is>
          <t>Z06</t>
        </is>
      </c>
      <c r="L241" t="inlineStr">
        <is>
          <t>(AP) 45 Dias</t>
        </is>
      </c>
      <c r="M241" t="n">
        <v>10170112</v>
      </c>
      <c r="N241" t="inlineStr">
        <is>
          <t>GRAVA TRITURADA CALIZA 20 MM - 3/4"</t>
        </is>
      </c>
      <c r="O241" t="inlineStr">
        <is>
          <t>DW70</t>
        </is>
      </c>
      <c r="P241" t="inlineStr">
        <is>
          <t>MX-CED. CENTRO</t>
        </is>
      </c>
      <c r="Q241" t="n">
        <v>20211101</v>
      </c>
      <c r="R241" t="n">
        <v>20261231</v>
      </c>
      <c r="S241" t="n">
        <v>20211101</v>
      </c>
      <c r="T241" t="n">
        <v>20261231</v>
      </c>
      <c r="U241" t="n">
        <v>135</v>
      </c>
      <c r="V241" t="inlineStr">
        <is>
          <t>MXN</t>
        </is>
      </c>
      <c r="W241" t="inlineStr">
        <is>
          <t>M3</t>
        </is>
      </c>
      <c r="X241" t="n">
        <v>0</v>
      </c>
      <c r="Y241" t="inlineStr">
        <is>
          <t>MXN</t>
        </is>
      </c>
      <c r="Z241" t="inlineStr">
        <is>
          <t>M3</t>
        </is>
      </c>
      <c r="AC241" t="n">
        <v>56103637</v>
      </c>
      <c r="AD241" t="n">
        <v>6644261540</v>
      </c>
      <c r="AE241" t="n">
        <v>1</v>
      </c>
      <c r="AF241" t="inlineStr">
        <is>
          <t>ENTREGADO</t>
        </is>
      </c>
      <c r="AG241" t="n">
        <v>1.423</v>
      </c>
      <c r="AH241" t="inlineStr">
        <is>
          <t>M3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20230920</v>
      </c>
      <c r="AM241" t="inlineStr">
        <is>
          <t>DW70-900007455-10170112</t>
        </is>
      </c>
    </row>
    <row r="242">
      <c r="A242" t="inlineStr">
        <is>
          <t>900007455DW7010000624</t>
        </is>
      </c>
      <c r="B242" t="inlineStr">
        <is>
          <t>4600052690-20</t>
        </is>
      </c>
      <c r="C242" t="n">
        <v>4600052690</v>
      </c>
      <c r="D242" t="n">
        <v>20</v>
      </c>
      <c r="E242" t="inlineStr">
        <is>
          <t>MXPO</t>
        </is>
      </c>
      <c r="F242" t="inlineStr">
        <is>
          <t>MXL</t>
        </is>
      </c>
      <c r="G242" t="n">
        <v>900007455</v>
      </c>
      <c r="H242" t="inlineStr">
        <is>
          <t>SF TC-EL ARBOLILLO II</t>
        </is>
      </c>
      <c r="I242" t="n">
        <v>5082691</v>
      </c>
      <c r="J242" t="inlineStr">
        <is>
          <t>CEMENTOS Y CONCRETOS LA CRUZ AZUL S</t>
        </is>
      </c>
      <c r="K242" t="inlineStr">
        <is>
          <t>Z06</t>
        </is>
      </c>
      <c r="L242" t="inlineStr">
        <is>
          <t>(AP) 45 Dias</t>
        </is>
      </c>
      <c r="M242" t="n">
        <v>10000624</v>
      </c>
      <c r="N242" t="inlineStr">
        <is>
          <t>Grava Triturada Caliza 40 mm - 1 1/2"</t>
        </is>
      </c>
      <c r="O242" t="inlineStr">
        <is>
          <t>DW70</t>
        </is>
      </c>
      <c r="P242" t="inlineStr">
        <is>
          <t>MX-CED. CENTRO</t>
        </is>
      </c>
      <c r="Q242" t="n">
        <v>20211101</v>
      </c>
      <c r="R242" t="n">
        <v>20261231</v>
      </c>
      <c r="S242" t="n">
        <v>20211101</v>
      </c>
      <c r="T242" t="n">
        <v>20261231</v>
      </c>
      <c r="U242" t="n">
        <v>135</v>
      </c>
      <c r="V242" t="inlineStr">
        <is>
          <t>MXN</t>
        </is>
      </c>
      <c r="W242" t="inlineStr">
        <is>
          <t>M3</t>
        </is>
      </c>
      <c r="X242" t="n">
        <v>0</v>
      </c>
      <c r="Y242" t="inlineStr">
        <is>
          <t>MXN</t>
        </is>
      </c>
      <c r="Z242" t="inlineStr">
        <is>
          <t>M3</t>
        </is>
      </c>
      <c r="AC242" t="n">
        <v>56103637</v>
      </c>
      <c r="AD242" t="n">
        <v>6644261540</v>
      </c>
      <c r="AE242" t="n">
        <v>1</v>
      </c>
      <c r="AF242" t="inlineStr">
        <is>
          <t>ENTREGADO</t>
        </is>
      </c>
      <c r="AG242" t="n">
        <v>1.45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20230920</v>
      </c>
      <c r="AM242" t="inlineStr">
        <is>
          <t>DW70-900007455-10000624</t>
        </is>
      </c>
    </row>
    <row r="243">
      <c r="A243" t="inlineStr">
        <is>
          <t>900008265DW70ENXE10260055</t>
        </is>
      </c>
      <c r="B243" t="inlineStr">
        <is>
          <t>4600071526-30</t>
        </is>
      </c>
      <c r="C243" t="n">
        <v>4600071526</v>
      </c>
      <c r="D243" t="n">
        <v>30</v>
      </c>
      <c r="E243" t="inlineStr">
        <is>
          <t>MXPO</t>
        </is>
      </c>
      <c r="F243" t="inlineStr">
        <is>
          <t>MXL</t>
        </is>
      </c>
      <c r="G243" t="n">
        <v>900008265</v>
      </c>
      <c r="H243" t="inlineStr">
        <is>
          <t>SF TC-ED CONCRETOS Y PAVIMENTOS</t>
        </is>
      </c>
      <c r="I243" t="n">
        <v>5089601</v>
      </c>
      <c r="J243" t="inlineStr">
        <is>
          <t>CONCRETOS Y PAVIMENTOS EXTERIORES S</t>
        </is>
      </c>
      <c r="K243" t="inlineStr">
        <is>
          <t>N90</t>
        </is>
      </c>
      <c r="L243" t="inlineStr">
        <is>
          <t>(AP) NAFIN 90 Dias</t>
        </is>
      </c>
      <c r="M243" t="n">
        <v>10260055</v>
      </c>
      <c r="N243" t="inlineStr">
        <is>
          <t>GREÑA</t>
        </is>
      </c>
      <c r="O243" t="inlineStr">
        <is>
          <t>DW70</t>
        </is>
      </c>
      <c r="P243" t="inlineStr">
        <is>
          <t>MX-CED. CENTRO</t>
        </is>
      </c>
      <c r="Q243" t="n">
        <v>20250807</v>
      </c>
      <c r="R243" t="n">
        <v>20301231</v>
      </c>
      <c r="S243" t="n">
        <v>20250821</v>
      </c>
      <c r="T243" t="n">
        <v>20301231</v>
      </c>
      <c r="U243" t="n">
        <v>424.5</v>
      </c>
      <c r="V243" t="inlineStr">
        <is>
          <t>MXN</t>
        </is>
      </c>
      <c r="W243" t="inlineStr">
        <is>
          <t>M3</t>
        </is>
      </c>
      <c r="X243" t="n">
        <v>320</v>
      </c>
      <c r="Y243" t="inlineStr">
        <is>
          <t>MXN</t>
        </is>
      </c>
      <c r="Z243" t="inlineStr">
        <is>
          <t>M3</t>
        </is>
      </c>
      <c r="AA243" t="inlineStr">
        <is>
          <t>ENXE</t>
        </is>
      </c>
      <c r="AB243" t="inlineStr">
        <is>
          <t>PUENTES PERIFERICO ORIENTE/SICT</t>
        </is>
      </c>
      <c r="AC243" t="n">
        <v>56103637</v>
      </c>
      <c r="AD243" t="n">
        <v>6644261540</v>
      </c>
      <c r="AE243" t="n">
        <v>4</v>
      </c>
      <c r="AF243" t="inlineStr">
        <is>
          <t>ENTREGA DIRECTA</t>
        </is>
      </c>
      <c r="AG243" t="n">
        <v>2.5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20250830</v>
      </c>
      <c r="AM243" t="inlineStr">
        <is>
          <t>DW70-900008265-ENXE-10260055-4</t>
        </is>
      </c>
    </row>
    <row r="244">
      <c r="A244" t="inlineStr">
        <is>
          <t>900004090DW70D08810000623</t>
        </is>
      </c>
      <c r="B244" t="inlineStr">
        <is>
          <t>4600050503-20</t>
        </is>
      </c>
      <c r="C244" t="n">
        <v>4600050503</v>
      </c>
      <c r="D244" t="n">
        <v>20</v>
      </c>
      <c r="E244" t="inlineStr">
        <is>
          <t>MXPO</t>
        </is>
      </c>
      <c r="F244" t="inlineStr">
        <is>
          <t>MXL</t>
        </is>
      </c>
      <c r="G244" t="n">
        <v>900004090</v>
      </c>
      <c r="H244" t="inlineStr">
        <is>
          <t>TC-ED-ESTRATEGIAS AVANZADAS (CONEJO</t>
        </is>
      </c>
      <c r="I244" t="n">
        <v>5049458</v>
      </c>
      <c r="J244" t="inlineStr">
        <is>
          <t>ESTRATEGIAS AVANZADAS PARA OBTEN</t>
        </is>
      </c>
      <c r="K244" t="inlineStr">
        <is>
          <t>Z03</t>
        </is>
      </c>
      <c r="L244" t="inlineStr">
        <is>
          <t>(AP) 15 Dias</t>
        </is>
      </c>
      <c r="M244" t="n">
        <v>10000623</v>
      </c>
      <c r="N244" t="inlineStr">
        <is>
          <t>Grava Triturada Caliza 10 mm - 3/8"</t>
        </is>
      </c>
      <c r="O244" t="inlineStr">
        <is>
          <t>DW70</t>
        </is>
      </c>
      <c r="P244" t="inlineStr">
        <is>
          <t>MX-CED. CENTRO</t>
        </is>
      </c>
      <c r="Q244" t="n">
        <v>20210712</v>
      </c>
      <c r="R244" t="n">
        <v>20261231</v>
      </c>
      <c r="S244" t="n">
        <v>20210712</v>
      </c>
      <c r="T244" t="n">
        <v>20261231</v>
      </c>
      <c r="U244" t="n">
        <v>201</v>
      </c>
      <c r="V244" t="inlineStr">
        <is>
          <t>MXN</t>
        </is>
      </c>
      <c r="W244" t="inlineStr">
        <is>
          <t>M3</t>
        </is>
      </c>
      <c r="X244" t="n">
        <v>66</v>
      </c>
      <c r="Y244" t="inlineStr">
        <is>
          <t>MXN</t>
        </is>
      </c>
      <c r="Z244" t="inlineStr">
        <is>
          <t>M3</t>
        </is>
      </c>
      <c r="AA244" t="inlineStr">
        <is>
          <t>D088</t>
        </is>
      </c>
      <c r="AB244" t="inlineStr">
        <is>
          <t>PD081 HUEHUETOCA V</t>
        </is>
      </c>
      <c r="AC244" t="n">
        <v>56103637</v>
      </c>
      <c r="AD244" t="n">
        <v>6644261540</v>
      </c>
      <c r="AE244" t="n">
        <v>4</v>
      </c>
      <c r="AF244" t="inlineStr">
        <is>
          <t>ENTREGA DIRECTA</t>
        </is>
      </c>
      <c r="AG244" t="n">
        <v>1.41</v>
      </c>
      <c r="AH244" t="inlineStr">
        <is>
          <t>M3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20260108</v>
      </c>
      <c r="AM244" t="inlineStr">
        <is>
          <t>DW70-900004090-D088-10000623-4</t>
        </is>
      </c>
    </row>
    <row r="245">
      <c r="A245" t="inlineStr">
        <is>
          <t>900004090DW70D09310000623</t>
        </is>
      </c>
      <c r="B245" t="inlineStr">
        <is>
          <t>4600050503-10</t>
        </is>
      </c>
      <c r="C245" t="n">
        <v>4600050503</v>
      </c>
      <c r="D245" t="n">
        <v>10</v>
      </c>
      <c r="E245" t="inlineStr">
        <is>
          <t>MXPO</t>
        </is>
      </c>
      <c r="F245" t="inlineStr">
        <is>
          <t>MXL</t>
        </is>
      </c>
      <c r="G245" t="n">
        <v>900004090</v>
      </c>
      <c r="H245" t="inlineStr">
        <is>
          <t>TC-ED-ESTRATEGIAS AVANZADAS (CONEJO</t>
        </is>
      </c>
      <c r="I245" t="n">
        <v>5049458</v>
      </c>
      <c r="J245" t="inlineStr">
        <is>
          <t>ESTRATEGIAS AVANZADAS PARA OBTEN</t>
        </is>
      </c>
      <c r="K245" t="inlineStr">
        <is>
          <t>Z03</t>
        </is>
      </c>
      <c r="L245" t="inlineStr">
        <is>
          <t>(AP) 15 Dias</t>
        </is>
      </c>
      <c r="M245" t="n">
        <v>10000623</v>
      </c>
      <c r="N245" t="inlineStr">
        <is>
          <t>Grava Triturada Caliza 10 mm - 3/8"</t>
        </is>
      </c>
      <c r="O245" t="inlineStr">
        <is>
          <t>DW70</t>
        </is>
      </c>
      <c r="P245" t="inlineStr">
        <is>
          <t>MX-CED. CENTRO</t>
        </is>
      </c>
      <c r="Q245" t="n">
        <v>20210712</v>
      </c>
      <c r="R245" t="n">
        <v>20261231</v>
      </c>
      <c r="S245" t="n">
        <v>20210712</v>
      </c>
      <c r="T245" t="n">
        <v>20261231</v>
      </c>
      <c r="U245" t="n">
        <v>261.72</v>
      </c>
      <c r="V245" t="inlineStr">
        <is>
          <t>MXN</t>
        </is>
      </c>
      <c r="W245" t="inlineStr">
        <is>
          <t>M3</t>
        </is>
      </c>
      <c r="X245" t="n">
        <v>126.72</v>
      </c>
      <c r="Y245" t="inlineStr">
        <is>
          <t>MXN</t>
        </is>
      </c>
      <c r="Z245" t="inlineStr">
        <is>
          <t>M3</t>
        </is>
      </c>
      <c r="AA245" t="inlineStr">
        <is>
          <t>D093</t>
        </is>
      </c>
      <c r="AB245" t="inlineStr">
        <is>
          <t>PD0556 ZUMPANGO</t>
        </is>
      </c>
      <c r="AC245" t="n">
        <v>56103637</v>
      </c>
      <c r="AD245" t="n">
        <v>6644261540</v>
      </c>
      <c r="AE245" t="n">
        <v>4</v>
      </c>
      <c r="AF245" t="inlineStr">
        <is>
          <t>ENTREGA DIRECTA</t>
        </is>
      </c>
      <c r="AG245" t="n">
        <v>1.41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20260108</v>
      </c>
      <c r="AM245" t="inlineStr">
        <is>
          <t>DW70-900004090-D093-10000623-4</t>
        </is>
      </c>
    </row>
    <row r="246">
      <c r="A246" t="inlineStr">
        <is>
          <t>900004090DW70D10510000623</t>
        </is>
      </c>
      <c r="B246" t="inlineStr">
        <is>
          <t>4600050503-50</t>
        </is>
      </c>
      <c r="C246" t="n">
        <v>4600050503</v>
      </c>
      <c r="D246" t="n">
        <v>50</v>
      </c>
      <c r="E246" t="inlineStr">
        <is>
          <t>MXPO</t>
        </is>
      </c>
      <c r="F246" t="inlineStr">
        <is>
          <t>MXL</t>
        </is>
      </c>
      <c r="G246" t="n">
        <v>900004090</v>
      </c>
      <c r="H246" t="inlineStr">
        <is>
          <t>TC-ED-ESTRATEGIAS AVANZADAS (CONEJO</t>
        </is>
      </c>
      <c r="I246" t="n">
        <v>5049458</v>
      </c>
      <c r="J246" t="inlineStr">
        <is>
          <t>ESTRATEGIAS AVANZADAS PARA OBTEN</t>
        </is>
      </c>
      <c r="K246" t="inlineStr">
        <is>
          <t>Z03</t>
        </is>
      </c>
      <c r="L246" t="inlineStr">
        <is>
          <t>(AP) 15 Dias</t>
        </is>
      </c>
      <c r="M246" t="n">
        <v>10000623</v>
      </c>
      <c r="N246" t="inlineStr">
        <is>
          <t>Grava Triturada Caliza 10 mm - 3/8"</t>
        </is>
      </c>
      <c r="O246" t="inlineStr">
        <is>
          <t>DW70</t>
        </is>
      </c>
      <c r="P246" t="inlineStr">
        <is>
          <t>MX-CED. CENTRO</t>
        </is>
      </c>
      <c r="Q246" t="n">
        <v>20210712</v>
      </c>
      <c r="R246" t="n">
        <v>20261231</v>
      </c>
      <c r="S246" t="n">
        <v>20210712</v>
      </c>
      <c r="T246" t="n">
        <v>20261231</v>
      </c>
      <c r="U246" t="n">
        <v>317.16</v>
      </c>
      <c r="V246" t="inlineStr">
        <is>
          <t>MXN</t>
        </is>
      </c>
      <c r="W246" t="inlineStr">
        <is>
          <t>M3</t>
        </is>
      </c>
      <c r="X246" t="n">
        <v>182.16</v>
      </c>
      <c r="Y246" t="inlineStr">
        <is>
          <t>MXN</t>
        </is>
      </c>
      <c r="Z246" t="inlineStr">
        <is>
          <t>M3</t>
        </is>
      </c>
      <c r="AA246" t="inlineStr">
        <is>
          <t>D105</t>
        </is>
      </c>
      <c r="AB246" t="inlineStr">
        <is>
          <t>PD0331 NAUCALPAN II</t>
        </is>
      </c>
      <c r="AC246" t="n">
        <v>56103637</v>
      </c>
      <c r="AD246" t="n">
        <v>6644261540</v>
      </c>
      <c r="AE246" t="n">
        <v>4</v>
      </c>
      <c r="AF246" t="inlineStr">
        <is>
          <t>ENTREGA DIRECTA</t>
        </is>
      </c>
      <c r="AG246" t="n">
        <v>1.41</v>
      </c>
      <c r="AH246" t="inlineStr">
        <is>
          <t>M3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20260108</v>
      </c>
      <c r="AM246" t="inlineStr">
        <is>
          <t>DW70-900004090-D105-10000623-4</t>
        </is>
      </c>
    </row>
    <row r="247">
      <c r="A247" t="inlineStr">
        <is>
          <t>900000472DW70D08310000655</t>
        </is>
      </c>
      <c r="B247" t="inlineStr">
        <is>
          <t>4600050481-240</t>
        </is>
      </c>
      <c r="C247" t="n">
        <v>4600050481</v>
      </c>
      <c r="D247" t="n">
        <v>240</v>
      </c>
      <c r="E247" t="inlineStr">
        <is>
          <t>MXPO</t>
        </is>
      </c>
      <c r="F247" t="inlineStr">
        <is>
          <t>MXL</t>
        </is>
      </c>
      <c r="G247" t="n">
        <v>900000472</v>
      </c>
      <c r="H247" t="inlineStr">
        <is>
          <t>TC-ED-TRIMCAV</t>
        </is>
      </c>
      <c r="I247" t="n">
        <v>5010147</v>
      </c>
      <c r="J247" t="inlineStr">
        <is>
          <t>TRITURACIONES DE MARMOL Y CALCIOS</t>
        </is>
      </c>
      <c r="K247" t="inlineStr">
        <is>
          <t>Z04</t>
        </is>
      </c>
      <c r="L247" t="inlineStr">
        <is>
          <t>(AP) 30 Dias</t>
        </is>
      </c>
      <c r="M247" t="n">
        <v>10000655</v>
      </c>
      <c r="N247" t="inlineStr">
        <is>
          <t>Grava Triturada Marmol 10 mm - 3/8"</t>
        </is>
      </c>
      <c r="O247" t="inlineStr">
        <is>
          <t>DW70</t>
        </is>
      </c>
      <c r="P247" t="inlineStr">
        <is>
          <t>MX-CED. CENTRO</t>
        </is>
      </c>
      <c r="Q247" t="n">
        <v>20210712</v>
      </c>
      <c r="R247" t="n">
        <v>20291231</v>
      </c>
      <c r="S247" t="n">
        <v>20260301</v>
      </c>
      <c r="T247" t="n">
        <v>20301231</v>
      </c>
      <c r="U247" t="n">
        <v>1150.11</v>
      </c>
      <c r="V247" t="inlineStr">
        <is>
          <t>MXN</t>
        </is>
      </c>
      <c r="W247" t="inlineStr">
        <is>
          <t>TN</t>
        </is>
      </c>
      <c r="X247" t="n">
        <v>605.33</v>
      </c>
      <c r="Y247" t="inlineStr">
        <is>
          <t>MXN</t>
        </is>
      </c>
      <c r="Z247" t="inlineStr">
        <is>
          <t>TN</t>
        </is>
      </c>
      <c r="AA247" t="inlineStr">
        <is>
          <t>D083</t>
        </is>
      </c>
      <c r="AB247" t="inlineStr">
        <is>
          <t>PD0099 MINAS</t>
        </is>
      </c>
      <c r="AC247" t="n">
        <v>56103637</v>
      </c>
      <c r="AD247" t="n">
        <v>6644261540</v>
      </c>
      <c r="AE247" t="n">
        <v>4</v>
      </c>
      <c r="AF247" t="inlineStr">
        <is>
          <t>ENTREGA DIRECTA</t>
        </is>
      </c>
      <c r="AG247" t="n">
        <v>1</v>
      </c>
      <c r="AH247" t="inlineStr">
        <is>
          <t>TO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20260306</v>
      </c>
      <c r="AM247" t="inlineStr">
        <is>
          <t>DW70-900000472-D083-10000655-4</t>
        </is>
      </c>
    </row>
    <row r="248">
      <c r="A248" t="inlineStr">
        <is>
          <t>900000472DW70D08310000643</t>
        </is>
      </c>
      <c r="B248" t="inlineStr">
        <is>
          <t>4600050481-630</t>
        </is>
      </c>
      <c r="C248" t="n">
        <v>4600050481</v>
      </c>
      <c r="D248" t="n">
        <v>630</v>
      </c>
      <c r="E248" t="inlineStr">
        <is>
          <t>MXPO</t>
        </is>
      </c>
      <c r="F248" t="inlineStr">
        <is>
          <t>MXL</t>
        </is>
      </c>
      <c r="G248" t="n">
        <v>900000472</v>
      </c>
      <c r="H248" t="inlineStr">
        <is>
          <t>TC-ED-TRIMCAV</t>
        </is>
      </c>
      <c r="I248" t="n">
        <v>5010147</v>
      </c>
      <c r="J248" t="inlineStr">
        <is>
          <t>TRITURACIONES DE MARMOL Y CALCIOS</t>
        </is>
      </c>
      <c r="K248" t="inlineStr">
        <is>
          <t>Z04</t>
        </is>
      </c>
      <c r="L248" t="inlineStr">
        <is>
          <t>(AP) 30 Dias</t>
        </is>
      </c>
      <c r="M248" t="n">
        <v>10000643</v>
      </c>
      <c r="N248" t="inlineStr">
        <is>
          <t>Grava Triturada Marmol 20 mm - 3/4"</t>
        </is>
      </c>
      <c r="O248" t="inlineStr">
        <is>
          <t>DW70</t>
        </is>
      </c>
      <c r="P248" t="inlineStr">
        <is>
          <t>MX-CED. CENTRO</t>
        </is>
      </c>
      <c r="Q248" t="n">
        <v>20210712</v>
      </c>
      <c r="R248" t="n">
        <v>20291231</v>
      </c>
      <c r="S248" t="n">
        <v>20260301</v>
      </c>
      <c r="T248" t="n">
        <v>20301231</v>
      </c>
      <c r="U248" t="n">
        <v>1150.11</v>
      </c>
      <c r="V248" t="inlineStr">
        <is>
          <t>MXN</t>
        </is>
      </c>
      <c r="W248" t="inlineStr">
        <is>
          <t>TN</t>
        </is>
      </c>
      <c r="X248" t="n">
        <v>605.33</v>
      </c>
      <c r="Y248" t="inlineStr">
        <is>
          <t>MXN</t>
        </is>
      </c>
      <c r="Z248" t="inlineStr">
        <is>
          <t>TN</t>
        </is>
      </c>
      <c r="AA248" t="inlineStr">
        <is>
          <t>D083</t>
        </is>
      </c>
      <c r="AB248" t="inlineStr">
        <is>
          <t>PD0099 MINAS</t>
        </is>
      </c>
      <c r="AC248" t="n">
        <v>56103637</v>
      </c>
      <c r="AD248" t="n">
        <v>6644261540</v>
      </c>
      <c r="AE248" t="n">
        <v>4</v>
      </c>
      <c r="AF248" t="inlineStr">
        <is>
          <t>ENTREGA DIRECTA</t>
        </is>
      </c>
      <c r="AG248" t="n">
        <v>1</v>
      </c>
      <c r="AH248" t="inlineStr">
        <is>
          <t>TO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20260306</v>
      </c>
      <c r="AM248" t="inlineStr">
        <is>
          <t>DW70-900000472-D083-10000643-4</t>
        </is>
      </c>
    </row>
    <row r="249">
      <c r="A249" t="inlineStr">
        <is>
          <t>900000472DW70D13610000643</t>
        </is>
      </c>
      <c r="B249" t="inlineStr">
        <is>
          <t>4600050481-340</t>
        </is>
      </c>
      <c r="C249" t="n">
        <v>4600050481</v>
      </c>
      <c r="D249" t="n">
        <v>340</v>
      </c>
      <c r="E249" t="inlineStr">
        <is>
          <t>MXPO</t>
        </is>
      </c>
      <c r="F249" t="inlineStr">
        <is>
          <t>MXL</t>
        </is>
      </c>
      <c r="G249" t="n">
        <v>900000472</v>
      </c>
      <c r="H249" t="inlineStr">
        <is>
          <t>TC-ED-TRIMCAV</t>
        </is>
      </c>
      <c r="I249" t="n">
        <v>5010147</v>
      </c>
      <c r="J249" t="inlineStr">
        <is>
          <t>TRITURACIONES DE MARMOL Y CALCIOS</t>
        </is>
      </c>
      <c r="K249" t="inlineStr">
        <is>
          <t>Z04</t>
        </is>
      </c>
      <c r="L249" t="inlineStr">
        <is>
          <t>(AP) 30 Dias</t>
        </is>
      </c>
      <c r="M249" t="n">
        <v>10000643</v>
      </c>
      <c r="N249" t="inlineStr">
        <is>
          <t>Grava Triturada Marmol 20 mm - 3/4"</t>
        </is>
      </c>
      <c r="O249" t="inlineStr">
        <is>
          <t>DW70</t>
        </is>
      </c>
      <c r="P249" t="inlineStr">
        <is>
          <t>MX-CED. CENTRO</t>
        </is>
      </c>
      <c r="Q249" t="n">
        <v>20210712</v>
      </c>
      <c r="R249" t="n">
        <v>20291231</v>
      </c>
      <c r="S249" t="n">
        <v>20260301</v>
      </c>
      <c r="T249" t="n">
        <v>20301231</v>
      </c>
      <c r="U249" t="n">
        <v>1150.11</v>
      </c>
      <c r="V249" t="inlineStr">
        <is>
          <t>MXN</t>
        </is>
      </c>
      <c r="W249" t="inlineStr">
        <is>
          <t>TN</t>
        </is>
      </c>
      <c r="X249" t="n">
        <v>605.33</v>
      </c>
      <c r="Y249" t="inlineStr">
        <is>
          <t>MXN</t>
        </is>
      </c>
      <c r="Z249" t="inlineStr">
        <is>
          <t>TN</t>
        </is>
      </c>
      <c r="AA249" t="inlineStr">
        <is>
          <t>D136</t>
        </is>
      </c>
      <c r="AB249" t="inlineStr">
        <is>
          <t>PD0237 LA ESTRELLA</t>
        </is>
      </c>
      <c r="AC249" t="n">
        <v>56103637</v>
      </c>
      <c r="AD249" t="n">
        <v>6644261540</v>
      </c>
      <c r="AE249" t="n">
        <v>4</v>
      </c>
      <c r="AF249" t="inlineStr">
        <is>
          <t>ENTREGA DIRECTA</t>
        </is>
      </c>
      <c r="AG249" t="n">
        <v>1</v>
      </c>
      <c r="AH249" t="inlineStr">
        <is>
          <t>TO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20260306</v>
      </c>
      <c r="AM249" t="inlineStr">
        <is>
          <t>DW70-900000472-D136-10000643-4</t>
        </is>
      </c>
    </row>
    <row r="250">
      <c r="A250" t="inlineStr">
        <is>
          <t>900000472DW70D08310000635</t>
        </is>
      </c>
      <c r="B250" t="inlineStr">
        <is>
          <t>4600050481-960</t>
        </is>
      </c>
      <c r="C250" t="n">
        <v>4600050481</v>
      </c>
      <c r="D250" t="n">
        <v>960</v>
      </c>
      <c r="E250" t="inlineStr">
        <is>
          <t>MXPO</t>
        </is>
      </c>
      <c r="F250" t="inlineStr">
        <is>
          <t>MXL</t>
        </is>
      </c>
      <c r="G250" t="n">
        <v>900000472</v>
      </c>
      <c r="H250" t="inlineStr">
        <is>
          <t>TC-ED-TRIMCAV</t>
        </is>
      </c>
      <c r="I250" t="n">
        <v>5010147</v>
      </c>
      <c r="J250" t="inlineStr">
        <is>
          <t>TRITURACIONES DE MARMOL Y CALCIOS</t>
        </is>
      </c>
      <c r="K250" t="inlineStr">
        <is>
          <t>Z04</t>
        </is>
      </c>
      <c r="L250" t="inlineStr">
        <is>
          <t>(AP) 30 Dias</t>
        </is>
      </c>
      <c r="M250" t="n">
        <v>10000635</v>
      </c>
      <c r="N250" t="inlineStr">
        <is>
          <t>Arena Triturada Marmol Malla 4</t>
        </is>
      </c>
      <c r="O250" t="inlineStr">
        <is>
          <t>DW70</t>
        </is>
      </c>
      <c r="P250" t="inlineStr">
        <is>
          <t>MX-CED. CENTRO</t>
        </is>
      </c>
      <c r="Q250" t="n">
        <v>20210712</v>
      </c>
      <c r="R250" t="n">
        <v>20291231</v>
      </c>
      <c r="S250" t="n">
        <v>20260301</v>
      </c>
      <c r="T250" t="n">
        <v>20301231</v>
      </c>
      <c r="U250" t="n">
        <v>1150.11</v>
      </c>
      <c r="V250" t="inlineStr">
        <is>
          <t>MXN</t>
        </is>
      </c>
      <c r="W250" t="inlineStr">
        <is>
          <t>TN</t>
        </is>
      </c>
      <c r="X250" t="n">
        <v>605.33</v>
      </c>
      <c r="Y250" t="inlineStr">
        <is>
          <t>MXN</t>
        </is>
      </c>
      <c r="Z250" t="inlineStr">
        <is>
          <t>TN</t>
        </is>
      </c>
      <c r="AA250" t="inlineStr">
        <is>
          <t>D083</t>
        </is>
      </c>
      <c r="AB250" t="inlineStr">
        <is>
          <t>PD0099 MINAS</t>
        </is>
      </c>
      <c r="AC250" t="n">
        <v>56103638</v>
      </c>
      <c r="AD250" t="n">
        <v>6644261540</v>
      </c>
      <c r="AE250" t="n">
        <v>4</v>
      </c>
      <c r="AF250" t="inlineStr">
        <is>
          <t>ENTREGA DIRECTA</t>
        </is>
      </c>
      <c r="AG250" t="n">
        <v>1</v>
      </c>
      <c r="AH250" t="inlineStr">
        <is>
          <t>TO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20260306</v>
      </c>
      <c r="AM250" t="inlineStr">
        <is>
          <t>DW70-900000472-D083-10000635-4</t>
        </is>
      </c>
    </row>
    <row r="251">
      <c r="A251" t="inlineStr">
        <is>
          <t>900008619DW70D08510019515</t>
        </is>
      </c>
      <c r="B251" t="inlineStr">
        <is>
          <t>4600071885-10</t>
        </is>
      </c>
      <c r="C251" t="n">
        <v>4600071885</v>
      </c>
      <c r="D251" t="n">
        <v>10</v>
      </c>
      <c r="E251" t="inlineStr">
        <is>
          <t>MXPO</t>
        </is>
      </c>
      <c r="F251" t="inlineStr">
        <is>
          <t>MXL</t>
        </is>
      </c>
      <c r="G251" t="n">
        <v>900008619</v>
      </c>
      <c r="H251" t="inlineStr">
        <is>
          <t>SF TC-ED DOS CERROS</t>
        </is>
      </c>
      <c r="I251" t="n">
        <v>5036168</v>
      </c>
      <c r="J251" t="inlineStr">
        <is>
          <t>TRITURADOS DOS CERROS SA DE CV</t>
        </is>
      </c>
      <c r="K251" t="inlineStr">
        <is>
          <t>Z09</t>
        </is>
      </c>
      <c r="L251" t="inlineStr">
        <is>
          <t>(AP) 90 Dias</t>
        </is>
      </c>
      <c r="M251" t="n">
        <v>10019515</v>
      </c>
      <c r="N251" t="inlineStr">
        <is>
          <t>Grava Triturada Tezontle 20mm - 3/4"</t>
        </is>
      </c>
      <c r="O251" t="inlineStr">
        <is>
          <t>DW70</t>
        </is>
      </c>
      <c r="P251" t="inlineStr">
        <is>
          <t>MX-CED. CENTRO</t>
        </is>
      </c>
      <c r="Q251" t="n">
        <v>20260107</v>
      </c>
      <c r="R251" t="n">
        <v>20301231</v>
      </c>
      <c r="S251" t="n">
        <v>20260107</v>
      </c>
      <c r="T251" t="n">
        <v>20301231</v>
      </c>
      <c r="U251" t="n">
        <v>480</v>
      </c>
      <c r="V251" t="inlineStr">
        <is>
          <t>MXN</t>
        </is>
      </c>
      <c r="W251" t="inlineStr">
        <is>
          <t>M3</t>
        </is>
      </c>
      <c r="X251" t="n">
        <v>300</v>
      </c>
      <c r="Y251" t="inlineStr">
        <is>
          <t>MXN</t>
        </is>
      </c>
      <c r="Z251" t="inlineStr">
        <is>
          <t>M3</t>
        </is>
      </c>
      <c r="AA251" t="inlineStr">
        <is>
          <t>D085</t>
        </is>
      </c>
      <c r="AB251" t="inlineStr">
        <is>
          <t>PD0189 ROJO GOMEZ</t>
        </is>
      </c>
      <c r="AC251" t="n">
        <v>56103637</v>
      </c>
      <c r="AD251" t="n">
        <v>6644261540</v>
      </c>
      <c r="AE251" t="n">
        <v>4</v>
      </c>
      <c r="AF251" t="inlineStr">
        <is>
          <t>ENTREGA DIRECTA</t>
        </is>
      </c>
      <c r="AG251" t="n">
        <v>1.3</v>
      </c>
      <c r="AH251" t="inlineStr">
        <is>
          <t>M3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20260112</v>
      </c>
      <c r="AM251" t="inlineStr">
        <is>
          <t>DW70-900008619-D085-10019515-4</t>
        </is>
      </c>
    </row>
    <row r="252">
      <c r="A252" t="inlineStr">
        <is>
          <t>900000472DW70D13610000635</t>
        </is>
      </c>
      <c r="B252" t="inlineStr">
        <is>
          <t>4600050481-350</t>
        </is>
      </c>
      <c r="C252" t="n">
        <v>4600050481</v>
      </c>
      <c r="D252" t="n">
        <v>350</v>
      </c>
      <c r="E252" t="inlineStr">
        <is>
          <t>MXPO</t>
        </is>
      </c>
      <c r="F252" t="inlineStr">
        <is>
          <t>MXL</t>
        </is>
      </c>
      <c r="G252" t="n">
        <v>900000472</v>
      </c>
      <c r="H252" t="inlineStr">
        <is>
          <t>TC-ED-TRIMCAV</t>
        </is>
      </c>
      <c r="I252" t="n">
        <v>5010147</v>
      </c>
      <c r="J252" t="inlineStr">
        <is>
          <t>TRITURACIONES DE MARMOL Y CALCIOS</t>
        </is>
      </c>
      <c r="K252" t="inlineStr">
        <is>
          <t>Z04</t>
        </is>
      </c>
      <c r="L252" t="inlineStr">
        <is>
          <t>(AP) 30 Dias</t>
        </is>
      </c>
      <c r="M252" t="n">
        <v>10000635</v>
      </c>
      <c r="N252" t="inlineStr">
        <is>
          <t>Arena Triturada Marmol Malla 4</t>
        </is>
      </c>
      <c r="O252" t="inlineStr">
        <is>
          <t>DW70</t>
        </is>
      </c>
      <c r="P252" t="inlineStr">
        <is>
          <t>MX-CED. CENTRO</t>
        </is>
      </c>
      <c r="Q252" t="n">
        <v>20210712</v>
      </c>
      <c r="R252" t="n">
        <v>20291231</v>
      </c>
      <c r="S252" t="n">
        <v>20260301</v>
      </c>
      <c r="T252" t="n">
        <v>20301231</v>
      </c>
      <c r="U252" t="n">
        <v>1150.11</v>
      </c>
      <c r="V252" t="inlineStr">
        <is>
          <t>MXN</t>
        </is>
      </c>
      <c r="W252" t="inlineStr">
        <is>
          <t>TN</t>
        </is>
      </c>
      <c r="X252" t="n">
        <v>605.33</v>
      </c>
      <c r="Y252" t="inlineStr">
        <is>
          <t>MXN</t>
        </is>
      </c>
      <c r="Z252" t="inlineStr">
        <is>
          <t>TN</t>
        </is>
      </c>
      <c r="AA252" t="inlineStr">
        <is>
          <t>D136</t>
        </is>
      </c>
      <c r="AB252" t="inlineStr">
        <is>
          <t>PD0237 LA ESTRELLA</t>
        </is>
      </c>
      <c r="AC252" t="n">
        <v>56103638</v>
      </c>
      <c r="AD252" t="n">
        <v>6644261540</v>
      </c>
      <c r="AE252" t="n">
        <v>4</v>
      </c>
      <c r="AF252" t="inlineStr">
        <is>
          <t>ENTREGA DIRECTA</t>
        </is>
      </c>
      <c r="AG252" t="n">
        <v>1</v>
      </c>
      <c r="AH252" t="inlineStr">
        <is>
          <t>TO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20260306</v>
      </c>
      <c r="AM252" t="inlineStr">
        <is>
          <t>DW70-900000472-D136-10000635-4</t>
        </is>
      </c>
    </row>
    <row r="253">
      <c r="A253" t="inlineStr">
        <is>
          <t>900001810DW7010000160</t>
        </is>
      </c>
      <c r="B253" t="inlineStr">
        <is>
          <t>4600050493-30</t>
        </is>
      </c>
      <c r="C253" t="n">
        <v>4600050493</v>
      </c>
      <c r="D253" t="n">
        <v>30</v>
      </c>
      <c r="E253" t="inlineStr">
        <is>
          <t>MXPO</t>
        </is>
      </c>
      <c r="F253" t="inlineStr">
        <is>
          <t>MXL</t>
        </is>
      </c>
      <c r="G253" t="n">
        <v>900001810</v>
      </c>
      <c r="H253" t="inlineStr">
        <is>
          <t>TC-TRIVOMEX</t>
        </is>
      </c>
      <c r="I253" t="n">
        <v>5033501</v>
      </c>
      <c r="J253" t="inlineStr">
        <is>
          <t>TRITURADOS VOLCANICOS DE MEXICO</t>
        </is>
      </c>
      <c r="K253" t="inlineStr">
        <is>
          <t>Z04</t>
        </is>
      </c>
      <c r="L253" t="inlineStr">
        <is>
          <t>(AP) 30 Dias</t>
        </is>
      </c>
      <c r="M253" t="n">
        <v>10000160</v>
      </c>
      <c r="N253" t="inlineStr">
        <is>
          <t>Arena Triturada Andesita Malla 4</t>
        </is>
      </c>
      <c r="O253" t="inlineStr">
        <is>
          <t>DW70</t>
        </is>
      </c>
      <c r="P253" t="inlineStr">
        <is>
          <t>MX-CED. CENTRO</t>
        </is>
      </c>
      <c r="Q253" t="n">
        <v>20210712</v>
      </c>
      <c r="R253" t="n">
        <v>20291231</v>
      </c>
      <c r="U253" t="n">
        <v>0</v>
      </c>
      <c r="V253" t="inlineStr">
        <is>
          <t>MXN</t>
        </is>
      </c>
      <c r="W253" t="inlineStr">
        <is>
          <t>M3</t>
        </is>
      </c>
      <c r="AC253" t="n">
        <v>56103638</v>
      </c>
      <c r="AD253" t="n">
        <v>6644261540</v>
      </c>
      <c r="AE253" t="n">
        <v>1</v>
      </c>
      <c r="AF253" t="inlineStr">
        <is>
          <t>ENTREGADO</t>
        </is>
      </c>
      <c r="AG253" t="n">
        <v>1.409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20260319</v>
      </c>
      <c r="AM253" t="inlineStr">
        <is>
          <t>DW70-900001810-10000160</t>
        </is>
      </c>
    </row>
    <row r="254">
      <c r="A254" t="inlineStr">
        <is>
          <t>900007079DW70ENDB10175723</t>
        </is>
      </c>
      <c r="B254" t="inlineStr">
        <is>
          <t>4600071478-20</t>
        </is>
      </c>
      <c r="C254" t="n">
        <v>4600071478</v>
      </c>
      <c r="D254" t="n">
        <v>20</v>
      </c>
      <c r="E254" t="inlineStr">
        <is>
          <t>MXPO</t>
        </is>
      </c>
      <c r="F254" t="inlineStr">
        <is>
          <t>MXL</t>
        </is>
      </c>
      <c r="G254" t="n">
        <v>900007079</v>
      </c>
      <c r="H254" t="inlineStr">
        <is>
          <t>SF TC-ED-TRIVOMEX</t>
        </is>
      </c>
      <c r="I254" t="n">
        <v>5033501</v>
      </c>
      <c r="J254" t="inlineStr">
        <is>
          <t>TRITURADOS VOLCANICOS DE MEXICO</t>
        </is>
      </c>
      <c r="K254" t="inlineStr">
        <is>
          <t>Z04</t>
        </is>
      </c>
      <c r="L254" t="inlineStr">
        <is>
          <t>(AP) 30 Dias</t>
        </is>
      </c>
      <c r="M254" t="n">
        <v>10175723</v>
      </c>
      <c r="N254" t="inlineStr">
        <is>
          <t>BASE HIDRAULICA ANDESITA DE 1 1/2" A FIN</t>
        </is>
      </c>
      <c r="O254" t="inlineStr">
        <is>
          <t>DW70</t>
        </is>
      </c>
      <c r="P254" t="inlineStr">
        <is>
          <t>MX-CED. CENTRO</t>
        </is>
      </c>
      <c r="Q254" t="n">
        <v>20250722</v>
      </c>
      <c r="R254" t="n">
        <v>20301231</v>
      </c>
      <c r="S254" t="n">
        <v>20250722</v>
      </c>
      <c r="T254" t="n">
        <v>20301231</v>
      </c>
      <c r="U254" t="n">
        <v>310</v>
      </c>
      <c r="V254" t="inlineStr">
        <is>
          <t>MXN</t>
        </is>
      </c>
      <c r="W254" t="inlineStr">
        <is>
          <t>M3</t>
        </is>
      </c>
      <c r="X254" t="n">
        <v>150</v>
      </c>
      <c r="Y254" t="inlineStr">
        <is>
          <t>MXN</t>
        </is>
      </c>
      <c r="Z254" t="inlineStr">
        <is>
          <t>M3</t>
        </is>
      </c>
      <c r="AA254" t="inlineStr">
        <is>
          <t>ENDB</t>
        </is>
      </c>
      <c r="AB254" t="inlineStr">
        <is>
          <t>FABRICA VESTIMENTA Y EQ (FAVE) E3 /</t>
        </is>
      </c>
      <c r="AC254" t="n">
        <v>56103590</v>
      </c>
      <c r="AD254" t="n">
        <v>6644261540</v>
      </c>
      <c r="AE254" t="n">
        <v>4</v>
      </c>
      <c r="AF254" t="inlineStr">
        <is>
          <t>ENTREGA DIRECTA</t>
        </is>
      </c>
      <c r="AG254" t="n">
        <v>1.65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20250729</v>
      </c>
      <c r="AM254" t="inlineStr">
        <is>
          <t>DW70-900007079-ENDB-10175723-4</t>
        </is>
      </c>
    </row>
    <row r="255">
      <c r="A255" t="inlineStr">
        <is>
          <t>900007079DW70ENDB10000206</t>
        </is>
      </c>
      <c r="B255" t="inlineStr">
        <is>
          <t>4600071478-30</t>
        </is>
      </c>
      <c r="C255" t="n">
        <v>4600071478</v>
      </c>
      <c r="D255" t="n">
        <v>30</v>
      </c>
      <c r="E255" t="inlineStr">
        <is>
          <t>MXPO</t>
        </is>
      </c>
      <c r="F255" t="inlineStr">
        <is>
          <t>MXL</t>
        </is>
      </c>
      <c r="G255" t="n">
        <v>900007079</v>
      </c>
      <c r="H255" t="inlineStr">
        <is>
          <t>SF TC-ED-TRIVOMEX</t>
        </is>
      </c>
      <c r="I255" t="n">
        <v>5033501</v>
      </c>
      <c r="J255" t="inlineStr">
        <is>
          <t>TRITURADOS VOLCANICOS DE MEXICO</t>
        </is>
      </c>
      <c r="K255" t="inlineStr">
        <is>
          <t>Z04</t>
        </is>
      </c>
      <c r="L255" t="inlineStr">
        <is>
          <t>(AP) 30 Dias</t>
        </is>
      </c>
      <c r="M255" t="n">
        <v>10000206</v>
      </c>
      <c r="N255" t="inlineStr">
        <is>
          <t>Tepetate Triturado Tierra NA</t>
        </is>
      </c>
      <c r="O255" t="inlineStr">
        <is>
          <t>DW70</t>
        </is>
      </c>
      <c r="P255" t="inlineStr">
        <is>
          <t>MX-CED. CENTRO</t>
        </is>
      </c>
      <c r="Q255" t="n">
        <v>20250722</v>
      </c>
      <c r="R255" t="n">
        <v>20301231</v>
      </c>
      <c r="S255" t="n">
        <v>20250722</v>
      </c>
      <c r="T255" t="n">
        <v>20301231</v>
      </c>
      <c r="U255" t="n">
        <v>170</v>
      </c>
      <c r="V255" t="inlineStr">
        <is>
          <t>MXN</t>
        </is>
      </c>
      <c r="W255" t="inlineStr">
        <is>
          <t>M3</t>
        </is>
      </c>
      <c r="X255" t="n">
        <v>150</v>
      </c>
      <c r="Y255" t="inlineStr">
        <is>
          <t>MXN</t>
        </is>
      </c>
      <c r="Z255" t="inlineStr">
        <is>
          <t>M3</t>
        </is>
      </c>
      <c r="AA255" t="inlineStr">
        <is>
          <t>ENDB</t>
        </is>
      </c>
      <c r="AB255" t="inlineStr">
        <is>
          <t>FABRICA VESTIMENTA Y EQ (FAVE) E3 /</t>
        </is>
      </c>
      <c r="AC255" t="n">
        <v>56103695</v>
      </c>
      <c r="AD255" t="n">
        <v>6644261540</v>
      </c>
      <c r="AE255" t="n">
        <v>4</v>
      </c>
      <c r="AF255" t="inlineStr">
        <is>
          <t>ENTREGA DIRECTA</t>
        </is>
      </c>
      <c r="AG255" t="n">
        <v>1.249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20250729</v>
      </c>
      <c r="AM255" t="inlineStr">
        <is>
          <t>DW70-900007079-ENDB-10000206-4</t>
        </is>
      </c>
    </row>
    <row r="256">
      <c r="A256" t="inlineStr">
        <is>
          <t>900004090DW70D09410220798</t>
        </is>
      </c>
      <c r="B256" t="inlineStr">
        <is>
          <t>4600054870-10</t>
        </is>
      </c>
      <c r="C256" t="n">
        <v>4600054870</v>
      </c>
      <c r="D256" t="n">
        <v>10</v>
      </c>
      <c r="E256" t="inlineStr">
        <is>
          <t>MXPO</t>
        </is>
      </c>
      <c r="F256" t="inlineStr">
        <is>
          <t>MXL</t>
        </is>
      </c>
      <c r="G256" t="n">
        <v>900004090</v>
      </c>
      <c r="H256" t="inlineStr">
        <is>
          <t>TC-ED-ESTRATEGIAS AVANZADAS (CONEJO</t>
        </is>
      </c>
      <c r="I256" t="n">
        <v>5049458</v>
      </c>
      <c r="J256" t="inlineStr">
        <is>
          <t>ESTRATEGIAS AVANZADAS PARA OBTEN</t>
        </is>
      </c>
      <c r="K256" t="inlineStr">
        <is>
          <t>Z03</t>
        </is>
      </c>
      <c r="L256" t="inlineStr">
        <is>
          <t>(AP) 15 Dias</t>
        </is>
      </c>
      <c r="M256" t="n">
        <v>10220798</v>
      </c>
      <c r="N256" t="inlineStr">
        <is>
          <t>BALASTRE ANDESITA</t>
        </is>
      </c>
      <c r="O256" t="inlineStr">
        <is>
          <t>DW70</t>
        </is>
      </c>
      <c r="P256" t="inlineStr">
        <is>
          <t>MX-CED. CENTRO</t>
        </is>
      </c>
      <c r="Q256" t="n">
        <v>20220810</v>
      </c>
      <c r="R256" t="n">
        <v>20271231</v>
      </c>
      <c r="S256" t="n">
        <v>20220810</v>
      </c>
      <c r="T256" t="n">
        <v>20271231</v>
      </c>
      <c r="U256" t="n">
        <v>385</v>
      </c>
      <c r="V256" t="inlineStr">
        <is>
          <t>MXN</t>
        </is>
      </c>
      <c r="W256" t="inlineStr">
        <is>
          <t>M3</t>
        </is>
      </c>
      <c r="X256" t="n">
        <v>192.5</v>
      </c>
      <c r="Y256" t="inlineStr">
        <is>
          <t>MXN</t>
        </is>
      </c>
      <c r="Z256" t="inlineStr">
        <is>
          <t>M3</t>
        </is>
      </c>
      <c r="AA256" t="inlineStr">
        <is>
          <t>D094</t>
        </is>
      </c>
      <c r="AB256" t="inlineStr">
        <is>
          <t>PD0284 PLANTA DEACERO</t>
        </is>
      </c>
      <c r="AC256" t="n">
        <v>56103591</v>
      </c>
      <c r="AD256" t="n">
        <v>6644261540</v>
      </c>
      <c r="AE256" t="n">
        <v>4</v>
      </c>
      <c r="AF256" t="inlineStr">
        <is>
          <t>ENTREGA DIRECTA</t>
        </is>
      </c>
      <c r="AG256" t="n">
        <v>1.7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20230920</v>
      </c>
      <c r="AM256" t="inlineStr">
        <is>
          <t>DW70-900004090-D094-10220798-4</t>
        </is>
      </c>
    </row>
    <row r="257">
      <c r="A257" t="inlineStr">
        <is>
          <t>900007079DW70ENDB10000160</t>
        </is>
      </c>
      <c r="B257" t="inlineStr">
        <is>
          <t>4600071478-10</t>
        </is>
      </c>
      <c r="C257" t="n">
        <v>4600071478</v>
      </c>
      <c r="D257" t="n">
        <v>10</v>
      </c>
      <c r="E257" t="inlineStr">
        <is>
          <t>MXPO</t>
        </is>
      </c>
      <c r="F257" t="inlineStr">
        <is>
          <t>MXL</t>
        </is>
      </c>
      <c r="G257" t="n">
        <v>900007079</v>
      </c>
      <c r="H257" t="inlineStr">
        <is>
          <t>SF TC-ED-TRIVOMEX</t>
        </is>
      </c>
      <c r="I257" t="n">
        <v>5033501</v>
      </c>
      <c r="J257" t="inlineStr">
        <is>
          <t>TRITURADOS VOLCANICOS DE MEXICO</t>
        </is>
      </c>
      <c r="K257" t="inlineStr">
        <is>
          <t>Z04</t>
        </is>
      </c>
      <c r="L257" t="inlineStr">
        <is>
          <t>(AP) 30 Dias</t>
        </is>
      </c>
      <c r="M257" t="n">
        <v>10000160</v>
      </c>
      <c r="N257" t="inlineStr">
        <is>
          <t>Arena Triturada Andesita Malla 4</t>
        </is>
      </c>
      <c r="O257" t="inlineStr">
        <is>
          <t>DW70</t>
        </is>
      </c>
      <c r="P257" t="inlineStr">
        <is>
          <t>MX-CED. CENTRO</t>
        </is>
      </c>
      <c r="Q257" t="n">
        <v>20250722</v>
      </c>
      <c r="R257" t="n">
        <v>20301231</v>
      </c>
      <c r="S257" t="n">
        <v>20250722</v>
      </c>
      <c r="T257" t="n">
        <v>20301231</v>
      </c>
      <c r="U257" t="n">
        <v>268</v>
      </c>
      <c r="V257" t="inlineStr">
        <is>
          <t>MXN</t>
        </is>
      </c>
      <c r="W257" t="inlineStr">
        <is>
          <t>M3</t>
        </is>
      </c>
      <c r="X257" t="n">
        <v>150</v>
      </c>
      <c r="Y257" t="inlineStr">
        <is>
          <t>MXN</t>
        </is>
      </c>
      <c r="Z257" t="inlineStr">
        <is>
          <t>M3</t>
        </is>
      </c>
      <c r="AA257" t="inlineStr">
        <is>
          <t>ENDB</t>
        </is>
      </c>
      <c r="AB257" t="inlineStr">
        <is>
          <t>FABRICA VESTIMENTA Y EQ (FAVE) E3 /</t>
        </is>
      </c>
      <c r="AC257" t="n">
        <v>56103638</v>
      </c>
      <c r="AD257" t="n">
        <v>6644261540</v>
      </c>
      <c r="AE257" t="n">
        <v>4</v>
      </c>
      <c r="AF257" t="inlineStr">
        <is>
          <t>ENTREGA DIRECTA</t>
        </is>
      </c>
      <c r="AG257" t="n">
        <v>1.409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20250729</v>
      </c>
      <c r="AM257" t="inlineStr">
        <is>
          <t>DW70-900007079-ENDB-10000160-4</t>
        </is>
      </c>
    </row>
    <row r="258">
      <c r="A258" t="inlineStr">
        <is>
          <t>900004090DW70D09410220799</t>
        </is>
      </c>
      <c r="B258" t="inlineStr">
        <is>
          <t>4600054870-20</t>
        </is>
      </c>
      <c r="C258" t="n">
        <v>4600054870</v>
      </c>
      <c r="D258" t="n">
        <v>20</v>
      </c>
      <c r="E258" t="inlineStr">
        <is>
          <t>MXPO</t>
        </is>
      </c>
      <c r="F258" t="inlineStr">
        <is>
          <t>MXL</t>
        </is>
      </c>
      <c r="G258" t="n">
        <v>900004090</v>
      </c>
      <c r="H258" t="inlineStr">
        <is>
          <t>TC-ED-ESTRATEGIAS AVANZADAS (CONEJO</t>
        </is>
      </c>
      <c r="I258" t="n">
        <v>5049458</v>
      </c>
      <c r="J258" t="inlineStr">
        <is>
          <t>ESTRATEGIAS AVANZADAS PARA OBTEN</t>
        </is>
      </c>
      <c r="K258" t="inlineStr">
        <is>
          <t>Z03</t>
        </is>
      </c>
      <c r="L258" t="inlineStr">
        <is>
          <t>(AP) 15 Dias</t>
        </is>
      </c>
      <c r="M258" t="n">
        <v>10220799</v>
      </c>
      <c r="N258" t="inlineStr">
        <is>
          <t xml:space="preserve">SCREEN CALIZA  </t>
        </is>
      </c>
      <c r="O258" t="inlineStr">
        <is>
          <t>DW70</t>
        </is>
      </c>
      <c r="P258" t="inlineStr">
        <is>
          <t>MX-CED. CENTRO</t>
        </is>
      </c>
      <c r="Q258" t="n">
        <v>20220810</v>
      </c>
      <c r="R258" t="n">
        <v>20271231</v>
      </c>
      <c r="S258" t="n">
        <v>20220810</v>
      </c>
      <c r="T258" t="n">
        <v>20271231</v>
      </c>
      <c r="U258" t="n">
        <v>210</v>
      </c>
      <c r="V258" t="inlineStr">
        <is>
          <t>MXN</t>
        </is>
      </c>
      <c r="W258" t="inlineStr">
        <is>
          <t>M3</t>
        </is>
      </c>
      <c r="X258" t="n">
        <v>105</v>
      </c>
      <c r="Y258" t="inlineStr">
        <is>
          <t>MXN</t>
        </is>
      </c>
      <c r="Z258" t="inlineStr">
        <is>
          <t>M3</t>
        </is>
      </c>
      <c r="AA258" t="inlineStr">
        <is>
          <t>D094</t>
        </is>
      </c>
      <c r="AB258" t="inlineStr">
        <is>
          <t>PD0284 PLANTA DEACERO</t>
        </is>
      </c>
      <c r="AC258" t="n">
        <v>56103695</v>
      </c>
      <c r="AD258" t="n">
        <v>6644261540</v>
      </c>
      <c r="AE258" t="n">
        <v>4</v>
      </c>
      <c r="AF258" t="inlineStr">
        <is>
          <t>ENTREGA DIRECTA</t>
        </is>
      </c>
      <c r="AG258" t="n">
        <v>1.6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20230920</v>
      </c>
      <c r="AM258" t="inlineStr">
        <is>
          <t>DW70-900004090-D094-10220799-4</t>
        </is>
      </c>
    </row>
    <row r="259">
      <c r="A259" t="inlineStr">
        <is>
          <t>900005730DW70ENAS10216851</t>
        </is>
      </c>
      <c r="B259" t="inlineStr">
        <is>
          <t>4600068533-30</t>
        </is>
      </c>
      <c r="C259" t="n">
        <v>4600068533</v>
      </c>
      <c r="D259" t="n">
        <v>30</v>
      </c>
      <c r="E259" t="inlineStr">
        <is>
          <t>MXPO</t>
        </is>
      </c>
      <c r="F259" t="inlineStr">
        <is>
          <t>MXL</t>
        </is>
      </c>
      <c r="G259" t="n">
        <v>900005730</v>
      </c>
      <c r="H259" t="inlineStr">
        <is>
          <t>TC-ED OLIELL</t>
        </is>
      </c>
      <c r="I259" t="n">
        <v>5048484</v>
      </c>
      <c r="J259" t="inlineStr">
        <is>
          <t>COMERCIALIZADORA Y TRANSPORTADORA O</t>
        </is>
      </c>
      <c r="K259" t="inlineStr">
        <is>
          <t>N90</t>
        </is>
      </c>
      <c r="L259" t="inlineStr">
        <is>
          <t>(AP) NAFIN 90 Dias</t>
        </is>
      </c>
      <c r="M259" t="n">
        <v>10216851</v>
      </c>
      <c r="N259" t="inlineStr">
        <is>
          <t>BASE HIDRAÚLICA - TEPETATE NG</t>
        </is>
      </c>
      <c r="O259" t="inlineStr">
        <is>
          <t>DW70</t>
        </is>
      </c>
      <c r="P259" t="inlineStr">
        <is>
          <t>MX-CED. CENTRO</t>
        </is>
      </c>
      <c r="Q259" t="n">
        <v>20230925</v>
      </c>
      <c r="R259" t="n">
        <v>20281231</v>
      </c>
      <c r="S259" t="n">
        <v>20241125</v>
      </c>
      <c r="T259" t="n">
        <v>20291231</v>
      </c>
      <c r="U259" t="n">
        <v>192</v>
      </c>
      <c r="V259" t="inlineStr">
        <is>
          <t>MXN</t>
        </is>
      </c>
      <c r="W259" t="inlineStr">
        <is>
          <t>M3</t>
        </is>
      </c>
      <c r="X259" t="n">
        <v>170</v>
      </c>
      <c r="Y259" t="inlineStr">
        <is>
          <t>MXN</t>
        </is>
      </c>
      <c r="Z259" t="inlineStr">
        <is>
          <t>M3</t>
        </is>
      </c>
      <c r="AA259" t="inlineStr">
        <is>
          <t>ENAS</t>
        </is>
      </c>
      <c r="AB259" t="inlineStr">
        <is>
          <t>Fabrica de Vestimenta y Eq (FAVE) E</t>
        </is>
      </c>
      <c r="AC259" t="n">
        <v>56103590</v>
      </c>
      <c r="AD259" t="n">
        <v>6644261540</v>
      </c>
      <c r="AE259" t="n">
        <v>4</v>
      </c>
      <c r="AF259" t="inlineStr">
        <is>
          <t>ENTREGA DIRECTA</t>
        </is>
      </c>
      <c r="AG259" t="n">
        <v>1.249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20250204</v>
      </c>
      <c r="AM259" t="inlineStr">
        <is>
          <t>DW70-900005730-ENAS-10216851-4</t>
        </is>
      </c>
    </row>
    <row r="260">
      <c r="A260" t="inlineStr">
        <is>
          <t>900000137DW7010000624</t>
        </is>
      </c>
      <c r="B260" t="inlineStr">
        <is>
          <t>4600050478-20</t>
        </is>
      </c>
      <c r="C260" t="n">
        <v>4600050478</v>
      </c>
      <c r="D260" t="n">
        <v>20</v>
      </c>
      <c r="E260" t="inlineStr">
        <is>
          <t>MXPO</t>
        </is>
      </c>
      <c r="F260" t="inlineStr">
        <is>
          <t>MXL</t>
        </is>
      </c>
      <c r="G260" t="n">
        <v>900000137</v>
      </c>
      <c r="H260" t="inlineStr">
        <is>
          <t>TC-LA VALENCIANA</t>
        </is>
      </c>
      <c r="I260" t="n">
        <v>5005431</v>
      </c>
      <c r="J260" t="inlineStr">
        <is>
          <t>CANTERAS LA VALENCIANA SA DE CV</t>
        </is>
      </c>
      <c r="K260" t="inlineStr">
        <is>
          <t>Z03</t>
        </is>
      </c>
      <c r="L260" t="inlineStr">
        <is>
          <t>(AP) 15 Dias</t>
        </is>
      </c>
      <c r="M260" t="n">
        <v>10000624</v>
      </c>
      <c r="N260" t="inlineStr">
        <is>
          <t>Grava Triturada Caliza 40 mm - 1 1/2"</t>
        </is>
      </c>
      <c r="O260" t="inlineStr">
        <is>
          <t>DW70</t>
        </is>
      </c>
      <c r="P260" t="inlineStr">
        <is>
          <t>MX-CED. CENTRO</t>
        </is>
      </c>
      <c r="Q260" t="n">
        <v>20210712</v>
      </c>
      <c r="R260" t="n">
        <v>20281231</v>
      </c>
      <c r="S260" t="n">
        <v>20260201</v>
      </c>
      <c r="T260" t="n">
        <v>20301231</v>
      </c>
      <c r="U260" t="n">
        <v>159.52</v>
      </c>
      <c r="V260" t="inlineStr">
        <is>
          <t>MXN</t>
        </is>
      </c>
      <c r="W260" t="inlineStr">
        <is>
          <t>M3</t>
        </is>
      </c>
      <c r="X260" t="n">
        <v>0</v>
      </c>
      <c r="Y260" t="inlineStr">
        <is>
          <t>MXN</t>
        </is>
      </c>
      <c r="Z260" t="inlineStr">
        <is>
          <t>M3</t>
        </is>
      </c>
      <c r="AC260" t="n">
        <v>56103637</v>
      </c>
      <c r="AD260" t="n">
        <v>6644261540</v>
      </c>
      <c r="AE260" t="n">
        <v>1</v>
      </c>
      <c r="AF260" t="inlineStr">
        <is>
          <t>ENTREGADO</t>
        </is>
      </c>
      <c r="AG260" t="n">
        <v>1.45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20260212</v>
      </c>
      <c r="AM260" t="inlineStr">
        <is>
          <t>DW70-900000137-10000624</t>
        </is>
      </c>
    </row>
    <row r="261">
      <c r="A261" t="inlineStr">
        <is>
          <t>900000137DW7010058345</t>
        </is>
      </c>
      <c r="B261" t="inlineStr">
        <is>
          <t>4600050478-40</t>
        </is>
      </c>
      <c r="C261" t="n">
        <v>4600050478</v>
      </c>
      <c r="D261" t="n">
        <v>40</v>
      </c>
      <c r="E261" t="inlineStr">
        <is>
          <t>MXPO</t>
        </is>
      </c>
      <c r="F261" t="inlineStr">
        <is>
          <t>MXL</t>
        </is>
      </c>
      <c r="G261" t="n">
        <v>900000137</v>
      </c>
      <c r="H261" t="inlineStr">
        <is>
          <t>TC-LA VALENCIANA</t>
        </is>
      </c>
      <c r="I261" t="n">
        <v>5005431</v>
      </c>
      <c r="J261" t="inlineStr">
        <is>
          <t>CANTERAS LA VALENCIANA SA DE CV</t>
        </is>
      </c>
      <c r="K261" t="inlineStr">
        <is>
          <t>Z03</t>
        </is>
      </c>
      <c r="L261" t="inlineStr">
        <is>
          <t>(AP) 15 Dias</t>
        </is>
      </c>
      <c r="M261" t="n">
        <v>10058345</v>
      </c>
      <c r="N261" t="inlineStr">
        <is>
          <t>Arena Triturada Caliza Malla 4</t>
        </is>
      </c>
      <c r="O261" t="inlineStr">
        <is>
          <t>DW70</t>
        </is>
      </c>
      <c r="P261" t="inlineStr">
        <is>
          <t>MX-CED. CENTRO</t>
        </is>
      </c>
      <c r="Q261" t="n">
        <v>20210712</v>
      </c>
      <c r="R261" t="n">
        <v>20281231</v>
      </c>
      <c r="S261" t="n">
        <v>20260201</v>
      </c>
      <c r="T261" t="n">
        <v>20301231</v>
      </c>
      <c r="U261" t="n">
        <v>135</v>
      </c>
      <c r="V261" t="inlineStr">
        <is>
          <t>MXN</t>
        </is>
      </c>
      <c r="W261" t="inlineStr">
        <is>
          <t>M3</t>
        </is>
      </c>
      <c r="X261" t="n">
        <v>0</v>
      </c>
      <c r="Y261" t="inlineStr">
        <is>
          <t>MXN</t>
        </is>
      </c>
      <c r="Z261" t="inlineStr">
        <is>
          <t>M3</t>
        </is>
      </c>
      <c r="AC261" t="n">
        <v>56103638</v>
      </c>
      <c r="AD261" t="n">
        <v>6644261540</v>
      </c>
      <c r="AE261" t="n">
        <v>1</v>
      </c>
      <c r="AF261" t="inlineStr">
        <is>
          <t>ENTREGADO</t>
        </is>
      </c>
      <c r="AG261" t="n">
        <v>1.575</v>
      </c>
      <c r="AH261" t="inlineStr">
        <is>
          <t>M3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20260212</v>
      </c>
      <c r="AM261" t="inlineStr">
        <is>
          <t>DW70-900000137-10058345</t>
        </is>
      </c>
    </row>
    <row r="262">
      <c r="A262" t="inlineStr">
        <is>
          <t>900000137DW7010000811</t>
        </is>
      </c>
      <c r="B262" t="inlineStr">
        <is>
          <t>4600050478-10</t>
        </is>
      </c>
      <c r="C262" t="n">
        <v>4600050478</v>
      </c>
      <c r="D262" t="n">
        <v>10</v>
      </c>
      <c r="E262" t="inlineStr">
        <is>
          <t>MXPO</t>
        </is>
      </c>
      <c r="F262" t="inlineStr">
        <is>
          <t>MXL</t>
        </is>
      </c>
      <c r="G262" t="n">
        <v>900000137</v>
      </c>
      <c r="H262" t="inlineStr">
        <is>
          <t>TC-LA VALENCIANA</t>
        </is>
      </c>
      <c r="I262" t="n">
        <v>5005431</v>
      </c>
      <c r="J262" t="inlineStr">
        <is>
          <t>CANTERAS LA VALENCIANA SA DE CV</t>
        </is>
      </c>
      <c r="K262" t="inlineStr">
        <is>
          <t>Z03</t>
        </is>
      </c>
      <c r="L262" t="inlineStr">
        <is>
          <t>(AP) 15 Dias</t>
        </is>
      </c>
      <c r="M262" t="n">
        <v>10000811</v>
      </c>
      <c r="N262" t="inlineStr">
        <is>
          <t>Grava Triturada Caliza 20 mm - 3/4"</t>
        </is>
      </c>
      <c r="O262" t="inlineStr">
        <is>
          <t>DW70</t>
        </is>
      </c>
      <c r="P262" t="inlineStr">
        <is>
          <t>MX-CED. CENTRO</t>
        </is>
      </c>
      <c r="Q262" t="n">
        <v>20210712</v>
      </c>
      <c r="R262" t="n">
        <v>20281231</v>
      </c>
      <c r="S262" t="n">
        <v>20260201</v>
      </c>
      <c r="T262" t="n">
        <v>20301231</v>
      </c>
      <c r="U262" t="n">
        <v>166.58</v>
      </c>
      <c r="V262" t="inlineStr">
        <is>
          <t>MXN</t>
        </is>
      </c>
      <c r="W262" t="inlineStr">
        <is>
          <t>M3</t>
        </is>
      </c>
      <c r="X262" t="n">
        <v>0</v>
      </c>
      <c r="Y262" t="inlineStr">
        <is>
          <t>MXN</t>
        </is>
      </c>
      <c r="Z262" t="inlineStr">
        <is>
          <t>M3</t>
        </is>
      </c>
      <c r="AC262" t="n">
        <v>56103637</v>
      </c>
      <c r="AD262" t="n">
        <v>6644261540</v>
      </c>
      <c r="AE262" t="n">
        <v>1</v>
      </c>
      <c r="AF262" t="inlineStr">
        <is>
          <t>ENTREGADO</t>
        </is>
      </c>
      <c r="AG262" t="n">
        <v>1.447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20260212</v>
      </c>
      <c r="AM262" t="inlineStr">
        <is>
          <t>DW70-900000137-10000811</t>
        </is>
      </c>
    </row>
    <row r="263">
      <c r="A263" t="inlineStr">
        <is>
          <t>900000137DW7010000630</t>
        </is>
      </c>
      <c r="B263" t="inlineStr">
        <is>
          <t>4600050478-30</t>
        </is>
      </c>
      <c r="C263" t="n">
        <v>4600050478</v>
      </c>
      <c r="D263" t="n">
        <v>30</v>
      </c>
      <c r="E263" t="inlineStr">
        <is>
          <t>MXPO</t>
        </is>
      </c>
      <c r="F263" t="inlineStr">
        <is>
          <t>MXL</t>
        </is>
      </c>
      <c r="G263" t="n">
        <v>900000137</v>
      </c>
      <c r="H263" t="inlineStr">
        <is>
          <t>TC-LA VALENCIANA</t>
        </is>
      </c>
      <c r="I263" t="n">
        <v>5005431</v>
      </c>
      <c r="J263" t="inlineStr">
        <is>
          <t>CANTERAS LA VALENCIANA SA DE CV</t>
        </is>
      </c>
      <c r="K263" t="inlineStr">
        <is>
          <t>Z03</t>
        </is>
      </c>
      <c r="L263" t="inlineStr">
        <is>
          <t>(AP) 15 Dias</t>
        </is>
      </c>
      <c r="M263" t="n">
        <v>10000630</v>
      </c>
      <c r="N263" t="inlineStr">
        <is>
          <t>Grava Triturada Caliza 13 mm - 1/2"</t>
        </is>
      </c>
      <c r="O263" t="inlineStr">
        <is>
          <t>DW70</t>
        </is>
      </c>
      <c r="P263" t="inlineStr">
        <is>
          <t>MX-CED. CENTRO</t>
        </is>
      </c>
      <c r="Q263" t="n">
        <v>20210712</v>
      </c>
      <c r="R263" t="n">
        <v>20281231</v>
      </c>
      <c r="S263" t="n">
        <v>20260201</v>
      </c>
      <c r="T263" t="n">
        <v>20301231</v>
      </c>
      <c r="U263" t="n">
        <v>151.74</v>
      </c>
      <c r="V263" t="inlineStr">
        <is>
          <t>MXN</t>
        </is>
      </c>
      <c r="W263" t="inlineStr">
        <is>
          <t>M3</t>
        </is>
      </c>
      <c r="X263" t="n">
        <v>0</v>
      </c>
      <c r="Y263" t="inlineStr">
        <is>
          <t>MXN</t>
        </is>
      </c>
      <c r="Z263" t="inlineStr">
        <is>
          <t>M3</t>
        </is>
      </c>
      <c r="AC263" t="n">
        <v>56103637</v>
      </c>
      <c r="AD263" t="n">
        <v>6644261540</v>
      </c>
      <c r="AE263" t="n">
        <v>1</v>
      </c>
      <c r="AF263" t="inlineStr">
        <is>
          <t>ENTREGADO</t>
        </is>
      </c>
      <c r="AG263" t="n">
        <v>1.4</v>
      </c>
      <c r="AH263" t="inlineStr">
        <is>
          <t>M3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20260212</v>
      </c>
      <c r="AM263" t="inlineStr">
        <is>
          <t>DW70-900000137-10000630</t>
        </is>
      </c>
    </row>
    <row r="264">
      <c r="A264" t="inlineStr">
        <is>
          <t>900000137DW7010147486</t>
        </is>
      </c>
      <c r="B264" t="inlineStr">
        <is>
          <t>4600050478-70</t>
        </is>
      </c>
      <c r="C264" t="n">
        <v>4600050478</v>
      </c>
      <c r="D264" t="n">
        <v>70</v>
      </c>
      <c r="E264" t="inlineStr">
        <is>
          <t>MXPO</t>
        </is>
      </c>
      <c r="F264" t="inlineStr">
        <is>
          <t>MXL</t>
        </is>
      </c>
      <c r="G264" t="n">
        <v>900000137</v>
      </c>
      <c r="H264" t="inlineStr">
        <is>
          <t>TC-LA VALENCIANA</t>
        </is>
      </c>
      <c r="I264" t="n">
        <v>5005431</v>
      </c>
      <c r="J264" t="inlineStr">
        <is>
          <t>CANTERAS LA VALENCIANA SA DE CV</t>
        </is>
      </c>
      <c r="K264" t="inlineStr">
        <is>
          <t>Z03</t>
        </is>
      </c>
      <c r="L264" t="inlineStr">
        <is>
          <t>(AP) 15 Dias</t>
        </is>
      </c>
      <c r="M264" t="n">
        <v>10147486</v>
      </c>
      <c r="N264" t="inlineStr">
        <is>
          <t>BALASTO TRITURADO</t>
        </is>
      </c>
      <c r="O264" t="inlineStr">
        <is>
          <t>DW70</t>
        </is>
      </c>
      <c r="P264" t="inlineStr">
        <is>
          <t>MX-CED. CENTRO</t>
        </is>
      </c>
      <c r="Q264" t="n">
        <v>20210712</v>
      </c>
      <c r="R264" t="n">
        <v>20281231</v>
      </c>
      <c r="S264" t="n">
        <v>20260201</v>
      </c>
      <c r="T264" t="n">
        <v>20301231</v>
      </c>
      <c r="U264" t="n">
        <v>166.57</v>
      </c>
      <c r="V264" t="inlineStr">
        <is>
          <t>MXN</t>
        </is>
      </c>
      <c r="W264" t="inlineStr">
        <is>
          <t>M3</t>
        </is>
      </c>
      <c r="X264" t="n">
        <v>0</v>
      </c>
      <c r="Y264" t="inlineStr">
        <is>
          <t>MXN</t>
        </is>
      </c>
      <c r="Z264" t="inlineStr">
        <is>
          <t>M3</t>
        </is>
      </c>
      <c r="AC264" t="n">
        <v>56103591</v>
      </c>
      <c r="AD264" t="n">
        <v>6644261540</v>
      </c>
      <c r="AE264" t="n">
        <v>1</v>
      </c>
      <c r="AF264" t="inlineStr">
        <is>
          <t>ENTREGADO</t>
        </is>
      </c>
      <c r="AG264" t="n">
        <v>1.56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20260212</v>
      </c>
      <c r="AM264" t="inlineStr">
        <is>
          <t>DW70-900000137-10147486</t>
        </is>
      </c>
    </row>
    <row r="265">
      <c r="A265" t="inlineStr">
        <is>
          <t>900005730DW70ENDB10000357</t>
        </is>
      </c>
      <c r="B265" t="inlineStr">
        <is>
          <t>4600068533-70</t>
        </is>
      </c>
      <c r="C265" t="n">
        <v>4600068533</v>
      </c>
      <c r="D265" t="n">
        <v>70</v>
      </c>
      <c r="E265" t="inlineStr">
        <is>
          <t>MXPO</t>
        </is>
      </c>
      <c r="F265" t="inlineStr">
        <is>
          <t>MXL</t>
        </is>
      </c>
      <c r="G265" t="n">
        <v>900005730</v>
      </c>
      <c r="H265" t="inlineStr">
        <is>
          <t>TC-ED OLIELL</t>
        </is>
      </c>
      <c r="I265" t="n">
        <v>5048484</v>
      </c>
      <c r="J265" t="inlineStr">
        <is>
          <t>COMERCIALIZADORA Y TRANSPORTADORA O</t>
        </is>
      </c>
      <c r="K265" t="inlineStr">
        <is>
          <t>N90</t>
        </is>
      </c>
      <c r="L265" t="inlineStr">
        <is>
          <t>(AP) NAFIN 90 Dias</t>
        </is>
      </c>
      <c r="M265" t="n">
        <v>10000357</v>
      </c>
      <c r="N265" t="inlineStr">
        <is>
          <t>Grava Triturada Andesita 20 mm - 3/4"</t>
        </is>
      </c>
      <c r="O265" t="inlineStr">
        <is>
          <t>DW70</t>
        </is>
      </c>
      <c r="P265" t="inlineStr">
        <is>
          <t>MX-CED. CENTRO</t>
        </is>
      </c>
      <c r="Q265" t="n">
        <v>20230925</v>
      </c>
      <c r="R265" t="n">
        <v>20281231</v>
      </c>
      <c r="S265" t="n">
        <v>20250401</v>
      </c>
      <c r="T265" t="n">
        <v>20301231</v>
      </c>
      <c r="U265" t="n">
        <v>687.66</v>
      </c>
      <c r="V265" t="inlineStr">
        <is>
          <t>MXN</t>
        </is>
      </c>
      <c r="W265" t="inlineStr">
        <is>
          <t>M3</t>
        </is>
      </c>
      <c r="X265" t="n">
        <v>300</v>
      </c>
      <c r="Y265" t="inlineStr">
        <is>
          <t>MXN</t>
        </is>
      </c>
      <c r="Z265" t="inlineStr">
        <is>
          <t>M3</t>
        </is>
      </c>
      <c r="AA265" t="inlineStr">
        <is>
          <t>ENDB</t>
        </is>
      </c>
      <c r="AB265" t="inlineStr">
        <is>
          <t>FABRICA VESTIMENTA Y EQ (FAVE) E3 /</t>
        </is>
      </c>
      <c r="AC265" t="n">
        <v>56103637</v>
      </c>
      <c r="AD265" t="n">
        <v>6644261540</v>
      </c>
      <c r="AE265" t="n">
        <v>4</v>
      </c>
      <c r="AF265" t="inlineStr">
        <is>
          <t>ENTREGA DIRECTA</t>
        </is>
      </c>
      <c r="AG265" t="n">
        <v>1.326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20250403</v>
      </c>
      <c r="AM265" t="inlineStr">
        <is>
          <t>DW70-900005730-ENDB-10000357-4</t>
        </is>
      </c>
    </row>
    <row r="266">
      <c r="A266" t="inlineStr">
        <is>
          <t>900005730DW70ENAW10000357</t>
        </is>
      </c>
      <c r="B266" t="inlineStr">
        <is>
          <t>4600068533-50</t>
        </is>
      </c>
      <c r="C266" t="n">
        <v>4600068533</v>
      </c>
      <c r="D266" t="n">
        <v>50</v>
      </c>
      <c r="E266" t="inlineStr">
        <is>
          <t>MXPO</t>
        </is>
      </c>
      <c r="F266" t="inlineStr">
        <is>
          <t>MXL</t>
        </is>
      </c>
      <c r="G266" t="n">
        <v>900005730</v>
      </c>
      <c r="H266" t="inlineStr">
        <is>
          <t>TC-ED OLIELL</t>
        </is>
      </c>
      <c r="I266" t="n">
        <v>5048484</v>
      </c>
      <c r="J266" t="inlineStr">
        <is>
          <t>COMERCIALIZADORA Y TRANSPORTADORA O</t>
        </is>
      </c>
      <c r="K266" t="inlineStr">
        <is>
          <t>N90</t>
        </is>
      </c>
      <c r="L266" t="inlineStr">
        <is>
          <t>(AP) NAFIN 90 Dias</t>
        </is>
      </c>
      <c r="M266" t="n">
        <v>10000357</v>
      </c>
      <c r="N266" t="inlineStr">
        <is>
          <t>Grava Triturada Andesita 20 mm - 3/4"</t>
        </is>
      </c>
      <c r="O266" t="inlineStr">
        <is>
          <t>DW70</t>
        </is>
      </c>
      <c r="P266" t="inlineStr">
        <is>
          <t>MX-CED. CENTRO</t>
        </is>
      </c>
      <c r="Q266" t="n">
        <v>20230925</v>
      </c>
      <c r="R266" t="n">
        <v>20281231</v>
      </c>
      <c r="S266" t="n">
        <v>20250401</v>
      </c>
      <c r="T266" t="n">
        <v>20301231</v>
      </c>
      <c r="U266" t="n">
        <v>774</v>
      </c>
      <c r="V266" t="inlineStr">
        <is>
          <t>MXN</t>
        </is>
      </c>
      <c r="W266" t="inlineStr">
        <is>
          <t>M3</t>
        </is>
      </c>
      <c r="X266" t="n">
        <v>500</v>
      </c>
      <c r="Y266" t="inlineStr">
        <is>
          <t>MXN</t>
        </is>
      </c>
      <c r="Z266" t="inlineStr">
        <is>
          <t>M3</t>
        </is>
      </c>
      <c r="AA266" t="inlineStr">
        <is>
          <t>ENAW</t>
        </is>
      </c>
      <c r="AB266" t="inlineStr">
        <is>
          <t>COMPLEJO DEPORTIVO (CENCIS) / SEMAR</t>
        </is>
      </c>
      <c r="AC266" t="n">
        <v>56103637</v>
      </c>
      <c r="AD266" t="n">
        <v>6644261540</v>
      </c>
      <c r="AE266" t="n">
        <v>4</v>
      </c>
      <c r="AF266" t="inlineStr">
        <is>
          <t>ENTREGA DIRECTA</t>
        </is>
      </c>
      <c r="AG266" t="n">
        <v>1.326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20250403</v>
      </c>
      <c r="AM266" t="inlineStr">
        <is>
          <t>DW70-900005730-ENAW-10000357-4</t>
        </is>
      </c>
    </row>
    <row r="267">
      <c r="A267" t="inlineStr">
        <is>
          <t>900005730DW70ENDB10000160</t>
        </is>
      </c>
      <c r="B267" t="inlineStr">
        <is>
          <t>4600068533-60</t>
        </is>
      </c>
      <c r="C267" t="n">
        <v>4600068533</v>
      </c>
      <c r="D267" t="n">
        <v>60</v>
      </c>
      <c r="E267" t="inlineStr">
        <is>
          <t>MXPO</t>
        </is>
      </c>
      <c r="F267" t="inlineStr">
        <is>
          <t>MXL</t>
        </is>
      </c>
      <c r="G267" t="n">
        <v>900005730</v>
      </c>
      <c r="H267" t="inlineStr">
        <is>
          <t>TC-ED OLIELL</t>
        </is>
      </c>
      <c r="I267" t="n">
        <v>5048484</v>
      </c>
      <c r="J267" t="inlineStr">
        <is>
          <t>COMERCIALIZADORA Y TRANSPORTADORA O</t>
        </is>
      </c>
      <c r="K267" t="inlineStr">
        <is>
          <t>N90</t>
        </is>
      </c>
      <c r="L267" t="inlineStr">
        <is>
          <t>(AP) NAFIN 90 Dias</t>
        </is>
      </c>
      <c r="M267" t="n">
        <v>10000160</v>
      </c>
      <c r="N267" t="inlineStr">
        <is>
          <t>Arena Triturada Andesita Malla 4</t>
        </is>
      </c>
      <c r="O267" t="inlineStr">
        <is>
          <t>DW70</t>
        </is>
      </c>
      <c r="P267" t="inlineStr">
        <is>
          <t>MX-CED. CENTRO</t>
        </is>
      </c>
      <c r="Q267" t="n">
        <v>20230925</v>
      </c>
      <c r="R267" t="n">
        <v>20281231</v>
      </c>
      <c r="S267" t="n">
        <v>20250401</v>
      </c>
      <c r="T267" t="n">
        <v>20301231</v>
      </c>
      <c r="U267" t="n">
        <v>665.3200000000001</v>
      </c>
      <c r="V267" t="inlineStr">
        <is>
          <t>MXN</t>
        </is>
      </c>
      <c r="W267" t="inlineStr">
        <is>
          <t>M3</t>
        </is>
      </c>
      <c r="X267" t="n">
        <v>300</v>
      </c>
      <c r="Y267" t="inlineStr">
        <is>
          <t>MXN</t>
        </is>
      </c>
      <c r="Z267" t="inlineStr">
        <is>
          <t>M3</t>
        </is>
      </c>
      <c r="AA267" t="inlineStr">
        <is>
          <t>ENDB</t>
        </is>
      </c>
      <c r="AB267" t="inlineStr">
        <is>
          <t>FABRICA VESTIMENTA Y EQ (FAVE) E3 /</t>
        </is>
      </c>
      <c r="AC267" t="n">
        <v>56103638</v>
      </c>
      <c r="AD267" t="n">
        <v>6644261540</v>
      </c>
      <c r="AE267" t="n">
        <v>4</v>
      </c>
      <c r="AF267" t="inlineStr">
        <is>
          <t>ENTREGA DIRECTA</t>
        </is>
      </c>
      <c r="AG267" t="n">
        <v>1.409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20250403</v>
      </c>
      <c r="AM267" t="inlineStr">
        <is>
          <t>DW70-900005730-ENDB-10000160-4</t>
        </is>
      </c>
    </row>
    <row r="268">
      <c r="A268" t="inlineStr">
        <is>
          <t>900008265DW70ENXE10216851</t>
        </is>
      </c>
      <c r="B268" t="inlineStr">
        <is>
          <t>4600071526-20</t>
        </is>
      </c>
      <c r="C268" t="n">
        <v>4600071526</v>
      </c>
      <c r="D268" t="n">
        <v>20</v>
      </c>
      <c r="E268" t="inlineStr">
        <is>
          <t>MXPO</t>
        </is>
      </c>
      <c r="F268" t="inlineStr">
        <is>
          <t>MXL</t>
        </is>
      </c>
      <c r="G268" t="n">
        <v>900008265</v>
      </c>
      <c r="H268" t="inlineStr">
        <is>
          <t>SF TC-ED CONCRETOS Y PAVIMENTOS</t>
        </is>
      </c>
      <c r="I268" t="n">
        <v>5089601</v>
      </c>
      <c r="J268" t="inlineStr">
        <is>
          <t>CONCRETOS Y PAVIMENTOS EXTERIORES S</t>
        </is>
      </c>
      <c r="K268" t="inlineStr">
        <is>
          <t>N90</t>
        </is>
      </c>
      <c r="L268" t="inlineStr">
        <is>
          <t>(AP) NAFIN 90 Dias</t>
        </is>
      </c>
      <c r="M268" t="n">
        <v>10216851</v>
      </c>
      <c r="N268" t="inlineStr">
        <is>
          <t>BASE HIDRAÚLICA - TEPETATE NG</t>
        </is>
      </c>
      <c r="O268" t="inlineStr">
        <is>
          <t>DW70</t>
        </is>
      </c>
      <c r="P268" t="inlineStr">
        <is>
          <t>MX-CED. CENTRO</t>
        </is>
      </c>
      <c r="Q268" t="n">
        <v>20250807</v>
      </c>
      <c r="R268" t="n">
        <v>20301231</v>
      </c>
      <c r="S268" t="n">
        <v>20250807</v>
      </c>
      <c r="T268" t="n">
        <v>20301231</v>
      </c>
      <c r="U268" t="n">
        <v>224</v>
      </c>
      <c r="V268" t="inlineStr">
        <is>
          <t>MXN</t>
        </is>
      </c>
      <c r="W268" t="inlineStr">
        <is>
          <t>M3</t>
        </is>
      </c>
      <c r="X268" t="n">
        <v>198</v>
      </c>
      <c r="Y268" t="inlineStr">
        <is>
          <t>MXN</t>
        </is>
      </c>
      <c r="Z268" t="inlineStr">
        <is>
          <t>M3</t>
        </is>
      </c>
      <c r="AA268" t="inlineStr">
        <is>
          <t>ENXE</t>
        </is>
      </c>
      <c r="AB268" t="inlineStr">
        <is>
          <t>PUENTES PERIFERICO ORIENTE/SICT</t>
        </is>
      </c>
      <c r="AC268" t="n">
        <v>56103590</v>
      </c>
      <c r="AD268" t="n">
        <v>6644261540</v>
      </c>
      <c r="AE268" t="n">
        <v>4</v>
      </c>
      <c r="AF268" t="inlineStr">
        <is>
          <t>ENTREGA DIRECTA</t>
        </is>
      </c>
      <c r="AG268" t="n">
        <v>1.249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20250813</v>
      </c>
      <c r="AM268" t="inlineStr">
        <is>
          <t>DW70-900008265-ENXE-10216851-4</t>
        </is>
      </c>
    </row>
    <row r="269">
      <c r="A269" t="inlineStr">
        <is>
          <t>900005730DW70ENAW10185476</t>
        </is>
      </c>
      <c r="B269" t="inlineStr">
        <is>
          <t>4600068533-40</t>
        </is>
      </c>
      <c r="C269" t="n">
        <v>4600068533</v>
      </c>
      <c r="D269" t="n">
        <v>40</v>
      </c>
      <c r="E269" t="inlineStr">
        <is>
          <t>MXPO</t>
        </is>
      </c>
      <c r="F269" t="inlineStr">
        <is>
          <t>MXL</t>
        </is>
      </c>
      <c r="G269" t="n">
        <v>900005730</v>
      </c>
      <c r="H269" t="inlineStr">
        <is>
          <t>TC-ED OLIELL</t>
        </is>
      </c>
      <c r="I269" t="n">
        <v>5048484</v>
      </c>
      <c r="J269" t="inlineStr">
        <is>
          <t>COMERCIALIZADORA Y TRANSPORTADORA O</t>
        </is>
      </c>
      <c r="K269" t="inlineStr">
        <is>
          <t>N90</t>
        </is>
      </c>
      <c r="L269" t="inlineStr">
        <is>
          <t>(AP) NAFIN 90 Dias</t>
        </is>
      </c>
      <c r="M269" t="n">
        <v>10185476</v>
      </c>
      <c r="N269" t="inlineStr">
        <is>
          <t>ARENA TRITURADA ANDESITA MALLA 4</t>
        </is>
      </c>
      <c r="O269" t="inlineStr">
        <is>
          <t>DW70</t>
        </is>
      </c>
      <c r="P269" t="inlineStr">
        <is>
          <t>MX-CED. CENTRO</t>
        </is>
      </c>
      <c r="Q269" t="n">
        <v>20230925</v>
      </c>
      <c r="R269" t="n">
        <v>20281231</v>
      </c>
      <c r="S269" t="n">
        <v>20250227</v>
      </c>
      <c r="T269" t="n">
        <v>20301231</v>
      </c>
      <c r="U269" t="n">
        <v>619.65</v>
      </c>
      <c r="V269" t="inlineStr">
        <is>
          <t>MXN</t>
        </is>
      </c>
      <c r="W269" t="inlineStr">
        <is>
          <t>M3</t>
        </is>
      </c>
      <c r="X269" t="n">
        <v>500</v>
      </c>
      <c r="Y269" t="inlineStr">
        <is>
          <t>MXN</t>
        </is>
      </c>
      <c r="Z269" t="inlineStr">
        <is>
          <t>M3</t>
        </is>
      </c>
      <c r="AA269" t="inlineStr">
        <is>
          <t>ENAW</t>
        </is>
      </c>
      <c r="AB269" t="inlineStr">
        <is>
          <t>COMPLEJO DEPORTIVO (CENCIS) / SEMAR</t>
        </is>
      </c>
      <c r="AC269" t="n">
        <v>56103638</v>
      </c>
      <c r="AD269" t="n">
        <v>6644261540</v>
      </c>
      <c r="AE269" t="n">
        <v>4</v>
      </c>
      <c r="AF269" t="inlineStr">
        <is>
          <t>ENTREGA DIRECTA</t>
        </is>
      </c>
      <c r="AG269" t="n">
        <v>1.54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20250304</v>
      </c>
      <c r="AM269" t="inlineStr">
        <is>
          <t>DW70-900005730-ENAW-10185476-4</t>
        </is>
      </c>
    </row>
    <row r="270">
      <c r="A270" t="inlineStr">
        <is>
          <t>900002813DW7010000623</t>
        </is>
      </c>
      <c r="B270" t="inlineStr">
        <is>
          <t>4600069509-20</t>
        </is>
      </c>
      <c r="C270" t="n">
        <v>4600069509</v>
      </c>
      <c r="D270" t="n">
        <v>20</v>
      </c>
      <c r="E270" t="inlineStr">
        <is>
          <t>MXPO</t>
        </is>
      </c>
      <c r="F270" t="inlineStr">
        <is>
          <t>MXL</t>
        </is>
      </c>
      <c r="G270" t="n">
        <v>900002813</v>
      </c>
      <c r="H270" t="inlineStr">
        <is>
          <t>TC-CAL DE APASCO</t>
        </is>
      </c>
      <c r="I270" t="n">
        <v>5002762</v>
      </c>
      <c r="J270" t="inlineStr">
        <is>
          <t>CAL DE APASCO SA</t>
        </is>
      </c>
      <c r="K270" t="inlineStr">
        <is>
          <t>N90</t>
        </is>
      </c>
      <c r="L270" t="inlineStr">
        <is>
          <t>(AP) NAFIN 90 Dias</t>
        </is>
      </c>
      <c r="M270" t="n">
        <v>10000623</v>
      </c>
      <c r="N270" t="inlineStr">
        <is>
          <t>Grava Triturada Caliza 10 mm - 3/8"</t>
        </is>
      </c>
      <c r="O270" t="inlineStr">
        <is>
          <t>DW70</t>
        </is>
      </c>
      <c r="P270" t="inlineStr">
        <is>
          <t>MX-CED. CENTRO</t>
        </is>
      </c>
      <c r="Q270" t="n">
        <v>20240513</v>
      </c>
      <c r="R270" t="n">
        <v>20291231</v>
      </c>
      <c r="S270" t="n">
        <v>20250621</v>
      </c>
      <c r="T270" t="n">
        <v>20301231</v>
      </c>
      <c r="U270" t="n">
        <v>110</v>
      </c>
      <c r="V270" t="inlineStr">
        <is>
          <t>MXN</t>
        </is>
      </c>
      <c r="W270" t="inlineStr">
        <is>
          <t>TN</t>
        </is>
      </c>
      <c r="X270" t="n">
        <v>0</v>
      </c>
      <c r="Y270" t="inlineStr">
        <is>
          <t>MXN</t>
        </is>
      </c>
      <c r="Z270" t="inlineStr">
        <is>
          <t>TN</t>
        </is>
      </c>
      <c r="AC270" t="n">
        <v>56103637</v>
      </c>
      <c r="AD270" t="n">
        <v>6644261540</v>
      </c>
      <c r="AE270" t="n">
        <v>1</v>
      </c>
      <c r="AF270" t="inlineStr">
        <is>
          <t>ENTREGADO</t>
        </is>
      </c>
      <c r="AG270" t="n">
        <v>1</v>
      </c>
      <c r="AH270" t="inlineStr">
        <is>
          <t>TO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20250625</v>
      </c>
      <c r="AM270" t="inlineStr">
        <is>
          <t>DW70-900002813-10000623</t>
        </is>
      </c>
    </row>
    <row r="271">
      <c r="A271" t="inlineStr">
        <is>
          <t>900005974DW7010000357</t>
        </is>
      </c>
      <c r="B271" t="inlineStr">
        <is>
          <t>4600072187-20</t>
        </is>
      </c>
      <c r="C271" t="n">
        <v>4600072187</v>
      </c>
      <c r="D271" t="n">
        <v>20</v>
      </c>
      <c r="E271" t="inlineStr">
        <is>
          <t>MXPO</t>
        </is>
      </c>
      <c r="F271" t="inlineStr">
        <is>
          <t>MXL</t>
        </is>
      </c>
      <c r="G271" t="n">
        <v>900005974</v>
      </c>
      <c r="H271" t="inlineStr">
        <is>
          <t>SF TC-BASALTEX</t>
        </is>
      </c>
      <c r="I271" t="n">
        <v>5074602</v>
      </c>
      <c r="J271" t="inlineStr">
        <is>
          <t>BASALTEX SA DE CV</t>
        </is>
      </c>
      <c r="K271" t="inlineStr">
        <is>
          <t>Z03</t>
        </is>
      </c>
      <c r="L271" t="inlineStr">
        <is>
          <t>(AP) 15 Dias</t>
        </is>
      </c>
      <c r="M271" t="n">
        <v>10000357</v>
      </c>
      <c r="N271" t="inlineStr">
        <is>
          <t>Grava Triturada Andesita 20 mm - 3/4"</t>
        </is>
      </c>
      <c r="O271" t="inlineStr">
        <is>
          <t>DW70</t>
        </is>
      </c>
      <c r="P271" t="inlineStr">
        <is>
          <t>MX-CED. CENTRO</t>
        </is>
      </c>
      <c r="Q271" t="n">
        <v>20260413</v>
      </c>
      <c r="R271" t="n">
        <v>20301231</v>
      </c>
      <c r="S271" t="n">
        <v>20260413</v>
      </c>
      <c r="T271" t="n">
        <v>20301231</v>
      </c>
      <c r="U271" t="n">
        <v>145</v>
      </c>
      <c r="V271" t="inlineStr">
        <is>
          <t>MXN</t>
        </is>
      </c>
      <c r="W271" t="inlineStr">
        <is>
          <t>M3</t>
        </is>
      </c>
      <c r="X271" t="n">
        <v>0</v>
      </c>
      <c r="Y271" t="inlineStr">
        <is>
          <t>MXN</t>
        </is>
      </c>
      <c r="Z271" t="inlineStr">
        <is>
          <t>M3</t>
        </is>
      </c>
      <c r="AC271" t="n">
        <v>56103637</v>
      </c>
      <c r="AD271" t="n">
        <v>6644261540</v>
      </c>
      <c r="AE271" t="n">
        <v>1</v>
      </c>
      <c r="AF271" t="inlineStr">
        <is>
          <t>ENTREGADO</t>
        </is>
      </c>
      <c r="AG271" t="n">
        <v>1.326</v>
      </c>
      <c r="AH271" t="inlineStr">
        <is>
          <t>M3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20260417</v>
      </c>
      <c r="AM271" t="inlineStr">
        <is>
          <t>DW70-900005974-10000357</t>
        </is>
      </c>
    </row>
    <row r="272">
      <c r="A272" t="inlineStr">
        <is>
          <t>900001810DW7010000206</t>
        </is>
      </c>
      <c r="B272" t="inlineStr">
        <is>
          <t>4600050493-60</t>
        </is>
      </c>
      <c r="C272" t="n">
        <v>4600050493</v>
      </c>
      <c r="D272" t="n">
        <v>60</v>
      </c>
      <c r="E272" t="inlineStr">
        <is>
          <t>MXPO</t>
        </is>
      </c>
      <c r="F272" t="inlineStr">
        <is>
          <t>MXL</t>
        </is>
      </c>
      <c r="G272" t="n">
        <v>900001810</v>
      </c>
      <c r="H272" t="inlineStr">
        <is>
          <t>TC-TRIVOMEX</t>
        </is>
      </c>
      <c r="I272" t="n">
        <v>5033501</v>
      </c>
      <c r="J272" t="inlineStr">
        <is>
          <t>TRITURADOS VOLCANICOS DE MEXICO</t>
        </is>
      </c>
      <c r="K272" t="inlineStr">
        <is>
          <t>Z04</t>
        </is>
      </c>
      <c r="L272" t="inlineStr">
        <is>
          <t>(AP) 30 Dias</t>
        </is>
      </c>
      <c r="M272" t="n">
        <v>10000206</v>
      </c>
      <c r="N272" t="inlineStr">
        <is>
          <t>Tepetate Triturado Tierra NA</t>
        </is>
      </c>
      <c r="O272" t="inlineStr">
        <is>
          <t>DW70</t>
        </is>
      </c>
      <c r="P272" t="inlineStr">
        <is>
          <t>MX-CED. CENTRO</t>
        </is>
      </c>
      <c r="Q272" t="n">
        <v>20210712</v>
      </c>
      <c r="R272" t="n">
        <v>20291231</v>
      </c>
      <c r="S272" t="n">
        <v>20250620</v>
      </c>
      <c r="T272" t="n">
        <v>20301231</v>
      </c>
      <c r="U272" t="n">
        <v>20</v>
      </c>
      <c r="V272" t="inlineStr">
        <is>
          <t>MXN</t>
        </is>
      </c>
      <c r="W272" t="inlineStr">
        <is>
          <t>M3</t>
        </is>
      </c>
      <c r="X272" t="n">
        <v>0</v>
      </c>
      <c r="Y272" t="inlineStr">
        <is>
          <t>MXN</t>
        </is>
      </c>
      <c r="Z272" t="inlineStr">
        <is>
          <t>M3</t>
        </is>
      </c>
      <c r="AC272" t="n">
        <v>56103695</v>
      </c>
      <c r="AD272" t="n">
        <v>6644261540</v>
      </c>
      <c r="AE272" t="n">
        <v>1</v>
      </c>
      <c r="AF272" t="inlineStr">
        <is>
          <t>ENTREGADO</t>
        </is>
      </c>
      <c r="AG272" t="n">
        <v>1.249</v>
      </c>
      <c r="AH272" t="inlineStr">
        <is>
          <t>M3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20250625</v>
      </c>
      <c r="AM272" t="inlineStr">
        <is>
          <t>DW70-900001810-10000206</t>
        </is>
      </c>
    </row>
    <row r="273">
      <c r="A273" t="inlineStr">
        <is>
          <t>900001810DW7010175723</t>
        </is>
      </c>
      <c r="B273" t="inlineStr">
        <is>
          <t>4600050493-40</t>
        </is>
      </c>
      <c r="C273" t="n">
        <v>4600050493</v>
      </c>
      <c r="D273" t="n">
        <v>40</v>
      </c>
      <c r="E273" t="inlineStr">
        <is>
          <t>MXPO</t>
        </is>
      </c>
      <c r="F273" t="inlineStr">
        <is>
          <t>MXL</t>
        </is>
      </c>
      <c r="G273" t="n">
        <v>900001810</v>
      </c>
      <c r="H273" t="inlineStr">
        <is>
          <t>TC-TRIVOMEX</t>
        </is>
      </c>
      <c r="I273" t="n">
        <v>5033501</v>
      </c>
      <c r="J273" t="inlineStr">
        <is>
          <t>TRITURADOS VOLCANICOS DE MEXICO</t>
        </is>
      </c>
      <c r="K273" t="inlineStr">
        <is>
          <t>Z04</t>
        </is>
      </c>
      <c r="L273" t="inlineStr">
        <is>
          <t>(AP) 30 Dias</t>
        </is>
      </c>
      <c r="M273" t="n">
        <v>10175723</v>
      </c>
      <c r="N273" t="inlineStr">
        <is>
          <t>BASE HIDRAULICA ANDESITA DE 1 1/2" A FIN</t>
        </is>
      </c>
      <c r="O273" t="inlineStr">
        <is>
          <t>DW70</t>
        </is>
      </c>
      <c r="P273" t="inlineStr">
        <is>
          <t>MX-CED. CENTRO</t>
        </is>
      </c>
      <c r="Q273" t="n">
        <v>20210712</v>
      </c>
      <c r="R273" t="n">
        <v>20291231</v>
      </c>
      <c r="S273" t="n">
        <v>20250620</v>
      </c>
      <c r="T273" t="n">
        <v>20301231</v>
      </c>
      <c r="U273" t="n">
        <v>127</v>
      </c>
      <c r="V273" t="inlineStr">
        <is>
          <t>MXN</t>
        </is>
      </c>
      <c r="W273" t="inlineStr">
        <is>
          <t>M3</t>
        </is>
      </c>
      <c r="X273" t="n">
        <v>0</v>
      </c>
      <c r="Y273" t="inlineStr">
        <is>
          <t>MXN</t>
        </is>
      </c>
      <c r="Z273" t="inlineStr">
        <is>
          <t>M3</t>
        </is>
      </c>
      <c r="AC273" t="n">
        <v>56103590</v>
      </c>
      <c r="AD273" t="n">
        <v>6644261540</v>
      </c>
      <c r="AE273" t="n">
        <v>1</v>
      </c>
      <c r="AF273" t="inlineStr">
        <is>
          <t>ENTREGADO</t>
        </is>
      </c>
      <c r="AG273" t="n">
        <v>1.65</v>
      </c>
      <c r="AH273" t="inlineStr">
        <is>
          <t>M3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20250625</v>
      </c>
      <c r="AM273" t="inlineStr">
        <is>
          <t>DW70-900001810-10175723</t>
        </is>
      </c>
    </row>
    <row r="274">
      <c r="A274" t="inlineStr">
        <is>
          <t>900002813DW7010000133</t>
        </is>
      </c>
      <c r="B274" t="inlineStr">
        <is>
          <t>4600069509-30</t>
        </is>
      </c>
      <c r="C274" t="n">
        <v>4600069509</v>
      </c>
      <c r="D274" t="n">
        <v>30</v>
      </c>
      <c r="E274" t="inlineStr">
        <is>
          <t>MXPO</t>
        </is>
      </c>
      <c r="F274" t="inlineStr">
        <is>
          <t>MXL</t>
        </is>
      </c>
      <c r="G274" t="n">
        <v>900002813</v>
      </c>
      <c r="H274" t="inlineStr">
        <is>
          <t>TC-CAL DE APASCO</t>
        </is>
      </c>
      <c r="I274" t="n">
        <v>5002762</v>
      </c>
      <c r="J274" t="inlineStr">
        <is>
          <t>CAL DE APASCO SA</t>
        </is>
      </c>
      <c r="K274" t="inlineStr">
        <is>
          <t>N90</t>
        </is>
      </c>
      <c r="L274" t="inlineStr">
        <is>
          <t>(AP) NAFIN 90 Dias</t>
        </is>
      </c>
      <c r="M274" t="n">
        <v>10000133</v>
      </c>
      <c r="N274" t="inlineStr">
        <is>
          <t>Grava Triturada Caliza 20 mm - 3/4"</t>
        </is>
      </c>
      <c r="O274" t="inlineStr">
        <is>
          <t>DW70</t>
        </is>
      </c>
      <c r="P274" t="inlineStr">
        <is>
          <t>MX-CED. CENTRO</t>
        </is>
      </c>
      <c r="Q274" t="n">
        <v>20240513</v>
      </c>
      <c r="R274" t="n">
        <v>20291231</v>
      </c>
      <c r="S274" t="n">
        <v>20250621</v>
      </c>
      <c r="T274" t="n">
        <v>20301231</v>
      </c>
      <c r="U274" t="n">
        <v>100</v>
      </c>
      <c r="V274" t="inlineStr">
        <is>
          <t>MXN</t>
        </is>
      </c>
      <c r="W274" t="inlineStr">
        <is>
          <t>TN</t>
        </is>
      </c>
      <c r="X274" t="n">
        <v>0</v>
      </c>
      <c r="Y274" t="inlineStr">
        <is>
          <t>MXN</t>
        </is>
      </c>
      <c r="Z274" t="inlineStr">
        <is>
          <t>TN</t>
        </is>
      </c>
      <c r="AC274" t="n">
        <v>56103637</v>
      </c>
      <c r="AD274" t="n">
        <v>6644261540</v>
      </c>
      <c r="AE274" t="n">
        <v>1</v>
      </c>
      <c r="AF274" t="inlineStr">
        <is>
          <t>ENTREGADO</t>
        </is>
      </c>
      <c r="AG274" t="n">
        <v>1</v>
      </c>
      <c r="AH274" t="inlineStr">
        <is>
          <t>TO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20250625</v>
      </c>
      <c r="AM274" t="inlineStr">
        <is>
          <t>DW70-900002813-10000133</t>
        </is>
      </c>
    </row>
    <row r="275">
      <c r="A275" t="inlineStr">
        <is>
          <t>900002813DW7010257024</t>
        </is>
      </c>
      <c r="B275" t="inlineStr">
        <is>
          <t>4600069509-10</t>
        </is>
      </c>
      <c r="C275" t="n">
        <v>4600069509</v>
      </c>
      <c r="D275" t="n">
        <v>10</v>
      </c>
      <c r="E275" t="inlineStr">
        <is>
          <t>MXPO</t>
        </is>
      </c>
      <c r="F275" t="inlineStr">
        <is>
          <t>MXL</t>
        </is>
      </c>
      <c r="G275" t="n">
        <v>900002813</v>
      </c>
      <c r="H275" t="inlineStr">
        <is>
          <t>TC-CAL DE APASCO</t>
        </is>
      </c>
      <c r="I275" t="n">
        <v>5002762</v>
      </c>
      <c r="J275" t="inlineStr">
        <is>
          <t>CAL DE APASCO SA</t>
        </is>
      </c>
      <c r="K275" t="inlineStr">
        <is>
          <t>N90</t>
        </is>
      </c>
      <c r="L275" t="inlineStr">
        <is>
          <t>(AP) NAFIN 90 Dias</t>
        </is>
      </c>
      <c r="M275" t="n">
        <v>10257024</v>
      </c>
      <c r="N275" t="inlineStr">
        <is>
          <t>ARENA TRITURADA CALIZA 4</t>
        </is>
      </c>
      <c r="O275" t="inlineStr">
        <is>
          <t>DW70</t>
        </is>
      </c>
      <c r="P275" t="inlineStr">
        <is>
          <t>MX-CED. CENTRO</t>
        </is>
      </c>
      <c r="Q275" t="n">
        <v>20240513</v>
      </c>
      <c r="R275" t="n">
        <v>20291231</v>
      </c>
      <c r="S275" t="n">
        <v>20250621</v>
      </c>
      <c r="T275" t="n">
        <v>20301231</v>
      </c>
      <c r="U275" t="n">
        <v>115</v>
      </c>
      <c r="V275" t="inlineStr">
        <is>
          <t>MXN</t>
        </is>
      </c>
      <c r="W275" t="inlineStr">
        <is>
          <t>TN</t>
        </is>
      </c>
      <c r="X275" t="n">
        <v>0</v>
      </c>
      <c r="Y275" t="inlineStr">
        <is>
          <t>MXN</t>
        </is>
      </c>
      <c r="Z275" t="inlineStr">
        <is>
          <t>TN</t>
        </is>
      </c>
      <c r="AC275" t="n">
        <v>56103638</v>
      </c>
      <c r="AD275" t="n">
        <v>6644261540</v>
      </c>
      <c r="AE275" t="n">
        <v>1</v>
      </c>
      <c r="AF275" t="inlineStr">
        <is>
          <t>ENTREGADO</t>
        </is>
      </c>
      <c r="AG275" t="n">
        <v>1</v>
      </c>
      <c r="AH275" t="inlineStr">
        <is>
          <t>TO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20250625</v>
      </c>
      <c r="AM275" t="inlineStr">
        <is>
          <t>DW70-900002813-10257024</t>
        </is>
      </c>
    </row>
    <row r="276">
      <c r="A276" t="inlineStr">
        <is>
          <t>900005974DW7010000160</t>
        </is>
      </c>
      <c r="B276" t="inlineStr">
        <is>
          <t>4600072187-10</t>
        </is>
      </c>
      <c r="C276" t="n">
        <v>4600072187</v>
      </c>
      <c r="D276" t="n">
        <v>10</v>
      </c>
      <c r="E276" t="inlineStr">
        <is>
          <t>MXPO</t>
        </is>
      </c>
      <c r="F276" t="inlineStr">
        <is>
          <t>MXL</t>
        </is>
      </c>
      <c r="G276" t="n">
        <v>900005974</v>
      </c>
      <c r="H276" t="inlineStr">
        <is>
          <t>SF TC-BASALTEX</t>
        </is>
      </c>
      <c r="I276" t="n">
        <v>5074602</v>
      </c>
      <c r="J276" t="inlineStr">
        <is>
          <t>BASALTEX SA DE CV</t>
        </is>
      </c>
      <c r="K276" t="inlineStr">
        <is>
          <t>Z03</t>
        </is>
      </c>
      <c r="L276" t="inlineStr">
        <is>
          <t>(AP) 15 Dias</t>
        </is>
      </c>
      <c r="M276" t="n">
        <v>10000160</v>
      </c>
      <c r="N276" t="inlineStr">
        <is>
          <t>Arena Triturada Andesita Malla 4</t>
        </is>
      </c>
      <c r="O276" t="inlineStr">
        <is>
          <t>DW70</t>
        </is>
      </c>
      <c r="P276" t="inlineStr">
        <is>
          <t>MX-CED. CENTRO</t>
        </is>
      </c>
      <c r="Q276" t="n">
        <v>20260413</v>
      </c>
      <c r="R276" t="n">
        <v>20301231</v>
      </c>
      <c r="S276" t="n">
        <v>20260413</v>
      </c>
      <c r="T276" t="n">
        <v>20301231</v>
      </c>
      <c r="U276" t="n">
        <v>150</v>
      </c>
      <c r="V276" t="inlineStr">
        <is>
          <t>MXN</t>
        </is>
      </c>
      <c r="W276" t="inlineStr">
        <is>
          <t>M3</t>
        </is>
      </c>
      <c r="X276" t="n">
        <v>0</v>
      </c>
      <c r="Y276" t="inlineStr">
        <is>
          <t>MXN</t>
        </is>
      </c>
      <c r="Z276" t="inlineStr">
        <is>
          <t>M3</t>
        </is>
      </c>
      <c r="AC276" t="n">
        <v>56103638</v>
      </c>
      <c r="AD276" t="n">
        <v>6644261540</v>
      </c>
      <c r="AE276" t="n">
        <v>1</v>
      </c>
      <c r="AF276" t="inlineStr">
        <is>
          <t>ENTREGADO</t>
        </is>
      </c>
      <c r="AG276" t="n">
        <v>1.409</v>
      </c>
      <c r="AH276" t="inlineStr">
        <is>
          <t>M3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20260417</v>
      </c>
      <c r="AM276" t="inlineStr">
        <is>
          <t>DW70-900005974-10000160</t>
        </is>
      </c>
    </row>
    <row r="277">
      <c r="A277" t="inlineStr">
        <is>
          <t>900008265DW70ENXE10215074</t>
        </is>
      </c>
      <c r="B277" t="inlineStr">
        <is>
          <t>4600071526-10</t>
        </is>
      </c>
      <c r="C277" t="n">
        <v>4600071526</v>
      </c>
      <c r="D277" t="n">
        <v>10</v>
      </c>
      <c r="E277" t="inlineStr">
        <is>
          <t>MXPO</t>
        </is>
      </c>
      <c r="F277" t="inlineStr">
        <is>
          <t>MXL</t>
        </is>
      </c>
      <c r="G277" t="n">
        <v>900008265</v>
      </c>
      <c r="H277" t="inlineStr">
        <is>
          <t>SF TC-ED CONCRETOS Y PAVIMENTOS</t>
        </is>
      </c>
      <c r="I277" t="n">
        <v>5089601</v>
      </c>
      <c r="J277" t="inlineStr">
        <is>
          <t>CONCRETOS Y PAVIMENTOS EXTERIORES S</t>
        </is>
      </c>
      <c r="K277" t="inlineStr">
        <is>
          <t>N90</t>
        </is>
      </c>
      <c r="L277" t="inlineStr">
        <is>
          <t>(AP) NAFIN 90 Dias</t>
        </is>
      </c>
      <c r="M277" t="n">
        <v>10215074</v>
      </c>
      <c r="N277" t="inlineStr">
        <is>
          <t>TEZONTLE 3"</t>
        </is>
      </c>
      <c r="O277" t="inlineStr">
        <is>
          <t>DW70</t>
        </is>
      </c>
      <c r="P277" t="inlineStr">
        <is>
          <t>MX-CED. CENTRO</t>
        </is>
      </c>
      <c r="Q277" t="n">
        <v>20250807</v>
      </c>
      <c r="R277" t="n">
        <v>20301231</v>
      </c>
      <c r="S277" t="n">
        <v>20250807</v>
      </c>
      <c r="T277" t="n">
        <v>20301231</v>
      </c>
      <c r="U277" t="n">
        <v>435.5</v>
      </c>
      <c r="V277" t="inlineStr">
        <is>
          <t>MXN</t>
        </is>
      </c>
      <c r="W277" t="inlineStr">
        <is>
          <t>M3</t>
        </is>
      </c>
      <c r="X277" t="n">
        <v>320</v>
      </c>
      <c r="Y277" t="inlineStr">
        <is>
          <t>MXN</t>
        </is>
      </c>
      <c r="Z277" t="inlineStr">
        <is>
          <t>M3</t>
        </is>
      </c>
      <c r="AA277" t="inlineStr">
        <is>
          <t>ENXE</t>
        </is>
      </c>
      <c r="AB277" t="inlineStr">
        <is>
          <t>PUENTES PERIFERICO ORIENTE/SICT</t>
        </is>
      </c>
      <c r="AC277" t="n">
        <v>56103637</v>
      </c>
      <c r="AD277" t="n">
        <v>6644261540</v>
      </c>
      <c r="AE277" t="n">
        <v>4</v>
      </c>
      <c r="AF277" t="inlineStr">
        <is>
          <t>ENTREGA DIRECTA</t>
        </is>
      </c>
      <c r="AG277" t="n">
        <v>1.3</v>
      </c>
      <c r="AH277" t="inlineStr">
        <is>
          <t>M3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20250813</v>
      </c>
      <c r="AM277" t="inlineStr">
        <is>
          <t>DW70-900008265-ENXE-10215074-4</t>
        </is>
      </c>
    </row>
    <row r="278">
      <c r="A278" t="inlineStr">
        <is>
          <t>900005554DW7010152583</t>
        </is>
      </c>
      <c r="B278" t="inlineStr">
        <is>
          <t>4600050704-10</t>
        </is>
      </c>
      <c r="C278" t="n">
        <v>4600050704</v>
      </c>
      <c r="D278" t="n">
        <v>10</v>
      </c>
      <c r="E278" t="inlineStr">
        <is>
          <t>MXPO</t>
        </is>
      </c>
      <c r="F278" t="inlineStr">
        <is>
          <t>MXL</t>
        </is>
      </c>
      <c r="G278" t="n">
        <v>900005554</v>
      </c>
      <c r="H278" t="inlineStr">
        <is>
          <t>TC-SAN JOSÉ</t>
        </is>
      </c>
      <c r="I278" t="n">
        <v>5070683</v>
      </c>
      <c r="J278" t="inlineStr">
        <is>
          <t>COMERCIALIZADORA DE MATERIALES</t>
        </is>
      </c>
      <c r="K278" t="inlineStr">
        <is>
          <t>N90</t>
        </is>
      </c>
      <c r="L278" t="inlineStr">
        <is>
          <t>(AP) NAFIN 90 Dias</t>
        </is>
      </c>
      <c r="M278" t="n">
        <v>10152583</v>
      </c>
      <c r="N278" t="inlineStr">
        <is>
          <t>ARENA TRITURADA ANDESITA MALLA 4</t>
        </is>
      </c>
      <c r="O278" t="inlineStr">
        <is>
          <t>DW70</t>
        </is>
      </c>
      <c r="P278" t="inlineStr">
        <is>
          <t>MX-CED. CENTRO</t>
        </is>
      </c>
      <c r="Q278" t="n">
        <v>20210712</v>
      </c>
      <c r="R278" t="n">
        <v>20261231</v>
      </c>
      <c r="S278" t="n">
        <v>20260413</v>
      </c>
      <c r="T278" t="n">
        <v>20301231</v>
      </c>
      <c r="U278" t="n">
        <v>145</v>
      </c>
      <c r="V278" t="inlineStr">
        <is>
          <t>MXN</t>
        </is>
      </c>
      <c r="W278" t="inlineStr">
        <is>
          <t>M3</t>
        </is>
      </c>
      <c r="X278" t="n">
        <v>0</v>
      </c>
      <c r="Y278" t="inlineStr">
        <is>
          <t>MXN</t>
        </is>
      </c>
      <c r="Z278" t="inlineStr">
        <is>
          <t>M3</t>
        </is>
      </c>
      <c r="AC278" t="n">
        <v>56103638</v>
      </c>
      <c r="AD278" t="n">
        <v>6644261540</v>
      </c>
      <c r="AE278" t="n">
        <v>1</v>
      </c>
      <c r="AF278" t="inlineStr">
        <is>
          <t>ENTREGADO</t>
        </is>
      </c>
      <c r="AG278" t="n">
        <v>1.419</v>
      </c>
      <c r="AH278" t="inlineStr">
        <is>
          <t>M3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20260417</v>
      </c>
      <c r="AM278" t="inlineStr">
        <is>
          <t>DW70-900005554-10152583</t>
        </is>
      </c>
    </row>
    <row r="279">
      <c r="A279" t="inlineStr">
        <is>
          <t>900005730DW70ENAS10185476</t>
        </is>
      </c>
      <c r="B279" t="inlineStr">
        <is>
          <t>4600068533-20</t>
        </is>
      </c>
      <c r="C279" t="n">
        <v>4600068533</v>
      </c>
      <c r="D279" t="n">
        <v>20</v>
      </c>
      <c r="E279" t="inlineStr">
        <is>
          <t>MXPO</t>
        </is>
      </c>
      <c r="F279" t="inlineStr">
        <is>
          <t>MXL</t>
        </is>
      </c>
      <c r="G279" t="n">
        <v>900005730</v>
      </c>
      <c r="H279" t="inlineStr">
        <is>
          <t>TC-ED OLIELL</t>
        </is>
      </c>
      <c r="I279" t="n">
        <v>5048484</v>
      </c>
      <c r="J279" t="inlineStr">
        <is>
          <t>COMERCIALIZADORA Y TRANSPORTADORA O</t>
        </is>
      </c>
      <c r="K279" t="inlineStr">
        <is>
          <t>N90</t>
        </is>
      </c>
      <c r="L279" t="inlineStr">
        <is>
          <t>(AP) NAFIN 90 Dias</t>
        </is>
      </c>
      <c r="M279" t="n">
        <v>10185476</v>
      </c>
      <c r="N279" t="inlineStr">
        <is>
          <t>ARENA TRITURADA ANDESITA MALLA 4</t>
        </is>
      </c>
      <c r="O279" t="inlineStr">
        <is>
          <t>DW70</t>
        </is>
      </c>
      <c r="P279" t="inlineStr">
        <is>
          <t>MX-CED. CENTRO</t>
        </is>
      </c>
      <c r="Q279" t="n">
        <v>20230925</v>
      </c>
      <c r="R279" t="n">
        <v>20281231</v>
      </c>
      <c r="S279" t="n">
        <v>20240927</v>
      </c>
      <c r="T279" t="n">
        <v>20291231</v>
      </c>
      <c r="U279" t="n">
        <v>259.5</v>
      </c>
      <c r="V279" t="inlineStr">
        <is>
          <t>MXN</t>
        </is>
      </c>
      <c r="W279" t="inlineStr">
        <is>
          <t>M3</t>
        </is>
      </c>
      <c r="X279" t="n">
        <v>159.5</v>
      </c>
      <c r="Y279" t="inlineStr">
        <is>
          <t>MXN</t>
        </is>
      </c>
      <c r="Z279" t="inlineStr">
        <is>
          <t>M3</t>
        </is>
      </c>
      <c r="AA279" t="inlineStr">
        <is>
          <t>ENAS</t>
        </is>
      </c>
      <c r="AB279" t="inlineStr">
        <is>
          <t>Fabrica de Vestimenta y Eq (FAVE) E</t>
        </is>
      </c>
      <c r="AC279" t="n">
        <v>56103638</v>
      </c>
      <c r="AD279" t="n">
        <v>6644261540</v>
      </c>
      <c r="AE279" t="n">
        <v>4</v>
      </c>
      <c r="AF279" t="inlineStr">
        <is>
          <t>ENTREGA DIRECTA</t>
        </is>
      </c>
      <c r="AG279" t="n">
        <v>1.54</v>
      </c>
      <c r="AH279" t="inlineStr">
        <is>
          <t>M3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20240929</v>
      </c>
      <c r="AM279" t="inlineStr">
        <is>
          <t>DW70-900005730-ENAS-10185476-4</t>
        </is>
      </c>
    </row>
    <row r="280">
      <c r="A280" t="inlineStr">
        <is>
          <t>900004725DW7010001073</t>
        </is>
      </c>
      <c r="B280" t="inlineStr">
        <is>
          <t>4600069378-10</t>
        </is>
      </c>
      <c r="C280" t="n">
        <v>4600069378</v>
      </c>
      <c r="D280" t="n">
        <v>10</v>
      </c>
      <c r="E280" t="inlineStr">
        <is>
          <t>MXPO</t>
        </is>
      </c>
      <c r="F280" t="inlineStr">
        <is>
          <t>MXL</t>
        </is>
      </c>
      <c r="G280" t="n">
        <v>900004725</v>
      </c>
      <c r="H280" t="inlineStr">
        <is>
          <t>TC-LA PLANCHA</t>
        </is>
      </c>
      <c r="I280" t="n">
        <v>5063568</v>
      </c>
      <c r="J280" t="inlineStr">
        <is>
          <t>MAQUINARIA Y CANTERAS DEL CENTRO SA</t>
        </is>
      </c>
      <c r="K280" t="inlineStr">
        <is>
          <t>Z06</t>
        </is>
      </c>
      <c r="L280" t="inlineStr">
        <is>
          <t>(AP) 45 Dias</t>
        </is>
      </c>
      <c r="M280" t="n">
        <v>10001073</v>
      </c>
      <c r="N280" t="inlineStr">
        <is>
          <t>Arena Triturada Caliza Malla 4</t>
        </is>
      </c>
      <c r="O280" t="inlineStr">
        <is>
          <t>DW70</t>
        </is>
      </c>
      <c r="P280" t="inlineStr">
        <is>
          <t>MX-CED. CENTRO</t>
        </is>
      </c>
      <c r="Q280" t="n">
        <v>20240408</v>
      </c>
      <c r="R280" t="n">
        <v>20291231</v>
      </c>
      <c r="S280" t="n">
        <v>20240408</v>
      </c>
      <c r="T280" t="n">
        <v>20291231</v>
      </c>
      <c r="U280" t="n">
        <v>95</v>
      </c>
      <c r="V280" t="inlineStr">
        <is>
          <t>MXN</t>
        </is>
      </c>
      <c r="W280" t="inlineStr">
        <is>
          <t>TN</t>
        </is>
      </c>
      <c r="X280" t="n">
        <v>0</v>
      </c>
      <c r="Y280" t="inlineStr">
        <is>
          <t>MXN</t>
        </is>
      </c>
      <c r="Z280" t="inlineStr">
        <is>
          <t>TN</t>
        </is>
      </c>
      <c r="AC280" t="n">
        <v>56103638</v>
      </c>
      <c r="AD280" t="n">
        <v>6644261540</v>
      </c>
      <c r="AE280" t="n">
        <v>1</v>
      </c>
      <c r="AF280" t="inlineStr">
        <is>
          <t>ENTREGADO</t>
        </is>
      </c>
      <c r="AG280" t="n">
        <v>1</v>
      </c>
      <c r="AH280" t="inlineStr">
        <is>
          <t>TO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20240416</v>
      </c>
      <c r="AM280" t="inlineStr">
        <is>
          <t>DW70-900004725-10001073</t>
        </is>
      </c>
    </row>
    <row r="281">
      <c r="A281" t="inlineStr">
        <is>
          <t>900004725DW7010001073</t>
        </is>
      </c>
      <c r="B281" t="inlineStr">
        <is>
          <t>4600069379-10</t>
        </is>
      </c>
      <c r="C281" t="n">
        <v>4600069379</v>
      </c>
      <c r="D281" t="n">
        <v>10</v>
      </c>
      <c r="E281" t="inlineStr">
        <is>
          <t>MXPO</t>
        </is>
      </c>
      <c r="F281" t="inlineStr">
        <is>
          <t>MXL</t>
        </is>
      </c>
      <c r="G281" t="n">
        <v>900004725</v>
      </c>
      <c r="H281" t="inlineStr">
        <is>
          <t>TC-LA PLANCHA</t>
        </is>
      </c>
      <c r="I281" t="n">
        <v>5063568</v>
      </c>
      <c r="J281" t="inlineStr">
        <is>
          <t>MAQUINARIA Y CANTERAS DEL CENTRO SA</t>
        </is>
      </c>
      <c r="K281" t="inlineStr">
        <is>
          <t>Z06</t>
        </is>
      </c>
      <c r="L281" t="inlineStr">
        <is>
          <t>(AP) 45 Dias</t>
        </is>
      </c>
      <c r="M281" t="n">
        <v>10001073</v>
      </c>
      <c r="N281" t="inlineStr">
        <is>
          <t>Arena Triturada Caliza Malla 4</t>
        </is>
      </c>
      <c r="O281" t="inlineStr">
        <is>
          <t>DW70</t>
        </is>
      </c>
      <c r="P281" t="inlineStr">
        <is>
          <t>MX-CED. CENTRO</t>
        </is>
      </c>
      <c r="Q281" t="n">
        <v>20240408</v>
      </c>
      <c r="R281" t="n">
        <v>20291231</v>
      </c>
      <c r="S281" t="n">
        <v>20240408</v>
      </c>
      <c r="T281" t="n">
        <v>20291231</v>
      </c>
      <c r="U281" t="n">
        <v>95</v>
      </c>
      <c r="V281" t="inlineStr">
        <is>
          <t>MXN</t>
        </is>
      </c>
      <c r="W281" t="inlineStr">
        <is>
          <t>TN</t>
        </is>
      </c>
      <c r="X281" t="n">
        <v>0</v>
      </c>
      <c r="Y281" t="inlineStr">
        <is>
          <t>MXN</t>
        </is>
      </c>
      <c r="Z281" t="inlineStr">
        <is>
          <t>TN</t>
        </is>
      </c>
      <c r="AC281" t="n">
        <v>56103638</v>
      </c>
      <c r="AD281" t="n">
        <v>6644261540</v>
      </c>
      <c r="AE281" t="n">
        <v>2</v>
      </c>
      <c r="AF281" t="inlineStr">
        <is>
          <t>RECOGIDO</t>
        </is>
      </c>
      <c r="AG281" t="n">
        <v>1</v>
      </c>
      <c r="AH281" t="inlineStr">
        <is>
          <t>TO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20240416</v>
      </c>
      <c r="AM281" t="inlineStr">
        <is>
          <t>DW70-900004725-10001073</t>
        </is>
      </c>
    </row>
    <row r="282">
      <c r="A282" t="inlineStr">
        <is>
          <t>900007079DW70ENDC10000160</t>
        </is>
      </c>
      <c r="B282" t="inlineStr">
        <is>
          <t>4600071478-50</t>
        </is>
      </c>
      <c r="C282" t="n">
        <v>4600071478</v>
      </c>
      <c r="D282" t="n">
        <v>50</v>
      </c>
      <c r="E282" t="inlineStr">
        <is>
          <t>MXPO</t>
        </is>
      </c>
      <c r="F282" t="inlineStr">
        <is>
          <t>MXL</t>
        </is>
      </c>
      <c r="G282" t="n">
        <v>900007079</v>
      </c>
      <c r="H282" t="inlineStr">
        <is>
          <t>SF TC-ED-TRIVOMEX</t>
        </is>
      </c>
      <c r="I282" t="n">
        <v>5033501</v>
      </c>
      <c r="J282" t="inlineStr">
        <is>
          <t>TRITURADOS VOLCANICOS DE MEXICO</t>
        </is>
      </c>
      <c r="K282" t="inlineStr">
        <is>
          <t>Z04</t>
        </is>
      </c>
      <c r="L282" t="inlineStr">
        <is>
          <t>(AP) 30 Dias</t>
        </is>
      </c>
      <c r="M282" t="n">
        <v>10000160</v>
      </c>
      <c r="N282" t="inlineStr">
        <is>
          <t>Arena Triturada Andesita Malla 4</t>
        </is>
      </c>
      <c r="O282" t="inlineStr">
        <is>
          <t>DW70</t>
        </is>
      </c>
      <c r="P282" t="inlineStr">
        <is>
          <t>MX-CED. CENTRO</t>
        </is>
      </c>
      <c r="Q282" t="n">
        <v>20250722</v>
      </c>
      <c r="R282" t="n">
        <v>20301231</v>
      </c>
      <c r="S282" t="n">
        <v>20250930</v>
      </c>
      <c r="T282" t="n">
        <v>20301231</v>
      </c>
      <c r="U282" t="n">
        <v>268</v>
      </c>
      <c r="V282" t="inlineStr">
        <is>
          <t>MXN</t>
        </is>
      </c>
      <c r="W282" t="inlineStr">
        <is>
          <t>M3</t>
        </is>
      </c>
      <c r="X282" t="n">
        <v>150</v>
      </c>
      <c r="Y282" t="inlineStr">
        <is>
          <t>MXN</t>
        </is>
      </c>
      <c r="Z282" t="inlineStr">
        <is>
          <t>M3</t>
        </is>
      </c>
      <c r="AA282" t="inlineStr">
        <is>
          <t>ENDC</t>
        </is>
      </c>
      <c r="AB282" t="inlineStr">
        <is>
          <t>COMPLEJO DEPORTIVO (CENCIS) E2 / SE</t>
        </is>
      </c>
      <c r="AC282" t="n">
        <v>56103638</v>
      </c>
      <c r="AD282" t="n">
        <v>6644261540</v>
      </c>
      <c r="AE282" t="n">
        <v>4</v>
      </c>
      <c r="AF282" t="inlineStr">
        <is>
          <t>ENTREGA DIRECTA</t>
        </is>
      </c>
      <c r="AG282" t="n">
        <v>1.409</v>
      </c>
      <c r="AH282" t="inlineStr">
        <is>
          <t>M3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20251002</v>
      </c>
      <c r="AM282" t="inlineStr">
        <is>
          <t>DW70-900007079-ENDC-10000160-4</t>
        </is>
      </c>
    </row>
    <row r="283">
      <c r="A283" t="inlineStr">
        <is>
          <t>900007079DW70ENDC10000206</t>
        </is>
      </c>
      <c r="B283" t="inlineStr">
        <is>
          <t>4600071478-60</t>
        </is>
      </c>
      <c r="C283" t="n">
        <v>4600071478</v>
      </c>
      <c r="D283" t="n">
        <v>60</v>
      </c>
      <c r="E283" t="inlineStr">
        <is>
          <t>MXPO</t>
        </is>
      </c>
      <c r="F283" t="inlineStr">
        <is>
          <t>MXL</t>
        </is>
      </c>
      <c r="G283" t="n">
        <v>900007079</v>
      </c>
      <c r="H283" t="inlineStr">
        <is>
          <t>SF TC-ED-TRIVOMEX</t>
        </is>
      </c>
      <c r="I283" t="n">
        <v>5033501</v>
      </c>
      <c r="J283" t="inlineStr">
        <is>
          <t>TRITURADOS VOLCANICOS DE MEXICO</t>
        </is>
      </c>
      <c r="K283" t="inlineStr">
        <is>
          <t>Z04</t>
        </is>
      </c>
      <c r="L283" t="inlineStr">
        <is>
          <t>(AP) 30 Dias</t>
        </is>
      </c>
      <c r="M283" t="n">
        <v>10000206</v>
      </c>
      <c r="N283" t="inlineStr">
        <is>
          <t>Tepetate Triturado Tierra NA</t>
        </is>
      </c>
      <c r="O283" t="inlineStr">
        <is>
          <t>DW70</t>
        </is>
      </c>
      <c r="P283" t="inlineStr">
        <is>
          <t>MX-CED. CENTRO</t>
        </is>
      </c>
      <c r="Q283" t="n">
        <v>20250722</v>
      </c>
      <c r="R283" t="n">
        <v>20301231</v>
      </c>
      <c r="S283" t="n">
        <v>20250930</v>
      </c>
      <c r="T283" t="n">
        <v>20301231</v>
      </c>
      <c r="U283" t="n">
        <v>170</v>
      </c>
      <c r="V283" t="inlineStr">
        <is>
          <t>MXN</t>
        </is>
      </c>
      <c r="W283" t="inlineStr">
        <is>
          <t>M3</t>
        </is>
      </c>
      <c r="X283" t="n">
        <v>150</v>
      </c>
      <c r="Y283" t="inlineStr">
        <is>
          <t>MXN</t>
        </is>
      </c>
      <c r="Z283" t="inlineStr">
        <is>
          <t>M3</t>
        </is>
      </c>
      <c r="AA283" t="inlineStr">
        <is>
          <t>ENDC</t>
        </is>
      </c>
      <c r="AB283" t="inlineStr">
        <is>
          <t>COMPLEJO DEPORTIVO (CENCIS) E2 / SE</t>
        </is>
      </c>
      <c r="AC283" t="n">
        <v>56103695</v>
      </c>
      <c r="AD283" t="n">
        <v>6644261540</v>
      </c>
      <c r="AE283" t="n">
        <v>4</v>
      </c>
      <c r="AF283" t="inlineStr">
        <is>
          <t>ENTREGA DIRECTA</t>
        </is>
      </c>
      <c r="AG283" t="n">
        <v>1.249</v>
      </c>
      <c r="AH283" t="inlineStr">
        <is>
          <t>M3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20251002</v>
      </c>
      <c r="AM283" t="inlineStr">
        <is>
          <t>DW70-900007079-ENDC-10000206-4</t>
        </is>
      </c>
    </row>
    <row r="284">
      <c r="A284" t="inlineStr">
        <is>
          <t>900005730DW70ENDC10185476</t>
        </is>
      </c>
      <c r="B284" t="inlineStr">
        <is>
          <t>4600068533-90</t>
        </is>
      </c>
      <c r="C284" t="n">
        <v>4600068533</v>
      </c>
      <c r="D284" t="n">
        <v>90</v>
      </c>
      <c r="E284" t="inlineStr">
        <is>
          <t>MXPO</t>
        </is>
      </c>
      <c r="F284" t="inlineStr">
        <is>
          <t>MXL</t>
        </is>
      </c>
      <c r="G284" t="n">
        <v>900005730</v>
      </c>
      <c r="H284" t="inlineStr">
        <is>
          <t>TC-ED OLIELL</t>
        </is>
      </c>
      <c r="I284" t="n">
        <v>5048484</v>
      </c>
      <c r="J284" t="inlineStr">
        <is>
          <t>COMERCIALIZADORA Y TRANSPORTADORA O</t>
        </is>
      </c>
      <c r="K284" t="inlineStr">
        <is>
          <t>N90</t>
        </is>
      </c>
      <c r="L284" t="inlineStr">
        <is>
          <t>(AP) NAFIN 90 Dias</t>
        </is>
      </c>
      <c r="M284" t="n">
        <v>10185476</v>
      </c>
      <c r="N284" t="inlineStr">
        <is>
          <t>ARENA TRITURADA ANDESITA MALLA 4</t>
        </is>
      </c>
      <c r="O284" t="inlineStr">
        <is>
          <t>DW70</t>
        </is>
      </c>
      <c r="P284" t="inlineStr">
        <is>
          <t>MX-CED. CENTRO</t>
        </is>
      </c>
      <c r="Q284" t="n">
        <v>20230925</v>
      </c>
      <c r="R284" t="n">
        <v>20281231</v>
      </c>
      <c r="S284" t="n">
        <v>20250603</v>
      </c>
      <c r="T284" t="n">
        <v>20301231</v>
      </c>
      <c r="U284" t="n">
        <v>619.65</v>
      </c>
      <c r="V284" t="inlineStr">
        <is>
          <t>MXN</t>
        </is>
      </c>
      <c r="W284" t="inlineStr">
        <is>
          <t>M3</t>
        </is>
      </c>
      <c r="X284" t="n">
        <v>500</v>
      </c>
      <c r="Y284" t="inlineStr">
        <is>
          <t>MXN</t>
        </is>
      </c>
      <c r="Z284" t="inlineStr">
        <is>
          <t>M3</t>
        </is>
      </c>
      <c r="AA284" t="inlineStr">
        <is>
          <t>ENDC</t>
        </is>
      </c>
      <c r="AB284" t="inlineStr">
        <is>
          <t>COMPLEJO DEPORTIVO (CENCIS) E2 / SE</t>
        </is>
      </c>
      <c r="AC284" t="n">
        <v>56103638</v>
      </c>
      <c r="AD284" t="n">
        <v>6644261540</v>
      </c>
      <c r="AE284" t="n">
        <v>4</v>
      </c>
      <c r="AF284" t="inlineStr">
        <is>
          <t>ENTREGA DIRECTA</t>
        </is>
      </c>
      <c r="AG284" t="n">
        <v>1.54</v>
      </c>
      <c r="AH284" t="inlineStr">
        <is>
          <t>M3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20250609</v>
      </c>
      <c r="AM284" t="inlineStr">
        <is>
          <t>DW70-900005730-ENDC-10185476-4</t>
        </is>
      </c>
    </row>
    <row r="285">
      <c r="A285" t="inlineStr">
        <is>
          <t>900000472DW70D08310211427</t>
        </is>
      </c>
      <c r="B285" t="inlineStr">
        <is>
          <t>4600050481-1080</t>
        </is>
      </c>
      <c r="C285" t="n">
        <v>4600050481</v>
      </c>
      <c r="D285" t="n">
        <v>1080</v>
      </c>
      <c r="E285" t="inlineStr">
        <is>
          <t>MXPO</t>
        </is>
      </c>
      <c r="F285" t="inlineStr">
        <is>
          <t>MXL</t>
        </is>
      </c>
      <c r="G285" t="n">
        <v>900000472</v>
      </c>
      <c r="H285" t="inlineStr">
        <is>
          <t>TC-ED-TRIMCAV</t>
        </is>
      </c>
      <c r="I285" t="n">
        <v>5010147</v>
      </c>
      <c r="J285" t="inlineStr">
        <is>
          <t>TRITURACIONES DE MARMOL Y CALCIOS</t>
        </is>
      </c>
      <c r="K285" t="inlineStr">
        <is>
          <t>Z04</t>
        </is>
      </c>
      <c r="L285" t="inlineStr">
        <is>
          <t>(AP) 30 Dias</t>
        </is>
      </c>
      <c r="M285" t="n">
        <v>10211427</v>
      </c>
      <c r="N285" t="inlineStr">
        <is>
          <t>ARENA TRITURADA BARITA</t>
        </is>
      </c>
      <c r="O285" t="inlineStr">
        <is>
          <t>DW70</t>
        </is>
      </c>
      <c r="P285" t="inlineStr">
        <is>
          <t>MX-CED. CENTRO</t>
        </is>
      </c>
      <c r="Q285" t="n">
        <v>20210712</v>
      </c>
      <c r="R285" t="n">
        <v>20291231</v>
      </c>
      <c r="S285" t="n">
        <v>20251007</v>
      </c>
      <c r="T285" t="n">
        <v>20301231</v>
      </c>
      <c r="U285" t="n">
        <v>6500</v>
      </c>
      <c r="V285" t="inlineStr">
        <is>
          <t>MXN</t>
        </is>
      </c>
      <c r="W285" t="inlineStr">
        <is>
          <t>TN</t>
        </is>
      </c>
      <c r="X285" t="n">
        <v>2000</v>
      </c>
      <c r="Y285" t="inlineStr">
        <is>
          <t>MXN</t>
        </is>
      </c>
      <c r="Z285" t="inlineStr">
        <is>
          <t>TN</t>
        </is>
      </c>
      <c r="AA285" t="inlineStr">
        <is>
          <t>D083</t>
        </is>
      </c>
      <c r="AB285" t="inlineStr">
        <is>
          <t>PD0099 MINAS</t>
        </is>
      </c>
      <c r="AC285" t="n">
        <v>56103638</v>
      </c>
      <c r="AD285" t="n">
        <v>6644261540</v>
      </c>
      <c r="AE285" t="n">
        <v>4</v>
      </c>
      <c r="AF285" t="inlineStr">
        <is>
          <t>ENTREGA DIRECTA</t>
        </is>
      </c>
      <c r="AG285" t="n">
        <v>1</v>
      </c>
      <c r="AH285" t="inlineStr">
        <is>
          <t>TO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20251009</v>
      </c>
      <c r="AM285" t="inlineStr">
        <is>
          <t>DW70-900000472-D083-10211427-4</t>
        </is>
      </c>
    </row>
    <row r="286">
      <c r="A286" t="inlineStr">
        <is>
          <t>900000472DW70D08310004432</t>
        </is>
      </c>
      <c r="B286" t="inlineStr">
        <is>
          <t>4600050481-1070</t>
        </is>
      </c>
      <c r="C286" t="n">
        <v>4600050481</v>
      </c>
      <c r="D286" t="n">
        <v>1070</v>
      </c>
      <c r="E286" t="inlineStr">
        <is>
          <t>MXPO</t>
        </is>
      </c>
      <c r="F286" t="inlineStr">
        <is>
          <t>MXL</t>
        </is>
      </c>
      <c r="G286" t="n">
        <v>900000472</v>
      </c>
      <c r="H286" t="inlineStr">
        <is>
          <t>TC-ED-TRIMCAV</t>
        </is>
      </c>
      <c r="I286" t="n">
        <v>5010147</v>
      </c>
      <c r="J286" t="inlineStr">
        <is>
          <t>TRITURACIONES DE MARMOL Y CALCIOS</t>
        </is>
      </c>
      <c r="K286" t="inlineStr">
        <is>
          <t>Z04</t>
        </is>
      </c>
      <c r="L286" t="inlineStr">
        <is>
          <t>(AP) 30 Dias</t>
        </is>
      </c>
      <c r="M286" t="n">
        <v>10004432</v>
      </c>
      <c r="N286" t="inlineStr">
        <is>
          <t>Grava Triturada Barita 20 mm - 3/4"</t>
        </is>
      </c>
      <c r="O286" t="inlineStr">
        <is>
          <t>DW70</t>
        </is>
      </c>
      <c r="P286" t="inlineStr">
        <is>
          <t>MX-CED. CENTRO</t>
        </is>
      </c>
      <c r="Q286" t="n">
        <v>20210712</v>
      </c>
      <c r="R286" t="n">
        <v>20291231</v>
      </c>
      <c r="S286" t="n">
        <v>20251007</v>
      </c>
      <c r="T286" t="n">
        <v>20301231</v>
      </c>
      <c r="U286" t="n">
        <v>6500</v>
      </c>
      <c r="V286" t="inlineStr">
        <is>
          <t>MXN</t>
        </is>
      </c>
      <c r="W286" t="inlineStr">
        <is>
          <t>TN</t>
        </is>
      </c>
      <c r="X286" t="n">
        <v>2000</v>
      </c>
      <c r="Y286" t="inlineStr">
        <is>
          <t>MXN</t>
        </is>
      </c>
      <c r="Z286" t="inlineStr">
        <is>
          <t>TN</t>
        </is>
      </c>
      <c r="AA286" t="inlineStr">
        <is>
          <t>D083</t>
        </is>
      </c>
      <c r="AB286" t="inlineStr">
        <is>
          <t>PD0099 MINAS</t>
        </is>
      </c>
      <c r="AC286" t="n">
        <v>56103637</v>
      </c>
      <c r="AD286" t="n">
        <v>6644261540</v>
      </c>
      <c r="AE286" t="n">
        <v>4</v>
      </c>
      <c r="AF286" t="inlineStr">
        <is>
          <t>ENTREGA DIRECTA</t>
        </is>
      </c>
      <c r="AG286" t="n">
        <v>1</v>
      </c>
      <c r="AH286" t="inlineStr">
        <is>
          <t>TO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20251009</v>
      </c>
      <c r="AM286" t="inlineStr">
        <is>
          <t>DW70-900000472-D083-10004432-4</t>
        </is>
      </c>
    </row>
    <row r="287">
      <c r="A287" t="inlineStr">
        <is>
          <t>900007197DW7010000160</t>
        </is>
      </c>
      <c r="B287" t="inlineStr">
        <is>
          <t>4600051981-10</t>
        </is>
      </c>
      <c r="C287" t="n">
        <v>4600051981</v>
      </c>
      <c r="D287" t="n">
        <v>10</v>
      </c>
      <c r="E287" t="inlineStr">
        <is>
          <t>MXPO</t>
        </is>
      </c>
      <c r="F287" t="inlineStr">
        <is>
          <t>MXL</t>
        </is>
      </c>
      <c r="G287" t="n">
        <v>900007197</v>
      </c>
      <c r="H287" t="inlineStr">
        <is>
          <t>SF TC-LA PALOMA HUIXQUILUCAN</t>
        </is>
      </c>
      <c r="I287" t="n">
        <v>5007159</v>
      </c>
      <c r="J287" t="inlineStr">
        <is>
          <t>CONSTRUCCION Y MATERIALES HUIXQUILU</t>
        </is>
      </c>
      <c r="K287" t="inlineStr">
        <is>
          <t>N90</t>
        </is>
      </c>
      <c r="L287" t="inlineStr">
        <is>
          <t>(AP) NAFIN 90 Dias</t>
        </is>
      </c>
      <c r="M287" t="n">
        <v>10000160</v>
      </c>
      <c r="N287" t="inlineStr">
        <is>
          <t>Arena Triturada Andesita Malla 4</t>
        </is>
      </c>
      <c r="O287" t="inlineStr">
        <is>
          <t>DW70</t>
        </is>
      </c>
      <c r="P287" t="inlineStr">
        <is>
          <t>MX-CED. CENTRO</t>
        </is>
      </c>
      <c r="Q287" t="n">
        <v>20210922</v>
      </c>
      <c r="R287" t="n">
        <v>20261231</v>
      </c>
      <c r="U287" t="n">
        <v>0</v>
      </c>
      <c r="V287" t="inlineStr">
        <is>
          <t>MXN</t>
        </is>
      </c>
      <c r="W287" t="inlineStr">
        <is>
          <t>M3</t>
        </is>
      </c>
      <c r="AC287" t="n">
        <v>56103638</v>
      </c>
      <c r="AD287" t="n">
        <v>6644261540</v>
      </c>
      <c r="AE287" t="n">
        <v>1</v>
      </c>
      <c r="AF287" t="inlineStr">
        <is>
          <t>ENTREGADO</t>
        </is>
      </c>
      <c r="AG287" t="n">
        <v>1.409</v>
      </c>
      <c r="AH287" t="inlineStr">
        <is>
          <t>M3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20260312</v>
      </c>
      <c r="AM287" t="inlineStr">
        <is>
          <t>DW70-900007197-10000160</t>
        </is>
      </c>
    </row>
    <row r="288">
      <c r="A288" t="inlineStr">
        <is>
          <t>900001810DW7010000357</t>
        </is>
      </c>
      <c r="B288" t="inlineStr">
        <is>
          <t>4600050493-20</t>
        </is>
      </c>
      <c r="C288" t="n">
        <v>4600050493</v>
      </c>
      <c r="D288" t="n">
        <v>20</v>
      </c>
      <c r="E288" t="inlineStr">
        <is>
          <t>MXPO</t>
        </is>
      </c>
      <c r="F288" t="inlineStr">
        <is>
          <t>MXL</t>
        </is>
      </c>
      <c r="G288" t="n">
        <v>900001810</v>
      </c>
      <c r="H288" t="inlineStr">
        <is>
          <t>TC-TRIVOMEX</t>
        </is>
      </c>
      <c r="I288" t="n">
        <v>5033501</v>
      </c>
      <c r="J288" t="inlineStr">
        <is>
          <t>TRITURADOS VOLCANICOS DE MEXICO</t>
        </is>
      </c>
      <c r="K288" t="inlineStr">
        <is>
          <t>Z04</t>
        </is>
      </c>
      <c r="L288" t="inlineStr">
        <is>
          <t>(AP) 30 Dias</t>
        </is>
      </c>
      <c r="M288" t="n">
        <v>10000357</v>
      </c>
      <c r="N288" t="inlineStr">
        <is>
          <t>Grava Triturada Andesita 20 mm - 3/4"</t>
        </is>
      </c>
      <c r="O288" t="inlineStr">
        <is>
          <t>DW70</t>
        </is>
      </c>
      <c r="P288" t="inlineStr">
        <is>
          <t>MX-CED. CENTRO</t>
        </is>
      </c>
      <c r="Q288" t="n">
        <v>20210712</v>
      </c>
      <c r="R288" t="n">
        <v>20291231</v>
      </c>
      <c r="U288" t="n">
        <v>0</v>
      </c>
      <c r="V288" t="inlineStr">
        <is>
          <t>MXN</t>
        </is>
      </c>
      <c r="W288" t="inlineStr">
        <is>
          <t>M3</t>
        </is>
      </c>
      <c r="AC288" t="n">
        <v>56103637</v>
      </c>
      <c r="AD288" t="n">
        <v>6644261540</v>
      </c>
      <c r="AE288" t="n">
        <v>1</v>
      </c>
      <c r="AF288" t="inlineStr">
        <is>
          <t>ENTREGADO</t>
        </is>
      </c>
      <c r="AG288" t="n">
        <v>1.326</v>
      </c>
      <c r="AH288" t="inlineStr">
        <is>
          <t>M3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20260319</v>
      </c>
      <c r="AM288" t="inlineStr">
        <is>
          <t>DW70-900001810-10000357</t>
        </is>
      </c>
    </row>
    <row r="289">
      <c r="A289" t="inlineStr">
        <is>
          <t>900003438DW70D08710000811</t>
        </is>
      </c>
      <c r="B289" t="inlineStr">
        <is>
          <t>4600050497-960</t>
        </is>
      </c>
      <c r="C289" t="n">
        <v>4600050497</v>
      </c>
      <c r="D289" t="n">
        <v>960</v>
      </c>
      <c r="E289" t="inlineStr">
        <is>
          <t>MXPO</t>
        </is>
      </c>
      <c r="F289" t="inlineStr">
        <is>
          <t>MXL</t>
        </is>
      </c>
      <c r="G289" t="n">
        <v>900003438</v>
      </c>
      <c r="H289" t="inlineStr">
        <is>
          <t>TC-ED-ESTRATEGIAS AVANZADAS</t>
        </is>
      </c>
      <c r="I289" t="n">
        <v>5049458</v>
      </c>
      <c r="J289" t="inlineStr">
        <is>
          <t>ESTRATEGIAS AVANZADAS PARA OBTEN</t>
        </is>
      </c>
      <c r="K289" t="inlineStr">
        <is>
          <t>Z03</t>
        </is>
      </c>
      <c r="L289" t="inlineStr">
        <is>
          <t>(AP) 15 Dias</t>
        </is>
      </c>
      <c r="M289" t="n">
        <v>10000811</v>
      </c>
      <c r="N289" t="inlineStr">
        <is>
          <t>Grava Triturada Caliza 20 mm - 3/4"</t>
        </is>
      </c>
      <c r="O289" t="inlineStr">
        <is>
          <t>DW70</t>
        </is>
      </c>
      <c r="P289" t="inlineStr">
        <is>
          <t>MX-CED. CENTRO</t>
        </is>
      </c>
      <c r="Q289" t="n">
        <v>20210712</v>
      </c>
      <c r="R289" t="n">
        <v>20281231</v>
      </c>
      <c r="S289" t="n">
        <v>20260907</v>
      </c>
      <c r="T289" t="n">
        <v>20301231</v>
      </c>
      <c r="U289" t="n">
        <v>413.5</v>
      </c>
      <c r="V289" t="inlineStr">
        <is>
          <t>MXN</t>
        </is>
      </c>
      <c r="W289" t="inlineStr">
        <is>
          <t>M3</t>
        </is>
      </c>
      <c r="X289" t="n">
        <v>213.5</v>
      </c>
      <c r="Y289" t="inlineStr">
        <is>
          <t>MXN</t>
        </is>
      </c>
      <c r="Z289" t="inlineStr">
        <is>
          <t>M3</t>
        </is>
      </c>
      <c r="AA289" t="inlineStr">
        <is>
          <t>D087</t>
        </is>
      </c>
      <c r="AB289" t="inlineStr">
        <is>
          <t>PD0192 ZUMPANGO 2</t>
        </is>
      </c>
      <c r="AC289" t="n">
        <v>56103637</v>
      </c>
      <c r="AD289" t="n">
        <v>6644261540</v>
      </c>
      <c r="AE289" t="n">
        <v>4</v>
      </c>
      <c r="AF289" t="inlineStr">
        <is>
          <t>ENTREGA DIRECTA</t>
        </is>
      </c>
      <c r="AG289" t="n">
        <v>1.447</v>
      </c>
      <c r="AH289" t="inlineStr">
        <is>
          <t>M3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20260909</v>
      </c>
      <c r="AM289" t="inlineStr">
        <is>
          <t>DW70-900003438-D087-10000811-4</t>
        </is>
      </c>
    </row>
    <row r="290">
      <c r="A290" t="inlineStr">
        <is>
          <t>900005730DW7010227598</t>
        </is>
      </c>
      <c r="B290" t="inlineStr">
        <is>
          <t>4600068533-10</t>
        </is>
      </c>
      <c r="C290" t="n">
        <v>4600068533</v>
      </c>
      <c r="D290" t="n">
        <v>10</v>
      </c>
      <c r="E290" t="inlineStr">
        <is>
          <t>MXPO</t>
        </is>
      </c>
      <c r="F290" t="inlineStr">
        <is>
          <t>MXL</t>
        </is>
      </c>
      <c r="G290" t="n">
        <v>900005730</v>
      </c>
      <c r="H290" t="inlineStr">
        <is>
          <t>TC-ED OLIELL</t>
        </is>
      </c>
      <c r="I290" t="n">
        <v>5048484</v>
      </c>
      <c r="J290" t="inlineStr">
        <is>
          <t>COMERCIALIZADORA Y TRANSPORTADORA O</t>
        </is>
      </c>
      <c r="K290" t="inlineStr">
        <is>
          <t>N90</t>
        </is>
      </c>
      <c r="L290" t="inlineStr">
        <is>
          <t>(AP) NAFIN 90 Dias</t>
        </is>
      </c>
      <c r="M290" t="n">
        <v>10227598</v>
      </c>
      <c r="N290" t="inlineStr">
        <is>
          <t>ARENA ANDESITA LIGERA</t>
        </is>
      </c>
      <c r="O290" t="inlineStr">
        <is>
          <t>DW70</t>
        </is>
      </c>
      <c r="P290" t="inlineStr">
        <is>
          <t>MX-CED. CENTRO</t>
        </is>
      </c>
      <c r="Q290" t="n">
        <v>20230925</v>
      </c>
      <c r="R290" t="n">
        <v>20281231</v>
      </c>
      <c r="S290" t="n">
        <v>20230925</v>
      </c>
      <c r="T290" t="n">
        <v>20281231</v>
      </c>
      <c r="U290" t="n">
        <v>82.5</v>
      </c>
      <c r="V290" t="inlineStr">
        <is>
          <t>MXN</t>
        </is>
      </c>
      <c r="W290" t="inlineStr">
        <is>
          <t>M3</t>
        </is>
      </c>
      <c r="X290" t="n">
        <v>0</v>
      </c>
      <c r="Y290" t="inlineStr">
        <is>
          <t>MXN</t>
        </is>
      </c>
      <c r="Z290" t="inlineStr">
        <is>
          <t>M3</t>
        </is>
      </c>
      <c r="AC290" t="n">
        <v>56103638</v>
      </c>
      <c r="AD290" t="n">
        <v>6644261540</v>
      </c>
      <c r="AE290" t="n">
        <v>1</v>
      </c>
      <c r="AF290" t="inlineStr">
        <is>
          <t>ENTREGADO</t>
        </is>
      </c>
      <c r="AG290" t="n">
        <v>1.185</v>
      </c>
      <c r="AH290" t="inlineStr">
        <is>
          <t>M3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20230927</v>
      </c>
      <c r="AM290" t="inlineStr">
        <is>
          <t>DW70-900005730-10227598</t>
        </is>
      </c>
    </row>
    <row r="291">
      <c r="A291" t="inlineStr">
        <is>
          <t>900004090DW70D08310000623</t>
        </is>
      </c>
      <c r="B291" t="inlineStr">
        <is>
          <t>4600050503-60</t>
        </is>
      </c>
      <c r="C291" t="n">
        <v>4600050503</v>
      </c>
      <c r="D291" t="n">
        <v>60</v>
      </c>
      <c r="E291" t="inlineStr">
        <is>
          <t>MXPO</t>
        </is>
      </c>
      <c r="F291" t="inlineStr">
        <is>
          <t>MXL</t>
        </is>
      </c>
      <c r="G291" t="n">
        <v>900004090</v>
      </c>
      <c r="H291" t="inlineStr">
        <is>
          <t>TC-ED-ESTRATEGIAS AVANZADAS (CONEJO</t>
        </is>
      </c>
      <c r="I291" t="n">
        <v>5049458</v>
      </c>
      <c r="J291" t="inlineStr">
        <is>
          <t>ESTRATEGIAS AVANZADAS PARA OBTEN</t>
        </is>
      </c>
      <c r="K291" t="inlineStr">
        <is>
          <t>Z03</t>
        </is>
      </c>
      <c r="L291" t="inlineStr">
        <is>
          <t>(AP) 15 Dias</t>
        </is>
      </c>
      <c r="M291" t="n">
        <v>10000623</v>
      </c>
      <c r="N291" t="inlineStr">
        <is>
          <t>Grava Triturada Caliza 10 mm - 3/8"</t>
        </is>
      </c>
      <c r="O291" t="inlineStr">
        <is>
          <t>DW70</t>
        </is>
      </c>
      <c r="P291" t="inlineStr">
        <is>
          <t>MX-CED. CENTRO</t>
        </is>
      </c>
      <c r="Q291" t="n">
        <v>20210712</v>
      </c>
      <c r="R291" t="n">
        <v>20261231</v>
      </c>
      <c r="S291" t="n">
        <v>20210712</v>
      </c>
      <c r="T291" t="n">
        <v>20261231</v>
      </c>
      <c r="U291" t="n">
        <v>351.48</v>
      </c>
      <c r="V291" t="inlineStr">
        <is>
          <t>MXN</t>
        </is>
      </c>
      <c r="W291" t="inlineStr">
        <is>
          <t>M3</t>
        </is>
      </c>
      <c r="X291" t="n">
        <v>216.48</v>
      </c>
      <c r="Y291" t="inlineStr">
        <is>
          <t>MXN</t>
        </is>
      </c>
      <c r="Z291" t="inlineStr">
        <is>
          <t>M3</t>
        </is>
      </c>
      <c r="AA291" t="inlineStr">
        <is>
          <t>D083</t>
        </is>
      </c>
      <c r="AB291" t="inlineStr">
        <is>
          <t>PD0099 MINAS</t>
        </is>
      </c>
      <c r="AC291" t="n">
        <v>56103637</v>
      </c>
      <c r="AD291" t="n">
        <v>6644261540</v>
      </c>
      <c r="AE291" t="n">
        <v>4</v>
      </c>
      <c r="AF291" t="inlineStr">
        <is>
          <t>ENTREGA DIRECTA</t>
        </is>
      </c>
      <c r="AG291" t="n">
        <v>1.41</v>
      </c>
      <c r="AH291" t="inlineStr">
        <is>
          <t>M3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20260108</v>
      </c>
      <c r="AM291" t="inlineStr">
        <is>
          <t>DW70-900004090-D083-10000623-4</t>
        </is>
      </c>
    </row>
    <row r="292">
      <c r="A292" t="inlineStr">
        <is>
          <t>900004090DW70D07710000623</t>
        </is>
      </c>
      <c r="B292" t="inlineStr">
        <is>
          <t>4600050503-70</t>
        </is>
      </c>
      <c r="C292" t="n">
        <v>4600050503</v>
      </c>
      <c r="D292" t="n">
        <v>70</v>
      </c>
      <c r="E292" t="inlineStr">
        <is>
          <t>MXPO</t>
        </is>
      </c>
      <c r="F292" t="inlineStr">
        <is>
          <t>MXL</t>
        </is>
      </c>
      <c r="G292" t="n">
        <v>900004090</v>
      </c>
      <c r="H292" t="inlineStr">
        <is>
          <t>TC-ED-ESTRATEGIAS AVANZADAS (CONEJO</t>
        </is>
      </c>
      <c r="I292" t="n">
        <v>5049458</v>
      </c>
      <c r="J292" t="inlineStr">
        <is>
          <t>ESTRATEGIAS AVANZADAS PARA OBTEN</t>
        </is>
      </c>
      <c r="K292" t="inlineStr">
        <is>
          <t>Z03</t>
        </is>
      </c>
      <c r="L292" t="inlineStr">
        <is>
          <t>(AP) 15 Dias</t>
        </is>
      </c>
      <c r="M292" t="n">
        <v>10000623</v>
      </c>
      <c r="N292" t="inlineStr">
        <is>
          <t>Grava Triturada Caliza 10 mm - 3/8"</t>
        </is>
      </c>
      <c r="O292" t="inlineStr">
        <is>
          <t>DW70</t>
        </is>
      </c>
      <c r="P292" t="inlineStr">
        <is>
          <t>MX-CED. CENTRO</t>
        </is>
      </c>
      <c r="Q292" t="n">
        <v>20210712</v>
      </c>
      <c r="R292" t="n">
        <v>20261231</v>
      </c>
      <c r="S292" t="n">
        <v>20210712</v>
      </c>
      <c r="T292" t="n">
        <v>20261231</v>
      </c>
      <c r="U292" t="n">
        <v>420.12</v>
      </c>
      <c r="V292" t="inlineStr">
        <is>
          <t>MXN</t>
        </is>
      </c>
      <c r="W292" t="inlineStr">
        <is>
          <t>M3</t>
        </is>
      </c>
      <c r="X292" t="n">
        <v>285.12</v>
      </c>
      <c r="Y292" t="inlineStr">
        <is>
          <t>MXN</t>
        </is>
      </c>
      <c r="Z292" t="inlineStr">
        <is>
          <t>M3</t>
        </is>
      </c>
      <c r="AA292" t="inlineStr">
        <is>
          <t>D077</t>
        </is>
      </c>
      <c r="AB292" t="inlineStr">
        <is>
          <t>PD0067 LOS REYES</t>
        </is>
      </c>
      <c r="AC292" t="n">
        <v>56103637</v>
      </c>
      <c r="AD292" t="n">
        <v>6644261540</v>
      </c>
      <c r="AE292" t="n">
        <v>4</v>
      </c>
      <c r="AF292" t="inlineStr">
        <is>
          <t>ENTREGA DIRECTA</t>
        </is>
      </c>
      <c r="AG292" t="n">
        <v>1.41</v>
      </c>
      <c r="AH292" t="inlineStr">
        <is>
          <t>M3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20260108</v>
      </c>
      <c r="AM292" t="inlineStr">
        <is>
          <t>DW70-900004090-D077-10000623-4</t>
        </is>
      </c>
    </row>
    <row r="293">
      <c r="A293" t="inlineStr">
        <is>
          <t>900004090DW70D08410000623</t>
        </is>
      </c>
      <c r="B293" t="inlineStr">
        <is>
          <t>4600050503-110</t>
        </is>
      </c>
      <c r="C293" t="n">
        <v>4600050503</v>
      </c>
      <c r="D293" t="n">
        <v>110</v>
      </c>
      <c r="E293" t="inlineStr">
        <is>
          <t>MXPO</t>
        </is>
      </c>
      <c r="F293" t="inlineStr">
        <is>
          <t>MXL</t>
        </is>
      </c>
      <c r="G293" t="n">
        <v>900004090</v>
      </c>
      <c r="H293" t="inlineStr">
        <is>
          <t>TC-ED-ESTRATEGIAS AVANZADAS (CONEJO</t>
        </is>
      </c>
      <c r="I293" t="n">
        <v>5049458</v>
      </c>
      <c r="J293" t="inlineStr">
        <is>
          <t>ESTRATEGIAS AVANZADAS PARA OBTEN</t>
        </is>
      </c>
      <c r="K293" t="inlineStr">
        <is>
          <t>Z03</t>
        </is>
      </c>
      <c r="L293" t="inlineStr">
        <is>
          <t>(AP) 15 Dias</t>
        </is>
      </c>
      <c r="M293" t="n">
        <v>10000623</v>
      </c>
      <c r="N293" t="inlineStr">
        <is>
          <t>Grava Triturada Caliza 10 mm - 3/8"</t>
        </is>
      </c>
      <c r="O293" t="inlineStr">
        <is>
          <t>DW70</t>
        </is>
      </c>
      <c r="P293" t="inlineStr">
        <is>
          <t>MX-CED. CENTRO</t>
        </is>
      </c>
      <c r="Q293" t="n">
        <v>20210712</v>
      </c>
      <c r="R293" t="n">
        <v>20261231</v>
      </c>
      <c r="S293" t="n">
        <v>20210712</v>
      </c>
      <c r="T293" t="n">
        <v>20261231</v>
      </c>
      <c r="U293" t="n">
        <v>401.64</v>
      </c>
      <c r="V293" t="inlineStr">
        <is>
          <t>MXN</t>
        </is>
      </c>
      <c r="W293" t="inlineStr">
        <is>
          <t>M3</t>
        </is>
      </c>
      <c r="X293" t="n">
        <v>266.64</v>
      </c>
      <c r="Y293" t="inlineStr">
        <is>
          <t>MXN</t>
        </is>
      </c>
      <c r="Z293" t="inlineStr">
        <is>
          <t>M3</t>
        </is>
      </c>
      <c r="AA293" t="inlineStr">
        <is>
          <t>D084</t>
        </is>
      </c>
      <c r="AB293" t="inlineStr">
        <is>
          <t>PD0186 IZTAPALAPA</t>
        </is>
      </c>
      <c r="AC293" t="n">
        <v>56103637</v>
      </c>
      <c r="AD293" t="n">
        <v>6644261540</v>
      </c>
      <c r="AE293" t="n">
        <v>4</v>
      </c>
      <c r="AF293" t="inlineStr">
        <is>
          <t>ENTREGA DIRECTA</t>
        </is>
      </c>
      <c r="AG293" t="n">
        <v>1.41</v>
      </c>
      <c r="AH293" t="inlineStr">
        <is>
          <t>M3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20260108</v>
      </c>
      <c r="AM293" t="inlineStr">
        <is>
          <t>DW70-900004090-D084-10000623-4</t>
        </is>
      </c>
    </row>
    <row r="294">
      <c r="A294" t="inlineStr">
        <is>
          <t>900004090DW70D09810000623</t>
        </is>
      </c>
      <c r="B294" t="inlineStr">
        <is>
          <t>4600050503-100</t>
        </is>
      </c>
      <c r="C294" t="n">
        <v>4600050503</v>
      </c>
      <c r="D294" t="n">
        <v>100</v>
      </c>
      <c r="E294" t="inlineStr">
        <is>
          <t>MXPO</t>
        </is>
      </c>
      <c r="F294" t="inlineStr">
        <is>
          <t>MXL</t>
        </is>
      </c>
      <c r="G294" t="n">
        <v>900004090</v>
      </c>
      <c r="H294" t="inlineStr">
        <is>
          <t>TC-ED-ESTRATEGIAS AVANZADAS (CONEJO</t>
        </is>
      </c>
      <c r="I294" t="n">
        <v>5049458</v>
      </c>
      <c r="J294" t="inlineStr">
        <is>
          <t>ESTRATEGIAS AVANZADAS PARA OBTEN</t>
        </is>
      </c>
      <c r="K294" t="inlineStr">
        <is>
          <t>Z03</t>
        </is>
      </c>
      <c r="L294" t="inlineStr">
        <is>
          <t>(AP) 15 Dias</t>
        </is>
      </c>
      <c r="M294" t="n">
        <v>10000623</v>
      </c>
      <c r="N294" t="inlineStr">
        <is>
          <t>Grava Triturada Caliza 10 mm - 3/8"</t>
        </is>
      </c>
      <c r="O294" t="inlineStr">
        <is>
          <t>DW70</t>
        </is>
      </c>
      <c r="P294" t="inlineStr">
        <is>
          <t>MX-CED. CENTRO</t>
        </is>
      </c>
      <c r="Q294" t="n">
        <v>20210712</v>
      </c>
      <c r="R294" t="n">
        <v>20261231</v>
      </c>
      <c r="S294" t="n">
        <v>20210712</v>
      </c>
      <c r="T294" t="n">
        <v>20261231</v>
      </c>
      <c r="U294" t="n">
        <v>264.36</v>
      </c>
      <c r="V294" t="inlineStr">
        <is>
          <t>MXN</t>
        </is>
      </c>
      <c r="W294" t="inlineStr">
        <is>
          <t>M3</t>
        </is>
      </c>
      <c r="X294" t="n">
        <v>129.36</v>
      </c>
      <c r="Y294" t="inlineStr">
        <is>
          <t>MXN</t>
        </is>
      </c>
      <c r="Z294" t="inlineStr">
        <is>
          <t>M3</t>
        </is>
      </c>
      <c r="AA294" t="inlineStr">
        <is>
          <t>D098</t>
        </is>
      </c>
      <c r="AB294" t="inlineStr">
        <is>
          <t>PD0315 CUAUTITLAN II</t>
        </is>
      </c>
      <c r="AC294" t="n">
        <v>56103637</v>
      </c>
      <c r="AD294" t="n">
        <v>6644261540</v>
      </c>
      <c r="AE294" t="n">
        <v>4</v>
      </c>
      <c r="AF294" t="inlineStr">
        <is>
          <t>ENTREGA DIRECTA</t>
        </is>
      </c>
      <c r="AG294" t="n">
        <v>1.41</v>
      </c>
      <c r="AH294" t="inlineStr">
        <is>
          <t>M3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20260108</v>
      </c>
      <c r="AM294" t="inlineStr">
        <is>
          <t>DW70-900004090-D098-10000623-4</t>
        </is>
      </c>
    </row>
    <row r="295">
      <c r="A295" t="inlineStr">
        <is>
          <t>900004090DW70D07910000623</t>
        </is>
      </c>
      <c r="B295" t="inlineStr">
        <is>
          <t>4600050503-30</t>
        </is>
      </c>
      <c r="C295" t="n">
        <v>4600050503</v>
      </c>
      <c r="D295" t="n">
        <v>30</v>
      </c>
      <c r="E295" t="inlineStr">
        <is>
          <t>MXPO</t>
        </is>
      </c>
      <c r="F295" t="inlineStr">
        <is>
          <t>MXL</t>
        </is>
      </c>
      <c r="G295" t="n">
        <v>900004090</v>
      </c>
      <c r="H295" t="inlineStr">
        <is>
          <t>TC-ED-ESTRATEGIAS AVANZADAS (CONEJO</t>
        </is>
      </c>
      <c r="I295" t="n">
        <v>5049458</v>
      </c>
      <c r="J295" t="inlineStr">
        <is>
          <t>ESTRATEGIAS AVANZADAS PARA OBTEN</t>
        </is>
      </c>
      <c r="K295" t="inlineStr">
        <is>
          <t>Z03</t>
        </is>
      </c>
      <c r="L295" t="inlineStr">
        <is>
          <t>(AP) 15 Dias</t>
        </is>
      </c>
      <c r="M295" t="n">
        <v>10000623</v>
      </c>
      <c r="N295" t="inlineStr">
        <is>
          <t>Grava Triturada Caliza 10 mm - 3/8"</t>
        </is>
      </c>
      <c r="O295" t="inlineStr">
        <is>
          <t>DW70</t>
        </is>
      </c>
      <c r="P295" t="inlineStr">
        <is>
          <t>MX-CED. CENTRO</t>
        </is>
      </c>
      <c r="Q295" t="n">
        <v>20210712</v>
      </c>
      <c r="R295" t="n">
        <v>20261231</v>
      </c>
      <c r="S295" t="n">
        <v>20210712</v>
      </c>
      <c r="T295" t="n">
        <v>20261231</v>
      </c>
      <c r="U295" t="n">
        <v>417.48</v>
      </c>
      <c r="V295" t="inlineStr">
        <is>
          <t>MXN</t>
        </is>
      </c>
      <c r="W295" t="inlineStr">
        <is>
          <t>M3</t>
        </is>
      </c>
      <c r="X295" t="n">
        <v>282.48</v>
      </c>
      <c r="Y295" t="inlineStr">
        <is>
          <t>MXN</t>
        </is>
      </c>
      <c r="Z295" t="inlineStr">
        <is>
          <t>M3</t>
        </is>
      </c>
      <c r="AA295" t="inlineStr">
        <is>
          <t>D079</t>
        </is>
      </c>
      <c r="AB295" t="inlineStr">
        <is>
          <t>PD0071 XOCHIMILCO</t>
        </is>
      </c>
      <c r="AC295" t="n">
        <v>56103637</v>
      </c>
      <c r="AD295" t="n">
        <v>6644261540</v>
      </c>
      <c r="AE295" t="n">
        <v>4</v>
      </c>
      <c r="AF295" t="inlineStr">
        <is>
          <t>ENTREGA DIRECTA</t>
        </is>
      </c>
      <c r="AG295" t="n">
        <v>1.41</v>
      </c>
      <c r="AH295" t="inlineStr">
        <is>
          <t>M3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20260108</v>
      </c>
      <c r="AM295" t="inlineStr">
        <is>
          <t>DW70-900004090-D079-10000623-4</t>
        </is>
      </c>
    </row>
    <row r="296">
      <c r="A296" t="inlineStr">
        <is>
          <t>900007310DW70D09310186274</t>
        </is>
      </c>
      <c r="B296" t="inlineStr">
        <is>
          <t>4600058166-20</t>
        </is>
      </c>
      <c r="C296" t="n">
        <v>4600058166</v>
      </c>
      <c r="D296" t="n">
        <v>20</v>
      </c>
      <c r="E296" t="inlineStr">
        <is>
          <t>MXPO</t>
        </is>
      </c>
      <c r="F296" t="inlineStr">
        <is>
          <t>MXL</t>
        </is>
      </c>
      <c r="G296" t="n">
        <v>900007310</v>
      </c>
      <c r="H296" t="inlineStr">
        <is>
          <t>SF TC-ED-ESTRATEGIAS TEZONTEPEC</t>
        </is>
      </c>
      <c r="I296" t="n">
        <v>5049458</v>
      </c>
      <c r="J296" t="inlineStr">
        <is>
          <t>ESTRATEGIAS AVANZADAS PARA OBTEN</t>
        </is>
      </c>
      <c r="K296" t="inlineStr">
        <is>
          <t>Z03</t>
        </is>
      </c>
      <c r="L296" t="inlineStr">
        <is>
          <t>(AP) 15 Dias</t>
        </is>
      </c>
      <c r="M296" t="n">
        <v>10186274</v>
      </c>
      <c r="N296" t="inlineStr">
        <is>
          <t>ARENA CLASIFICADA RÍO MALLA 4 LAVADO</t>
        </is>
      </c>
      <c r="O296" t="inlineStr">
        <is>
          <t>DW70</t>
        </is>
      </c>
      <c r="P296" t="inlineStr">
        <is>
          <t>MX-CED. CENTRO</t>
        </is>
      </c>
      <c r="Q296" t="n">
        <v>20230724</v>
      </c>
      <c r="R296" t="n">
        <v>20281231</v>
      </c>
      <c r="S296" t="n">
        <v>20230724</v>
      </c>
      <c r="T296" t="n">
        <v>20281231</v>
      </c>
      <c r="U296" t="n">
        <v>511.9</v>
      </c>
      <c r="V296" t="inlineStr">
        <is>
          <t>MXN</t>
        </is>
      </c>
      <c r="W296" t="inlineStr">
        <is>
          <t>M3</t>
        </is>
      </c>
      <c r="X296" t="n">
        <v>250.83</v>
      </c>
      <c r="Y296" t="inlineStr">
        <is>
          <t>MXN</t>
        </is>
      </c>
      <c r="Z296" t="inlineStr">
        <is>
          <t>M3</t>
        </is>
      </c>
      <c r="AA296" t="inlineStr">
        <is>
          <t>D093</t>
        </is>
      </c>
      <c r="AB296" t="inlineStr">
        <is>
          <t>PD0556 ZUMPANGO</t>
        </is>
      </c>
      <c r="AC296" t="n">
        <v>56103638</v>
      </c>
      <c r="AD296" t="n">
        <v>6644261540</v>
      </c>
      <c r="AE296" t="n">
        <v>4</v>
      </c>
      <c r="AF296" t="inlineStr">
        <is>
          <t>ENTREGA DIRECTA</t>
        </is>
      </c>
      <c r="AG296" t="n">
        <v>1.45</v>
      </c>
      <c r="AH296" t="inlineStr">
        <is>
          <t>M3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20230920</v>
      </c>
      <c r="AM296" t="inlineStr">
        <is>
          <t>DW70-900007310-D093-10186274-4</t>
        </is>
      </c>
    </row>
    <row r="297">
      <c r="A297" t="inlineStr">
        <is>
          <t>900004090DW70D07410000623</t>
        </is>
      </c>
      <c r="B297" t="inlineStr">
        <is>
          <t>4600050503-90</t>
        </is>
      </c>
      <c r="C297" t="n">
        <v>4600050503</v>
      </c>
      <c r="D297" t="n">
        <v>90</v>
      </c>
      <c r="E297" t="inlineStr">
        <is>
          <t>MXPO</t>
        </is>
      </c>
      <c r="F297" t="inlineStr">
        <is>
          <t>MXL</t>
        </is>
      </c>
      <c r="G297" t="n">
        <v>900004090</v>
      </c>
      <c r="H297" t="inlineStr">
        <is>
          <t>TC-ED-ESTRATEGIAS AVANZADAS (CONEJO</t>
        </is>
      </c>
      <c r="I297" t="n">
        <v>5049458</v>
      </c>
      <c r="J297" t="inlineStr">
        <is>
          <t>ESTRATEGIAS AVANZADAS PARA OBTEN</t>
        </is>
      </c>
      <c r="K297" t="inlineStr">
        <is>
          <t>Z03</t>
        </is>
      </c>
      <c r="L297" t="inlineStr">
        <is>
          <t>(AP) 15 Dias</t>
        </is>
      </c>
      <c r="M297" t="n">
        <v>10000623</v>
      </c>
      <c r="N297" t="inlineStr">
        <is>
          <t>Grava Triturada Caliza 10 mm - 3/8"</t>
        </is>
      </c>
      <c r="O297" t="inlineStr">
        <is>
          <t>DW70</t>
        </is>
      </c>
      <c r="P297" t="inlineStr">
        <is>
          <t>MX-CED. CENTRO</t>
        </is>
      </c>
      <c r="Q297" t="n">
        <v>20210712</v>
      </c>
      <c r="R297" t="n">
        <v>20261231</v>
      </c>
      <c r="S297" t="n">
        <v>20210712</v>
      </c>
      <c r="T297" t="n">
        <v>20261231</v>
      </c>
      <c r="U297" t="n">
        <v>351.74</v>
      </c>
      <c r="V297" t="inlineStr">
        <is>
          <t>MXN</t>
        </is>
      </c>
      <c r="W297" t="inlineStr">
        <is>
          <t>M3</t>
        </is>
      </c>
      <c r="X297" t="n">
        <v>216.74</v>
      </c>
      <c r="Y297" t="inlineStr">
        <is>
          <t>MXN</t>
        </is>
      </c>
      <c r="Z297" t="inlineStr">
        <is>
          <t>M3</t>
        </is>
      </c>
      <c r="AA297" t="inlineStr">
        <is>
          <t>D074</t>
        </is>
      </c>
      <c r="AB297" t="inlineStr">
        <is>
          <t>PD0063 CENTRAL</t>
        </is>
      </c>
      <c r="AC297" t="n">
        <v>56103637</v>
      </c>
      <c r="AD297" t="n">
        <v>6644261540</v>
      </c>
      <c r="AE297" t="n">
        <v>4</v>
      </c>
      <c r="AF297" t="inlineStr">
        <is>
          <t>ENTREGA DIRECTA</t>
        </is>
      </c>
      <c r="AG297" t="n">
        <v>1.41</v>
      </c>
      <c r="AH297" t="inlineStr">
        <is>
          <t>M3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20260108</v>
      </c>
      <c r="AM297" t="inlineStr">
        <is>
          <t>DW70-900004090-D074-10000623-4</t>
        </is>
      </c>
    </row>
    <row r="298">
      <c r="A298" t="inlineStr">
        <is>
          <t>900007310DW70D09810186274</t>
        </is>
      </c>
      <c r="B298" t="inlineStr">
        <is>
          <t>4600058166-10</t>
        </is>
      </c>
      <c r="C298" t="n">
        <v>4600058166</v>
      </c>
      <c r="D298" t="n">
        <v>10</v>
      </c>
      <c r="E298" t="inlineStr">
        <is>
          <t>MXPO</t>
        </is>
      </c>
      <c r="F298" t="inlineStr">
        <is>
          <t>MXL</t>
        </is>
      </c>
      <c r="G298" t="n">
        <v>900007310</v>
      </c>
      <c r="H298" t="inlineStr">
        <is>
          <t>SF TC-ED-ESTRATEGIAS TEZONTEPEC</t>
        </is>
      </c>
      <c r="I298" t="n">
        <v>5049458</v>
      </c>
      <c r="J298" t="inlineStr">
        <is>
          <t>ESTRATEGIAS AVANZADAS PARA OBTEN</t>
        </is>
      </c>
      <c r="K298" t="inlineStr">
        <is>
          <t>Z03</t>
        </is>
      </c>
      <c r="L298" t="inlineStr">
        <is>
          <t>(AP) 15 Dias</t>
        </is>
      </c>
      <c r="M298" t="n">
        <v>10186274</v>
      </c>
      <c r="N298" t="inlineStr">
        <is>
          <t>ARENA CLASIFICADA RÍO MALLA 4 LAVADO</t>
        </is>
      </c>
      <c r="O298" t="inlineStr">
        <is>
          <t>DW70</t>
        </is>
      </c>
      <c r="P298" t="inlineStr">
        <is>
          <t>MX-CED. CENTRO</t>
        </is>
      </c>
      <c r="Q298" t="n">
        <v>20230724</v>
      </c>
      <c r="R298" t="n">
        <v>20281231</v>
      </c>
      <c r="S298" t="n">
        <v>20230724</v>
      </c>
      <c r="T298" t="n">
        <v>20281231</v>
      </c>
      <c r="U298" t="n">
        <v>519.24</v>
      </c>
      <c r="V298" t="inlineStr">
        <is>
          <t>MXN</t>
        </is>
      </c>
      <c r="W298" t="inlineStr">
        <is>
          <t>M3</t>
        </is>
      </c>
      <c r="X298" t="n">
        <v>258.17</v>
      </c>
      <c r="Y298" t="inlineStr">
        <is>
          <t>MXN</t>
        </is>
      </c>
      <c r="Z298" t="inlineStr">
        <is>
          <t>M3</t>
        </is>
      </c>
      <c r="AA298" t="inlineStr">
        <is>
          <t>D098</t>
        </is>
      </c>
      <c r="AB298" t="inlineStr">
        <is>
          <t>PD0315 CUAUTITLAN II</t>
        </is>
      </c>
      <c r="AC298" t="n">
        <v>56103638</v>
      </c>
      <c r="AD298" t="n">
        <v>6644261540</v>
      </c>
      <c r="AE298" t="n">
        <v>4</v>
      </c>
      <c r="AF298" t="inlineStr">
        <is>
          <t>ENTREGA DIRECTA</t>
        </is>
      </c>
      <c r="AG298" t="n">
        <v>1.45</v>
      </c>
      <c r="AH298" t="inlineStr">
        <is>
          <t>M3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20230920</v>
      </c>
      <c r="AM298" t="inlineStr">
        <is>
          <t>DW70-900007310-D098-10186274-4</t>
        </is>
      </c>
    </row>
    <row r="299">
      <c r="A299" t="inlineStr">
        <is>
          <t>900001367DW70D11110161492</t>
        </is>
      </c>
      <c r="B299" t="inlineStr">
        <is>
          <t>4600050491-20</t>
        </is>
      </c>
      <c r="C299" t="n">
        <v>4600050491</v>
      </c>
      <c r="D299" t="n">
        <v>20</v>
      </c>
      <c r="E299" t="inlineStr">
        <is>
          <t>MXPO</t>
        </is>
      </c>
      <c r="F299" t="inlineStr">
        <is>
          <t>MXL</t>
        </is>
      </c>
      <c r="G299" t="n">
        <v>900001367</v>
      </c>
      <c r="H299" t="inlineStr">
        <is>
          <t>TC-ED-ROCA DURA</t>
        </is>
      </c>
      <c r="I299" t="n">
        <v>5032274</v>
      </c>
      <c r="J299" t="inlineStr">
        <is>
          <t>TRITURADORA ROCA DURA SAN MIGUEL</t>
        </is>
      </c>
      <c r="K299" t="inlineStr">
        <is>
          <t>Z03</t>
        </is>
      </c>
      <c r="L299" t="inlineStr">
        <is>
          <t>(AP) 15 Dias</t>
        </is>
      </c>
      <c r="M299" t="n">
        <v>10161492</v>
      </c>
      <c r="N299" t="inlineStr">
        <is>
          <t>ARENA TRITURADA CALIZA MALLA 4</t>
        </is>
      </c>
      <c r="O299" t="inlineStr">
        <is>
          <t>DW70</t>
        </is>
      </c>
      <c r="P299" t="inlineStr">
        <is>
          <t>MX-CED. CENTRO</t>
        </is>
      </c>
      <c r="Q299" t="n">
        <v>20210712</v>
      </c>
      <c r="R299" t="n">
        <v>20261231</v>
      </c>
      <c r="S299" t="n">
        <v>20210712</v>
      </c>
      <c r="T299" t="n">
        <v>20261231</v>
      </c>
      <c r="U299" t="n">
        <v>283</v>
      </c>
      <c r="V299" t="inlineStr">
        <is>
          <t>MXN</t>
        </is>
      </c>
      <c r="W299" t="inlineStr">
        <is>
          <t>M3</t>
        </is>
      </c>
      <c r="X299" t="n">
        <v>141.5</v>
      </c>
      <c r="Y299" t="inlineStr">
        <is>
          <t>MXN</t>
        </is>
      </c>
      <c r="Z299" t="inlineStr">
        <is>
          <t>M3</t>
        </is>
      </c>
      <c r="AA299" t="inlineStr">
        <is>
          <t>D111</t>
        </is>
      </c>
      <c r="AB299" t="inlineStr">
        <is>
          <t>PD0317 TOLUCA LERMAS 2</t>
        </is>
      </c>
      <c r="AC299" t="n">
        <v>56103638</v>
      </c>
      <c r="AD299" t="n">
        <v>6644261540</v>
      </c>
      <c r="AE299" t="n">
        <v>4</v>
      </c>
      <c r="AF299" t="inlineStr">
        <is>
          <t>ENTREGA DIRECTA</t>
        </is>
      </c>
      <c r="AG299" t="n">
        <v>1.578</v>
      </c>
      <c r="AH299" t="inlineStr">
        <is>
          <t>M3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20260108</v>
      </c>
      <c r="AM299" t="inlineStr">
        <is>
          <t>DW70-900001367-D111-10161492-4</t>
        </is>
      </c>
    </row>
    <row r="300">
      <c r="A300" t="inlineStr">
        <is>
          <t>900004090DW70D08610000623</t>
        </is>
      </c>
      <c r="B300" t="inlineStr">
        <is>
          <t>4600050503-40</t>
        </is>
      </c>
      <c r="C300" t="n">
        <v>4600050503</v>
      </c>
      <c r="D300" t="n">
        <v>40</v>
      </c>
      <c r="E300" t="inlineStr">
        <is>
          <t>MXPO</t>
        </is>
      </c>
      <c r="F300" t="inlineStr">
        <is>
          <t>MXL</t>
        </is>
      </c>
      <c r="G300" t="n">
        <v>900004090</v>
      </c>
      <c r="H300" t="inlineStr">
        <is>
          <t>TC-ED-ESTRATEGIAS AVANZADAS (CONEJO</t>
        </is>
      </c>
      <c r="I300" t="n">
        <v>5049458</v>
      </c>
      <c r="J300" t="inlineStr">
        <is>
          <t>ESTRATEGIAS AVANZADAS PARA OBTEN</t>
        </is>
      </c>
      <c r="K300" t="inlineStr">
        <is>
          <t>Z03</t>
        </is>
      </c>
      <c r="L300" t="inlineStr">
        <is>
          <t>(AP) 15 Dias</t>
        </is>
      </c>
      <c r="M300" t="n">
        <v>10000623</v>
      </c>
      <c r="N300" t="inlineStr">
        <is>
          <t>Grava Triturada Caliza 10 mm - 3/8"</t>
        </is>
      </c>
      <c r="O300" t="inlineStr">
        <is>
          <t>DW70</t>
        </is>
      </c>
      <c r="P300" t="inlineStr">
        <is>
          <t>MX-CED. CENTRO</t>
        </is>
      </c>
      <c r="Q300" t="n">
        <v>20210712</v>
      </c>
      <c r="R300" t="n">
        <v>20261231</v>
      </c>
      <c r="S300" t="n">
        <v>20210712</v>
      </c>
      <c r="T300" t="n">
        <v>20261231</v>
      </c>
      <c r="U300" t="n">
        <v>356.76</v>
      </c>
      <c r="V300" t="inlineStr">
        <is>
          <t>MXN</t>
        </is>
      </c>
      <c r="W300" t="inlineStr">
        <is>
          <t>M3</t>
        </is>
      </c>
      <c r="X300" t="n">
        <v>221.76</v>
      </c>
      <c r="Y300" t="inlineStr">
        <is>
          <t>MXN</t>
        </is>
      </c>
      <c r="Z300" t="inlineStr">
        <is>
          <t>M3</t>
        </is>
      </c>
      <c r="AA300" t="inlineStr">
        <is>
          <t>D086</t>
        </is>
      </c>
      <c r="AB300" t="inlineStr">
        <is>
          <t>PD0190 XALOSTC</t>
        </is>
      </c>
      <c r="AC300" t="n">
        <v>56103637</v>
      </c>
      <c r="AD300" t="n">
        <v>6644261540</v>
      </c>
      <c r="AE300" t="n">
        <v>4</v>
      </c>
      <c r="AF300" t="inlineStr">
        <is>
          <t>ENTREGA DIRECTA</t>
        </is>
      </c>
      <c r="AG300" t="n">
        <v>1.41</v>
      </c>
      <c r="AH300" t="inlineStr">
        <is>
          <t>M3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20260108</v>
      </c>
      <c r="AM300" t="inlineStr">
        <is>
          <t>DW70-900004090-D086-10000623-4</t>
        </is>
      </c>
    </row>
    <row r="301">
      <c r="A301" t="inlineStr">
        <is>
          <t>900004090DW70D08110000623</t>
        </is>
      </c>
      <c r="B301" t="inlineStr">
        <is>
          <t>4600050503-80</t>
        </is>
      </c>
      <c r="C301" t="n">
        <v>4600050503</v>
      </c>
      <c r="D301" t="n">
        <v>80</v>
      </c>
      <c r="E301" t="inlineStr">
        <is>
          <t>MXPO</t>
        </is>
      </c>
      <c r="F301" t="inlineStr">
        <is>
          <t>MXL</t>
        </is>
      </c>
      <c r="G301" t="n">
        <v>900004090</v>
      </c>
      <c r="H301" t="inlineStr">
        <is>
          <t>TC-ED-ESTRATEGIAS AVANZADAS (CONEJO</t>
        </is>
      </c>
      <c r="I301" t="n">
        <v>5049458</v>
      </c>
      <c r="J301" t="inlineStr">
        <is>
          <t>ESTRATEGIAS AVANZADAS PARA OBTEN</t>
        </is>
      </c>
      <c r="K301" t="inlineStr">
        <is>
          <t>Z03</t>
        </is>
      </c>
      <c r="L301" t="inlineStr">
        <is>
          <t>(AP) 15 Dias</t>
        </is>
      </c>
      <c r="M301" t="n">
        <v>10000623</v>
      </c>
      <c r="N301" t="inlineStr">
        <is>
          <t>Grava Triturada Caliza 10 mm - 3/8"</t>
        </is>
      </c>
      <c r="O301" t="inlineStr">
        <is>
          <t>DW70</t>
        </is>
      </c>
      <c r="P301" t="inlineStr">
        <is>
          <t>MX-CED. CENTRO</t>
        </is>
      </c>
      <c r="Q301" t="n">
        <v>20210712</v>
      </c>
      <c r="R301" t="n">
        <v>20261231</v>
      </c>
      <c r="S301" t="n">
        <v>20210712</v>
      </c>
      <c r="T301" t="n">
        <v>20261231</v>
      </c>
      <c r="U301" t="n">
        <v>311.88</v>
      </c>
      <c r="V301" t="inlineStr">
        <is>
          <t>MXN</t>
        </is>
      </c>
      <c r="W301" t="inlineStr">
        <is>
          <t>M3</t>
        </is>
      </c>
      <c r="X301" t="n">
        <v>176.88</v>
      </c>
      <c r="Y301" t="inlineStr">
        <is>
          <t>MXN</t>
        </is>
      </c>
      <c r="Z301" t="inlineStr">
        <is>
          <t>M3</t>
        </is>
      </c>
      <c r="AA301" t="inlineStr">
        <is>
          <t>D081</t>
        </is>
      </c>
      <c r="AB301" t="inlineStr">
        <is>
          <t>PD0088 ARMAS</t>
        </is>
      </c>
      <c r="AC301" t="n">
        <v>56103637</v>
      </c>
      <c r="AD301" t="n">
        <v>6644261540</v>
      </c>
      <c r="AE301" t="n">
        <v>4</v>
      </c>
      <c r="AF301" t="inlineStr">
        <is>
          <t>ENTREGA DIRECTA</t>
        </is>
      </c>
      <c r="AG301" t="n">
        <v>1.41</v>
      </c>
      <c r="AH301" t="inlineStr">
        <is>
          <t>M3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20260108</v>
      </c>
      <c r="AM301" t="inlineStr">
        <is>
          <t>DW70-900004090-D081-10000623-4</t>
        </is>
      </c>
    </row>
    <row r="302">
      <c r="A302" t="inlineStr">
        <is>
          <t>900007310DW70D68110186274</t>
        </is>
      </c>
      <c r="B302" t="inlineStr">
        <is>
          <t>4600058166-30</t>
        </is>
      </c>
      <c r="C302" t="n">
        <v>4600058166</v>
      </c>
      <c r="D302" t="n">
        <v>30</v>
      </c>
      <c r="E302" t="inlineStr">
        <is>
          <t>MXPO</t>
        </is>
      </c>
      <c r="F302" t="inlineStr">
        <is>
          <t>MXL</t>
        </is>
      </c>
      <c r="G302" t="n">
        <v>900007310</v>
      </c>
      <c r="H302" t="inlineStr">
        <is>
          <t>SF TC-ED-ESTRATEGIAS TEZONTEPEC</t>
        </is>
      </c>
      <c r="I302" t="n">
        <v>5049458</v>
      </c>
      <c r="J302" t="inlineStr">
        <is>
          <t>ESTRATEGIAS AVANZADAS PARA OBTEN</t>
        </is>
      </c>
      <c r="K302" t="inlineStr">
        <is>
          <t>Z03</t>
        </is>
      </c>
      <c r="L302" t="inlineStr">
        <is>
          <t>(AP) 15 Dias</t>
        </is>
      </c>
      <c r="M302" t="n">
        <v>10186274</v>
      </c>
      <c r="N302" t="inlineStr">
        <is>
          <t>ARENA CLASIFICADA RÍO MALLA 4 LAVADO</t>
        </is>
      </c>
      <c r="O302" t="inlineStr">
        <is>
          <t>DW70</t>
        </is>
      </c>
      <c r="P302" t="inlineStr">
        <is>
          <t>MX-CED. CENTRO</t>
        </is>
      </c>
      <c r="Q302" t="n">
        <v>20230724</v>
      </c>
      <c r="R302" t="n">
        <v>20281231</v>
      </c>
      <c r="S302" t="n">
        <v>20230724</v>
      </c>
      <c r="T302" t="n">
        <v>20281231</v>
      </c>
      <c r="U302" t="n">
        <v>552.1</v>
      </c>
      <c r="V302" t="inlineStr">
        <is>
          <t>MXN</t>
        </is>
      </c>
      <c r="W302" t="inlineStr">
        <is>
          <t>M3</t>
        </is>
      </c>
      <c r="X302" t="n">
        <v>291.03</v>
      </c>
      <c r="Y302" t="inlineStr">
        <is>
          <t>MXN</t>
        </is>
      </c>
      <c r="Z302" t="inlineStr">
        <is>
          <t>M3</t>
        </is>
      </c>
      <c r="AA302" t="inlineStr">
        <is>
          <t>D681</t>
        </is>
      </c>
      <c r="AB302" t="inlineStr">
        <is>
          <t>PD0639 TULTEPEC</t>
        </is>
      </c>
      <c r="AC302" t="n">
        <v>56103638</v>
      </c>
      <c r="AD302" t="n">
        <v>6644261540</v>
      </c>
      <c r="AE302" t="n">
        <v>4</v>
      </c>
      <c r="AF302" t="inlineStr">
        <is>
          <t>ENTREGA DIRECTA</t>
        </is>
      </c>
      <c r="AG302" t="n">
        <v>1.45</v>
      </c>
      <c r="AH302" t="inlineStr">
        <is>
          <t>M3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20230920</v>
      </c>
      <c r="AM302" t="inlineStr">
        <is>
          <t>DW70-900007310-D681-10186274-4</t>
        </is>
      </c>
    </row>
    <row r="303">
      <c r="A303" t="inlineStr">
        <is>
          <t>900008265DW70ENXE10000432</t>
        </is>
      </c>
      <c r="B303" t="inlineStr">
        <is>
          <t>4600071526-40</t>
        </is>
      </c>
      <c r="C303" t="n">
        <v>4600071526</v>
      </c>
      <c r="D303" t="n">
        <v>40</v>
      </c>
      <c r="E303" t="inlineStr">
        <is>
          <t>MXPO</t>
        </is>
      </c>
      <c r="F303" t="inlineStr">
        <is>
          <t>MXL</t>
        </is>
      </c>
      <c r="G303" t="n">
        <v>900008265</v>
      </c>
      <c r="H303" t="inlineStr">
        <is>
          <t>SF TC-ED CONCRETOS Y PAVIMENTOS</t>
        </is>
      </c>
      <c r="I303" t="n">
        <v>5089601</v>
      </c>
      <c r="J303" t="inlineStr">
        <is>
          <t>CONCRETOS Y PAVIMENTOS EXTERIORES S</t>
        </is>
      </c>
      <c r="K303" t="inlineStr">
        <is>
          <t>N90</t>
        </is>
      </c>
      <c r="L303" t="inlineStr">
        <is>
          <t>(AP) NAFIN 90 Dias</t>
        </is>
      </c>
      <c r="M303" t="n">
        <v>10000432</v>
      </c>
      <c r="N303" t="inlineStr">
        <is>
          <t>Base H Triturada Basalto  1 1/2" a Finos</t>
        </is>
      </c>
      <c r="O303" t="inlineStr">
        <is>
          <t>DW70</t>
        </is>
      </c>
      <c r="P303" t="inlineStr">
        <is>
          <t>MX-CED. CENTRO</t>
        </is>
      </c>
      <c r="Q303" t="n">
        <v>20250807</v>
      </c>
      <c r="R303" t="n">
        <v>20301231</v>
      </c>
      <c r="S303" t="n">
        <v>20250923</v>
      </c>
      <c r="T303" t="n">
        <v>20301231</v>
      </c>
      <c r="U303" t="n">
        <v>624.5</v>
      </c>
      <c r="V303" t="inlineStr">
        <is>
          <t>MXN</t>
        </is>
      </c>
      <c r="W303" t="inlineStr">
        <is>
          <t>M3</t>
        </is>
      </c>
      <c r="X303" t="n">
        <v>320</v>
      </c>
      <c r="Y303" t="inlineStr">
        <is>
          <t>MXN</t>
        </is>
      </c>
      <c r="Z303" t="inlineStr">
        <is>
          <t>M3</t>
        </is>
      </c>
      <c r="AA303" t="inlineStr">
        <is>
          <t>ENXE</t>
        </is>
      </c>
      <c r="AB303" t="inlineStr">
        <is>
          <t>PUENTES PERIFERICO ORIENTE/SICT</t>
        </is>
      </c>
      <c r="AC303" t="n">
        <v>56103590</v>
      </c>
      <c r="AD303" t="n">
        <v>6644261540</v>
      </c>
      <c r="AE303" t="n">
        <v>4</v>
      </c>
      <c r="AF303" t="inlineStr">
        <is>
          <t>ENTREGA DIRECTA</t>
        </is>
      </c>
      <c r="AG303" t="n">
        <v>1.6</v>
      </c>
      <c r="AH303" t="inlineStr">
        <is>
          <t>M3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20250925</v>
      </c>
      <c r="AM303" t="inlineStr">
        <is>
          <t>DW70-900008265-ENXE-10000432-4</t>
        </is>
      </c>
    </row>
    <row r="304">
      <c r="A304" t="inlineStr">
        <is>
          <t>900005730DW7010217649</t>
        </is>
      </c>
      <c r="B304" t="inlineStr">
        <is>
          <t>4600068533-180</t>
        </is>
      </c>
      <c r="C304" t="n">
        <v>4600068533</v>
      </c>
      <c r="D304" t="n">
        <v>180</v>
      </c>
      <c r="E304" t="inlineStr">
        <is>
          <t>MXPO</t>
        </is>
      </c>
      <c r="F304" t="inlineStr">
        <is>
          <t>MXL</t>
        </is>
      </c>
      <c r="G304" t="n">
        <v>900005730</v>
      </c>
      <c r="H304" t="inlineStr">
        <is>
          <t>TC-ED OLIELL</t>
        </is>
      </c>
      <c r="I304" t="n">
        <v>5048484</v>
      </c>
      <c r="J304" t="inlineStr">
        <is>
          <t>COMERCIALIZADORA Y TRANSPORTADORA O</t>
        </is>
      </c>
      <c r="K304" t="inlineStr">
        <is>
          <t>N90</t>
        </is>
      </c>
      <c r="L304" t="inlineStr">
        <is>
          <t>(AP) NAFIN 90 Dias</t>
        </is>
      </c>
      <c r="M304" t="n">
        <v>10217649</v>
      </c>
      <c r="N304" t="inlineStr">
        <is>
          <t>PIEDRA BRAZA NG</t>
        </is>
      </c>
      <c r="O304" t="inlineStr">
        <is>
          <t>DW70</t>
        </is>
      </c>
      <c r="P304" t="inlineStr">
        <is>
          <t>MX-CED. CENTRO</t>
        </is>
      </c>
      <c r="Q304" t="n">
        <v>20230925</v>
      </c>
      <c r="R304" t="n">
        <v>20281231</v>
      </c>
      <c r="S304" t="n">
        <v>20260623</v>
      </c>
      <c r="T304" t="n">
        <v>20301231</v>
      </c>
      <c r="U304" t="n">
        <v>850</v>
      </c>
      <c r="V304" t="inlineStr">
        <is>
          <t>MXN</t>
        </is>
      </c>
      <c r="W304" t="inlineStr">
        <is>
          <t>M3</t>
        </is>
      </c>
      <c r="X304" t="n">
        <v>0</v>
      </c>
      <c r="Y304" t="inlineStr">
        <is>
          <t>MXN</t>
        </is>
      </c>
      <c r="Z304" t="inlineStr">
        <is>
          <t>M3</t>
        </is>
      </c>
      <c r="AC304" t="n">
        <v>56103591</v>
      </c>
      <c r="AD304" t="n">
        <v>6644261540</v>
      </c>
      <c r="AE304" t="n">
        <v>4</v>
      </c>
      <c r="AF304" t="inlineStr">
        <is>
          <t>ENTREGA DIRECTA</t>
        </is>
      </c>
      <c r="AG304" t="n">
        <v>1.3</v>
      </c>
      <c r="AH304" t="inlineStr">
        <is>
          <t>M3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20260629</v>
      </c>
      <c r="AM304" t="inlineStr">
        <is>
          <t>DW70-900005730--10217649-4</t>
        </is>
      </c>
    </row>
    <row r="305">
      <c r="A305" t="inlineStr">
        <is>
          <t>900005730DW7010191177</t>
        </is>
      </c>
      <c r="B305" t="inlineStr">
        <is>
          <t>4600068533-170</t>
        </is>
      </c>
      <c r="C305" t="n">
        <v>4600068533</v>
      </c>
      <c r="D305" t="n">
        <v>170</v>
      </c>
      <c r="E305" t="inlineStr">
        <is>
          <t>MXPO</t>
        </is>
      </c>
      <c r="F305" t="inlineStr">
        <is>
          <t>MXL</t>
        </is>
      </c>
      <c r="G305" t="n">
        <v>900005730</v>
      </c>
      <c r="H305" t="inlineStr">
        <is>
          <t>TC-ED OLIELL</t>
        </is>
      </c>
      <c r="I305" t="n">
        <v>5048484</v>
      </c>
      <c r="J305" t="inlineStr">
        <is>
          <t>COMERCIALIZADORA Y TRANSPORTADORA O</t>
        </is>
      </c>
      <c r="K305" t="inlineStr">
        <is>
          <t>N90</t>
        </is>
      </c>
      <c r="L305" t="inlineStr">
        <is>
          <t>(AP) NAFIN 90 Dias</t>
        </is>
      </c>
      <c r="M305" t="n">
        <v>10191177</v>
      </c>
      <c r="N305" t="inlineStr">
        <is>
          <t>ANDESITA CLASIFICADA 8" A 16" NG</t>
        </is>
      </c>
      <c r="O305" t="inlineStr">
        <is>
          <t>DW70</t>
        </is>
      </c>
      <c r="P305" t="inlineStr">
        <is>
          <t>MX-CED. CENTRO</t>
        </is>
      </c>
      <c r="Q305" t="n">
        <v>20230925</v>
      </c>
      <c r="R305" t="n">
        <v>20281231</v>
      </c>
      <c r="S305" t="n">
        <v>20260623</v>
      </c>
      <c r="T305" t="n">
        <v>20301231</v>
      </c>
      <c r="U305" t="n">
        <v>650</v>
      </c>
      <c r="V305" t="inlineStr">
        <is>
          <t>MXN</t>
        </is>
      </c>
      <c r="W305" t="inlineStr">
        <is>
          <t>M3</t>
        </is>
      </c>
      <c r="X305" t="n">
        <v>0</v>
      </c>
      <c r="Y305" t="inlineStr">
        <is>
          <t>MXN</t>
        </is>
      </c>
      <c r="Z305" t="inlineStr">
        <is>
          <t>M3</t>
        </is>
      </c>
      <c r="AC305" t="n">
        <v>56103637</v>
      </c>
      <c r="AD305" t="n">
        <v>6644261540</v>
      </c>
      <c r="AE305" t="n">
        <v>4</v>
      </c>
      <c r="AF305" t="inlineStr">
        <is>
          <t>ENTREGA DIRECTA</t>
        </is>
      </c>
      <c r="AG305" t="n">
        <v>1.3</v>
      </c>
      <c r="AH305" t="inlineStr">
        <is>
          <t>M3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20260629</v>
      </c>
      <c r="AM305" t="inlineStr">
        <is>
          <t>DW70-900005730--10191177-4</t>
        </is>
      </c>
    </row>
    <row r="306">
      <c r="A306" t="inlineStr">
        <is>
          <t>900001810DW7010000627</t>
        </is>
      </c>
      <c r="B306" t="inlineStr">
        <is>
          <t>4600050493-10</t>
        </is>
      </c>
      <c r="C306" t="n">
        <v>4600050493</v>
      </c>
      <c r="D306" t="n">
        <v>10</v>
      </c>
      <c r="E306" t="inlineStr">
        <is>
          <t>MXPO</t>
        </is>
      </c>
      <c r="F306" t="inlineStr">
        <is>
          <t>MXL</t>
        </is>
      </c>
      <c r="G306" t="n">
        <v>900001810</v>
      </c>
      <c r="H306" t="inlineStr">
        <is>
          <t>TC-TRIVOMEX</t>
        </is>
      </c>
      <c r="I306" t="n">
        <v>5033501</v>
      </c>
      <c r="J306" t="inlineStr">
        <is>
          <t>TRITURADOS VOLCANICOS DE MEXICO</t>
        </is>
      </c>
      <c r="K306" t="inlineStr">
        <is>
          <t>Z04</t>
        </is>
      </c>
      <c r="L306" t="inlineStr">
        <is>
          <t>(AP) 30 Dias</t>
        </is>
      </c>
      <c r="M306" t="n">
        <v>10000627</v>
      </c>
      <c r="N306" t="inlineStr">
        <is>
          <t>Grava Triturada Andesita 10 mm - 3/8"</t>
        </is>
      </c>
      <c r="O306" t="inlineStr">
        <is>
          <t>DW70</t>
        </is>
      </c>
      <c r="P306" t="inlineStr">
        <is>
          <t>MX-CED. CENTRO</t>
        </is>
      </c>
      <c r="Q306" t="n">
        <v>20210712</v>
      </c>
      <c r="R306" t="n">
        <v>20291231</v>
      </c>
      <c r="S306" t="n">
        <v>20240318</v>
      </c>
      <c r="T306" t="n">
        <v>20291231</v>
      </c>
      <c r="U306" t="n">
        <v>85</v>
      </c>
      <c r="V306" t="inlineStr">
        <is>
          <t>MXN</t>
        </is>
      </c>
      <c r="W306" t="inlineStr">
        <is>
          <t>M3</t>
        </is>
      </c>
      <c r="X306" t="n">
        <v>0</v>
      </c>
      <c r="Y306" t="inlineStr">
        <is>
          <t>MXN</t>
        </is>
      </c>
      <c r="Z306" t="inlineStr">
        <is>
          <t>M3</t>
        </is>
      </c>
      <c r="AC306" t="n">
        <v>56103637</v>
      </c>
      <c r="AD306" t="n">
        <v>6644261540</v>
      </c>
      <c r="AE306" t="n">
        <v>1</v>
      </c>
      <c r="AF306" t="inlineStr">
        <is>
          <t>ENTREGADO</t>
        </is>
      </c>
      <c r="AG306" t="n">
        <v>1.33</v>
      </c>
      <c r="AH306" t="inlineStr">
        <is>
          <t>M3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20240407</v>
      </c>
      <c r="AM306" t="inlineStr">
        <is>
          <t>DW70-900001810-10000627</t>
        </is>
      </c>
    </row>
    <row r="307">
      <c r="A307" t="inlineStr">
        <is>
          <t>900000295DW7010264162</t>
        </is>
      </c>
      <c r="B307" t="inlineStr">
        <is>
          <t>4600071045-10</t>
        </is>
      </c>
      <c r="C307" t="n">
        <v>4600071045</v>
      </c>
      <c r="D307" t="n">
        <v>10</v>
      </c>
      <c r="E307" t="inlineStr">
        <is>
          <t>MXPO</t>
        </is>
      </c>
      <c r="F307" t="inlineStr">
        <is>
          <t>MXL</t>
        </is>
      </c>
      <c r="G307" t="n">
        <v>900000295</v>
      </c>
      <c r="H307" t="inlineStr">
        <is>
          <t>SF TC-PITUFOS</t>
        </is>
      </c>
      <c r="I307" t="n">
        <v>5010165</v>
      </c>
      <c r="J307" t="inlineStr">
        <is>
          <t>AGREGADOS COMO S.A. DE C.V.</t>
        </is>
      </c>
      <c r="K307" t="inlineStr">
        <is>
          <t>N60</t>
        </is>
      </c>
      <c r="L307" t="inlineStr">
        <is>
          <t>(AP) NAFIN 60 Dias</t>
        </is>
      </c>
      <c r="M307" t="n">
        <v>10264162</v>
      </c>
      <c r="N307" t="inlineStr">
        <is>
          <t>MP ARENA TRITURADA ANDESITA N° 4</t>
        </is>
      </c>
      <c r="O307" t="inlineStr">
        <is>
          <t>DW70</t>
        </is>
      </c>
      <c r="P307" t="inlineStr">
        <is>
          <t>MX-CED. CENTRO</t>
        </is>
      </c>
      <c r="Q307" t="n">
        <v>20250318</v>
      </c>
      <c r="R307" t="n">
        <v>20301231</v>
      </c>
      <c r="S307" t="n">
        <v>20260119</v>
      </c>
      <c r="T307" t="n">
        <v>20260414</v>
      </c>
      <c r="U307" t="n">
        <v>94.81999999999999</v>
      </c>
      <c r="V307" t="inlineStr">
        <is>
          <t>MXN</t>
        </is>
      </c>
      <c r="W307" t="inlineStr">
        <is>
          <t>M3</t>
        </is>
      </c>
      <c r="X307" t="n">
        <v>0</v>
      </c>
      <c r="Y307" t="inlineStr">
        <is>
          <t>MXN</t>
        </is>
      </c>
      <c r="Z307" t="inlineStr">
        <is>
          <t>M3</t>
        </is>
      </c>
      <c r="AC307" t="n">
        <v>56103638</v>
      </c>
      <c r="AD307" t="n">
        <v>6644261540</v>
      </c>
      <c r="AE307" t="n">
        <v>1</v>
      </c>
      <c r="AF307" t="inlineStr">
        <is>
          <t>ENTREGADO</t>
        </is>
      </c>
      <c r="AG307" t="n">
        <v>1.536</v>
      </c>
      <c r="AH307" t="inlineStr">
        <is>
          <t>M3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20260414</v>
      </c>
      <c r="AM307" t="inlineStr">
        <is>
          <t>DW70-900000295-10264162</t>
        </is>
      </c>
    </row>
    <row r="308">
      <c r="A308" t="inlineStr">
        <is>
          <t>900000472DW70D07210000175</t>
        </is>
      </c>
      <c r="B308" t="inlineStr">
        <is>
          <t>4600050481-1100</t>
        </is>
      </c>
      <c r="C308" t="n">
        <v>4600050481</v>
      </c>
      <c r="D308" t="n">
        <v>1100</v>
      </c>
      <c r="E308" t="inlineStr">
        <is>
          <t>MXPO</t>
        </is>
      </c>
      <c r="F308" t="inlineStr">
        <is>
          <t>MXL</t>
        </is>
      </c>
      <c r="G308" t="n">
        <v>900000472</v>
      </c>
      <c r="H308" t="inlineStr">
        <is>
          <t>TC-ED-TRIMCAV</t>
        </is>
      </c>
      <c r="I308" t="n">
        <v>5010147</v>
      </c>
      <c r="J308" t="inlineStr">
        <is>
          <t>TRITURACIONES DE MARMOL Y CALCIOS</t>
        </is>
      </c>
      <c r="K308" t="inlineStr">
        <is>
          <t>Z04</t>
        </is>
      </c>
      <c r="L308" t="inlineStr">
        <is>
          <t>(AP) 30 Dias</t>
        </is>
      </c>
      <c r="M308" t="n">
        <v>10000175</v>
      </c>
      <c r="N308" t="inlineStr">
        <is>
          <t>Arena Triturada Caliza Malla 4</t>
        </is>
      </c>
      <c r="O308" t="inlineStr">
        <is>
          <t>DW70</t>
        </is>
      </c>
      <c r="P308" t="inlineStr">
        <is>
          <t>MX-CED. CENTRO</t>
        </is>
      </c>
      <c r="Q308" t="n">
        <v>20210712</v>
      </c>
      <c r="R308" t="n">
        <v>20291231</v>
      </c>
      <c r="S308" t="n">
        <v>20241230</v>
      </c>
      <c r="T308" t="n">
        <v>20291231</v>
      </c>
      <c r="U308" t="n">
        <v>785</v>
      </c>
      <c r="V308" t="inlineStr">
        <is>
          <t>MXN</t>
        </is>
      </c>
      <c r="W308" t="inlineStr">
        <is>
          <t>TN</t>
        </is>
      </c>
      <c r="X308" t="n">
        <v>585</v>
      </c>
      <c r="Y308" t="inlineStr">
        <is>
          <t>MXN</t>
        </is>
      </c>
      <c r="Z308" t="inlineStr">
        <is>
          <t>TN</t>
        </is>
      </c>
      <c r="AA308" t="inlineStr">
        <is>
          <t>D072</t>
        </is>
      </c>
      <c r="AB308" t="inlineStr">
        <is>
          <t>PD0187 TOLUCA</t>
        </is>
      </c>
      <c r="AC308" t="n">
        <v>56103638</v>
      </c>
      <c r="AD308" t="n">
        <v>6644261540</v>
      </c>
      <c r="AE308" t="n">
        <v>4</v>
      </c>
      <c r="AF308" t="inlineStr">
        <is>
          <t>ENTREGA DIRECTA</t>
        </is>
      </c>
      <c r="AG308" t="n">
        <v>1</v>
      </c>
      <c r="AH308" t="inlineStr">
        <is>
          <t>TO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20241231</v>
      </c>
      <c r="AM308" t="inlineStr">
        <is>
          <t>DW70-900000472-D072-10000175-4</t>
        </is>
      </c>
    </row>
    <row r="309">
      <c r="A309" t="inlineStr">
        <is>
          <t>900005730DW70ENXF10000593</t>
        </is>
      </c>
      <c r="B309" t="inlineStr">
        <is>
          <t>4600068533-120</t>
        </is>
      </c>
      <c r="C309" t="n">
        <v>4600068533</v>
      </c>
      <c r="D309" t="n">
        <v>120</v>
      </c>
      <c r="E309" t="inlineStr">
        <is>
          <t>MXPO</t>
        </is>
      </c>
      <c r="F309" t="inlineStr">
        <is>
          <t>MXL</t>
        </is>
      </c>
      <c r="G309" t="n">
        <v>900005730</v>
      </c>
      <c r="H309" t="inlineStr">
        <is>
          <t>TC-ED OLIELL</t>
        </is>
      </c>
      <c r="I309" t="n">
        <v>5048484</v>
      </c>
      <c r="J309" t="inlineStr">
        <is>
          <t>COMERCIALIZADORA Y TRANSPORTADORA O</t>
        </is>
      </c>
      <c r="K309" t="inlineStr">
        <is>
          <t>N90</t>
        </is>
      </c>
      <c r="L309" t="inlineStr">
        <is>
          <t>(AP) NAFIN 90 Dias</t>
        </is>
      </c>
      <c r="M309" t="n">
        <v>10000593</v>
      </c>
      <c r="N309" t="inlineStr">
        <is>
          <t>Arena Triturada Andesita Malla 4</t>
        </is>
      </c>
      <c r="O309" t="inlineStr">
        <is>
          <t>DW70</t>
        </is>
      </c>
      <c r="P309" t="inlineStr">
        <is>
          <t>MX-CED. CENTRO</t>
        </is>
      </c>
      <c r="Q309" t="n">
        <v>20230925</v>
      </c>
      <c r="R309" t="n">
        <v>20281231</v>
      </c>
      <c r="S309" t="n">
        <v>20260305</v>
      </c>
      <c r="T309" t="n">
        <v>20301231</v>
      </c>
      <c r="U309" t="n">
        <v>635.3200000000001</v>
      </c>
      <c r="V309" t="inlineStr">
        <is>
          <t>MXN</t>
        </is>
      </c>
      <c r="W309" t="inlineStr">
        <is>
          <t>M3</t>
        </is>
      </c>
      <c r="X309" t="n">
        <v>500</v>
      </c>
      <c r="Y309" t="inlineStr">
        <is>
          <t>MXN</t>
        </is>
      </c>
      <c r="Z309" t="inlineStr">
        <is>
          <t>M3</t>
        </is>
      </c>
      <c r="AA309" t="inlineStr">
        <is>
          <t>ENXF</t>
        </is>
      </c>
      <c r="AB309" t="inlineStr">
        <is>
          <t>Complejo Deportivo (CENCIS) E3 / SE</t>
        </is>
      </c>
      <c r="AC309" t="n">
        <v>56103638</v>
      </c>
      <c r="AD309" t="n">
        <v>6644261540</v>
      </c>
      <c r="AE309" t="n">
        <v>4</v>
      </c>
      <c r="AF309" t="inlineStr">
        <is>
          <t>ENTREGA DIRECTA</t>
        </is>
      </c>
      <c r="AG309" t="n">
        <v>1.4</v>
      </c>
      <c r="AH309" t="inlineStr">
        <is>
          <t>M3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20260312</v>
      </c>
      <c r="AM309" t="inlineStr">
        <is>
          <t>DW70-900005730-ENXF-10000593-4</t>
        </is>
      </c>
    </row>
    <row r="310">
      <c r="A310" t="inlineStr">
        <is>
          <t>900005730DW70ENXF10000160</t>
        </is>
      </c>
      <c r="B310" t="inlineStr">
        <is>
          <t>4600068533-100</t>
        </is>
      </c>
      <c r="C310" t="n">
        <v>4600068533</v>
      </c>
      <c r="D310" t="n">
        <v>100</v>
      </c>
      <c r="E310" t="inlineStr">
        <is>
          <t>MXPO</t>
        </is>
      </c>
      <c r="F310" t="inlineStr">
        <is>
          <t>MXL</t>
        </is>
      </c>
      <c r="G310" t="n">
        <v>900005730</v>
      </c>
      <c r="H310" t="inlineStr">
        <is>
          <t>TC-ED OLIELL</t>
        </is>
      </c>
      <c r="I310" t="n">
        <v>5048484</v>
      </c>
      <c r="J310" t="inlineStr">
        <is>
          <t>COMERCIALIZADORA Y TRANSPORTADORA O</t>
        </is>
      </c>
      <c r="K310" t="inlineStr">
        <is>
          <t>N90</t>
        </is>
      </c>
      <c r="L310" t="inlineStr">
        <is>
          <t>(AP) NAFIN 90 Dias</t>
        </is>
      </c>
      <c r="M310" t="n">
        <v>10000160</v>
      </c>
      <c r="N310" t="inlineStr">
        <is>
          <t>Arena Triturada Andesita Malla 4</t>
        </is>
      </c>
      <c r="O310" t="inlineStr">
        <is>
          <t>DW70</t>
        </is>
      </c>
      <c r="P310" t="inlineStr">
        <is>
          <t>MX-CED. CENTRO</t>
        </is>
      </c>
      <c r="Q310" t="n">
        <v>20230925</v>
      </c>
      <c r="R310" t="n">
        <v>20281231</v>
      </c>
      <c r="S310" t="n">
        <v>20260305</v>
      </c>
      <c r="T310" t="n">
        <v>20301231</v>
      </c>
      <c r="U310" t="n">
        <v>350.53</v>
      </c>
      <c r="V310" t="inlineStr">
        <is>
          <t>MXN</t>
        </is>
      </c>
      <c r="W310" t="inlineStr">
        <is>
          <t>M3</t>
        </is>
      </c>
      <c r="X310" t="n">
        <v>178.2</v>
      </c>
      <c r="Y310" t="inlineStr">
        <is>
          <t>MXN</t>
        </is>
      </c>
      <c r="Z310" t="inlineStr">
        <is>
          <t>M3</t>
        </is>
      </c>
      <c r="AA310" t="inlineStr">
        <is>
          <t>ENXF</t>
        </is>
      </c>
      <c r="AB310" t="inlineStr">
        <is>
          <t>Complejo Deportivo (CENCIS) E3 / SE</t>
        </is>
      </c>
      <c r="AC310" t="n">
        <v>56103638</v>
      </c>
      <c r="AD310" t="n">
        <v>6644261540</v>
      </c>
      <c r="AE310" t="n">
        <v>4</v>
      </c>
      <c r="AF310" t="inlineStr">
        <is>
          <t>ENTREGA DIRECTA</t>
        </is>
      </c>
      <c r="AG310" t="n">
        <v>1.409</v>
      </c>
      <c r="AH310" t="inlineStr">
        <is>
          <t>M3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20260312</v>
      </c>
      <c r="AM310" t="inlineStr">
        <is>
          <t>DW70-900005730-ENXF-10000160-4</t>
        </is>
      </c>
    </row>
    <row r="311">
      <c r="A311" t="inlineStr">
        <is>
          <t>900009480DW7010000357</t>
        </is>
      </c>
      <c r="B311" t="inlineStr">
        <is>
          <t>4600071977-20</t>
        </is>
      </c>
      <c r="C311" t="n">
        <v>4600071977</v>
      </c>
      <c r="D311" t="n">
        <v>20</v>
      </c>
      <c r="E311" t="inlineStr">
        <is>
          <t>MXPO</t>
        </is>
      </c>
      <c r="F311" t="inlineStr">
        <is>
          <t>MXL</t>
        </is>
      </c>
      <c r="G311" t="n">
        <v>900009480</v>
      </c>
      <c r="H311" t="inlineStr">
        <is>
          <t>SF TC-LOMA ANCHA SC</t>
        </is>
      </c>
      <c r="I311" t="n">
        <v>5047262</v>
      </c>
      <c r="J311" t="inlineStr">
        <is>
          <t>AGREGADOS PETREOS SAN CRISTOBAL</t>
        </is>
      </c>
      <c r="K311" t="inlineStr">
        <is>
          <t>Z03</t>
        </is>
      </c>
      <c r="L311" t="inlineStr">
        <is>
          <t>(AP) 15 Dias</t>
        </is>
      </c>
      <c r="M311" t="n">
        <v>10000357</v>
      </c>
      <c r="N311" t="inlineStr">
        <is>
          <t>Grava Triturada Andesita 20 mm - 3/4"</t>
        </is>
      </c>
      <c r="O311" t="inlineStr">
        <is>
          <t>DW70</t>
        </is>
      </c>
      <c r="P311" t="inlineStr">
        <is>
          <t>MX-CED. CENTRO</t>
        </is>
      </c>
      <c r="Q311" t="n">
        <v>20260211</v>
      </c>
      <c r="R311" t="n">
        <v>20301231</v>
      </c>
      <c r="S311" t="n">
        <v>20260302</v>
      </c>
      <c r="T311" t="n">
        <v>20301231</v>
      </c>
      <c r="U311" t="n">
        <v>115</v>
      </c>
      <c r="V311" t="inlineStr">
        <is>
          <t>MXN</t>
        </is>
      </c>
      <c r="W311" t="inlineStr">
        <is>
          <t>M3</t>
        </is>
      </c>
      <c r="X311" t="n">
        <v>0</v>
      </c>
      <c r="Y311" t="inlineStr">
        <is>
          <t>MXN</t>
        </is>
      </c>
      <c r="Z311" t="inlineStr">
        <is>
          <t>M3</t>
        </is>
      </c>
      <c r="AC311" t="n">
        <v>56103637</v>
      </c>
      <c r="AD311" t="n">
        <v>6644261540</v>
      </c>
      <c r="AE311" t="n">
        <v>1</v>
      </c>
      <c r="AF311" t="inlineStr">
        <is>
          <t>ENTREGADO</t>
        </is>
      </c>
      <c r="AG311" t="n">
        <v>1.326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20260315</v>
      </c>
      <c r="AM311" t="inlineStr">
        <is>
          <t>DW70-900009480-10000357</t>
        </is>
      </c>
    </row>
    <row r="312">
      <c r="A312" t="inlineStr">
        <is>
          <t>900009480DW7010275115</t>
        </is>
      </c>
      <c r="B312" t="inlineStr">
        <is>
          <t>4600071977-30</t>
        </is>
      </c>
      <c r="C312" t="n">
        <v>4600071977</v>
      </c>
      <c r="D312" t="n">
        <v>30</v>
      </c>
      <c r="E312" t="inlineStr">
        <is>
          <t>MXPO</t>
        </is>
      </c>
      <c r="F312" t="inlineStr">
        <is>
          <t>MXL</t>
        </is>
      </c>
      <c r="G312" t="n">
        <v>900009480</v>
      </c>
      <c r="H312" t="inlineStr">
        <is>
          <t>SF TC-LOMA ANCHA SC</t>
        </is>
      </c>
      <c r="I312" t="n">
        <v>5047262</v>
      </c>
      <c r="J312" t="inlineStr">
        <is>
          <t>AGREGADOS PETREOS SAN CRISTOBAL</t>
        </is>
      </c>
      <c r="K312" t="inlineStr">
        <is>
          <t>Z03</t>
        </is>
      </c>
      <c r="L312" t="inlineStr">
        <is>
          <t>(AP) 15 Dias</t>
        </is>
      </c>
      <c r="M312" t="n">
        <v>10275115</v>
      </c>
      <c r="N312" t="inlineStr">
        <is>
          <t>MP ARENA TRIT ANDESITA MALLA 4</t>
        </is>
      </c>
      <c r="O312" t="inlineStr">
        <is>
          <t>DW70</t>
        </is>
      </c>
      <c r="P312" t="inlineStr">
        <is>
          <t>MX-CED. CENTRO</t>
        </is>
      </c>
      <c r="Q312" t="n">
        <v>20260211</v>
      </c>
      <c r="R312" t="n">
        <v>20301231</v>
      </c>
      <c r="S312" t="n">
        <v>20260302</v>
      </c>
      <c r="T312" t="n">
        <v>20301231</v>
      </c>
      <c r="U312" t="n">
        <v>93</v>
      </c>
      <c r="V312" t="inlineStr">
        <is>
          <t>MXN</t>
        </is>
      </c>
      <c r="W312" t="inlineStr">
        <is>
          <t>M3</t>
        </is>
      </c>
      <c r="X312" t="n">
        <v>0</v>
      </c>
      <c r="Y312" t="inlineStr">
        <is>
          <t>MXN</t>
        </is>
      </c>
      <c r="Z312" t="inlineStr">
        <is>
          <t>M3</t>
        </is>
      </c>
      <c r="AC312" t="n">
        <v>56103638</v>
      </c>
      <c r="AD312" t="n">
        <v>6644261540</v>
      </c>
      <c r="AE312" t="n">
        <v>1</v>
      </c>
      <c r="AF312" t="inlineStr">
        <is>
          <t>ENTREGADO</t>
        </is>
      </c>
      <c r="AG312" t="n">
        <v>1.259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20260315</v>
      </c>
      <c r="AM312" t="inlineStr">
        <is>
          <t>DW70-900009480-10275115</t>
        </is>
      </c>
    </row>
    <row r="313">
      <c r="A313" t="inlineStr">
        <is>
          <t>900007197DW7010275118</t>
        </is>
      </c>
      <c r="B313" t="inlineStr">
        <is>
          <t>4600051981-20</t>
        </is>
      </c>
      <c r="C313" t="n">
        <v>4600051981</v>
      </c>
      <c r="D313" t="n">
        <v>20</v>
      </c>
      <c r="E313" t="inlineStr">
        <is>
          <t>MXPO</t>
        </is>
      </c>
      <c r="F313" t="inlineStr">
        <is>
          <t>MXL</t>
        </is>
      </c>
      <c r="G313" t="n">
        <v>900007197</v>
      </c>
      <c r="H313" t="inlineStr">
        <is>
          <t>SF TC-LA PALOMA HUIXQUILUCAN</t>
        </is>
      </c>
      <c r="I313" t="n">
        <v>5007159</v>
      </c>
      <c r="J313" t="inlineStr">
        <is>
          <t>CONSTRUCCION Y MATERIALES HUIXQUILU</t>
        </is>
      </c>
      <c r="K313" t="inlineStr">
        <is>
          <t>N90</t>
        </is>
      </c>
      <c r="L313" t="inlineStr">
        <is>
          <t>(AP) NAFIN 90 Dias</t>
        </is>
      </c>
      <c r="M313" t="n">
        <v>10275118</v>
      </c>
      <c r="N313" t="inlineStr">
        <is>
          <t>MP ARENA TRIT ANDESITA MALLA 4</t>
        </is>
      </c>
      <c r="O313" t="inlineStr">
        <is>
          <t>DW70</t>
        </is>
      </c>
      <c r="P313" t="inlineStr">
        <is>
          <t>MX-CED. CENTRO</t>
        </is>
      </c>
      <c r="Q313" t="n">
        <v>20210922</v>
      </c>
      <c r="R313" t="n">
        <v>20261231</v>
      </c>
      <c r="S313" t="n">
        <v>20260310</v>
      </c>
      <c r="T313" t="n">
        <v>20301231</v>
      </c>
      <c r="U313" t="n">
        <v>125</v>
      </c>
      <c r="V313" t="inlineStr">
        <is>
          <t>MXN</t>
        </is>
      </c>
      <c r="W313" t="inlineStr">
        <is>
          <t>M3</t>
        </is>
      </c>
      <c r="X313" t="n">
        <v>0</v>
      </c>
      <c r="Y313" t="inlineStr">
        <is>
          <t>MXN</t>
        </is>
      </c>
      <c r="Z313" t="inlineStr">
        <is>
          <t>M3</t>
        </is>
      </c>
      <c r="AC313" t="n">
        <v>56103638</v>
      </c>
      <c r="AD313" t="n">
        <v>6644261540</v>
      </c>
      <c r="AE313" t="n">
        <v>1</v>
      </c>
      <c r="AF313" t="inlineStr">
        <is>
          <t>ENTREGADO</t>
        </is>
      </c>
      <c r="AG313" t="n">
        <v>1.401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20260312</v>
      </c>
      <c r="AM313" t="inlineStr">
        <is>
          <t>DW70-900007197-10275118</t>
        </is>
      </c>
    </row>
    <row r="314">
      <c r="A314" t="inlineStr">
        <is>
          <t>900006234DW70ENAW10194058</t>
        </is>
      </c>
      <c r="B314" t="inlineStr">
        <is>
          <t>4600070583-10</t>
        </is>
      </c>
      <c r="C314" t="n">
        <v>4600070583</v>
      </c>
      <c r="D314" t="n">
        <v>10</v>
      </c>
      <c r="E314" t="inlineStr">
        <is>
          <t>MXPO</t>
        </is>
      </c>
      <c r="F314" t="inlineStr">
        <is>
          <t>MXL</t>
        </is>
      </c>
      <c r="G314" t="n">
        <v>900006234</v>
      </c>
      <c r="H314" t="inlineStr">
        <is>
          <t>SF TC-ED-SAN JUAN (HUDASA)</t>
        </is>
      </c>
      <c r="I314" t="n">
        <v>5054686</v>
      </c>
      <c r="J314" t="inlineStr">
        <is>
          <t>GRUPO MERCANTIL HUDASA SA DE CV</t>
        </is>
      </c>
      <c r="K314" t="inlineStr">
        <is>
          <t>N90</t>
        </is>
      </c>
      <c r="L314" t="inlineStr">
        <is>
          <t>(AP) NAFIN 90 Dias</t>
        </is>
      </c>
      <c r="M314" t="n">
        <v>10194058</v>
      </c>
      <c r="N314" t="inlineStr">
        <is>
          <t>ARENA TRITURADA ANDESITA MALLA 4 NG</t>
        </is>
      </c>
      <c r="O314" t="inlineStr">
        <is>
          <t>DW70</t>
        </is>
      </c>
      <c r="P314" t="inlineStr">
        <is>
          <t>MX-CED. CENTRO</t>
        </is>
      </c>
      <c r="Q314" t="n">
        <v>20241121</v>
      </c>
      <c r="R314" t="n">
        <v>20291231</v>
      </c>
      <c r="S314" t="n">
        <v>20241121</v>
      </c>
      <c r="T314" t="n">
        <v>20291231</v>
      </c>
      <c r="U314" t="n">
        <v>297.41</v>
      </c>
      <c r="V314" t="inlineStr">
        <is>
          <t>MXN</t>
        </is>
      </c>
      <c r="W314" t="inlineStr">
        <is>
          <t>M3</t>
        </is>
      </c>
      <c r="X314" t="n">
        <v>200</v>
      </c>
      <c r="Y314" t="inlineStr">
        <is>
          <t>MXN</t>
        </is>
      </c>
      <c r="Z314" t="inlineStr">
        <is>
          <t>M3</t>
        </is>
      </c>
      <c r="AA314" t="inlineStr">
        <is>
          <t>ENAW</t>
        </is>
      </c>
      <c r="AB314" t="inlineStr">
        <is>
          <t>COMPLEJO DEPORTIVO (CENCIS) / SEMAR</t>
        </is>
      </c>
      <c r="AC314" t="n">
        <v>56103638</v>
      </c>
      <c r="AD314" t="n">
        <v>6644261540</v>
      </c>
      <c r="AE314" t="n">
        <v>4</v>
      </c>
      <c r="AF314" t="inlineStr">
        <is>
          <t>ENTREGA DIRECTA</t>
        </is>
      </c>
      <c r="AG314" t="n">
        <v>1.33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20241127</v>
      </c>
      <c r="AM314" t="inlineStr">
        <is>
          <t>DW70-900006234-ENAW-10194058-4</t>
        </is>
      </c>
    </row>
    <row r="315">
      <c r="A315" t="inlineStr">
        <is>
          <t>900006234DW70ENAW10227694</t>
        </is>
      </c>
      <c r="B315" t="inlineStr">
        <is>
          <t>4600070583-20</t>
        </is>
      </c>
      <c r="C315" t="n">
        <v>4600070583</v>
      </c>
      <c r="D315" t="n">
        <v>20</v>
      </c>
      <c r="E315" t="inlineStr">
        <is>
          <t>MXPO</t>
        </is>
      </c>
      <c r="F315" t="inlineStr">
        <is>
          <t>MXL</t>
        </is>
      </c>
      <c r="G315" t="n">
        <v>900006234</v>
      </c>
      <c r="H315" t="inlineStr">
        <is>
          <t>SF TC-ED-SAN JUAN (HUDASA)</t>
        </is>
      </c>
      <c r="I315" t="n">
        <v>5054686</v>
      </c>
      <c r="J315" t="inlineStr">
        <is>
          <t>GRUPO MERCANTIL HUDASA SA DE CV</t>
        </is>
      </c>
      <c r="K315" t="inlineStr">
        <is>
          <t>N90</t>
        </is>
      </c>
      <c r="L315" t="inlineStr">
        <is>
          <t>(AP) NAFIN 90 Dias</t>
        </is>
      </c>
      <c r="M315" t="n">
        <v>10227694</v>
      </c>
      <c r="N315" t="inlineStr">
        <is>
          <t>GRAVA TRITURADA ANDESITA 20 MM - 3/4" NG</t>
        </is>
      </c>
      <c r="O315" t="inlineStr">
        <is>
          <t>DW70</t>
        </is>
      </c>
      <c r="P315" t="inlineStr">
        <is>
          <t>MX-CED. CENTRO</t>
        </is>
      </c>
      <c r="Q315" t="n">
        <v>20241121</v>
      </c>
      <c r="R315" t="n">
        <v>20291231</v>
      </c>
      <c r="S315" t="n">
        <v>20241121</v>
      </c>
      <c r="T315" t="n">
        <v>20291231</v>
      </c>
      <c r="U315" t="n">
        <v>283.91</v>
      </c>
      <c r="V315" t="inlineStr">
        <is>
          <t>MXN</t>
        </is>
      </c>
      <c r="W315" t="inlineStr">
        <is>
          <t>M3</t>
        </is>
      </c>
      <c r="X315" t="n">
        <v>200</v>
      </c>
      <c r="Y315" t="inlineStr">
        <is>
          <t>MXN</t>
        </is>
      </c>
      <c r="Z315" t="inlineStr">
        <is>
          <t>M3</t>
        </is>
      </c>
      <c r="AA315" t="inlineStr">
        <is>
          <t>ENAW</t>
        </is>
      </c>
      <c r="AB315" t="inlineStr">
        <is>
          <t>COMPLEJO DEPORTIVO (CENCIS) / SEMAR</t>
        </is>
      </c>
      <c r="AC315" t="n">
        <v>56103637</v>
      </c>
      <c r="AD315" t="n">
        <v>6644261540</v>
      </c>
      <c r="AE315" t="n">
        <v>4</v>
      </c>
      <c r="AF315" t="inlineStr">
        <is>
          <t>ENTREGA DIRECTA</t>
        </is>
      </c>
      <c r="AG315" t="n">
        <v>1.415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20241127</v>
      </c>
      <c r="AM315" t="inlineStr">
        <is>
          <t>DW70-900006234-ENAW-10227694-4</t>
        </is>
      </c>
    </row>
    <row r="316">
      <c r="A316" t="inlineStr">
        <is>
          <t>900003438DW70D09310000630</t>
        </is>
      </c>
      <c r="B316" t="inlineStr">
        <is>
          <t>4600050497-30</t>
        </is>
      </c>
      <c r="C316" t="n">
        <v>4600050497</v>
      </c>
      <c r="D316" t="n">
        <v>30</v>
      </c>
      <c r="E316" t="inlineStr">
        <is>
          <t>MXPO</t>
        </is>
      </c>
      <c r="F316" t="inlineStr">
        <is>
          <t>MXL</t>
        </is>
      </c>
      <c r="G316" t="n">
        <v>900003438</v>
      </c>
      <c r="H316" t="inlineStr">
        <is>
          <t>TC-ED-ESTRATEGIAS AVANZADAS</t>
        </is>
      </c>
      <c r="I316" t="n">
        <v>5049458</v>
      </c>
      <c r="J316" t="inlineStr">
        <is>
          <t>ESTRATEGIAS AVANZADAS PARA OBTEN</t>
        </is>
      </c>
      <c r="K316" t="inlineStr">
        <is>
          <t>Z03</t>
        </is>
      </c>
      <c r="L316" t="inlineStr">
        <is>
          <t>(AP) 15 Dias</t>
        </is>
      </c>
      <c r="M316" t="n">
        <v>10000630</v>
      </c>
      <c r="N316" t="inlineStr">
        <is>
          <t>Grava Triturada Caliza 13 mm - 1/2"</t>
        </is>
      </c>
      <c r="O316" t="inlineStr">
        <is>
          <t>DW70</t>
        </is>
      </c>
      <c r="P316" t="inlineStr">
        <is>
          <t>MX-CED. CENTRO</t>
        </is>
      </c>
      <c r="Q316" t="n">
        <v>20210712</v>
      </c>
      <c r="R316" t="n">
        <v>20281231</v>
      </c>
      <c r="S316" t="n">
        <v>20230501</v>
      </c>
      <c r="T316" t="n">
        <v>20281231</v>
      </c>
      <c r="U316" t="n">
        <v>293.33</v>
      </c>
      <c r="V316" t="inlineStr">
        <is>
          <t>MXN</t>
        </is>
      </c>
      <c r="W316" t="inlineStr">
        <is>
          <t>M3</t>
        </is>
      </c>
      <c r="X316" t="n">
        <v>138.33</v>
      </c>
      <c r="Y316" t="inlineStr">
        <is>
          <t>MXN</t>
        </is>
      </c>
      <c r="Z316" t="inlineStr">
        <is>
          <t>M3</t>
        </is>
      </c>
      <c r="AA316" t="inlineStr">
        <is>
          <t>D093</t>
        </is>
      </c>
      <c r="AB316" t="inlineStr">
        <is>
          <t>PD0556 ZUMPANGO</t>
        </is>
      </c>
      <c r="AC316" t="n">
        <v>56103637</v>
      </c>
      <c r="AD316" t="n">
        <v>6644261540</v>
      </c>
      <c r="AE316" t="n">
        <v>4</v>
      </c>
      <c r="AF316" t="inlineStr">
        <is>
          <t>ENTREGA DIRECTA</t>
        </is>
      </c>
      <c r="AG316" t="n">
        <v>1.4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20230920</v>
      </c>
      <c r="AM316" t="inlineStr">
        <is>
          <t>DW70-900003438-D093-10000630-4</t>
        </is>
      </c>
    </row>
    <row r="317">
      <c r="A317" t="inlineStr">
        <is>
          <t>900003438DW70D10510000630</t>
        </is>
      </c>
      <c r="B317" t="inlineStr">
        <is>
          <t>4600050497-40</t>
        </is>
      </c>
      <c r="C317" t="n">
        <v>4600050497</v>
      </c>
      <c r="D317" t="n">
        <v>40</v>
      </c>
      <c r="E317" t="inlineStr">
        <is>
          <t>MXPO</t>
        </is>
      </c>
      <c r="F317" t="inlineStr">
        <is>
          <t>MXL</t>
        </is>
      </c>
      <c r="G317" t="n">
        <v>900003438</v>
      </c>
      <c r="H317" t="inlineStr">
        <is>
          <t>TC-ED-ESTRATEGIAS AVANZADAS</t>
        </is>
      </c>
      <c r="I317" t="n">
        <v>5049458</v>
      </c>
      <c r="J317" t="inlineStr">
        <is>
          <t>ESTRATEGIAS AVANZADAS PARA OBTEN</t>
        </is>
      </c>
      <c r="K317" t="inlineStr">
        <is>
          <t>Z03</t>
        </is>
      </c>
      <c r="L317" t="inlineStr">
        <is>
          <t>(AP) 15 Dias</t>
        </is>
      </c>
      <c r="M317" t="n">
        <v>10000630</v>
      </c>
      <c r="N317" t="inlineStr">
        <is>
          <t>Grava Triturada Caliza 13 mm - 1/2"</t>
        </is>
      </c>
      <c r="O317" t="inlineStr">
        <is>
          <t>DW70</t>
        </is>
      </c>
      <c r="P317" t="inlineStr">
        <is>
          <t>MX-CED. CENTRO</t>
        </is>
      </c>
      <c r="Q317" t="n">
        <v>20210712</v>
      </c>
      <c r="R317" t="n">
        <v>20281231</v>
      </c>
      <c r="S317" t="n">
        <v>20230501</v>
      </c>
      <c r="T317" t="n">
        <v>20281231</v>
      </c>
      <c r="U317" t="n">
        <v>389.35</v>
      </c>
      <c r="V317" t="inlineStr">
        <is>
          <t>MXN</t>
        </is>
      </c>
      <c r="W317" t="inlineStr">
        <is>
          <t>M3</t>
        </is>
      </c>
      <c r="X317" t="n">
        <v>234.35</v>
      </c>
      <c r="Y317" t="inlineStr">
        <is>
          <t>MXN</t>
        </is>
      </c>
      <c r="Z317" t="inlineStr">
        <is>
          <t>M3</t>
        </is>
      </c>
      <c r="AA317" t="inlineStr">
        <is>
          <t>D105</t>
        </is>
      </c>
      <c r="AB317" t="inlineStr">
        <is>
          <t>PD0331 NAUCALPAN II</t>
        </is>
      </c>
      <c r="AC317" t="n">
        <v>56103637</v>
      </c>
      <c r="AD317" t="n">
        <v>6644261540</v>
      </c>
      <c r="AE317" t="n">
        <v>4</v>
      </c>
      <c r="AF317" t="inlineStr">
        <is>
          <t>ENTREGA DIRECTA</t>
        </is>
      </c>
      <c r="AG317" t="n">
        <v>1.4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20230920</v>
      </c>
      <c r="AM317" t="inlineStr">
        <is>
          <t>DW70-900003438-D105-10000630-4</t>
        </is>
      </c>
    </row>
    <row r="318">
      <c r="A318" t="inlineStr">
        <is>
          <t>900000472DW70D08510000643</t>
        </is>
      </c>
      <c r="B318" t="inlineStr">
        <is>
          <t>4600050481-60</t>
        </is>
      </c>
      <c r="C318" t="n">
        <v>4600050481</v>
      </c>
      <c r="D318" t="n">
        <v>60</v>
      </c>
      <c r="E318" t="inlineStr">
        <is>
          <t>MXPO</t>
        </is>
      </c>
      <c r="F318" t="inlineStr">
        <is>
          <t>MXL</t>
        </is>
      </c>
      <c r="G318" t="n">
        <v>900000472</v>
      </c>
      <c r="H318" t="inlineStr">
        <is>
          <t>TC-ED-TRIMCAV</t>
        </is>
      </c>
      <c r="I318" t="n">
        <v>5010147</v>
      </c>
      <c r="J318" t="inlineStr">
        <is>
          <t>TRITURACIONES DE MARMOL Y CALCIOS</t>
        </is>
      </c>
      <c r="K318" t="inlineStr">
        <is>
          <t>Z04</t>
        </is>
      </c>
      <c r="L318" t="inlineStr">
        <is>
          <t>(AP) 30 Dias</t>
        </is>
      </c>
      <c r="M318" t="n">
        <v>10000643</v>
      </c>
      <c r="N318" t="inlineStr">
        <is>
          <t>Grava Triturada Marmol 20 mm - 3/4"</t>
        </is>
      </c>
      <c r="O318" t="inlineStr">
        <is>
          <t>DW70</t>
        </is>
      </c>
      <c r="P318" t="inlineStr">
        <is>
          <t>MX-CED. CENTRO</t>
        </is>
      </c>
      <c r="Q318" t="n">
        <v>20210712</v>
      </c>
      <c r="R318" t="n">
        <v>20291231</v>
      </c>
      <c r="S318" t="n">
        <v>20230215</v>
      </c>
      <c r="T318" t="n">
        <v>20281231</v>
      </c>
      <c r="U318" t="n">
        <v>921.6900000000001</v>
      </c>
      <c r="V318" t="inlineStr">
        <is>
          <t>MXN</t>
        </is>
      </c>
      <c r="W318" t="inlineStr">
        <is>
          <t>TN</t>
        </is>
      </c>
      <c r="X318" t="n">
        <v>485.1</v>
      </c>
      <c r="Y318" t="inlineStr">
        <is>
          <t>MXN</t>
        </is>
      </c>
      <c r="Z318" t="inlineStr">
        <is>
          <t>TN</t>
        </is>
      </c>
      <c r="AA318" t="inlineStr">
        <is>
          <t>D085</t>
        </is>
      </c>
      <c r="AB318" t="inlineStr">
        <is>
          <t>PD0189 ROJO GOMEZ</t>
        </is>
      </c>
      <c r="AC318" t="n">
        <v>56103637</v>
      </c>
      <c r="AD318" t="n">
        <v>6644261540</v>
      </c>
      <c r="AE318" t="n">
        <v>4</v>
      </c>
      <c r="AF318" t="inlineStr">
        <is>
          <t>ENTREGA DIRECTA</t>
        </is>
      </c>
      <c r="AG318" t="n">
        <v>1</v>
      </c>
      <c r="AH318" t="inlineStr">
        <is>
          <t>TO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20230920</v>
      </c>
      <c r="AM318" t="inlineStr">
        <is>
          <t>DW70-900000472-D085-10000643-4</t>
        </is>
      </c>
    </row>
    <row r="319">
      <c r="A319" t="inlineStr">
        <is>
          <t>900003438DW70D09310002802</t>
        </is>
      </c>
      <c r="B319" t="inlineStr">
        <is>
          <t>4600050497-410</t>
        </is>
      </c>
      <c r="C319" t="n">
        <v>4600050497</v>
      </c>
      <c r="D319" t="n">
        <v>410</v>
      </c>
      <c r="E319" t="inlineStr">
        <is>
          <t>MXPO</t>
        </is>
      </c>
      <c r="F319" t="inlineStr">
        <is>
          <t>MXL</t>
        </is>
      </c>
      <c r="G319" t="n">
        <v>900003438</v>
      </c>
      <c r="H319" t="inlineStr">
        <is>
          <t>TC-ED-ESTRATEGIAS AVANZADAS</t>
        </is>
      </c>
      <c r="I319" t="n">
        <v>5049458</v>
      </c>
      <c r="J319" t="inlineStr">
        <is>
          <t>ESTRATEGIAS AVANZADAS PARA OBTEN</t>
        </is>
      </c>
      <c r="K319" t="inlineStr">
        <is>
          <t>Z03</t>
        </is>
      </c>
      <c r="L319" t="inlineStr">
        <is>
          <t>(AP) 15 Dias</t>
        </is>
      </c>
      <c r="M319" t="n">
        <v>10002802</v>
      </c>
      <c r="N319" t="inlineStr">
        <is>
          <t>Arena Clasificada Río Malla 4 Lavado</t>
        </is>
      </c>
      <c r="O319" t="inlineStr">
        <is>
          <t>DW70</t>
        </is>
      </c>
      <c r="P319" t="inlineStr">
        <is>
          <t>MX-CED. CENTRO</t>
        </is>
      </c>
      <c r="Q319" t="n">
        <v>20210712</v>
      </c>
      <c r="R319" t="n">
        <v>20281231</v>
      </c>
      <c r="S319" t="n">
        <v>20230501</v>
      </c>
      <c r="T319" t="n">
        <v>20281231</v>
      </c>
      <c r="U319" t="n">
        <v>348.15</v>
      </c>
      <c r="V319" t="inlineStr">
        <is>
          <t>MXN</t>
        </is>
      </c>
      <c r="W319" t="inlineStr">
        <is>
          <t>M3</t>
        </is>
      </c>
      <c r="X319" t="n">
        <v>198.15</v>
      </c>
      <c r="Y319" t="inlineStr">
        <is>
          <t>MXN</t>
        </is>
      </c>
      <c r="Z319" t="inlineStr">
        <is>
          <t>M3</t>
        </is>
      </c>
      <c r="AA319" t="inlineStr">
        <is>
          <t>D093</t>
        </is>
      </c>
      <c r="AB319" t="inlineStr">
        <is>
          <t>PD0556 ZUMPANGO</t>
        </is>
      </c>
      <c r="AC319" t="n">
        <v>56103638</v>
      </c>
      <c r="AD319" t="n">
        <v>6644261540</v>
      </c>
      <c r="AE319" t="n">
        <v>4</v>
      </c>
      <c r="AF319" t="inlineStr">
        <is>
          <t>ENTREGA DIRECTA</t>
        </is>
      </c>
      <c r="AG319" t="n">
        <v>1.463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20230920</v>
      </c>
      <c r="AM319" t="inlineStr">
        <is>
          <t>DW70-900003438-D093-10002802-4</t>
        </is>
      </c>
    </row>
    <row r="320">
      <c r="A320" t="inlineStr">
        <is>
          <t>900003438DW70D08810000630</t>
        </is>
      </c>
      <c r="B320" t="inlineStr">
        <is>
          <t>4600050497-60</t>
        </is>
      </c>
      <c r="C320" t="n">
        <v>4600050497</v>
      </c>
      <c r="D320" t="n">
        <v>60</v>
      </c>
      <c r="E320" t="inlineStr">
        <is>
          <t>MXPO</t>
        </is>
      </c>
      <c r="F320" t="inlineStr">
        <is>
          <t>MXL</t>
        </is>
      </c>
      <c r="G320" t="n">
        <v>900003438</v>
      </c>
      <c r="H320" t="inlineStr">
        <is>
          <t>TC-ED-ESTRATEGIAS AVANZADAS</t>
        </is>
      </c>
      <c r="I320" t="n">
        <v>5049458</v>
      </c>
      <c r="J320" t="inlineStr">
        <is>
          <t>ESTRATEGIAS AVANZADAS PARA OBTEN</t>
        </is>
      </c>
      <c r="K320" t="inlineStr">
        <is>
          <t>Z03</t>
        </is>
      </c>
      <c r="L320" t="inlineStr">
        <is>
          <t>(AP) 15 Dias</t>
        </is>
      </c>
      <c r="M320" t="n">
        <v>10000630</v>
      </c>
      <c r="N320" t="inlineStr">
        <is>
          <t>Grava Triturada Caliza 13 mm - 1/2"</t>
        </is>
      </c>
      <c r="O320" t="inlineStr">
        <is>
          <t>DW70</t>
        </is>
      </c>
      <c r="P320" t="inlineStr">
        <is>
          <t>MX-CED. CENTRO</t>
        </is>
      </c>
      <c r="Q320" t="n">
        <v>20210712</v>
      </c>
      <c r="R320" t="n">
        <v>20281231</v>
      </c>
      <c r="S320" t="n">
        <v>20210712</v>
      </c>
      <c r="T320" t="n">
        <v>20251231</v>
      </c>
      <c r="U320" t="n">
        <v>195.72</v>
      </c>
      <c r="V320" t="inlineStr">
        <is>
          <t>MXN</t>
        </is>
      </c>
      <c r="W320" t="inlineStr">
        <is>
          <t>M3</t>
        </is>
      </c>
      <c r="X320" t="n">
        <v>60.72</v>
      </c>
      <c r="Y320" t="inlineStr">
        <is>
          <t>MXN</t>
        </is>
      </c>
      <c r="Z320" t="inlineStr">
        <is>
          <t>M3</t>
        </is>
      </c>
      <c r="AA320" t="inlineStr">
        <is>
          <t>D088</t>
        </is>
      </c>
      <c r="AB320" t="inlineStr">
        <is>
          <t>PD081 HUEHUETOCA V</t>
        </is>
      </c>
      <c r="AC320" t="n">
        <v>56103637</v>
      </c>
      <c r="AD320" t="n">
        <v>6644261540</v>
      </c>
      <c r="AE320" t="n">
        <v>4</v>
      </c>
      <c r="AF320" t="inlineStr">
        <is>
          <t>ENTREGA DIRECTA</t>
        </is>
      </c>
      <c r="AG320" t="n">
        <v>1.4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20230920</v>
      </c>
      <c r="AM320" t="inlineStr">
        <is>
          <t>DW70-900003438-D088-10000630-4</t>
        </is>
      </c>
    </row>
    <row r="321">
      <c r="A321" t="inlineStr">
        <is>
          <t>900000472DW70D07710000635</t>
        </is>
      </c>
      <c r="B321" t="inlineStr">
        <is>
          <t>4600050481-830</t>
        </is>
      </c>
      <c r="C321" t="n">
        <v>4600050481</v>
      </c>
      <c r="D321" t="n">
        <v>830</v>
      </c>
      <c r="E321" t="inlineStr">
        <is>
          <t>MXPO</t>
        </is>
      </c>
      <c r="F321" t="inlineStr">
        <is>
          <t>MXL</t>
        </is>
      </c>
      <c r="G321" t="n">
        <v>900000472</v>
      </c>
      <c r="H321" t="inlineStr">
        <is>
          <t>TC-ED-TRIMCAV</t>
        </is>
      </c>
      <c r="I321" t="n">
        <v>5010147</v>
      </c>
      <c r="J321" t="inlineStr">
        <is>
          <t>TRITURACIONES DE MARMOL Y CALCIOS</t>
        </is>
      </c>
      <c r="K321" t="inlineStr">
        <is>
          <t>Z04</t>
        </is>
      </c>
      <c r="L321" t="inlineStr">
        <is>
          <t>(AP) 30 Dias</t>
        </is>
      </c>
      <c r="M321" t="n">
        <v>10000635</v>
      </c>
      <c r="N321" t="inlineStr">
        <is>
          <t>Arena Triturada Marmol Malla 4</t>
        </is>
      </c>
      <c r="O321" t="inlineStr">
        <is>
          <t>DW70</t>
        </is>
      </c>
      <c r="P321" t="inlineStr">
        <is>
          <t>MX-CED. CENTRO</t>
        </is>
      </c>
      <c r="Q321" t="n">
        <v>20210712</v>
      </c>
      <c r="R321" t="n">
        <v>20291231</v>
      </c>
      <c r="S321" t="n">
        <v>20230215</v>
      </c>
      <c r="T321" t="n">
        <v>20281231</v>
      </c>
      <c r="U321" t="n">
        <v>921.6900000000001</v>
      </c>
      <c r="V321" t="inlineStr">
        <is>
          <t>MXN</t>
        </is>
      </c>
      <c r="W321" t="inlineStr">
        <is>
          <t>TN</t>
        </is>
      </c>
      <c r="X321" t="n">
        <v>485.1</v>
      </c>
      <c r="Y321" t="inlineStr">
        <is>
          <t>MXN</t>
        </is>
      </c>
      <c r="Z321" t="inlineStr">
        <is>
          <t>TN</t>
        </is>
      </c>
      <c r="AA321" t="inlineStr">
        <is>
          <t>D077</t>
        </is>
      </c>
      <c r="AB321" t="inlineStr">
        <is>
          <t>PD0067 LOS REYES</t>
        </is>
      </c>
      <c r="AC321" t="n">
        <v>56103638</v>
      </c>
      <c r="AD321" t="n">
        <v>6644261540</v>
      </c>
      <c r="AE321" t="n">
        <v>4</v>
      </c>
      <c r="AF321" t="inlineStr">
        <is>
          <t>ENTREGA DIRECTA</t>
        </is>
      </c>
      <c r="AG321" t="n">
        <v>1</v>
      </c>
      <c r="AH321" t="inlineStr">
        <is>
          <t>TO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20230920</v>
      </c>
      <c r="AM321" t="inlineStr">
        <is>
          <t>DW70-900000472-D077-10000635-4</t>
        </is>
      </c>
    </row>
    <row r="322">
      <c r="A322" t="inlineStr">
        <is>
          <t>900003438DW70D08310000630</t>
        </is>
      </c>
      <c r="B322" t="inlineStr">
        <is>
          <t>4600050497-100</t>
        </is>
      </c>
      <c r="C322" t="n">
        <v>4600050497</v>
      </c>
      <c r="D322" t="n">
        <v>100</v>
      </c>
      <c r="E322" t="inlineStr">
        <is>
          <t>MXPO</t>
        </is>
      </c>
      <c r="F322" t="inlineStr">
        <is>
          <t>MXL</t>
        </is>
      </c>
      <c r="G322" t="n">
        <v>900003438</v>
      </c>
      <c r="H322" t="inlineStr">
        <is>
          <t>TC-ED-ESTRATEGIAS AVANZADAS</t>
        </is>
      </c>
      <c r="I322" t="n">
        <v>5049458</v>
      </c>
      <c r="J322" t="inlineStr">
        <is>
          <t>ESTRATEGIAS AVANZADAS PARA OBTEN</t>
        </is>
      </c>
      <c r="K322" t="inlineStr">
        <is>
          <t>Z03</t>
        </is>
      </c>
      <c r="L322" t="inlineStr">
        <is>
          <t>(AP) 15 Dias</t>
        </is>
      </c>
      <c r="M322" t="n">
        <v>10000630</v>
      </c>
      <c r="N322" t="inlineStr">
        <is>
          <t>Grava Triturada Caliza 13 mm - 1/2"</t>
        </is>
      </c>
      <c r="O322" t="inlineStr">
        <is>
          <t>DW70</t>
        </is>
      </c>
      <c r="P322" t="inlineStr">
        <is>
          <t>MX-CED. CENTRO</t>
        </is>
      </c>
      <c r="Q322" t="n">
        <v>20210712</v>
      </c>
      <c r="R322" t="n">
        <v>20281231</v>
      </c>
      <c r="S322" t="n">
        <v>20230501</v>
      </c>
      <c r="T322" t="n">
        <v>20281231</v>
      </c>
      <c r="U322" t="n">
        <v>391.52</v>
      </c>
      <c r="V322" t="inlineStr">
        <is>
          <t>MXN</t>
        </is>
      </c>
      <c r="W322" t="inlineStr">
        <is>
          <t>M3</t>
        </is>
      </c>
      <c r="X322" t="n">
        <v>236.52</v>
      </c>
      <c r="Y322" t="inlineStr">
        <is>
          <t>MXN</t>
        </is>
      </c>
      <c r="Z322" t="inlineStr">
        <is>
          <t>M3</t>
        </is>
      </c>
      <c r="AA322" t="inlineStr">
        <is>
          <t>D083</t>
        </is>
      </c>
      <c r="AB322" t="inlineStr">
        <is>
          <t>PD0099 MINAS</t>
        </is>
      </c>
      <c r="AC322" t="n">
        <v>56103637</v>
      </c>
      <c r="AD322" t="n">
        <v>6644261540</v>
      </c>
      <c r="AE322" t="n">
        <v>4</v>
      </c>
      <c r="AF322" t="inlineStr">
        <is>
          <t>ENTREGA DIRECTA</t>
        </is>
      </c>
      <c r="AG322" t="n">
        <v>1.4</v>
      </c>
      <c r="AH322" t="inlineStr">
        <is>
          <t>M3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20230920</v>
      </c>
      <c r="AM322" t="inlineStr">
        <is>
          <t>DW70-900003438-D083-10000630-4</t>
        </is>
      </c>
    </row>
    <row r="323">
      <c r="A323" t="inlineStr">
        <is>
          <t>900000472DW70D08810000635</t>
        </is>
      </c>
      <c r="B323" t="inlineStr">
        <is>
          <t>4600050481-1000</t>
        </is>
      </c>
      <c r="C323" t="n">
        <v>4600050481</v>
      </c>
      <c r="D323" t="n">
        <v>1000</v>
      </c>
      <c r="E323" t="inlineStr">
        <is>
          <t>MXPO</t>
        </is>
      </c>
      <c r="F323" t="inlineStr">
        <is>
          <t>MXL</t>
        </is>
      </c>
      <c r="G323" t="n">
        <v>900000472</v>
      </c>
      <c r="H323" t="inlineStr">
        <is>
          <t>TC-ED-TRIMCAV</t>
        </is>
      </c>
      <c r="I323" t="n">
        <v>5010147</v>
      </c>
      <c r="J323" t="inlineStr">
        <is>
          <t>TRITURACIONES DE MARMOL Y CALCIOS</t>
        </is>
      </c>
      <c r="K323" t="inlineStr">
        <is>
          <t>Z04</t>
        </is>
      </c>
      <c r="L323" t="inlineStr">
        <is>
          <t>(AP) 30 Dias</t>
        </is>
      </c>
      <c r="M323" t="n">
        <v>10000635</v>
      </c>
      <c r="N323" t="inlineStr">
        <is>
          <t>Arena Triturada Marmol Malla 4</t>
        </is>
      </c>
      <c r="O323" t="inlineStr">
        <is>
          <t>DW70</t>
        </is>
      </c>
      <c r="P323" t="inlineStr">
        <is>
          <t>MX-CED. CENTRO</t>
        </is>
      </c>
      <c r="Q323" t="n">
        <v>20210712</v>
      </c>
      <c r="R323" t="n">
        <v>20291231</v>
      </c>
      <c r="S323" t="n">
        <v>20230215</v>
      </c>
      <c r="T323" t="n">
        <v>20281231</v>
      </c>
      <c r="U323" t="n">
        <v>921.6900000000001</v>
      </c>
      <c r="V323" t="inlineStr">
        <is>
          <t>MXN</t>
        </is>
      </c>
      <c r="W323" t="inlineStr">
        <is>
          <t>TN</t>
        </is>
      </c>
      <c r="X323" t="n">
        <v>485.1</v>
      </c>
      <c r="Y323" t="inlineStr">
        <is>
          <t>MXN</t>
        </is>
      </c>
      <c r="Z323" t="inlineStr">
        <is>
          <t>TN</t>
        </is>
      </c>
      <c r="AA323" t="inlineStr">
        <is>
          <t>D088</t>
        </is>
      </c>
      <c r="AB323" t="inlineStr">
        <is>
          <t>PD081 HUEHUETOCA V</t>
        </is>
      </c>
      <c r="AC323" t="n">
        <v>56103638</v>
      </c>
      <c r="AD323" t="n">
        <v>6644261540</v>
      </c>
      <c r="AE323" t="n">
        <v>4</v>
      </c>
      <c r="AF323" t="inlineStr">
        <is>
          <t>ENTREGA DIRECTA</t>
        </is>
      </c>
      <c r="AG323" t="n">
        <v>1</v>
      </c>
      <c r="AH323" t="inlineStr">
        <is>
          <t>TO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20230920</v>
      </c>
      <c r="AM323" t="inlineStr">
        <is>
          <t>DW70-900000472-D088-10000635-4</t>
        </is>
      </c>
    </row>
    <row r="324">
      <c r="A324" t="inlineStr">
        <is>
          <t>900004324DW7010000432</t>
        </is>
      </c>
      <c r="B324" t="inlineStr">
        <is>
          <t>4600068840-30</t>
        </is>
      </c>
      <c r="C324" t="n">
        <v>4600068840</v>
      </c>
      <c r="D324" t="n">
        <v>30</v>
      </c>
      <c r="E324" t="inlineStr">
        <is>
          <t>MXPO</t>
        </is>
      </c>
      <c r="F324" t="inlineStr">
        <is>
          <t>MXL</t>
        </is>
      </c>
      <c r="G324" t="n">
        <v>900004324</v>
      </c>
      <c r="H324" t="inlineStr">
        <is>
          <t>TC-DOS CERROS</t>
        </is>
      </c>
      <c r="I324" t="n">
        <v>5036168</v>
      </c>
      <c r="J324" t="inlineStr">
        <is>
          <t>TRITURADOS DOS CERROS SA DE CV</t>
        </is>
      </c>
      <c r="K324" t="inlineStr">
        <is>
          <t>Z04</t>
        </is>
      </c>
      <c r="L324" t="inlineStr">
        <is>
          <t>(AP) 30 Dias</t>
        </is>
      </c>
      <c r="M324" t="n">
        <v>10000432</v>
      </c>
      <c r="N324" t="inlineStr">
        <is>
          <t>Base H Triturada Basalto  1 1/2" a Finos</t>
        </is>
      </c>
      <c r="O324" t="inlineStr">
        <is>
          <t>DW70</t>
        </is>
      </c>
      <c r="P324" t="inlineStr">
        <is>
          <t>MX-CED. CENTRO</t>
        </is>
      </c>
      <c r="Q324" t="n">
        <v>20231130</v>
      </c>
      <c r="R324" t="n">
        <v>20281231</v>
      </c>
      <c r="S324" t="n">
        <v>20231130</v>
      </c>
      <c r="T324" t="n">
        <v>20281231</v>
      </c>
      <c r="U324" t="n">
        <v>210</v>
      </c>
      <c r="V324" t="inlineStr">
        <is>
          <t>MXN</t>
        </is>
      </c>
      <c r="W324" t="inlineStr">
        <is>
          <t>M3</t>
        </is>
      </c>
      <c r="AC324" t="n">
        <v>56103590</v>
      </c>
      <c r="AD324" t="n">
        <v>6644261540</v>
      </c>
      <c r="AE324" t="n">
        <v>1</v>
      </c>
      <c r="AF324" t="inlineStr">
        <is>
          <t>ENTREGADO</t>
        </is>
      </c>
      <c r="AG324" t="n">
        <v>1.6</v>
      </c>
      <c r="AH324" t="inlineStr">
        <is>
          <t>M3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20240205</v>
      </c>
      <c r="AM324" t="inlineStr">
        <is>
          <t>DW70-900004324-10000432</t>
        </is>
      </c>
    </row>
    <row r="325">
      <c r="A325" t="inlineStr">
        <is>
          <t>900000472DW70D08410000643</t>
        </is>
      </c>
      <c r="B325" t="inlineStr">
        <is>
          <t>4600050481-620</t>
        </is>
      </c>
      <c r="C325" t="n">
        <v>4600050481</v>
      </c>
      <c r="D325" t="n">
        <v>620</v>
      </c>
      <c r="E325" t="inlineStr">
        <is>
          <t>MXPO</t>
        </is>
      </c>
      <c r="F325" t="inlineStr">
        <is>
          <t>MXL</t>
        </is>
      </c>
      <c r="G325" t="n">
        <v>900000472</v>
      </c>
      <c r="H325" t="inlineStr">
        <is>
          <t>TC-ED-TRIMCAV</t>
        </is>
      </c>
      <c r="I325" t="n">
        <v>5010147</v>
      </c>
      <c r="J325" t="inlineStr">
        <is>
          <t>TRITURACIONES DE MARMOL Y CALCIOS</t>
        </is>
      </c>
      <c r="K325" t="inlineStr">
        <is>
          <t>Z04</t>
        </is>
      </c>
      <c r="L325" t="inlineStr">
        <is>
          <t>(AP) 30 Dias</t>
        </is>
      </c>
      <c r="M325" t="n">
        <v>10000643</v>
      </c>
      <c r="N325" t="inlineStr">
        <is>
          <t>Grava Triturada Marmol 20 mm - 3/4"</t>
        </is>
      </c>
      <c r="O325" t="inlineStr">
        <is>
          <t>DW70</t>
        </is>
      </c>
      <c r="P325" t="inlineStr">
        <is>
          <t>MX-CED. CENTRO</t>
        </is>
      </c>
      <c r="Q325" t="n">
        <v>20210712</v>
      </c>
      <c r="R325" t="n">
        <v>20291231</v>
      </c>
      <c r="S325" t="n">
        <v>20240215</v>
      </c>
      <c r="T325" t="n">
        <v>20291231</v>
      </c>
      <c r="U325" t="n">
        <v>1004.64</v>
      </c>
      <c r="V325" t="inlineStr">
        <is>
          <t>MXN</t>
        </is>
      </c>
      <c r="W325" t="inlineStr">
        <is>
          <t>TN</t>
        </is>
      </c>
      <c r="X325" t="n">
        <v>528.77</v>
      </c>
      <c r="Y325" t="inlineStr">
        <is>
          <t>MXN</t>
        </is>
      </c>
      <c r="Z325" t="inlineStr">
        <is>
          <t>TN</t>
        </is>
      </c>
      <c r="AA325" t="inlineStr">
        <is>
          <t>D084</t>
        </is>
      </c>
      <c r="AB325" t="inlineStr">
        <is>
          <t>PD0186 IZTAPALAPA</t>
        </is>
      </c>
      <c r="AC325" t="n">
        <v>56103637</v>
      </c>
      <c r="AD325" t="n">
        <v>6644261540</v>
      </c>
      <c r="AE325" t="n">
        <v>4</v>
      </c>
      <c r="AF325" t="inlineStr">
        <is>
          <t>ENTREGA DIRECTA</t>
        </is>
      </c>
      <c r="AG325" t="n">
        <v>1</v>
      </c>
      <c r="AH325" t="inlineStr">
        <is>
          <t>TO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20240318</v>
      </c>
      <c r="AM325" t="inlineStr">
        <is>
          <t>DW70-900000472-D084-10000643-4</t>
        </is>
      </c>
    </row>
    <row r="326">
      <c r="A326" t="inlineStr">
        <is>
          <t>900000472DW70D08410000635</t>
        </is>
      </c>
      <c r="B326" t="inlineStr">
        <is>
          <t>4600050481-970</t>
        </is>
      </c>
      <c r="C326" t="n">
        <v>4600050481</v>
      </c>
      <c r="D326" t="n">
        <v>970</v>
      </c>
      <c r="E326" t="inlineStr">
        <is>
          <t>MXPO</t>
        </is>
      </c>
      <c r="F326" t="inlineStr">
        <is>
          <t>MXL</t>
        </is>
      </c>
      <c r="G326" t="n">
        <v>900000472</v>
      </c>
      <c r="H326" t="inlineStr">
        <is>
          <t>TC-ED-TRIMCAV</t>
        </is>
      </c>
      <c r="I326" t="n">
        <v>5010147</v>
      </c>
      <c r="J326" t="inlineStr">
        <is>
          <t>TRITURACIONES DE MARMOL Y CALCIOS</t>
        </is>
      </c>
      <c r="K326" t="inlineStr">
        <is>
          <t>Z04</t>
        </is>
      </c>
      <c r="L326" t="inlineStr">
        <is>
          <t>(AP) 30 Dias</t>
        </is>
      </c>
      <c r="M326" t="n">
        <v>10000635</v>
      </c>
      <c r="N326" t="inlineStr">
        <is>
          <t>Arena Triturada Marmol Malla 4</t>
        </is>
      </c>
      <c r="O326" t="inlineStr">
        <is>
          <t>DW70</t>
        </is>
      </c>
      <c r="P326" t="inlineStr">
        <is>
          <t>MX-CED. CENTRO</t>
        </is>
      </c>
      <c r="Q326" t="n">
        <v>20210712</v>
      </c>
      <c r="R326" t="n">
        <v>20291231</v>
      </c>
      <c r="S326" t="n">
        <v>20240215</v>
      </c>
      <c r="T326" t="n">
        <v>20291231</v>
      </c>
      <c r="U326" t="n">
        <v>1004.64</v>
      </c>
      <c r="V326" t="inlineStr">
        <is>
          <t>MXN</t>
        </is>
      </c>
      <c r="W326" t="inlineStr">
        <is>
          <t>TN</t>
        </is>
      </c>
      <c r="X326" t="n">
        <v>528.77</v>
      </c>
      <c r="Y326" t="inlineStr">
        <is>
          <t>MXN</t>
        </is>
      </c>
      <c r="Z326" t="inlineStr">
        <is>
          <t>TN</t>
        </is>
      </c>
      <c r="AA326" t="inlineStr">
        <is>
          <t>D084</t>
        </is>
      </c>
      <c r="AB326" t="inlineStr">
        <is>
          <t>PD0186 IZTAPALAPA</t>
        </is>
      </c>
      <c r="AC326" t="n">
        <v>56103638</v>
      </c>
      <c r="AD326" t="n">
        <v>6644261540</v>
      </c>
      <c r="AE326" t="n">
        <v>4</v>
      </c>
      <c r="AF326" t="inlineStr">
        <is>
          <t>ENTREGA DIRECTA</t>
        </is>
      </c>
      <c r="AG326" t="n">
        <v>1</v>
      </c>
      <c r="AH326" t="inlineStr">
        <is>
          <t>TO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20240318</v>
      </c>
      <c r="AM326" t="inlineStr">
        <is>
          <t>DW70-900000472-D084-10000635-4</t>
        </is>
      </c>
    </row>
    <row r="327">
      <c r="A327" t="inlineStr">
        <is>
          <t>900004324DW7010159061</t>
        </is>
      </c>
      <c r="B327" t="inlineStr">
        <is>
          <t>4600068840-40</t>
        </is>
      </c>
      <c r="C327" t="n">
        <v>4600068840</v>
      </c>
      <c r="D327" t="n">
        <v>40</v>
      </c>
      <c r="E327" t="inlineStr">
        <is>
          <t>MXPO</t>
        </is>
      </c>
      <c r="F327" t="inlineStr">
        <is>
          <t>MXL</t>
        </is>
      </c>
      <c r="G327" t="n">
        <v>900004324</v>
      </c>
      <c r="H327" t="inlineStr">
        <is>
          <t>TC-DOS CERROS</t>
        </is>
      </c>
      <c r="I327" t="n">
        <v>5036168</v>
      </c>
      <c r="J327" t="inlineStr">
        <is>
          <t>TRITURADOS DOS CERROS SA DE CV</t>
        </is>
      </c>
      <c r="K327" t="inlineStr">
        <is>
          <t>Z04</t>
        </is>
      </c>
      <c r="L327" t="inlineStr">
        <is>
          <t>(AP) 30 Dias</t>
        </is>
      </c>
      <c r="M327" t="n">
        <v>10159061</v>
      </c>
      <c r="N327" t="inlineStr">
        <is>
          <t>SUB-BALASTO TRITURADO BASALTO</t>
        </is>
      </c>
      <c r="O327" t="inlineStr">
        <is>
          <t>DW70</t>
        </is>
      </c>
      <c r="P327" t="inlineStr">
        <is>
          <t>MX-CED. CENTRO</t>
        </is>
      </c>
      <c r="Q327" t="n">
        <v>20231130</v>
      </c>
      <c r="R327" t="n">
        <v>20281231</v>
      </c>
      <c r="S327" t="n">
        <v>20231130</v>
      </c>
      <c r="T327" t="n">
        <v>20281231</v>
      </c>
      <c r="U327" t="n">
        <v>136.5</v>
      </c>
      <c r="V327" t="inlineStr">
        <is>
          <t>MXN</t>
        </is>
      </c>
      <c r="W327" t="inlineStr">
        <is>
          <t>M3</t>
        </is>
      </c>
      <c r="X327" t="n">
        <v>0</v>
      </c>
      <c r="Y327" t="inlineStr">
        <is>
          <t>MXN</t>
        </is>
      </c>
      <c r="Z327" t="inlineStr">
        <is>
          <t>M3</t>
        </is>
      </c>
      <c r="AC327" t="n">
        <v>56103590</v>
      </c>
      <c r="AD327" t="n">
        <v>6644261540</v>
      </c>
      <c r="AE327" t="n">
        <v>1</v>
      </c>
      <c r="AF327" t="inlineStr">
        <is>
          <t>ENTREGADO</t>
        </is>
      </c>
      <c r="AG327" t="n">
        <v>1.6</v>
      </c>
      <c r="AH327" t="inlineStr">
        <is>
          <t>M3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20240205</v>
      </c>
      <c r="AM327" t="inlineStr">
        <is>
          <t>DW70-900004324-10159061</t>
        </is>
      </c>
    </row>
    <row r="328">
      <c r="A328" t="inlineStr">
        <is>
          <t>900004324DW7010145835</t>
        </is>
      </c>
      <c r="B328" t="inlineStr">
        <is>
          <t>4600068840-20</t>
        </is>
      </c>
      <c r="C328" t="n">
        <v>4600068840</v>
      </c>
      <c r="D328" t="n">
        <v>20</v>
      </c>
      <c r="E328" t="inlineStr">
        <is>
          <t>MXPO</t>
        </is>
      </c>
      <c r="F328" t="inlineStr">
        <is>
          <t>MXL</t>
        </is>
      </c>
      <c r="G328" t="n">
        <v>900004324</v>
      </c>
      <c r="H328" t="inlineStr">
        <is>
          <t>TC-DOS CERROS</t>
        </is>
      </c>
      <c r="I328" t="n">
        <v>5036168</v>
      </c>
      <c r="J328" t="inlineStr">
        <is>
          <t>TRITURADOS DOS CERROS SA DE CV</t>
        </is>
      </c>
      <c r="K328" t="inlineStr">
        <is>
          <t>Z04</t>
        </is>
      </c>
      <c r="L328" t="inlineStr">
        <is>
          <t>(AP) 30 Dias</t>
        </is>
      </c>
      <c r="M328" t="n">
        <v>10145835</v>
      </c>
      <c r="N328" t="inlineStr">
        <is>
          <t>BALASTO TRITURADO BASALTO</t>
        </is>
      </c>
      <c r="O328" t="inlineStr">
        <is>
          <t>DW70</t>
        </is>
      </c>
      <c r="P328" t="inlineStr">
        <is>
          <t>MX-CED. CENTRO</t>
        </is>
      </c>
      <c r="Q328" t="n">
        <v>20231130</v>
      </c>
      <c r="R328" t="n">
        <v>20281231</v>
      </c>
      <c r="S328" t="n">
        <v>20231130</v>
      </c>
      <c r="T328" t="n">
        <v>20281231</v>
      </c>
      <c r="U328" t="n">
        <v>136.5</v>
      </c>
      <c r="V328" t="inlineStr">
        <is>
          <t>MXN</t>
        </is>
      </c>
      <c r="W328" t="inlineStr">
        <is>
          <t>M3</t>
        </is>
      </c>
      <c r="X328" t="n">
        <v>0</v>
      </c>
      <c r="Y328" t="inlineStr">
        <is>
          <t>MXN</t>
        </is>
      </c>
      <c r="Z328" t="inlineStr">
        <is>
          <t>M3</t>
        </is>
      </c>
      <c r="AC328" t="n">
        <v>56103591</v>
      </c>
      <c r="AD328" t="n">
        <v>6644261540</v>
      </c>
      <c r="AE328" t="n">
        <v>1</v>
      </c>
      <c r="AF328" t="inlineStr">
        <is>
          <t>ENTREGADO</t>
        </is>
      </c>
      <c r="AG328" t="n">
        <v>1.38</v>
      </c>
      <c r="AH328" t="inlineStr">
        <is>
          <t>M3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20231201</v>
      </c>
      <c r="AM328" t="inlineStr">
        <is>
          <t>DW70-900004324-10145835</t>
        </is>
      </c>
    </row>
    <row r="329">
      <c r="A329" t="inlineStr">
        <is>
          <t>900003438DW70D08510000811</t>
        </is>
      </c>
      <c r="B329" t="inlineStr">
        <is>
          <t>4600050497-850</t>
        </is>
      </c>
      <c r="C329" t="n">
        <v>4600050497</v>
      </c>
      <c r="D329" t="n">
        <v>850</v>
      </c>
      <c r="E329" t="inlineStr">
        <is>
          <t>MXPO</t>
        </is>
      </c>
      <c r="F329" t="inlineStr">
        <is>
          <t>MXL</t>
        </is>
      </c>
      <c r="G329" t="n">
        <v>900003438</v>
      </c>
      <c r="H329" t="inlineStr">
        <is>
          <t>TC-ED-ESTRATEGIAS AVANZADAS</t>
        </is>
      </c>
      <c r="I329" t="n">
        <v>5049458</v>
      </c>
      <c r="J329" t="inlineStr">
        <is>
          <t>ESTRATEGIAS AVANZADAS PARA OBTEN</t>
        </is>
      </c>
      <c r="K329" t="inlineStr">
        <is>
          <t>Z03</t>
        </is>
      </c>
      <c r="L329" t="inlineStr">
        <is>
          <t>(AP) 15 Dias</t>
        </is>
      </c>
      <c r="M329" t="n">
        <v>10000811</v>
      </c>
      <c r="N329" t="inlineStr">
        <is>
          <t>Grava Triturada Caliza 20 mm - 3/4"</t>
        </is>
      </c>
      <c r="O329" t="inlineStr">
        <is>
          <t>DW70</t>
        </is>
      </c>
      <c r="P329" t="inlineStr">
        <is>
          <t>MX-CED. CENTRO</t>
        </is>
      </c>
      <c r="Q329" t="n">
        <v>20210712</v>
      </c>
      <c r="R329" t="n">
        <v>20281231</v>
      </c>
      <c r="S329" t="n">
        <v>20211215</v>
      </c>
      <c r="T329" t="n">
        <v>20261231</v>
      </c>
      <c r="U329" t="n">
        <v>429.61</v>
      </c>
      <c r="V329" t="inlineStr">
        <is>
          <t>MXN</t>
        </is>
      </c>
      <c r="W329" t="inlineStr">
        <is>
          <t>M3</t>
        </is>
      </c>
      <c r="X329" t="n">
        <v>288.61</v>
      </c>
      <c r="Y329" t="inlineStr">
        <is>
          <t>MXN</t>
        </is>
      </c>
      <c r="Z329" t="inlineStr">
        <is>
          <t>M3</t>
        </is>
      </c>
      <c r="AA329" t="inlineStr">
        <is>
          <t>D085</t>
        </is>
      </c>
      <c r="AB329" t="inlineStr">
        <is>
          <t>PD0189 ROJO GOMEZ</t>
        </is>
      </c>
      <c r="AC329" t="n">
        <v>56103637</v>
      </c>
      <c r="AD329" t="n">
        <v>6644261540</v>
      </c>
      <c r="AE329" t="n">
        <v>4</v>
      </c>
      <c r="AF329" t="inlineStr">
        <is>
          <t>ENTREGA DIRECTA</t>
        </is>
      </c>
      <c r="AG329" t="n">
        <v>1.447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20230920</v>
      </c>
      <c r="AM329" t="inlineStr">
        <is>
          <t>DW70-900003438-D085-10000811-4</t>
        </is>
      </c>
    </row>
    <row r="330">
      <c r="A330" t="inlineStr">
        <is>
          <t>900000472DW70D07510188219</t>
        </is>
      </c>
      <c r="B330" t="inlineStr">
        <is>
          <t>4600050481-30</t>
        </is>
      </c>
      <c r="C330" t="n">
        <v>4600050481</v>
      </c>
      <c r="D330" t="n">
        <v>30</v>
      </c>
      <c r="E330" t="inlineStr">
        <is>
          <t>MXPO</t>
        </is>
      </c>
      <c r="F330" t="inlineStr">
        <is>
          <t>MXL</t>
        </is>
      </c>
      <c r="G330" t="n">
        <v>900000472</v>
      </c>
      <c r="H330" t="inlineStr">
        <is>
          <t>TC-ED-TRIMCAV</t>
        </is>
      </c>
      <c r="I330" t="n">
        <v>5010147</v>
      </c>
      <c r="J330" t="inlineStr">
        <is>
          <t>TRITURACIONES DE MARMOL Y CALCIOS</t>
        </is>
      </c>
      <c r="K330" t="inlineStr">
        <is>
          <t>Z04</t>
        </is>
      </c>
      <c r="L330" t="inlineStr">
        <is>
          <t>(AP) 30 Dias</t>
        </is>
      </c>
      <c r="M330" t="n">
        <v>10188219</v>
      </c>
      <c r="N330" t="inlineStr">
        <is>
          <t>ARENA TRITURADA MÁRMOL NEGRO MALLA 4</t>
        </is>
      </c>
      <c r="O330" t="inlineStr">
        <is>
          <t>DW70</t>
        </is>
      </c>
      <c r="P330" t="inlineStr">
        <is>
          <t>MX-CED. CENTRO</t>
        </is>
      </c>
      <c r="Q330" t="n">
        <v>20210712</v>
      </c>
      <c r="R330" t="n">
        <v>20291231</v>
      </c>
      <c r="S330" t="n">
        <v>20210712</v>
      </c>
      <c r="T330" t="n">
        <v>20251231</v>
      </c>
      <c r="U330" t="n">
        <v>1300</v>
      </c>
      <c r="V330" t="inlineStr">
        <is>
          <t>MXN</t>
        </is>
      </c>
      <c r="W330" t="inlineStr">
        <is>
          <t>TN</t>
        </is>
      </c>
      <c r="X330" t="n">
        <v>650</v>
      </c>
      <c r="Y330" t="inlineStr">
        <is>
          <t>MXN</t>
        </is>
      </c>
      <c r="Z330" t="inlineStr">
        <is>
          <t>TN</t>
        </is>
      </c>
      <c r="AA330" t="inlineStr">
        <is>
          <t>D075</t>
        </is>
      </c>
      <c r="AB330" t="inlineStr">
        <is>
          <t>PD0065 CEYLAN</t>
        </is>
      </c>
      <c r="AC330" t="n">
        <v>56103638</v>
      </c>
      <c r="AD330" t="n">
        <v>6644261540</v>
      </c>
      <c r="AE330" t="n">
        <v>4</v>
      </c>
      <c r="AF330" t="inlineStr">
        <is>
          <t>ENTREGA DIRECTA</t>
        </is>
      </c>
      <c r="AG330" t="n">
        <v>1</v>
      </c>
      <c r="AH330" t="inlineStr">
        <is>
          <t>TO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20230920</v>
      </c>
      <c r="AM330" t="inlineStr">
        <is>
          <t>DW70-900000472-D075-10188219-4</t>
        </is>
      </c>
    </row>
    <row r="331">
      <c r="A331" t="inlineStr">
        <is>
          <t>900000472DW70D08610000655</t>
        </is>
      </c>
      <c r="B331" t="inlineStr">
        <is>
          <t>4600050481-890</t>
        </is>
      </c>
      <c r="C331" t="n">
        <v>4600050481</v>
      </c>
      <c r="D331" t="n">
        <v>890</v>
      </c>
      <c r="E331" t="inlineStr">
        <is>
          <t>MXPO</t>
        </is>
      </c>
      <c r="F331" t="inlineStr">
        <is>
          <t>MXL</t>
        </is>
      </c>
      <c r="G331" t="n">
        <v>900000472</v>
      </c>
      <c r="H331" t="inlineStr">
        <is>
          <t>TC-ED-TRIMCAV</t>
        </is>
      </c>
      <c r="I331" t="n">
        <v>5010147</v>
      </c>
      <c r="J331" t="inlineStr">
        <is>
          <t>TRITURACIONES DE MARMOL Y CALCIOS</t>
        </is>
      </c>
      <c r="K331" t="inlineStr">
        <is>
          <t>Z04</t>
        </is>
      </c>
      <c r="L331" t="inlineStr">
        <is>
          <t>(AP) 30 Dias</t>
        </is>
      </c>
      <c r="M331" t="n">
        <v>10000655</v>
      </c>
      <c r="N331" t="inlineStr">
        <is>
          <t>Grava Triturada Marmol 10 mm - 3/8"</t>
        </is>
      </c>
      <c r="O331" t="inlineStr">
        <is>
          <t>DW70</t>
        </is>
      </c>
      <c r="P331" t="inlineStr">
        <is>
          <t>MX-CED. CENTRO</t>
        </is>
      </c>
      <c r="Q331" t="n">
        <v>20210712</v>
      </c>
      <c r="R331" t="n">
        <v>20291231</v>
      </c>
      <c r="S331" t="n">
        <v>20230215</v>
      </c>
      <c r="T331" t="n">
        <v>20281231</v>
      </c>
      <c r="U331" t="n">
        <v>921.6900000000001</v>
      </c>
      <c r="V331" t="inlineStr">
        <is>
          <t>MXN</t>
        </is>
      </c>
      <c r="W331" t="inlineStr">
        <is>
          <t>TN</t>
        </is>
      </c>
      <c r="X331" t="n">
        <v>485.1</v>
      </c>
      <c r="Y331" t="inlineStr">
        <is>
          <t>MXN</t>
        </is>
      </c>
      <c r="Z331" t="inlineStr">
        <is>
          <t>TN</t>
        </is>
      </c>
      <c r="AA331" t="inlineStr">
        <is>
          <t>D086</t>
        </is>
      </c>
      <c r="AB331" t="inlineStr">
        <is>
          <t>PD0190 XALOSTC</t>
        </is>
      </c>
      <c r="AC331" t="n">
        <v>56103637</v>
      </c>
      <c r="AD331" t="n">
        <v>6644261540</v>
      </c>
      <c r="AE331" t="n">
        <v>4</v>
      </c>
      <c r="AF331" t="inlineStr">
        <is>
          <t>ENTREGA DIRECTA</t>
        </is>
      </c>
      <c r="AG331" t="n">
        <v>1</v>
      </c>
      <c r="AH331" t="inlineStr">
        <is>
          <t>TO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20230920</v>
      </c>
      <c r="AM331" t="inlineStr">
        <is>
          <t>DW70-900000472-D086-10000655-4</t>
        </is>
      </c>
    </row>
    <row r="332">
      <c r="A332" t="inlineStr">
        <is>
          <t>900000472DW70D07410189170</t>
        </is>
      </c>
      <c r="B332" t="inlineStr">
        <is>
          <t>4600050481-500</t>
        </is>
      </c>
      <c r="C332" t="n">
        <v>4600050481</v>
      </c>
      <c r="D332" t="n">
        <v>500</v>
      </c>
      <c r="E332" t="inlineStr">
        <is>
          <t>MXPO</t>
        </is>
      </c>
      <c r="F332" t="inlineStr">
        <is>
          <t>MXL</t>
        </is>
      </c>
      <c r="G332" t="n">
        <v>900000472</v>
      </c>
      <c r="H332" t="inlineStr">
        <is>
          <t>TC-ED-TRIMCAV</t>
        </is>
      </c>
      <c r="I332" t="n">
        <v>5010147</v>
      </c>
      <c r="J332" t="inlineStr">
        <is>
          <t>TRITURACIONES DE MARMOL Y CALCIOS</t>
        </is>
      </c>
      <c r="K332" t="inlineStr">
        <is>
          <t>Z04</t>
        </is>
      </c>
      <c r="L332" t="inlineStr">
        <is>
          <t>(AP) 30 Dias</t>
        </is>
      </c>
      <c r="M332" t="n">
        <v>10189170</v>
      </c>
      <c r="N332" t="inlineStr">
        <is>
          <t>GRAVA TRITURADA MÁRMOL NEGRO 10 MM - 3/8</t>
        </is>
      </c>
      <c r="O332" t="inlineStr">
        <is>
          <t>DW70</t>
        </is>
      </c>
      <c r="P332" t="inlineStr">
        <is>
          <t>MX-CED. CENTRO</t>
        </is>
      </c>
      <c r="Q332" t="n">
        <v>20210712</v>
      </c>
      <c r="R332" t="n">
        <v>20291231</v>
      </c>
      <c r="S332" t="n">
        <v>20210712</v>
      </c>
      <c r="T332" t="n">
        <v>20251231</v>
      </c>
      <c r="U332" t="n">
        <v>1300</v>
      </c>
      <c r="V332" t="inlineStr">
        <is>
          <t>MXN</t>
        </is>
      </c>
      <c r="W332" t="inlineStr">
        <is>
          <t>TN</t>
        </is>
      </c>
      <c r="X332" t="n">
        <v>650</v>
      </c>
      <c r="Y332" t="inlineStr">
        <is>
          <t>MXN</t>
        </is>
      </c>
      <c r="Z332" t="inlineStr">
        <is>
          <t>TN</t>
        </is>
      </c>
      <c r="AA332" t="inlineStr">
        <is>
          <t>D074</t>
        </is>
      </c>
      <c r="AB332" t="inlineStr">
        <is>
          <t>PD0063 CENTRAL</t>
        </is>
      </c>
      <c r="AC332" t="n">
        <v>56103637</v>
      </c>
      <c r="AD332" t="n">
        <v>6644261540</v>
      </c>
      <c r="AE332" t="n">
        <v>4</v>
      </c>
      <c r="AF332" t="inlineStr">
        <is>
          <t>ENTREGA DIRECTA</t>
        </is>
      </c>
      <c r="AG332" t="n">
        <v>1</v>
      </c>
      <c r="AH332" t="inlineStr">
        <is>
          <t>TO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20230920</v>
      </c>
      <c r="AM332" t="inlineStr">
        <is>
          <t>DW70-900000472-D074-10189170-4</t>
        </is>
      </c>
    </row>
    <row r="333">
      <c r="A333" t="inlineStr">
        <is>
          <t>900007079DW70ENXF10175723</t>
        </is>
      </c>
      <c r="B333" t="inlineStr">
        <is>
          <t>4600071478-70</t>
        </is>
      </c>
      <c r="C333" t="n">
        <v>4600071478</v>
      </c>
      <c r="D333" t="n">
        <v>70</v>
      </c>
      <c r="E333" t="inlineStr">
        <is>
          <t>MXPO</t>
        </is>
      </c>
      <c r="F333" t="inlineStr">
        <is>
          <t>MXL</t>
        </is>
      </c>
      <c r="G333" t="n">
        <v>900007079</v>
      </c>
      <c r="H333" t="inlineStr">
        <is>
          <t>SF TC-ED-TRIVOMEX</t>
        </is>
      </c>
      <c r="I333" t="n">
        <v>5033501</v>
      </c>
      <c r="J333" t="inlineStr">
        <is>
          <t>TRITURADOS VOLCANICOS DE MEXICO</t>
        </is>
      </c>
      <c r="K333" t="inlineStr">
        <is>
          <t>Z04</t>
        </is>
      </c>
      <c r="L333" t="inlineStr">
        <is>
          <t>(AP) 30 Dias</t>
        </is>
      </c>
      <c r="M333" t="n">
        <v>10175723</v>
      </c>
      <c r="N333" t="inlineStr">
        <is>
          <t>BASE HIDRAULICA ANDESITA DE 1 1/2" A FIN</t>
        </is>
      </c>
      <c r="O333" t="inlineStr">
        <is>
          <t>DW70</t>
        </is>
      </c>
      <c r="P333" t="inlineStr">
        <is>
          <t>MX-CED. CENTRO</t>
        </is>
      </c>
      <c r="Q333" t="n">
        <v>20250722</v>
      </c>
      <c r="R333" t="n">
        <v>20301231</v>
      </c>
      <c r="S333" t="n">
        <v>20260401</v>
      </c>
      <c r="T333" t="n">
        <v>20301231</v>
      </c>
      <c r="U333" t="n">
        <v>333</v>
      </c>
      <c r="V333" t="inlineStr">
        <is>
          <t>MXN</t>
        </is>
      </c>
      <c r="W333" t="inlineStr">
        <is>
          <t>M3</t>
        </is>
      </c>
      <c r="X333" t="n">
        <v>193</v>
      </c>
      <c r="Y333" t="inlineStr">
        <is>
          <t>MXN</t>
        </is>
      </c>
      <c r="Z333" t="inlineStr">
        <is>
          <t>M3</t>
        </is>
      </c>
      <c r="AA333" t="inlineStr">
        <is>
          <t>ENXF</t>
        </is>
      </c>
      <c r="AB333" t="inlineStr">
        <is>
          <t>Complejo Deportivo (CENCIS) E3 / SE</t>
        </is>
      </c>
      <c r="AC333" t="n">
        <v>56103590</v>
      </c>
      <c r="AD333" t="n">
        <v>6644261540</v>
      </c>
      <c r="AE333" t="n">
        <v>4</v>
      </c>
      <c r="AF333" t="inlineStr">
        <is>
          <t>ENTREGA DIRECTA</t>
        </is>
      </c>
      <c r="AG333" t="n">
        <v>1.65</v>
      </c>
      <c r="AH333" t="inlineStr">
        <is>
          <t>M3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20260409</v>
      </c>
      <c r="AM333" t="inlineStr">
        <is>
          <t>DW70-900007079-ENXF-10175723-4</t>
        </is>
      </c>
    </row>
    <row r="334">
      <c r="A334" t="inlineStr">
        <is>
          <t>900000295DW7010274754</t>
        </is>
      </c>
      <c r="B334" t="inlineStr">
        <is>
          <t>4600071045-20</t>
        </is>
      </c>
      <c r="C334" t="n">
        <v>4600071045</v>
      </c>
      <c r="D334" t="n">
        <v>20</v>
      </c>
      <c r="E334" t="inlineStr">
        <is>
          <t>MXPO</t>
        </is>
      </c>
      <c r="F334" t="inlineStr">
        <is>
          <t>MXL</t>
        </is>
      </c>
      <c r="G334" t="n">
        <v>900000295</v>
      </c>
      <c r="H334" t="inlineStr">
        <is>
          <t>SF TC-PITUFOS</t>
        </is>
      </c>
      <c r="I334" t="n">
        <v>5010165</v>
      </c>
      <c r="J334" t="inlineStr">
        <is>
          <t>AGREGADOS COMO S.A. DE C.V.</t>
        </is>
      </c>
      <c r="K334" t="inlineStr">
        <is>
          <t>N60</t>
        </is>
      </c>
      <c r="L334" t="inlineStr">
        <is>
          <t>(AP) NAFIN 60 Dias</t>
        </is>
      </c>
      <c r="M334" t="n">
        <v>10274754</v>
      </c>
      <c r="N334" t="inlineStr">
        <is>
          <t>MP GRAVA TRIT. ANDESITA 20 MM - 3/4"</t>
        </is>
      </c>
      <c r="O334" t="inlineStr">
        <is>
          <t>DW70</t>
        </is>
      </c>
      <c r="P334" t="inlineStr">
        <is>
          <t>MX-CED. CENTRO</t>
        </is>
      </c>
      <c r="Q334" t="n">
        <v>20250318</v>
      </c>
      <c r="R334" t="n">
        <v>20301231</v>
      </c>
      <c r="S334" t="n">
        <v>20260217</v>
      </c>
      <c r="T334" t="n">
        <v>20301231</v>
      </c>
      <c r="U334" t="n">
        <v>146.55</v>
      </c>
      <c r="V334" t="inlineStr">
        <is>
          <t>MXN</t>
        </is>
      </c>
      <c r="W334" t="inlineStr">
        <is>
          <t>M3</t>
        </is>
      </c>
      <c r="X334" t="n">
        <v>0</v>
      </c>
      <c r="Y334" t="inlineStr">
        <is>
          <t>MXN</t>
        </is>
      </c>
      <c r="Z334" t="inlineStr">
        <is>
          <t>M3</t>
        </is>
      </c>
      <c r="AC334" t="n">
        <v>56103637</v>
      </c>
      <c r="AD334" t="n">
        <v>6644261540</v>
      </c>
      <c r="AE334" t="n">
        <v>1</v>
      </c>
      <c r="AF334" t="inlineStr">
        <is>
          <t>ENTREGADO</t>
        </is>
      </c>
      <c r="AG334" t="n">
        <v>1.531</v>
      </c>
      <c r="AH334" t="inlineStr">
        <is>
          <t>M3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20260218</v>
      </c>
      <c r="AM334" t="inlineStr">
        <is>
          <t>DW70-900000295-10274754</t>
        </is>
      </c>
    </row>
    <row r="335">
      <c r="A335" t="inlineStr">
        <is>
          <t>900000668DW7010146897</t>
        </is>
      </c>
      <c r="B335" t="inlineStr">
        <is>
          <t>4600050489-10</t>
        </is>
      </c>
      <c r="C335" t="n">
        <v>4600050489</v>
      </c>
      <c r="D335" t="n">
        <v>10</v>
      </c>
      <c r="E335" t="inlineStr">
        <is>
          <t>MXPO</t>
        </is>
      </c>
      <c r="F335" t="inlineStr">
        <is>
          <t>MXL</t>
        </is>
      </c>
      <c r="G335" t="n">
        <v>900000668</v>
      </c>
      <c r="H335" t="inlineStr">
        <is>
          <t>TC-LA JOYA</t>
        </is>
      </c>
      <c r="I335" t="n">
        <v>5014698</v>
      </c>
      <c r="J335" t="inlineStr">
        <is>
          <t>PEDRERA LA JOYA SA DE CV</t>
        </is>
      </c>
      <c r="K335" t="inlineStr">
        <is>
          <t>N90</t>
        </is>
      </c>
      <c r="L335" t="inlineStr">
        <is>
          <t>(AP) NAFIN 90 Dias</t>
        </is>
      </c>
      <c r="M335" t="n">
        <v>10146897</v>
      </c>
      <c r="N335" t="inlineStr">
        <is>
          <t>ARENA TRITURADA ANDESITA MALLA 5</t>
        </is>
      </c>
      <c r="O335" t="inlineStr">
        <is>
          <t>DW70</t>
        </is>
      </c>
      <c r="P335" t="inlineStr">
        <is>
          <t>MX-CED. CENTRO</t>
        </is>
      </c>
      <c r="Q335" t="n">
        <v>20210712</v>
      </c>
      <c r="R335" t="n">
        <v>20261231</v>
      </c>
      <c r="S335" t="n">
        <v>20210712</v>
      </c>
      <c r="T335" t="n">
        <v>20261231</v>
      </c>
      <c r="U335" t="n">
        <v>102.5</v>
      </c>
      <c r="V335" t="inlineStr">
        <is>
          <t>MXN</t>
        </is>
      </c>
      <c r="W335" t="inlineStr">
        <is>
          <t>M3</t>
        </is>
      </c>
      <c r="X335" t="n">
        <v>0</v>
      </c>
      <c r="Y335" t="inlineStr">
        <is>
          <t>MXN</t>
        </is>
      </c>
      <c r="Z335" t="inlineStr">
        <is>
          <t>M3</t>
        </is>
      </c>
      <c r="AC335" t="n">
        <v>56103638</v>
      </c>
      <c r="AD335" t="n">
        <v>6644261540</v>
      </c>
      <c r="AE335" t="n">
        <v>1</v>
      </c>
      <c r="AF335" t="inlineStr">
        <is>
          <t>ENTREGADO</t>
        </is>
      </c>
      <c r="AG335" t="n">
        <v>1.457</v>
      </c>
      <c r="AH335" t="inlineStr">
        <is>
          <t>M3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20260108</v>
      </c>
      <c r="AM335" t="inlineStr">
        <is>
          <t>DW70-900000668-10146897</t>
        </is>
      </c>
    </row>
    <row r="336">
      <c r="A336" t="inlineStr">
        <is>
          <t>900008234DW7010227598</t>
        </is>
      </c>
      <c r="B336" t="inlineStr">
        <is>
          <t>4600058041-10</t>
        </is>
      </c>
      <c r="C336" t="n">
        <v>4600058041</v>
      </c>
      <c r="D336" t="n">
        <v>10</v>
      </c>
      <c r="E336" t="inlineStr">
        <is>
          <t>MXPO</t>
        </is>
      </c>
      <c r="F336" t="inlineStr">
        <is>
          <t>MXL</t>
        </is>
      </c>
      <c r="G336" t="n">
        <v>900008234</v>
      </c>
      <c r="H336" t="inlineStr">
        <is>
          <t>SF TC-CONCRETOS Y PAVIMENTOS</t>
        </is>
      </c>
      <c r="I336" t="n">
        <v>5089601</v>
      </c>
      <c r="J336" t="inlineStr">
        <is>
          <t>CONCRETOS Y PAVIMENTOS EXTERIORES S</t>
        </is>
      </c>
      <c r="K336" t="inlineStr">
        <is>
          <t>Z09</t>
        </is>
      </c>
      <c r="L336" t="inlineStr">
        <is>
          <t>(AP) 90 Dias</t>
        </is>
      </c>
      <c r="M336" t="n">
        <v>10227598</v>
      </c>
      <c r="N336" t="inlineStr">
        <is>
          <t>ARENA ANDESITA LIGERA</t>
        </is>
      </c>
      <c r="O336" t="inlineStr">
        <is>
          <t>DW70</t>
        </is>
      </c>
      <c r="P336" t="inlineStr">
        <is>
          <t>MX-CED. CENTRO</t>
        </is>
      </c>
      <c r="Q336" t="n">
        <v>20230713</v>
      </c>
      <c r="R336" t="n">
        <v>20281231</v>
      </c>
      <c r="S336" t="n">
        <v>20230713</v>
      </c>
      <c r="T336" t="n">
        <v>20281231</v>
      </c>
      <c r="U336" t="n">
        <v>110</v>
      </c>
      <c r="V336" t="inlineStr">
        <is>
          <t>MXN</t>
        </is>
      </c>
      <c r="W336" t="inlineStr">
        <is>
          <t>M3</t>
        </is>
      </c>
      <c r="X336" t="n">
        <v>0</v>
      </c>
      <c r="Y336" t="inlineStr">
        <is>
          <t>MXN</t>
        </is>
      </c>
      <c r="Z336" t="inlineStr">
        <is>
          <t>M3</t>
        </is>
      </c>
      <c r="AC336" t="n">
        <v>56103638</v>
      </c>
      <c r="AD336" t="n">
        <v>6644261540</v>
      </c>
      <c r="AE336" t="n">
        <v>1</v>
      </c>
      <c r="AF336" t="inlineStr">
        <is>
          <t>ENTREGADO</t>
        </is>
      </c>
      <c r="AG336" t="n">
        <v>1.185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20230920</v>
      </c>
      <c r="AM336" t="inlineStr">
        <is>
          <t>DW70-900008234-10227598</t>
        </is>
      </c>
    </row>
    <row r="337">
      <c r="A337" t="inlineStr">
        <is>
          <t>900000080DW7010000357</t>
        </is>
      </c>
      <c r="B337" t="inlineStr">
        <is>
          <t>4600050472-10</t>
        </is>
      </c>
      <c r="C337" t="n">
        <v>4600050472</v>
      </c>
      <c r="D337" t="n">
        <v>10</v>
      </c>
      <c r="E337" t="inlineStr">
        <is>
          <t>MXPO</t>
        </is>
      </c>
      <c r="F337" t="inlineStr">
        <is>
          <t>MXL</t>
        </is>
      </c>
      <c r="G337" t="n">
        <v>900000080</v>
      </c>
      <c r="H337" t="inlineStr">
        <is>
          <t>TC-ARENERA LA FE</t>
        </is>
      </c>
      <c r="I337" t="n">
        <v>5003482</v>
      </c>
      <c r="J337" t="inlineStr">
        <is>
          <t>ARENERA LA FE S.A. DE C.V.</t>
        </is>
      </c>
      <c r="K337" t="inlineStr">
        <is>
          <t>N90</t>
        </is>
      </c>
      <c r="L337" t="inlineStr">
        <is>
          <t>(AP) NAFIN 90 Dias</t>
        </is>
      </c>
      <c r="M337" t="n">
        <v>10000357</v>
      </c>
      <c r="N337" t="inlineStr">
        <is>
          <t>Grava Triturada Andesita 20 mm - 3/4"</t>
        </is>
      </c>
      <c r="O337" t="inlineStr">
        <is>
          <t>DW70</t>
        </is>
      </c>
      <c r="P337" t="inlineStr">
        <is>
          <t>MX-CED. CENTRO</t>
        </is>
      </c>
      <c r="Q337" t="n">
        <v>20210712</v>
      </c>
      <c r="R337" t="n">
        <v>20261231</v>
      </c>
      <c r="S337" t="n">
        <v>20210712</v>
      </c>
      <c r="T337" t="n">
        <v>20261231</v>
      </c>
      <c r="U337" t="n">
        <v>80.3</v>
      </c>
      <c r="V337" t="inlineStr">
        <is>
          <t>MXN</t>
        </is>
      </c>
      <c r="W337" t="inlineStr">
        <is>
          <t>TN</t>
        </is>
      </c>
      <c r="X337" t="n">
        <v>0</v>
      </c>
      <c r="Y337" t="inlineStr">
        <is>
          <t>MXN</t>
        </is>
      </c>
      <c r="Z337" t="inlineStr">
        <is>
          <t>TN</t>
        </is>
      </c>
      <c r="AC337" t="n">
        <v>56103637</v>
      </c>
      <c r="AD337" t="n">
        <v>6644261540</v>
      </c>
      <c r="AE337" t="n">
        <v>1</v>
      </c>
      <c r="AF337" t="inlineStr">
        <is>
          <t>ENTREGADO</t>
        </is>
      </c>
      <c r="AG337" t="n">
        <v>1</v>
      </c>
      <c r="AH337" t="inlineStr">
        <is>
          <t>TO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20260108</v>
      </c>
      <c r="AM337" t="inlineStr">
        <is>
          <t>DW70-900000080-10000357</t>
        </is>
      </c>
    </row>
    <row r="338">
      <c r="A338" t="inlineStr">
        <is>
          <t>900000080DW7010000651</t>
        </is>
      </c>
      <c r="B338" t="inlineStr">
        <is>
          <t>4600050472-40</t>
        </is>
      </c>
      <c r="C338" t="n">
        <v>4600050472</v>
      </c>
      <c r="D338" t="n">
        <v>40</v>
      </c>
      <c r="E338" t="inlineStr">
        <is>
          <t>MXPO</t>
        </is>
      </c>
      <c r="F338" t="inlineStr">
        <is>
          <t>MXL</t>
        </is>
      </c>
      <c r="G338" t="n">
        <v>900000080</v>
      </c>
      <c r="H338" t="inlineStr">
        <is>
          <t>TC-ARENERA LA FE</t>
        </is>
      </c>
      <c r="I338" t="n">
        <v>5003482</v>
      </c>
      <c r="J338" t="inlineStr">
        <is>
          <t>ARENERA LA FE S.A. DE C.V.</t>
        </is>
      </c>
      <c r="K338" t="inlineStr">
        <is>
          <t>N90</t>
        </is>
      </c>
      <c r="L338" t="inlineStr">
        <is>
          <t>(AP) NAFIN 90 Dias</t>
        </is>
      </c>
      <c r="M338" t="n">
        <v>10000651</v>
      </c>
      <c r="N338" t="inlineStr">
        <is>
          <t>Arena Triturada Andesita Malla 8</t>
        </is>
      </c>
      <c r="O338" t="inlineStr">
        <is>
          <t>DW70</t>
        </is>
      </c>
      <c r="P338" t="inlineStr">
        <is>
          <t>MX-CED. CENTRO</t>
        </is>
      </c>
      <c r="Q338" t="n">
        <v>20210712</v>
      </c>
      <c r="R338" t="n">
        <v>20261231</v>
      </c>
      <c r="S338" t="n">
        <v>20210712</v>
      </c>
      <c r="T338" t="n">
        <v>20261231</v>
      </c>
      <c r="U338" t="n">
        <v>53.21</v>
      </c>
      <c r="V338" t="inlineStr">
        <is>
          <t>MXN</t>
        </is>
      </c>
      <c r="W338" t="inlineStr">
        <is>
          <t>TN</t>
        </is>
      </c>
      <c r="X338" t="n">
        <v>0</v>
      </c>
      <c r="Y338" t="inlineStr">
        <is>
          <t>MXN</t>
        </is>
      </c>
      <c r="Z338" t="inlineStr">
        <is>
          <t>TN</t>
        </is>
      </c>
      <c r="AC338" t="n">
        <v>56103638</v>
      </c>
      <c r="AD338" t="n">
        <v>6644261540</v>
      </c>
      <c r="AE338" t="n">
        <v>1</v>
      </c>
      <c r="AF338" t="inlineStr">
        <is>
          <t>ENTREGADO</t>
        </is>
      </c>
      <c r="AG338" t="n">
        <v>1</v>
      </c>
      <c r="AH338" t="inlineStr">
        <is>
          <t>TO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20260108</v>
      </c>
      <c r="AM338" t="inlineStr">
        <is>
          <t>DW70-900000080-10000651</t>
        </is>
      </c>
    </row>
    <row r="339">
      <c r="A339" t="inlineStr">
        <is>
          <t>900000034DW7010000811</t>
        </is>
      </c>
      <c r="B339" t="inlineStr">
        <is>
          <t>4600050469-20</t>
        </is>
      </c>
      <c r="C339" t="n">
        <v>4600050469</v>
      </c>
      <c r="D339" t="n">
        <v>20</v>
      </c>
      <c r="E339" t="inlineStr">
        <is>
          <t>MXPO</t>
        </is>
      </c>
      <c r="F339" t="inlineStr">
        <is>
          <t>MXL</t>
        </is>
      </c>
      <c r="G339" t="n">
        <v>900000034</v>
      </c>
      <c r="H339" t="inlineStr">
        <is>
          <t>TC-EJIDO PROGRESO</t>
        </is>
      </c>
      <c r="I339" t="n">
        <v>5001924</v>
      </c>
      <c r="J339" t="inlineStr">
        <is>
          <t>EJIDO PROGRESO</t>
        </is>
      </c>
      <c r="K339" t="inlineStr">
        <is>
          <t>Z04</t>
        </is>
      </c>
      <c r="L339" t="inlineStr">
        <is>
          <t>(AP) 30 Dias</t>
        </is>
      </c>
      <c r="M339" t="n">
        <v>10000811</v>
      </c>
      <c r="N339" t="inlineStr">
        <is>
          <t>Grava Triturada Caliza 20 mm - 3/4"</t>
        </is>
      </c>
      <c r="O339" t="inlineStr">
        <is>
          <t>DW70</t>
        </is>
      </c>
      <c r="P339" t="inlineStr">
        <is>
          <t>MX-CED. CENTRO</t>
        </is>
      </c>
      <c r="Q339" t="n">
        <v>20210712</v>
      </c>
      <c r="R339" t="n">
        <v>20291231</v>
      </c>
      <c r="S339" t="n">
        <v>20230501</v>
      </c>
      <c r="T339" t="n">
        <v>20281231</v>
      </c>
      <c r="U339" t="n">
        <v>100</v>
      </c>
      <c r="V339" t="inlineStr">
        <is>
          <t>MXN</t>
        </is>
      </c>
      <c r="W339" t="inlineStr">
        <is>
          <t>TN</t>
        </is>
      </c>
      <c r="X339" t="n">
        <v>0</v>
      </c>
      <c r="Y339" t="inlineStr">
        <is>
          <t>MXN</t>
        </is>
      </c>
      <c r="Z339" t="inlineStr">
        <is>
          <t>TN</t>
        </is>
      </c>
      <c r="AC339" t="n">
        <v>56103637</v>
      </c>
      <c r="AD339" t="n">
        <v>6644261540</v>
      </c>
      <c r="AE339" t="n">
        <v>1</v>
      </c>
      <c r="AF339" t="inlineStr">
        <is>
          <t>ENTREGADO</t>
        </is>
      </c>
      <c r="AG339" t="n">
        <v>1</v>
      </c>
      <c r="AH339" t="inlineStr">
        <is>
          <t>TO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20230920</v>
      </c>
      <c r="AM339" t="inlineStr">
        <is>
          <t>DW70-900000034-10000811</t>
        </is>
      </c>
    </row>
    <row r="340">
      <c r="A340" t="inlineStr">
        <is>
          <t>900000080DW7010000627</t>
        </is>
      </c>
      <c r="B340" t="inlineStr">
        <is>
          <t>4600050472-20</t>
        </is>
      </c>
      <c r="C340" t="n">
        <v>4600050472</v>
      </c>
      <c r="D340" t="n">
        <v>20</v>
      </c>
      <c r="E340" t="inlineStr">
        <is>
          <t>MXPO</t>
        </is>
      </c>
      <c r="F340" t="inlineStr">
        <is>
          <t>MXL</t>
        </is>
      </c>
      <c r="G340" t="n">
        <v>900000080</v>
      </c>
      <c r="H340" t="inlineStr">
        <is>
          <t>TC-ARENERA LA FE</t>
        </is>
      </c>
      <c r="I340" t="n">
        <v>5003482</v>
      </c>
      <c r="J340" t="inlineStr">
        <is>
          <t>ARENERA LA FE S.A. DE C.V.</t>
        </is>
      </c>
      <c r="K340" t="inlineStr">
        <is>
          <t>N90</t>
        </is>
      </c>
      <c r="L340" t="inlineStr">
        <is>
          <t>(AP) NAFIN 90 Dias</t>
        </is>
      </c>
      <c r="M340" t="n">
        <v>10000627</v>
      </c>
      <c r="N340" t="inlineStr">
        <is>
          <t>Grava Triturada Andesita 10 mm - 3/8"</t>
        </is>
      </c>
      <c r="O340" t="inlineStr">
        <is>
          <t>DW70</t>
        </is>
      </c>
      <c r="P340" t="inlineStr">
        <is>
          <t>MX-CED. CENTRO</t>
        </is>
      </c>
      <c r="Q340" t="n">
        <v>20210712</v>
      </c>
      <c r="R340" t="n">
        <v>20261231</v>
      </c>
      <c r="S340" t="n">
        <v>20210712</v>
      </c>
      <c r="T340" t="n">
        <v>20261231</v>
      </c>
      <c r="U340" t="n">
        <v>56.05</v>
      </c>
      <c r="V340" t="inlineStr">
        <is>
          <t>MXN</t>
        </is>
      </c>
      <c r="W340" t="inlineStr">
        <is>
          <t>TN</t>
        </is>
      </c>
      <c r="X340" t="n">
        <v>0</v>
      </c>
      <c r="Y340" t="inlineStr">
        <is>
          <t>MXN</t>
        </is>
      </c>
      <c r="Z340" t="inlineStr">
        <is>
          <t>TN</t>
        </is>
      </c>
      <c r="AC340" t="n">
        <v>56103637</v>
      </c>
      <c r="AD340" t="n">
        <v>6644261540</v>
      </c>
      <c r="AE340" t="n">
        <v>1</v>
      </c>
      <c r="AF340" t="inlineStr">
        <is>
          <t>ENTREGADO</t>
        </is>
      </c>
      <c r="AG340" t="n">
        <v>1</v>
      </c>
      <c r="AH340" t="inlineStr">
        <is>
          <t>TO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20260108</v>
      </c>
      <c r="AM340" t="inlineStr">
        <is>
          <t>DW70-900000080-10000627</t>
        </is>
      </c>
    </row>
    <row r="341">
      <c r="A341" t="inlineStr">
        <is>
          <t>900000080DW7010001354</t>
        </is>
      </c>
      <c r="B341" t="inlineStr">
        <is>
          <t>4600050472-50</t>
        </is>
      </c>
      <c r="C341" t="n">
        <v>4600050472</v>
      </c>
      <c r="D341" t="n">
        <v>50</v>
      </c>
      <c r="E341" t="inlineStr">
        <is>
          <t>MXPO</t>
        </is>
      </c>
      <c r="F341" t="inlineStr">
        <is>
          <t>MXL</t>
        </is>
      </c>
      <c r="G341" t="n">
        <v>900000080</v>
      </c>
      <c r="H341" t="inlineStr">
        <is>
          <t>TC-ARENERA LA FE</t>
        </is>
      </c>
      <c r="I341" t="n">
        <v>5003482</v>
      </c>
      <c r="J341" t="inlineStr">
        <is>
          <t>ARENERA LA FE S.A. DE C.V.</t>
        </is>
      </c>
      <c r="K341" t="inlineStr">
        <is>
          <t>N90</t>
        </is>
      </c>
      <c r="L341" t="inlineStr">
        <is>
          <t>(AP) NAFIN 90 Dias</t>
        </is>
      </c>
      <c r="M341" t="n">
        <v>10001354</v>
      </c>
      <c r="N341" t="inlineStr">
        <is>
          <t>Grava Triturada Andesita 20 mm - 3/4"-AB</t>
        </is>
      </c>
      <c r="O341" t="inlineStr">
        <is>
          <t>DW70</t>
        </is>
      </c>
      <c r="P341" t="inlineStr">
        <is>
          <t>MX-CED. CENTRO</t>
        </is>
      </c>
      <c r="Q341" t="n">
        <v>20210712</v>
      </c>
      <c r="R341" t="n">
        <v>20261231</v>
      </c>
      <c r="S341" t="n">
        <v>20210712</v>
      </c>
      <c r="T341" t="n">
        <v>20261231</v>
      </c>
      <c r="U341" t="n">
        <v>123</v>
      </c>
      <c r="V341" t="inlineStr">
        <is>
          <t>MXN</t>
        </is>
      </c>
      <c r="W341" t="inlineStr">
        <is>
          <t>TN</t>
        </is>
      </c>
      <c r="X341" t="n">
        <v>0</v>
      </c>
      <c r="Y341" t="inlineStr">
        <is>
          <t>MXN</t>
        </is>
      </c>
      <c r="Z341" t="inlineStr">
        <is>
          <t>TN</t>
        </is>
      </c>
      <c r="AC341" t="n">
        <v>56103637</v>
      </c>
      <c r="AD341" t="n">
        <v>6644261540</v>
      </c>
      <c r="AE341" t="n">
        <v>1</v>
      </c>
      <c r="AF341" t="inlineStr">
        <is>
          <t>ENTREGADO</t>
        </is>
      </c>
      <c r="AG341" t="n">
        <v>1</v>
      </c>
      <c r="AH341" t="inlineStr">
        <is>
          <t>TO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20260108</v>
      </c>
      <c r="AM341" t="inlineStr">
        <is>
          <t>DW70-900000080-10001354</t>
        </is>
      </c>
    </row>
    <row r="342">
      <c r="A342" t="inlineStr">
        <is>
          <t>900000034DW7010000624</t>
        </is>
      </c>
      <c r="B342" t="inlineStr">
        <is>
          <t>4600050469-30</t>
        </is>
      </c>
      <c r="C342" t="n">
        <v>4600050469</v>
      </c>
      <c r="D342" t="n">
        <v>30</v>
      </c>
      <c r="E342" t="inlineStr">
        <is>
          <t>MXPO</t>
        </is>
      </c>
      <c r="F342" t="inlineStr">
        <is>
          <t>MXL</t>
        </is>
      </c>
      <c r="G342" t="n">
        <v>900000034</v>
      </c>
      <c r="H342" t="inlineStr">
        <is>
          <t>TC-EJIDO PROGRESO</t>
        </is>
      </c>
      <c r="I342" t="n">
        <v>5001924</v>
      </c>
      <c r="J342" t="inlineStr">
        <is>
          <t>EJIDO PROGRESO</t>
        </is>
      </c>
      <c r="K342" t="inlineStr">
        <is>
          <t>Z04</t>
        </is>
      </c>
      <c r="L342" t="inlineStr">
        <is>
          <t>(AP) 30 Dias</t>
        </is>
      </c>
      <c r="M342" t="n">
        <v>10000624</v>
      </c>
      <c r="N342" t="inlineStr">
        <is>
          <t>Grava Triturada Caliza 40 mm - 1 1/2"</t>
        </is>
      </c>
      <c r="O342" t="inlineStr">
        <is>
          <t>DW70</t>
        </is>
      </c>
      <c r="P342" t="inlineStr">
        <is>
          <t>MX-CED. CENTRO</t>
        </is>
      </c>
      <c r="Q342" t="n">
        <v>20210712</v>
      </c>
      <c r="R342" t="n">
        <v>20291231</v>
      </c>
      <c r="S342" t="n">
        <v>20230501</v>
      </c>
      <c r="T342" t="n">
        <v>20281231</v>
      </c>
      <c r="U342" t="n">
        <v>93</v>
      </c>
      <c r="V342" t="inlineStr">
        <is>
          <t>MXN</t>
        </is>
      </c>
      <c r="W342" t="inlineStr">
        <is>
          <t>TN</t>
        </is>
      </c>
      <c r="X342" t="n">
        <v>0</v>
      </c>
      <c r="Y342" t="inlineStr">
        <is>
          <t>MXN</t>
        </is>
      </c>
      <c r="Z342" t="inlineStr">
        <is>
          <t>TN</t>
        </is>
      </c>
      <c r="AC342" t="n">
        <v>56103637</v>
      </c>
      <c r="AD342" t="n">
        <v>6644261540</v>
      </c>
      <c r="AE342" t="n">
        <v>1</v>
      </c>
      <c r="AF342" t="inlineStr">
        <is>
          <t>ENTREGADO</t>
        </is>
      </c>
      <c r="AG342" t="n">
        <v>1</v>
      </c>
      <c r="AH342" t="inlineStr">
        <is>
          <t>TO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20230920</v>
      </c>
      <c r="AM342" t="inlineStr">
        <is>
          <t>DW70-900000034-10000624</t>
        </is>
      </c>
    </row>
    <row r="343">
      <c r="A343" t="inlineStr">
        <is>
          <t>900000080DW7010000625</t>
        </is>
      </c>
      <c r="B343" t="inlineStr">
        <is>
          <t>4600050472-30</t>
        </is>
      </c>
      <c r="C343" t="n">
        <v>4600050472</v>
      </c>
      <c r="D343" t="n">
        <v>30</v>
      </c>
      <c r="E343" t="inlineStr">
        <is>
          <t>MXPO</t>
        </is>
      </c>
      <c r="F343" t="inlineStr">
        <is>
          <t>MXL</t>
        </is>
      </c>
      <c r="G343" t="n">
        <v>900000080</v>
      </c>
      <c r="H343" t="inlineStr">
        <is>
          <t>TC-ARENERA LA FE</t>
        </is>
      </c>
      <c r="I343" t="n">
        <v>5003482</v>
      </c>
      <c r="J343" t="inlineStr">
        <is>
          <t>ARENERA LA FE S.A. DE C.V.</t>
        </is>
      </c>
      <c r="K343" t="inlineStr">
        <is>
          <t>N90</t>
        </is>
      </c>
      <c r="L343" t="inlineStr">
        <is>
          <t>(AP) NAFIN 90 Dias</t>
        </is>
      </c>
      <c r="M343" t="n">
        <v>10000625</v>
      </c>
      <c r="N343" t="inlineStr">
        <is>
          <t>Arena Triturada Andesita Malla 4</t>
        </is>
      </c>
      <c r="O343" t="inlineStr">
        <is>
          <t>DW70</t>
        </is>
      </c>
      <c r="P343" t="inlineStr">
        <is>
          <t>MX-CED. CENTRO</t>
        </is>
      </c>
      <c r="Q343" t="n">
        <v>20210712</v>
      </c>
      <c r="R343" t="n">
        <v>20261231</v>
      </c>
      <c r="S343" t="n">
        <v>20210712</v>
      </c>
      <c r="T343" t="n">
        <v>20261231</v>
      </c>
      <c r="U343" t="n">
        <v>47.23</v>
      </c>
      <c r="V343" t="inlineStr">
        <is>
          <t>MXN</t>
        </is>
      </c>
      <c r="W343" t="inlineStr">
        <is>
          <t>TN</t>
        </is>
      </c>
      <c r="X343" t="n">
        <v>0</v>
      </c>
      <c r="Y343" t="inlineStr">
        <is>
          <t>MXN</t>
        </is>
      </c>
      <c r="Z343" t="inlineStr">
        <is>
          <t>TN</t>
        </is>
      </c>
      <c r="AC343" t="n">
        <v>56103638</v>
      </c>
      <c r="AD343" t="n">
        <v>6644261540</v>
      </c>
      <c r="AE343" t="n">
        <v>1</v>
      </c>
      <c r="AF343" t="inlineStr">
        <is>
          <t>ENTREGADO</t>
        </is>
      </c>
      <c r="AG343" t="n">
        <v>1</v>
      </c>
      <c r="AH343" t="inlineStr">
        <is>
          <t>TO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20260108</v>
      </c>
      <c r="AM343" t="inlineStr">
        <is>
          <t>DW70-900000080-10000625</t>
        </is>
      </c>
    </row>
    <row r="344">
      <c r="A344" t="inlineStr">
        <is>
          <t>900000034DW7010159432</t>
        </is>
      </c>
      <c r="B344" t="inlineStr">
        <is>
          <t>4600050469-40</t>
        </is>
      </c>
      <c r="C344" t="n">
        <v>4600050469</v>
      </c>
      <c r="D344" t="n">
        <v>40</v>
      </c>
      <c r="E344" t="inlineStr">
        <is>
          <t>MXPO</t>
        </is>
      </c>
      <c r="F344" t="inlineStr">
        <is>
          <t>MXL</t>
        </is>
      </c>
      <c r="G344" t="n">
        <v>900000034</v>
      </c>
      <c r="H344" t="inlineStr">
        <is>
          <t>TC-EJIDO PROGRESO</t>
        </is>
      </c>
      <c r="I344" t="n">
        <v>5001924</v>
      </c>
      <c r="J344" t="inlineStr">
        <is>
          <t>EJIDO PROGRESO</t>
        </is>
      </c>
      <c r="K344" t="inlineStr">
        <is>
          <t>Z04</t>
        </is>
      </c>
      <c r="L344" t="inlineStr">
        <is>
          <t>(AP) 30 Dias</t>
        </is>
      </c>
      <c r="M344" t="n">
        <v>10159432</v>
      </c>
      <c r="N344" t="inlineStr">
        <is>
          <t>GRAVA TRITURADA CALIZA 1"</t>
        </is>
      </c>
      <c r="O344" t="inlineStr">
        <is>
          <t>DW70</t>
        </is>
      </c>
      <c r="P344" t="inlineStr">
        <is>
          <t>MX-CED. CENTRO</t>
        </is>
      </c>
      <c r="Q344" t="n">
        <v>20210712</v>
      </c>
      <c r="R344" t="n">
        <v>20291231</v>
      </c>
      <c r="S344" t="n">
        <v>20230501</v>
      </c>
      <c r="T344" t="n">
        <v>20281231</v>
      </c>
      <c r="U344" t="n">
        <v>95</v>
      </c>
      <c r="V344" t="inlineStr">
        <is>
          <t>MXN</t>
        </is>
      </c>
      <c r="W344" t="inlineStr">
        <is>
          <t>TN</t>
        </is>
      </c>
      <c r="X344" t="n">
        <v>0</v>
      </c>
      <c r="Y344" t="inlineStr">
        <is>
          <t>MXN</t>
        </is>
      </c>
      <c r="Z344" t="inlineStr">
        <is>
          <t>TN</t>
        </is>
      </c>
      <c r="AC344" t="n">
        <v>56103637</v>
      </c>
      <c r="AD344" t="n">
        <v>6644261540</v>
      </c>
      <c r="AE344" t="n">
        <v>1</v>
      </c>
      <c r="AF344" t="inlineStr">
        <is>
          <t>ENTREGADO</t>
        </is>
      </c>
      <c r="AG344" t="n">
        <v>1</v>
      </c>
      <c r="AH344" t="inlineStr">
        <is>
          <t>TO</t>
        </is>
      </c>
      <c r="AI344" t="inlineStr">
        <is>
          <t>X</t>
        </is>
      </c>
      <c r="AJ344" t="n">
        <v>4</v>
      </c>
      <c r="AK344" t="inlineStr">
        <is>
          <t>V4</t>
        </is>
      </c>
      <c r="AL344" t="n">
        <v>20230920</v>
      </c>
      <c r="AM344" t="inlineStr">
        <is>
          <t>DW70-900000034-10159432</t>
        </is>
      </c>
    </row>
    <row r="345">
      <c r="A345" t="inlineStr">
        <is>
          <t>900005400DW7010000253</t>
        </is>
      </c>
      <c r="B345" t="inlineStr">
        <is>
          <t>4600050519-10</t>
        </is>
      </c>
      <c r="C345" t="n">
        <v>4600050519</v>
      </c>
      <c r="D345" t="n">
        <v>10</v>
      </c>
      <c r="E345" t="inlineStr">
        <is>
          <t>MXPO</t>
        </is>
      </c>
      <c r="F345" t="inlineStr">
        <is>
          <t>MXL</t>
        </is>
      </c>
      <c r="G345" t="n">
        <v>900005400</v>
      </c>
      <c r="H345" t="inlineStr">
        <is>
          <t>TC-DESARROLLO MINERO</t>
        </is>
      </c>
      <c r="I345" t="n">
        <v>5069420</v>
      </c>
      <c r="J345" t="inlineStr">
        <is>
          <t>PROMOTORA DE DESARROLLO MINERO</t>
        </is>
      </c>
      <c r="K345" t="inlineStr">
        <is>
          <t>Z09</t>
        </is>
      </c>
      <c r="L345" t="inlineStr">
        <is>
          <t>(AP) 90 Dias</t>
        </is>
      </c>
      <c r="M345" t="n">
        <v>10000253</v>
      </c>
      <c r="N345" t="inlineStr">
        <is>
          <t>Grava Triturada Andesita 20 mm - 3/4"</t>
        </is>
      </c>
      <c r="O345" t="inlineStr">
        <is>
          <t>DW70</t>
        </is>
      </c>
      <c r="P345" t="inlineStr">
        <is>
          <t>MX-CED. CENTRO</t>
        </is>
      </c>
      <c r="Q345" t="n">
        <v>20210712</v>
      </c>
      <c r="R345" t="n">
        <v>20261231</v>
      </c>
      <c r="S345" t="n">
        <v>20210712</v>
      </c>
      <c r="T345" t="n">
        <v>20261231</v>
      </c>
      <c r="U345" t="n">
        <v>89.25</v>
      </c>
      <c r="V345" t="inlineStr">
        <is>
          <t>MXN</t>
        </is>
      </c>
      <c r="W345" t="inlineStr">
        <is>
          <t>TN</t>
        </is>
      </c>
      <c r="X345" t="n">
        <v>0</v>
      </c>
      <c r="Y345" t="inlineStr">
        <is>
          <t>MXN</t>
        </is>
      </c>
      <c r="Z345" t="inlineStr">
        <is>
          <t>TN</t>
        </is>
      </c>
      <c r="AC345" t="n">
        <v>56103637</v>
      </c>
      <c r="AD345" t="n">
        <v>6644261540</v>
      </c>
      <c r="AE345" t="n">
        <v>1</v>
      </c>
      <c r="AF345" t="inlineStr">
        <is>
          <t>ENTREGADO</t>
        </is>
      </c>
      <c r="AG345" t="n">
        <v>1</v>
      </c>
      <c r="AH345" t="inlineStr">
        <is>
          <t>TO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20260108</v>
      </c>
      <c r="AM345" t="inlineStr">
        <is>
          <t>DW70-900005400-10000253</t>
        </is>
      </c>
    </row>
    <row r="346">
      <c r="A346" t="inlineStr">
        <is>
          <t>900005730DW70ENXF10000133</t>
        </is>
      </c>
      <c r="B346" t="inlineStr">
        <is>
          <t>4600068533-130</t>
        </is>
      </c>
      <c r="C346" t="n">
        <v>4600068533</v>
      </c>
      <c r="D346" t="n">
        <v>130</v>
      </c>
      <c r="E346" t="inlineStr">
        <is>
          <t>MXPO</t>
        </is>
      </c>
      <c r="F346" t="inlineStr">
        <is>
          <t>MXL</t>
        </is>
      </c>
      <c r="G346" t="n">
        <v>900005730</v>
      </c>
      <c r="H346" t="inlineStr">
        <is>
          <t>TC-ED OLIELL</t>
        </is>
      </c>
      <c r="I346" t="n">
        <v>5048484</v>
      </c>
      <c r="J346" t="inlineStr">
        <is>
          <t>COMERCIALIZADORA Y TRANSPORTADORA O</t>
        </is>
      </c>
      <c r="K346" t="inlineStr">
        <is>
          <t>N90</t>
        </is>
      </c>
      <c r="L346" t="inlineStr">
        <is>
          <t>(AP) NAFIN 90 Dias</t>
        </is>
      </c>
      <c r="M346" t="n">
        <v>10000133</v>
      </c>
      <c r="N346" t="inlineStr">
        <is>
          <t>Grava Triturada Caliza 20 mm - 3/4"</t>
        </is>
      </c>
      <c r="O346" t="inlineStr">
        <is>
          <t>DW70</t>
        </is>
      </c>
      <c r="P346" t="inlineStr">
        <is>
          <t>MX-CED. CENTRO</t>
        </is>
      </c>
      <c r="Q346" t="n">
        <v>20230925</v>
      </c>
      <c r="R346" t="n">
        <v>20281231</v>
      </c>
      <c r="U346" t="n">
        <v>0</v>
      </c>
      <c r="V346" t="inlineStr">
        <is>
          <t>MXN</t>
        </is>
      </c>
      <c r="W346" t="inlineStr">
        <is>
          <t>M3</t>
        </is>
      </c>
      <c r="AA346" t="inlineStr">
        <is>
          <t>ENXF</t>
        </is>
      </c>
      <c r="AB346" t="inlineStr">
        <is>
          <t>Complejo Deportivo (CENCIS) E3 / SE</t>
        </is>
      </c>
      <c r="AC346" t="n">
        <v>56103637</v>
      </c>
      <c r="AD346" t="n">
        <v>6644261540</v>
      </c>
      <c r="AE346" t="n">
        <v>4</v>
      </c>
      <c r="AF346" t="inlineStr">
        <is>
          <t>ENTREGA DIRECTA</t>
        </is>
      </c>
      <c r="AG346" t="n">
        <v>1.46</v>
      </c>
      <c r="AH346" t="inlineStr">
        <is>
          <t>M3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20260323</v>
      </c>
      <c r="AM346" t="inlineStr">
        <is>
          <t>DW70-900005730-ENXF-10000133-4</t>
        </is>
      </c>
    </row>
    <row r="347">
      <c r="A347" t="inlineStr">
        <is>
          <t>900005730DW70ENXF10268435</t>
        </is>
      </c>
      <c r="B347" t="inlineStr">
        <is>
          <t>4600068533-110</t>
        </is>
      </c>
      <c r="C347" t="n">
        <v>4600068533</v>
      </c>
      <c r="D347" t="n">
        <v>110</v>
      </c>
      <c r="E347" t="inlineStr">
        <is>
          <t>MXPO</t>
        </is>
      </c>
      <c r="F347" t="inlineStr">
        <is>
          <t>MXL</t>
        </is>
      </c>
      <c r="G347" t="n">
        <v>900005730</v>
      </c>
      <c r="H347" t="inlineStr">
        <is>
          <t>TC-ED OLIELL</t>
        </is>
      </c>
      <c r="I347" t="n">
        <v>5048484</v>
      </c>
      <c r="J347" t="inlineStr">
        <is>
          <t>COMERCIALIZADORA Y TRANSPORTADORA O</t>
        </is>
      </c>
      <c r="K347" t="inlineStr">
        <is>
          <t>N90</t>
        </is>
      </c>
      <c r="L347" t="inlineStr">
        <is>
          <t>(AP) NAFIN 90 Dias</t>
        </is>
      </c>
      <c r="M347" t="n">
        <v>10268435</v>
      </c>
      <c r="N347" t="inlineStr">
        <is>
          <t>MP GRAVA TRIT CALIZA 20 MM (3/4")</t>
        </is>
      </c>
      <c r="O347" t="inlineStr">
        <is>
          <t>DW70</t>
        </is>
      </c>
      <c r="P347" t="inlineStr">
        <is>
          <t>MX-CED. CENTRO</t>
        </is>
      </c>
      <c r="Q347" t="n">
        <v>20230925</v>
      </c>
      <c r="R347" t="n">
        <v>20281231</v>
      </c>
      <c r="U347" t="n">
        <v>0</v>
      </c>
      <c r="V347" t="inlineStr">
        <is>
          <t>MXN</t>
        </is>
      </c>
      <c r="W347" t="inlineStr">
        <is>
          <t>M3</t>
        </is>
      </c>
      <c r="AA347" t="inlineStr">
        <is>
          <t>ENXF</t>
        </is>
      </c>
      <c r="AB347" t="inlineStr">
        <is>
          <t>Complejo Deportivo (CENCIS) E3 / SE</t>
        </is>
      </c>
      <c r="AC347" t="n">
        <v>56103637</v>
      </c>
      <c r="AD347" t="n">
        <v>6644261540</v>
      </c>
      <c r="AE347" t="n">
        <v>4</v>
      </c>
      <c r="AF347" t="inlineStr">
        <is>
          <t>ENTREGA DIRECTA</t>
        </is>
      </c>
      <c r="AG347" t="n">
        <v>1.4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20260323</v>
      </c>
      <c r="AM347" t="inlineStr">
        <is>
          <t>DW70-900005730-ENXF-10268435-4</t>
        </is>
      </c>
    </row>
    <row r="348">
      <c r="A348" t="inlineStr">
        <is>
          <t>900000295DW7010277513</t>
        </is>
      </c>
      <c r="B348" t="inlineStr">
        <is>
          <t>4600071045-30</t>
        </is>
      </c>
      <c r="C348" t="n">
        <v>4600071045</v>
      </c>
      <c r="D348" t="n">
        <v>30</v>
      </c>
      <c r="E348" t="inlineStr">
        <is>
          <t>MXPO</t>
        </is>
      </c>
      <c r="F348" t="inlineStr">
        <is>
          <t>MXL</t>
        </is>
      </c>
      <c r="G348" t="n">
        <v>900000295</v>
      </c>
      <c r="H348" t="inlineStr">
        <is>
          <t>SF TC-PITUFOS</t>
        </is>
      </c>
      <c r="I348" t="n">
        <v>5010165</v>
      </c>
      <c r="J348" t="inlineStr">
        <is>
          <t>AGREGADOS COMO S.A. DE C.V.</t>
        </is>
      </c>
      <c r="K348" t="inlineStr">
        <is>
          <t>N60</t>
        </is>
      </c>
      <c r="L348" t="inlineStr">
        <is>
          <t>(AP) NAFIN 60 Dias</t>
        </is>
      </c>
      <c r="M348" t="n">
        <v>10277513</v>
      </c>
      <c r="N348" t="inlineStr">
        <is>
          <t>MP GRAVA ANDESITA TRIT. 3/8" - 10 MM</t>
        </is>
      </c>
      <c r="O348" t="inlineStr">
        <is>
          <t>DW70</t>
        </is>
      </c>
      <c r="P348" t="inlineStr">
        <is>
          <t>MX-CED. CENTRO</t>
        </is>
      </c>
      <c r="Q348" t="n">
        <v>20250318</v>
      </c>
      <c r="R348" t="n">
        <v>20301231</v>
      </c>
      <c r="S348" t="n">
        <v>20260525</v>
      </c>
      <c r="T348" t="n">
        <v>20301231</v>
      </c>
      <c r="U348" t="n">
        <v>86.2</v>
      </c>
      <c r="V348" t="inlineStr">
        <is>
          <t>MXN</t>
        </is>
      </c>
      <c r="W348" t="inlineStr">
        <is>
          <t>M3</t>
        </is>
      </c>
      <c r="X348" t="n">
        <v>0</v>
      </c>
      <c r="Y348" t="inlineStr">
        <is>
          <t>MXN</t>
        </is>
      </c>
      <c r="Z348" t="inlineStr">
        <is>
          <t>M3</t>
        </is>
      </c>
      <c r="AC348" t="n">
        <v>56103637</v>
      </c>
      <c r="AD348" t="n">
        <v>6644261540</v>
      </c>
      <c r="AE348" t="n">
        <v>1</v>
      </c>
      <c r="AF348" t="inlineStr">
        <is>
          <t>ENTREGADO</t>
        </is>
      </c>
      <c r="AG348" t="n">
        <v>1.398</v>
      </c>
      <c r="AH348" t="inlineStr">
        <is>
          <t>M3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20260526</v>
      </c>
      <c r="AM348" t="inlineStr">
        <is>
          <t>DW70-900000295-10277513</t>
        </is>
      </c>
    </row>
    <row r="349">
      <c r="A349" t="inlineStr">
        <is>
          <t>900007605DW7010275114</t>
        </is>
      </c>
      <c r="B349" t="inlineStr">
        <is>
          <t>4600053970-30</t>
        </is>
      </c>
      <c r="C349" t="n">
        <v>4600053970</v>
      </c>
      <c r="D349" t="n">
        <v>30</v>
      </c>
      <c r="E349" t="inlineStr">
        <is>
          <t>MXPO</t>
        </is>
      </c>
      <c r="F349" t="inlineStr">
        <is>
          <t>MXL</t>
        </is>
      </c>
      <c r="G349" t="n">
        <v>900007605</v>
      </c>
      <c r="H349" t="inlineStr">
        <is>
          <t>SF TC-ARENA DE RIO INTERMEX</t>
        </is>
      </c>
      <c r="I349" t="n">
        <v>5082993</v>
      </c>
      <c r="J349" t="inlineStr">
        <is>
          <t>CAMINOS Y PUENTES INTERMEX SA DE CV</t>
        </is>
      </c>
      <c r="K349" t="inlineStr">
        <is>
          <t>N90</t>
        </is>
      </c>
      <c r="L349" t="inlineStr">
        <is>
          <t>(AP) NAFIN 90 Dias</t>
        </is>
      </c>
      <c r="M349" t="n">
        <v>10275114</v>
      </c>
      <c r="N349" t="inlineStr">
        <is>
          <t>MP ARENA CLASIF RIO MALLA 4 - LAVADO</t>
        </is>
      </c>
      <c r="O349" t="inlineStr">
        <is>
          <t>DW70</t>
        </is>
      </c>
      <c r="P349" t="inlineStr">
        <is>
          <t>MX-CED. CENTRO</t>
        </is>
      </c>
      <c r="Q349" t="n">
        <v>20220518</v>
      </c>
      <c r="R349" t="n">
        <v>20271231</v>
      </c>
      <c r="S349" t="n">
        <v>20260507</v>
      </c>
      <c r="T349" t="n">
        <v>20301231</v>
      </c>
      <c r="U349" t="n">
        <v>160.16</v>
      </c>
      <c r="V349" t="inlineStr">
        <is>
          <t>MXN</t>
        </is>
      </c>
      <c r="W349" t="inlineStr">
        <is>
          <t>M3</t>
        </is>
      </c>
      <c r="X349" t="n">
        <v>0</v>
      </c>
      <c r="Y349" t="inlineStr">
        <is>
          <t>MXN</t>
        </is>
      </c>
      <c r="Z349" t="inlineStr">
        <is>
          <t>M3</t>
        </is>
      </c>
      <c r="AC349" t="n">
        <v>56103638</v>
      </c>
      <c r="AD349" t="n">
        <v>6644261540</v>
      </c>
      <c r="AE349" t="n">
        <v>1</v>
      </c>
      <c r="AF349" t="inlineStr">
        <is>
          <t>ENTREGADO</t>
        </is>
      </c>
      <c r="AG349" t="n">
        <v>1.418</v>
      </c>
      <c r="AH349" t="inlineStr">
        <is>
          <t>M3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20260520</v>
      </c>
      <c r="AM349" t="inlineStr">
        <is>
          <t>DW70-900007605-10275114</t>
        </is>
      </c>
    </row>
    <row r="350">
      <c r="A350" t="inlineStr">
        <is>
          <t>900007605DW7010274754</t>
        </is>
      </c>
      <c r="B350" t="inlineStr">
        <is>
          <t>4600053970-40</t>
        </is>
      </c>
      <c r="C350" t="n">
        <v>4600053970</v>
      </c>
      <c r="D350" t="n">
        <v>40</v>
      </c>
      <c r="E350" t="inlineStr">
        <is>
          <t>MXPO</t>
        </is>
      </c>
      <c r="F350" t="inlineStr">
        <is>
          <t>MXL</t>
        </is>
      </c>
      <c r="G350" t="n">
        <v>900007605</v>
      </c>
      <c r="H350" t="inlineStr">
        <is>
          <t>SF TC-ARENA DE RIO INTERMEX</t>
        </is>
      </c>
      <c r="I350" t="n">
        <v>5082993</v>
      </c>
      <c r="J350" t="inlineStr">
        <is>
          <t>CAMINOS Y PUENTES INTERMEX SA DE CV</t>
        </is>
      </c>
      <c r="K350" t="inlineStr">
        <is>
          <t>N90</t>
        </is>
      </c>
      <c r="L350" t="inlineStr">
        <is>
          <t>(AP) NAFIN 90 Dias</t>
        </is>
      </c>
      <c r="M350" t="n">
        <v>10274754</v>
      </c>
      <c r="N350" t="inlineStr">
        <is>
          <t>MP GRAVA TRIT. ANDESITA 20 MM - 3/4"</t>
        </is>
      </c>
      <c r="O350" t="inlineStr">
        <is>
          <t>DW70</t>
        </is>
      </c>
      <c r="P350" t="inlineStr">
        <is>
          <t>MX-CED. CENTRO</t>
        </is>
      </c>
      <c r="Q350" t="n">
        <v>20220518</v>
      </c>
      <c r="R350" t="n">
        <v>20271231</v>
      </c>
      <c r="S350" t="n">
        <v>20260507</v>
      </c>
      <c r="T350" t="n">
        <v>20301231</v>
      </c>
      <c r="U350" t="n">
        <v>159</v>
      </c>
      <c r="V350" t="inlineStr">
        <is>
          <t>MXN</t>
        </is>
      </c>
      <c r="W350" t="inlineStr">
        <is>
          <t>M3</t>
        </is>
      </c>
      <c r="X350" t="n">
        <v>0</v>
      </c>
      <c r="Y350" t="inlineStr">
        <is>
          <t>MXN</t>
        </is>
      </c>
      <c r="Z350" t="inlineStr">
        <is>
          <t>M3</t>
        </is>
      </c>
      <c r="AC350" t="n">
        <v>56103637</v>
      </c>
      <c r="AD350" t="n">
        <v>6644261540</v>
      </c>
      <c r="AE350" t="n">
        <v>1</v>
      </c>
      <c r="AF350" t="inlineStr">
        <is>
          <t>ENTREGADO</t>
        </is>
      </c>
      <c r="AG350" t="n">
        <v>1.397</v>
      </c>
      <c r="AH350" t="inlineStr">
        <is>
          <t>M3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20260520</v>
      </c>
      <c r="AM350" t="inlineStr">
        <is>
          <t>DW70-900007605-10274754</t>
        </is>
      </c>
    </row>
    <row r="351">
      <c r="A351" t="inlineStr">
        <is>
          <t>900004324DW7010155487</t>
        </is>
      </c>
      <c r="B351" t="inlineStr">
        <is>
          <t>4600068840-10</t>
        </is>
      </c>
      <c r="C351" t="n">
        <v>4600068840</v>
      </c>
      <c r="D351" t="n">
        <v>10</v>
      </c>
      <c r="E351" t="inlineStr">
        <is>
          <t>MXPO</t>
        </is>
      </c>
      <c r="F351" t="inlineStr">
        <is>
          <t>MXL</t>
        </is>
      </c>
      <c r="G351" t="n">
        <v>900004324</v>
      </c>
      <c r="H351" t="inlineStr">
        <is>
          <t>TC-DOS CERROS</t>
        </is>
      </c>
      <c r="I351" t="n">
        <v>5036168</v>
      </c>
      <c r="J351" t="inlineStr">
        <is>
          <t>TRITURADOS DOS CERROS SA DE CV</t>
        </is>
      </c>
      <c r="K351" t="inlineStr">
        <is>
          <t>Z04</t>
        </is>
      </c>
      <c r="L351" t="inlineStr">
        <is>
          <t>(AP) 30 Dias</t>
        </is>
      </c>
      <c r="M351" t="n">
        <v>10155487</v>
      </c>
      <c r="N351" t="inlineStr">
        <is>
          <t>GRAVA BASALTO 8" CONTROLADO A FINOS</t>
        </is>
      </c>
      <c r="O351" t="inlineStr">
        <is>
          <t>DW70</t>
        </is>
      </c>
      <c r="P351" t="inlineStr">
        <is>
          <t>MX-CED. CENTRO</t>
        </is>
      </c>
      <c r="Q351" t="n">
        <v>20231130</v>
      </c>
      <c r="R351" t="n">
        <v>20281231</v>
      </c>
      <c r="S351" t="n">
        <v>20231130</v>
      </c>
      <c r="T351" t="n">
        <v>20281231</v>
      </c>
      <c r="U351" t="n">
        <v>262.5</v>
      </c>
      <c r="V351" t="inlineStr">
        <is>
          <t>MXN</t>
        </is>
      </c>
      <c r="W351" t="inlineStr">
        <is>
          <t>M3</t>
        </is>
      </c>
      <c r="X351" t="n">
        <v>0</v>
      </c>
      <c r="Y351" t="inlineStr">
        <is>
          <t>MXN</t>
        </is>
      </c>
      <c r="Z351" t="inlineStr">
        <is>
          <t>M3</t>
        </is>
      </c>
      <c r="AC351" t="n">
        <v>56103637</v>
      </c>
      <c r="AD351" t="n">
        <v>6644261540</v>
      </c>
      <c r="AE351" t="n">
        <v>1</v>
      </c>
      <c r="AF351" t="inlineStr">
        <is>
          <t>ENTREGADO</t>
        </is>
      </c>
      <c r="AG351" t="n">
        <v>1.53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20231201</v>
      </c>
      <c r="AM351" t="inlineStr">
        <is>
          <t>DW70-900004324-10155487</t>
        </is>
      </c>
    </row>
    <row r="352">
      <c r="A352" t="inlineStr">
        <is>
          <t>900001367DW70D11110165760</t>
        </is>
      </c>
      <c r="B352" t="inlineStr">
        <is>
          <t>4600050491-40</t>
        </is>
      </c>
      <c r="C352" t="n">
        <v>4600050491</v>
      </c>
      <c r="D352" t="n">
        <v>40</v>
      </c>
      <c r="E352" t="inlineStr">
        <is>
          <t>MXPO</t>
        </is>
      </c>
      <c r="F352" t="inlineStr">
        <is>
          <t>MXL</t>
        </is>
      </c>
      <c r="G352" t="n">
        <v>900001367</v>
      </c>
      <c r="H352" t="inlineStr">
        <is>
          <t>TC-ED-ROCA DURA</t>
        </is>
      </c>
      <c r="I352" t="n">
        <v>5032274</v>
      </c>
      <c r="J352" t="inlineStr">
        <is>
          <t>TRITURADORA ROCA DURA SAN MIGUEL</t>
        </is>
      </c>
      <c r="K352" t="inlineStr">
        <is>
          <t>Z03</t>
        </is>
      </c>
      <c r="L352" t="inlineStr">
        <is>
          <t>(AP) 15 Dias</t>
        </is>
      </c>
      <c r="M352" t="n">
        <v>10165760</v>
      </c>
      <c r="N352" t="inlineStr">
        <is>
          <t>BALASTO TRITURADO BASALTO 6" A FINOS</t>
        </is>
      </c>
      <c r="O352" t="inlineStr">
        <is>
          <t>DW70</t>
        </is>
      </c>
      <c r="P352" t="inlineStr">
        <is>
          <t>MX-CED. CENTRO</t>
        </is>
      </c>
      <c r="Q352" t="n">
        <v>20210712</v>
      </c>
      <c r="R352" t="n">
        <v>20261231</v>
      </c>
      <c r="S352" t="n">
        <v>20210712</v>
      </c>
      <c r="T352" t="n">
        <v>20261231</v>
      </c>
      <c r="U352" t="n">
        <v>250</v>
      </c>
      <c r="V352" t="inlineStr">
        <is>
          <t>MXN</t>
        </is>
      </c>
      <c r="W352" t="inlineStr">
        <is>
          <t>M3</t>
        </is>
      </c>
      <c r="X352" t="n">
        <v>180</v>
      </c>
      <c r="Y352" t="inlineStr">
        <is>
          <t>MXN</t>
        </is>
      </c>
      <c r="Z352" t="inlineStr">
        <is>
          <t>M3</t>
        </is>
      </c>
      <c r="AA352" t="inlineStr">
        <is>
          <t>D111</t>
        </is>
      </c>
      <c r="AB352" t="inlineStr">
        <is>
          <t>PD0317 TOLUCA LERMAS 2</t>
        </is>
      </c>
      <c r="AC352" t="n">
        <v>56103591</v>
      </c>
      <c r="AD352" t="n">
        <v>6644261540</v>
      </c>
      <c r="AE352" t="n">
        <v>4</v>
      </c>
      <c r="AF352" t="inlineStr">
        <is>
          <t>ENTREGA DIRECTA</t>
        </is>
      </c>
      <c r="AG352" t="n">
        <v>1.65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20260108</v>
      </c>
      <c r="AM352" t="inlineStr">
        <is>
          <t>DW70-900001367-D111-10165760-4</t>
        </is>
      </c>
    </row>
    <row r="353">
      <c r="A353" t="inlineStr">
        <is>
          <t>900001367DW70D11110165990</t>
        </is>
      </c>
      <c r="B353" t="inlineStr">
        <is>
          <t>4600050491-30</t>
        </is>
      </c>
      <c r="C353" t="n">
        <v>4600050491</v>
      </c>
      <c r="D353" t="n">
        <v>30</v>
      </c>
      <c r="E353" t="inlineStr">
        <is>
          <t>MXPO</t>
        </is>
      </c>
      <c r="F353" t="inlineStr">
        <is>
          <t>MXL</t>
        </is>
      </c>
      <c r="G353" t="n">
        <v>900001367</v>
      </c>
      <c r="H353" t="inlineStr">
        <is>
          <t>TC-ED-ROCA DURA</t>
        </is>
      </c>
      <c r="I353" t="n">
        <v>5032274</v>
      </c>
      <c r="J353" t="inlineStr">
        <is>
          <t>TRITURADORA ROCA DURA SAN MIGUEL</t>
        </is>
      </c>
      <c r="K353" t="inlineStr">
        <is>
          <t>Z03</t>
        </is>
      </c>
      <c r="L353" t="inlineStr">
        <is>
          <t>(AP) 15 Dias</t>
        </is>
      </c>
      <c r="M353" t="n">
        <v>10165990</v>
      </c>
      <c r="N353" t="inlineStr">
        <is>
          <t>DESPERDICIO TRITURADO CALIZA</t>
        </is>
      </c>
      <c r="O353" t="inlineStr">
        <is>
          <t>DW70</t>
        </is>
      </c>
      <c r="P353" t="inlineStr">
        <is>
          <t>MX-CED. CENTRO</t>
        </is>
      </c>
      <c r="Q353" t="n">
        <v>20210712</v>
      </c>
      <c r="R353" t="n">
        <v>20261231</v>
      </c>
      <c r="S353" t="n">
        <v>20210712</v>
      </c>
      <c r="T353" t="n">
        <v>20261231</v>
      </c>
      <c r="U353" t="n">
        <v>250</v>
      </c>
      <c r="V353" t="inlineStr">
        <is>
          <t>MXN</t>
        </is>
      </c>
      <c r="W353" t="inlineStr">
        <is>
          <t>M3</t>
        </is>
      </c>
      <c r="X353" t="n">
        <v>180</v>
      </c>
      <c r="Y353" t="inlineStr">
        <is>
          <t>MXN</t>
        </is>
      </c>
      <c r="Z353" t="inlineStr">
        <is>
          <t>M3</t>
        </is>
      </c>
      <c r="AA353" t="inlineStr">
        <is>
          <t>D111</t>
        </is>
      </c>
      <c r="AB353" t="inlineStr">
        <is>
          <t>PD0317 TOLUCA LERMAS 2</t>
        </is>
      </c>
      <c r="AC353" t="n">
        <v>56103695</v>
      </c>
      <c r="AD353" t="n">
        <v>6644261540</v>
      </c>
      <c r="AE353" t="n">
        <v>4</v>
      </c>
      <c r="AF353" t="inlineStr">
        <is>
          <t>ENTREGA DIRECTA</t>
        </is>
      </c>
      <c r="AG353" t="n">
        <v>1.1</v>
      </c>
      <c r="AH353" t="inlineStr">
        <is>
          <t>M3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20260108</v>
      </c>
      <c r="AM353" t="inlineStr">
        <is>
          <t>DW70-900001367-D111-10165990-4</t>
        </is>
      </c>
    </row>
    <row r="354">
      <c r="A354" t="inlineStr">
        <is>
          <t>900001367DW70D11110000811</t>
        </is>
      </c>
      <c r="B354" t="inlineStr">
        <is>
          <t>4600050491-10</t>
        </is>
      </c>
      <c r="C354" t="n">
        <v>4600050491</v>
      </c>
      <c r="D354" t="n">
        <v>10</v>
      </c>
      <c r="E354" t="inlineStr">
        <is>
          <t>MXPO</t>
        </is>
      </c>
      <c r="F354" t="inlineStr">
        <is>
          <t>MXL</t>
        </is>
      </c>
      <c r="G354" t="n">
        <v>900001367</v>
      </c>
      <c r="H354" t="inlineStr">
        <is>
          <t>TC-ED-ROCA DURA</t>
        </is>
      </c>
      <c r="I354" t="n">
        <v>5032274</v>
      </c>
      <c r="J354" t="inlineStr">
        <is>
          <t>TRITURADORA ROCA DURA SAN MIGUEL</t>
        </is>
      </c>
      <c r="K354" t="inlineStr">
        <is>
          <t>Z03</t>
        </is>
      </c>
      <c r="L354" t="inlineStr">
        <is>
          <t>(AP) 15 Dias</t>
        </is>
      </c>
      <c r="M354" t="n">
        <v>10000811</v>
      </c>
      <c r="N354" t="inlineStr">
        <is>
          <t>Grava Triturada Caliza 20 mm - 3/4"</t>
        </is>
      </c>
      <c r="O354" t="inlineStr">
        <is>
          <t>DW70</t>
        </is>
      </c>
      <c r="P354" t="inlineStr">
        <is>
          <t>MX-CED. CENTRO</t>
        </is>
      </c>
      <c r="Q354" t="n">
        <v>20210712</v>
      </c>
      <c r="R354" t="n">
        <v>20261231</v>
      </c>
      <c r="S354" t="n">
        <v>20210712</v>
      </c>
      <c r="T354" t="n">
        <v>20261231</v>
      </c>
      <c r="U354" t="n">
        <v>300</v>
      </c>
      <c r="V354" t="inlineStr">
        <is>
          <t>MXN</t>
        </is>
      </c>
      <c r="W354" t="inlineStr">
        <is>
          <t>M3</t>
        </is>
      </c>
      <c r="X354" t="n">
        <v>150</v>
      </c>
      <c r="Y354" t="inlineStr">
        <is>
          <t>MXN</t>
        </is>
      </c>
      <c r="Z354" t="inlineStr">
        <is>
          <t>M3</t>
        </is>
      </c>
      <c r="AA354" t="inlineStr">
        <is>
          <t>D111</t>
        </is>
      </c>
      <c r="AB354" t="inlineStr">
        <is>
          <t>PD0317 TOLUCA LERMAS 2</t>
        </is>
      </c>
      <c r="AC354" t="n">
        <v>56103637</v>
      </c>
      <c r="AD354" t="n">
        <v>6644261540</v>
      </c>
      <c r="AE354" t="n">
        <v>4</v>
      </c>
      <c r="AF354" t="inlineStr">
        <is>
          <t>ENTREGA DIRECTA</t>
        </is>
      </c>
      <c r="AG354" t="n">
        <v>1.447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20260108</v>
      </c>
      <c r="AM354" t="inlineStr">
        <is>
          <t>DW70-900001367-D111-10000811-4</t>
        </is>
      </c>
    </row>
    <row r="355">
      <c r="A355" t="inlineStr">
        <is>
          <t>900001810DW7010275116</t>
        </is>
      </c>
      <c r="B355" t="inlineStr">
        <is>
          <t>4600050493-70</t>
        </is>
      </c>
      <c r="C355" t="n">
        <v>4600050493</v>
      </c>
      <c r="D355" t="n">
        <v>70</v>
      </c>
      <c r="E355" t="inlineStr">
        <is>
          <t>MXPO</t>
        </is>
      </c>
      <c r="F355" t="inlineStr">
        <is>
          <t>MXL</t>
        </is>
      </c>
      <c r="G355" t="n">
        <v>900001810</v>
      </c>
      <c r="H355" t="inlineStr">
        <is>
          <t>TC-TRIVOMEX</t>
        </is>
      </c>
      <c r="I355" t="n">
        <v>5033501</v>
      </c>
      <c r="J355" t="inlineStr">
        <is>
          <t>TRITURADOS VOLCANICOS DE MEXICO</t>
        </is>
      </c>
      <c r="K355" t="inlineStr">
        <is>
          <t>Z04</t>
        </is>
      </c>
      <c r="L355" t="inlineStr">
        <is>
          <t>(AP) 30 Dias</t>
        </is>
      </c>
      <c r="M355" t="n">
        <v>10275116</v>
      </c>
      <c r="N355" t="inlineStr">
        <is>
          <t>MP GRAVA TRIT ANDESITA 3/4 - 20 MM</t>
        </is>
      </c>
      <c r="O355" t="inlineStr">
        <is>
          <t>DW70</t>
        </is>
      </c>
      <c r="P355" t="inlineStr">
        <is>
          <t>MX-CED. CENTRO</t>
        </is>
      </c>
      <c r="Q355" t="n">
        <v>20210712</v>
      </c>
      <c r="R355" t="n">
        <v>20291231</v>
      </c>
      <c r="S355" t="n">
        <v>20260317</v>
      </c>
      <c r="T355" t="n">
        <v>20301231</v>
      </c>
      <c r="U355" t="n">
        <v>137</v>
      </c>
      <c r="V355" t="inlineStr">
        <is>
          <t>MXN</t>
        </is>
      </c>
      <c r="W355" t="inlineStr">
        <is>
          <t>M3</t>
        </is>
      </c>
      <c r="X355" t="n">
        <v>0</v>
      </c>
      <c r="Y355" t="inlineStr">
        <is>
          <t>MXN</t>
        </is>
      </c>
      <c r="Z355" t="inlineStr">
        <is>
          <t>M3</t>
        </is>
      </c>
      <c r="AC355" t="n">
        <v>56103637</v>
      </c>
      <c r="AD355" t="n">
        <v>6644261540</v>
      </c>
      <c r="AE355" t="n">
        <v>1</v>
      </c>
      <c r="AF355" t="inlineStr">
        <is>
          <t>ENTREGADO</t>
        </is>
      </c>
      <c r="AG355" t="n">
        <v>1.401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20260319</v>
      </c>
      <c r="AM355" t="inlineStr">
        <is>
          <t>DW70-900001810-10275116</t>
        </is>
      </c>
    </row>
    <row r="356">
      <c r="A356" t="inlineStr">
        <is>
          <t>900000472DW70D08110000643</t>
        </is>
      </c>
      <c r="B356" t="inlineStr">
        <is>
          <t>4600050481-640</t>
        </is>
      </c>
      <c r="C356" t="n">
        <v>4600050481</v>
      </c>
      <c r="D356" t="n">
        <v>640</v>
      </c>
      <c r="E356" t="inlineStr">
        <is>
          <t>MXPO</t>
        </is>
      </c>
      <c r="F356" t="inlineStr">
        <is>
          <t>MXL</t>
        </is>
      </c>
      <c r="G356" t="n">
        <v>900000472</v>
      </c>
      <c r="H356" t="inlineStr">
        <is>
          <t>TC-ED-TRIMCAV</t>
        </is>
      </c>
      <c r="I356" t="n">
        <v>5010147</v>
      </c>
      <c r="J356" t="inlineStr">
        <is>
          <t>TRITURACIONES DE MARMOL Y CALCIOS</t>
        </is>
      </c>
      <c r="K356" t="inlineStr">
        <is>
          <t>Z04</t>
        </is>
      </c>
      <c r="L356" t="inlineStr">
        <is>
          <t>(AP) 30 Dias</t>
        </is>
      </c>
      <c r="M356" t="n">
        <v>10000643</v>
      </c>
      <c r="N356" t="inlineStr">
        <is>
          <t>Grava Triturada Marmol 20 mm - 3/4"</t>
        </is>
      </c>
      <c r="O356" t="inlineStr">
        <is>
          <t>DW70</t>
        </is>
      </c>
      <c r="P356" t="inlineStr">
        <is>
          <t>MX-CED. CENTRO</t>
        </is>
      </c>
      <c r="Q356" t="n">
        <v>20210712</v>
      </c>
      <c r="R356" t="n">
        <v>20291231</v>
      </c>
      <c r="S356" t="n">
        <v>20250301</v>
      </c>
      <c r="T356" t="n">
        <v>20301231</v>
      </c>
      <c r="U356" t="n">
        <v>1085.01</v>
      </c>
      <c r="V356" t="inlineStr">
        <is>
          <t>MXN</t>
        </is>
      </c>
      <c r="W356" t="inlineStr">
        <is>
          <t>TN</t>
        </is>
      </c>
      <c r="X356" t="n">
        <v>571.0700000000001</v>
      </c>
      <c r="Y356" t="inlineStr">
        <is>
          <t>MXN</t>
        </is>
      </c>
      <c r="Z356" t="inlineStr">
        <is>
          <t>TN</t>
        </is>
      </c>
      <c r="AA356" t="inlineStr">
        <is>
          <t>D081</t>
        </is>
      </c>
      <c r="AB356" t="inlineStr">
        <is>
          <t>PD0088 ARMAS</t>
        </is>
      </c>
      <c r="AC356" t="n">
        <v>56103637</v>
      </c>
      <c r="AD356" t="n">
        <v>6644261540</v>
      </c>
      <c r="AE356" t="n">
        <v>4</v>
      </c>
      <c r="AF356" t="inlineStr">
        <is>
          <t>ENTREGA DIRECTA</t>
        </is>
      </c>
      <c r="AG356" t="n">
        <v>1</v>
      </c>
      <c r="AH356" t="inlineStr">
        <is>
          <t>TO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20250408</v>
      </c>
      <c r="AM356" t="inlineStr">
        <is>
          <t>DW70-900000472-D081-10000643-4</t>
        </is>
      </c>
    </row>
    <row r="357">
      <c r="A357" t="inlineStr">
        <is>
          <t>900000472DW70D08110000655</t>
        </is>
      </c>
      <c r="B357" t="inlineStr">
        <is>
          <t>4600050481-230</t>
        </is>
      </c>
      <c r="C357" t="n">
        <v>4600050481</v>
      </c>
      <c r="D357" t="n">
        <v>230</v>
      </c>
      <c r="E357" t="inlineStr">
        <is>
          <t>MXPO</t>
        </is>
      </c>
      <c r="F357" t="inlineStr">
        <is>
          <t>MXL</t>
        </is>
      </c>
      <c r="G357" t="n">
        <v>900000472</v>
      </c>
      <c r="H357" t="inlineStr">
        <is>
          <t>TC-ED-TRIMCAV</t>
        </is>
      </c>
      <c r="I357" t="n">
        <v>5010147</v>
      </c>
      <c r="J357" t="inlineStr">
        <is>
          <t>TRITURACIONES DE MARMOL Y CALCIOS</t>
        </is>
      </c>
      <c r="K357" t="inlineStr">
        <is>
          <t>Z04</t>
        </is>
      </c>
      <c r="L357" t="inlineStr">
        <is>
          <t>(AP) 30 Dias</t>
        </is>
      </c>
      <c r="M357" t="n">
        <v>10000655</v>
      </c>
      <c r="N357" t="inlineStr">
        <is>
          <t>Grava Triturada Marmol 10 mm - 3/8"</t>
        </is>
      </c>
      <c r="O357" t="inlineStr">
        <is>
          <t>DW70</t>
        </is>
      </c>
      <c r="P357" t="inlineStr">
        <is>
          <t>MX-CED. CENTRO</t>
        </is>
      </c>
      <c r="Q357" t="n">
        <v>20210712</v>
      </c>
      <c r="R357" t="n">
        <v>20291231</v>
      </c>
      <c r="S357" t="n">
        <v>20250301</v>
      </c>
      <c r="T357" t="n">
        <v>20301231</v>
      </c>
      <c r="U357" t="n">
        <v>1085.01</v>
      </c>
      <c r="V357" t="inlineStr">
        <is>
          <t>MXN</t>
        </is>
      </c>
      <c r="W357" t="inlineStr">
        <is>
          <t>TN</t>
        </is>
      </c>
      <c r="X357" t="n">
        <v>571.0700000000001</v>
      </c>
      <c r="Y357" t="inlineStr">
        <is>
          <t>MXN</t>
        </is>
      </c>
      <c r="Z357" t="inlineStr">
        <is>
          <t>TN</t>
        </is>
      </c>
      <c r="AA357" t="inlineStr">
        <is>
          <t>D081</t>
        </is>
      </c>
      <c r="AB357" t="inlineStr">
        <is>
          <t>PD0088 ARMAS</t>
        </is>
      </c>
      <c r="AC357" t="n">
        <v>56103637</v>
      </c>
      <c r="AD357" t="n">
        <v>6644261540</v>
      </c>
      <c r="AE357" t="n">
        <v>4</v>
      </c>
      <c r="AF357" t="inlineStr">
        <is>
          <t>ENTREGA DIRECTA</t>
        </is>
      </c>
      <c r="AG357" t="n">
        <v>1</v>
      </c>
      <c r="AH357" t="inlineStr">
        <is>
          <t>TO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20250408</v>
      </c>
      <c r="AM357" t="inlineStr">
        <is>
          <t>DW70-900000472-D081-10000655-4</t>
        </is>
      </c>
    </row>
    <row r="358">
      <c r="A358" t="inlineStr">
        <is>
          <t>900005730DW70ENXF10146801</t>
        </is>
      </c>
      <c r="B358" t="inlineStr">
        <is>
          <t>4600068533-140</t>
        </is>
      </c>
      <c r="C358" t="n">
        <v>4600068533</v>
      </c>
      <c r="D358" t="n">
        <v>140</v>
      </c>
      <c r="E358" t="inlineStr">
        <is>
          <t>MXPO</t>
        </is>
      </c>
      <c r="F358" t="inlineStr">
        <is>
          <t>MXL</t>
        </is>
      </c>
      <c r="G358" t="n">
        <v>900005730</v>
      </c>
      <c r="H358" t="inlineStr">
        <is>
          <t>TC-ED OLIELL</t>
        </is>
      </c>
      <c r="I358" t="n">
        <v>5048484</v>
      </c>
      <c r="J358" t="inlineStr">
        <is>
          <t>COMERCIALIZADORA Y TRANSPORTADORA O</t>
        </is>
      </c>
      <c r="K358" t="inlineStr">
        <is>
          <t>N90</t>
        </is>
      </c>
      <c r="L358" t="inlineStr">
        <is>
          <t>(AP) NAFIN 90 Dias</t>
        </is>
      </c>
      <c r="M358" t="n">
        <v>10146801</v>
      </c>
      <c r="N358" t="inlineStr">
        <is>
          <t>GRAVA TRITURADA ANDESITA 20 MM - 3/4"</t>
        </is>
      </c>
      <c r="O358" t="inlineStr">
        <is>
          <t>DW70</t>
        </is>
      </c>
      <c r="P358" t="inlineStr">
        <is>
          <t>MX-CED. CENTRO</t>
        </is>
      </c>
      <c r="Q358" t="n">
        <v>20230925</v>
      </c>
      <c r="R358" t="n">
        <v>20281231</v>
      </c>
      <c r="S358" t="n">
        <v>20260319</v>
      </c>
      <c r="T358" t="n">
        <v>20301231</v>
      </c>
      <c r="U358" t="n">
        <v>373.51</v>
      </c>
      <c r="V358" t="inlineStr">
        <is>
          <t>MXN</t>
        </is>
      </c>
      <c r="W358" t="inlineStr">
        <is>
          <t>M3</t>
        </is>
      </c>
      <c r="X358" t="n">
        <v>178.2</v>
      </c>
      <c r="Y358" t="inlineStr">
        <is>
          <t>MXN</t>
        </is>
      </c>
      <c r="Z358" t="inlineStr">
        <is>
          <t>M3</t>
        </is>
      </c>
      <c r="AA358" t="inlineStr">
        <is>
          <t>ENXF</t>
        </is>
      </c>
      <c r="AB358" t="inlineStr">
        <is>
          <t>Complejo Deportivo (CENCIS) E3 / SE</t>
        </is>
      </c>
      <c r="AC358" t="n">
        <v>56103637</v>
      </c>
      <c r="AD358" t="n">
        <v>6644261540</v>
      </c>
      <c r="AE358" t="n">
        <v>4</v>
      </c>
      <c r="AF358" t="inlineStr">
        <is>
          <t>ENTREGA DIRECTA</t>
        </is>
      </c>
      <c r="AG358" t="n">
        <v>1.342</v>
      </c>
      <c r="AH358" t="inlineStr">
        <is>
          <t>M3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20260323</v>
      </c>
      <c r="AM358" t="inlineStr">
        <is>
          <t>DW70-900005730-ENXF-10146801-4</t>
        </is>
      </c>
    </row>
    <row r="359">
      <c r="A359" t="inlineStr">
        <is>
          <t>900005730DW70ENXF10000357</t>
        </is>
      </c>
      <c r="B359" t="inlineStr">
        <is>
          <t>4600068533-150</t>
        </is>
      </c>
      <c r="C359" t="n">
        <v>4600068533</v>
      </c>
      <c r="D359" t="n">
        <v>150</v>
      </c>
      <c r="E359" t="inlineStr">
        <is>
          <t>MXPO</t>
        </is>
      </c>
      <c r="F359" t="inlineStr">
        <is>
          <t>MXL</t>
        </is>
      </c>
      <c r="G359" t="n">
        <v>900005730</v>
      </c>
      <c r="H359" t="inlineStr">
        <is>
          <t>TC-ED OLIELL</t>
        </is>
      </c>
      <c r="I359" t="n">
        <v>5048484</v>
      </c>
      <c r="J359" t="inlineStr">
        <is>
          <t>COMERCIALIZADORA Y TRANSPORTADORA O</t>
        </is>
      </c>
      <c r="K359" t="inlineStr">
        <is>
          <t>N90</t>
        </is>
      </c>
      <c r="L359" t="inlineStr">
        <is>
          <t>(AP) NAFIN 90 Dias</t>
        </is>
      </c>
      <c r="M359" t="n">
        <v>10000357</v>
      </c>
      <c r="N359" t="inlineStr">
        <is>
          <t>Grava Triturada Andesita 20 mm - 3/4"</t>
        </is>
      </c>
      <c r="O359" t="inlineStr">
        <is>
          <t>DW70</t>
        </is>
      </c>
      <c r="P359" t="inlineStr">
        <is>
          <t>MX-CED. CENTRO</t>
        </is>
      </c>
      <c r="Q359" t="n">
        <v>20230925</v>
      </c>
      <c r="R359" t="n">
        <v>20281231</v>
      </c>
      <c r="S359" t="n">
        <v>20260319</v>
      </c>
      <c r="T359" t="n">
        <v>20301231</v>
      </c>
      <c r="U359" t="n">
        <v>678.86</v>
      </c>
      <c r="V359" t="inlineStr">
        <is>
          <t>MXN</t>
        </is>
      </c>
      <c r="W359" t="inlineStr">
        <is>
          <t>M3</t>
        </is>
      </c>
      <c r="X359" t="n">
        <v>500</v>
      </c>
      <c r="Y359" t="inlineStr">
        <is>
          <t>MXN</t>
        </is>
      </c>
      <c r="Z359" t="inlineStr">
        <is>
          <t>M3</t>
        </is>
      </c>
      <c r="AA359" t="inlineStr">
        <is>
          <t>ENXF</t>
        </is>
      </c>
      <c r="AB359" t="inlineStr">
        <is>
          <t>Complejo Deportivo (CENCIS) E3 / SE</t>
        </is>
      </c>
      <c r="AC359" t="n">
        <v>56103637</v>
      </c>
      <c r="AD359" t="n">
        <v>6644261540</v>
      </c>
      <c r="AE359" t="n">
        <v>4</v>
      </c>
      <c r="AF359" t="inlineStr">
        <is>
          <t>ENTREGA DIRECTA</t>
        </is>
      </c>
      <c r="AG359" t="n">
        <v>1.326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20260323</v>
      </c>
      <c r="AM359" t="inlineStr">
        <is>
          <t>DW70-900005730-ENXF-10000357-4</t>
        </is>
      </c>
    </row>
    <row r="360">
      <c r="A360" t="inlineStr">
        <is>
          <t>900001810DW7010275118</t>
        </is>
      </c>
      <c r="B360" t="inlineStr">
        <is>
          <t>4600050493-80</t>
        </is>
      </c>
      <c r="C360" t="n">
        <v>4600050493</v>
      </c>
      <c r="D360" t="n">
        <v>80</v>
      </c>
      <c r="E360" t="inlineStr">
        <is>
          <t>MXPO</t>
        </is>
      </c>
      <c r="F360" t="inlineStr">
        <is>
          <t>MXL</t>
        </is>
      </c>
      <c r="G360" t="n">
        <v>900001810</v>
      </c>
      <c r="H360" t="inlineStr">
        <is>
          <t>TC-TRIVOMEX</t>
        </is>
      </c>
      <c r="I360" t="n">
        <v>5033501</v>
      </c>
      <c r="J360" t="inlineStr">
        <is>
          <t>TRITURADOS VOLCANICOS DE MEXICO</t>
        </is>
      </c>
      <c r="K360" t="inlineStr">
        <is>
          <t>Z04</t>
        </is>
      </c>
      <c r="L360" t="inlineStr">
        <is>
          <t>(AP) 30 Dias</t>
        </is>
      </c>
      <c r="M360" t="n">
        <v>10275118</v>
      </c>
      <c r="N360" t="inlineStr">
        <is>
          <t>MP ARENA TRIT ANDESITA MALLA 4</t>
        </is>
      </c>
      <c r="O360" t="inlineStr">
        <is>
          <t>DW70</t>
        </is>
      </c>
      <c r="P360" t="inlineStr">
        <is>
          <t>MX-CED. CENTRO</t>
        </is>
      </c>
      <c r="Q360" t="n">
        <v>20210712</v>
      </c>
      <c r="R360" t="n">
        <v>20291231</v>
      </c>
      <c r="S360" t="n">
        <v>20260317</v>
      </c>
      <c r="T360" t="n">
        <v>20301231</v>
      </c>
      <c r="U360" t="n">
        <v>113</v>
      </c>
      <c r="V360" t="inlineStr">
        <is>
          <t>MXN</t>
        </is>
      </c>
      <c r="W360" t="inlineStr">
        <is>
          <t>M3</t>
        </is>
      </c>
      <c r="X360" t="n">
        <v>0</v>
      </c>
      <c r="Y360" t="inlineStr">
        <is>
          <t>MXN</t>
        </is>
      </c>
      <c r="Z360" t="inlineStr">
        <is>
          <t>M3</t>
        </is>
      </c>
      <c r="AC360" t="n">
        <v>56103638</v>
      </c>
      <c r="AD360" t="n">
        <v>6644261540</v>
      </c>
      <c r="AE360" t="n">
        <v>1</v>
      </c>
      <c r="AF360" t="inlineStr">
        <is>
          <t>ENTREGADO</t>
        </is>
      </c>
      <c r="AG360" t="n">
        <v>1.401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20260319</v>
      </c>
      <c r="AM360" t="inlineStr">
        <is>
          <t>DW70-900001810-10275118</t>
        </is>
      </c>
    </row>
    <row r="361">
      <c r="A361" t="inlineStr">
        <is>
          <t>900000472DW70D13610000655</t>
        </is>
      </c>
      <c r="B361" t="inlineStr">
        <is>
          <t>4600050481-330</t>
        </is>
      </c>
      <c r="C361" t="n">
        <v>4600050481</v>
      </c>
      <c r="D361" t="n">
        <v>330</v>
      </c>
      <c r="E361" t="inlineStr">
        <is>
          <t>MXPO</t>
        </is>
      </c>
      <c r="F361" t="inlineStr">
        <is>
          <t>MXL</t>
        </is>
      </c>
      <c r="G361" t="n">
        <v>900000472</v>
      </c>
      <c r="H361" t="inlineStr">
        <is>
          <t>TC-ED-TRIMCAV</t>
        </is>
      </c>
      <c r="I361" t="n">
        <v>5010147</v>
      </c>
      <c r="J361" t="inlineStr">
        <is>
          <t>TRITURACIONES DE MARMOL Y CALCIOS</t>
        </is>
      </c>
      <c r="K361" t="inlineStr">
        <is>
          <t>Z04</t>
        </is>
      </c>
      <c r="L361" t="inlineStr">
        <is>
          <t>(AP) 30 Dias</t>
        </is>
      </c>
      <c r="M361" t="n">
        <v>10000655</v>
      </c>
      <c r="N361" t="inlineStr">
        <is>
          <t>Grava Triturada Marmol 10 mm - 3/8"</t>
        </is>
      </c>
      <c r="O361" t="inlineStr">
        <is>
          <t>DW70</t>
        </is>
      </c>
      <c r="P361" t="inlineStr">
        <is>
          <t>MX-CED. CENTRO</t>
        </is>
      </c>
      <c r="Q361" t="n">
        <v>20210712</v>
      </c>
      <c r="R361" t="n">
        <v>20291231</v>
      </c>
      <c r="S361" t="n">
        <v>20250301</v>
      </c>
      <c r="T361" t="n">
        <v>20301231</v>
      </c>
      <c r="U361" t="n">
        <v>1085.01</v>
      </c>
      <c r="V361" t="inlineStr">
        <is>
          <t>MXN</t>
        </is>
      </c>
      <c r="W361" t="inlineStr">
        <is>
          <t>TN</t>
        </is>
      </c>
      <c r="X361" t="n">
        <v>571.0700000000001</v>
      </c>
      <c r="Y361" t="inlineStr">
        <is>
          <t>MXN</t>
        </is>
      </c>
      <c r="Z361" t="inlineStr">
        <is>
          <t>TN</t>
        </is>
      </c>
      <c r="AA361" t="inlineStr">
        <is>
          <t>D136</t>
        </is>
      </c>
      <c r="AB361" t="inlineStr">
        <is>
          <t>PD0237 LA ESTRELLA</t>
        </is>
      </c>
      <c r="AC361" t="n">
        <v>56103637</v>
      </c>
      <c r="AD361" t="n">
        <v>6644261540</v>
      </c>
      <c r="AE361" t="n">
        <v>4</v>
      </c>
      <c r="AF361" t="inlineStr">
        <is>
          <t>ENTREGA DIRECTA</t>
        </is>
      </c>
      <c r="AG361" t="n">
        <v>1</v>
      </c>
      <c r="AH361" t="inlineStr">
        <is>
          <t>TO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20250408</v>
      </c>
      <c r="AM361" t="inlineStr">
        <is>
          <t>DW70-900000472-D136-10000655-4</t>
        </is>
      </c>
    </row>
    <row r="362">
      <c r="A362" t="inlineStr">
        <is>
          <t>900000472DW70D08110000635</t>
        </is>
      </c>
      <c r="B362" t="inlineStr">
        <is>
          <t>4600050481-880</t>
        </is>
      </c>
      <c r="C362" t="n">
        <v>4600050481</v>
      </c>
      <c r="D362" t="n">
        <v>880</v>
      </c>
      <c r="E362" t="inlineStr">
        <is>
          <t>MXPO</t>
        </is>
      </c>
      <c r="F362" t="inlineStr">
        <is>
          <t>MXL</t>
        </is>
      </c>
      <c r="G362" t="n">
        <v>900000472</v>
      </c>
      <c r="H362" t="inlineStr">
        <is>
          <t>TC-ED-TRIMCAV</t>
        </is>
      </c>
      <c r="I362" t="n">
        <v>5010147</v>
      </c>
      <c r="J362" t="inlineStr">
        <is>
          <t>TRITURACIONES DE MARMOL Y CALCIOS</t>
        </is>
      </c>
      <c r="K362" t="inlineStr">
        <is>
          <t>Z04</t>
        </is>
      </c>
      <c r="L362" t="inlineStr">
        <is>
          <t>(AP) 30 Dias</t>
        </is>
      </c>
      <c r="M362" t="n">
        <v>10000635</v>
      </c>
      <c r="N362" t="inlineStr">
        <is>
          <t>Arena Triturada Marmol Malla 4</t>
        </is>
      </c>
      <c r="O362" t="inlineStr">
        <is>
          <t>DW70</t>
        </is>
      </c>
      <c r="P362" t="inlineStr">
        <is>
          <t>MX-CED. CENTRO</t>
        </is>
      </c>
      <c r="Q362" t="n">
        <v>20210712</v>
      </c>
      <c r="R362" t="n">
        <v>20291231</v>
      </c>
      <c r="S362" t="n">
        <v>20250301</v>
      </c>
      <c r="T362" t="n">
        <v>20301231</v>
      </c>
      <c r="U362" t="n">
        <v>1085.01</v>
      </c>
      <c r="V362" t="inlineStr">
        <is>
          <t>MXN</t>
        </is>
      </c>
      <c r="W362" t="inlineStr">
        <is>
          <t>TN</t>
        </is>
      </c>
      <c r="X362" t="n">
        <v>571.0700000000001</v>
      </c>
      <c r="Y362" t="inlineStr">
        <is>
          <t>MXN</t>
        </is>
      </c>
      <c r="Z362" t="inlineStr">
        <is>
          <t>TN</t>
        </is>
      </c>
      <c r="AA362" t="inlineStr">
        <is>
          <t>D081</t>
        </is>
      </c>
      <c r="AB362" t="inlineStr">
        <is>
          <t>PD0088 ARMAS</t>
        </is>
      </c>
      <c r="AC362" t="n">
        <v>56103638</v>
      </c>
      <c r="AD362" t="n">
        <v>6644261540</v>
      </c>
      <c r="AE362" t="n">
        <v>4</v>
      </c>
      <c r="AF362" t="inlineStr">
        <is>
          <t>ENTREGA DIRECTA</t>
        </is>
      </c>
      <c r="AG362" t="n">
        <v>1</v>
      </c>
      <c r="AH362" t="inlineStr">
        <is>
          <t>TO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20250408</v>
      </c>
      <c r="AM362" t="inlineStr">
        <is>
          <t>DW70-900000472-D081-10000635-4</t>
        </is>
      </c>
    </row>
    <row r="363">
      <c r="A363" t="inlineStr">
        <is>
          <t>900007605DW7010002802</t>
        </is>
      </c>
      <c r="B363" t="inlineStr">
        <is>
          <t>4600053970-10</t>
        </is>
      </c>
      <c r="C363" t="n">
        <v>4600053970</v>
      </c>
      <c r="D363" t="n">
        <v>10</v>
      </c>
      <c r="E363" t="inlineStr">
        <is>
          <t>MXPO</t>
        </is>
      </c>
      <c r="F363" t="inlineStr">
        <is>
          <t>MXL</t>
        </is>
      </c>
      <c r="G363" t="n">
        <v>900007605</v>
      </c>
      <c r="H363" t="inlineStr">
        <is>
          <t>SF TC-ARENA DE RIO INTERMEX</t>
        </is>
      </c>
      <c r="I363" t="n">
        <v>5082993</v>
      </c>
      <c r="J363" t="inlineStr">
        <is>
          <t>CAMINOS Y PUENTES INTERMEX SA DE CV</t>
        </is>
      </c>
      <c r="K363" t="inlineStr">
        <is>
          <t>N90</t>
        </is>
      </c>
      <c r="L363" t="inlineStr">
        <is>
          <t>(AP) NAFIN 90 Dias</t>
        </is>
      </c>
      <c r="M363" t="n">
        <v>10002802</v>
      </c>
      <c r="N363" t="inlineStr">
        <is>
          <t>Arena Clasificada Río Malla 4 Lavado</t>
        </is>
      </c>
      <c r="O363" t="inlineStr">
        <is>
          <t>DW70</t>
        </is>
      </c>
      <c r="P363" t="inlineStr">
        <is>
          <t>MX-CED. CENTRO</t>
        </is>
      </c>
      <c r="Q363" t="n">
        <v>20220518</v>
      </c>
      <c r="R363" t="n">
        <v>20271231</v>
      </c>
      <c r="U363" t="n">
        <v>0</v>
      </c>
      <c r="V363" t="inlineStr">
        <is>
          <t>MXN</t>
        </is>
      </c>
      <c r="W363" t="inlineStr">
        <is>
          <t>M3</t>
        </is>
      </c>
      <c r="AC363" t="n">
        <v>56103638</v>
      </c>
      <c r="AD363" t="n">
        <v>6644261540</v>
      </c>
      <c r="AE363" t="n">
        <v>1</v>
      </c>
      <c r="AF363" t="inlineStr">
        <is>
          <t>ENTREGADO</t>
        </is>
      </c>
      <c r="AG363" t="n">
        <v>1.463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20260319</v>
      </c>
      <c r="AM363" t="inlineStr">
        <is>
          <t>DW70-900007605-10002802</t>
        </is>
      </c>
    </row>
    <row r="364">
      <c r="A364" t="inlineStr">
        <is>
          <t>900001810DW7010000160</t>
        </is>
      </c>
      <c r="B364" t="inlineStr">
        <is>
          <t>4600050493-50</t>
        </is>
      </c>
      <c r="C364" t="n">
        <v>4600050493</v>
      </c>
      <c r="D364" t="n">
        <v>50</v>
      </c>
      <c r="E364" t="inlineStr">
        <is>
          <t>MXPO</t>
        </is>
      </c>
      <c r="F364" t="inlineStr">
        <is>
          <t>MXL</t>
        </is>
      </c>
      <c r="G364" t="n">
        <v>900001810</v>
      </c>
      <c r="H364" t="inlineStr">
        <is>
          <t>TC-TRIVOMEX</t>
        </is>
      </c>
      <c r="I364" t="n">
        <v>5033501</v>
      </c>
      <c r="J364" t="inlineStr">
        <is>
          <t>TRITURADOS VOLCANICOS DE MEXICO</t>
        </is>
      </c>
      <c r="K364" t="inlineStr">
        <is>
          <t>Z04</t>
        </is>
      </c>
      <c r="L364" t="inlineStr">
        <is>
          <t>(AP) 30 Dias</t>
        </is>
      </c>
      <c r="M364" t="n">
        <v>10000160</v>
      </c>
      <c r="N364" t="inlineStr">
        <is>
          <t>Arena Triturada Andesita Malla 4</t>
        </is>
      </c>
      <c r="O364" t="inlineStr">
        <is>
          <t>DW70</t>
        </is>
      </c>
      <c r="P364" t="inlineStr">
        <is>
          <t>MX-CED. CENTRO</t>
        </is>
      </c>
      <c r="Q364" t="n">
        <v>20210712</v>
      </c>
      <c r="R364" t="n">
        <v>20291231</v>
      </c>
      <c r="U364" t="n">
        <v>0</v>
      </c>
      <c r="V364" t="inlineStr">
        <is>
          <t>MXN</t>
        </is>
      </c>
      <c r="W364" t="inlineStr">
        <is>
          <t>M3</t>
        </is>
      </c>
      <c r="AC364" t="n">
        <v>56103638</v>
      </c>
      <c r="AD364" t="n">
        <v>6644261540</v>
      </c>
      <c r="AE364" t="n">
        <v>1</v>
      </c>
      <c r="AF364" t="inlineStr">
        <is>
          <t>ENTREGADO</t>
        </is>
      </c>
      <c r="AG364" t="n">
        <v>1.409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20260319</v>
      </c>
      <c r="AM364" t="inlineStr">
        <is>
          <t>DW70-900001810-10000160</t>
        </is>
      </c>
    </row>
    <row r="365">
      <c r="A365" t="inlineStr">
        <is>
          <t>900006544DW7010275113</t>
        </is>
      </c>
      <c r="B365" t="inlineStr">
        <is>
          <t>4600050562-40</t>
        </is>
      </c>
      <c r="C365" t="n">
        <v>4600050562</v>
      </c>
      <c r="D365" t="n">
        <v>40</v>
      </c>
      <c r="E365" t="inlineStr">
        <is>
          <t>MXPO</t>
        </is>
      </c>
      <c r="F365" t="inlineStr">
        <is>
          <t>MXL</t>
        </is>
      </c>
      <c r="G365" t="n">
        <v>900006544</v>
      </c>
      <c r="H365" t="inlineStr">
        <is>
          <t>TC-MARTINEZ VILLEGAS</t>
        </is>
      </c>
      <c r="I365" t="n">
        <v>5078107</v>
      </c>
      <c r="J365" t="inlineStr">
        <is>
          <t>MARTINEZ VILLEGAS SA DE CV</t>
        </is>
      </c>
      <c r="K365" t="inlineStr">
        <is>
          <t>Z04</t>
        </is>
      </c>
      <c r="L365" t="inlineStr">
        <is>
          <t>(AP) 30 Dias</t>
        </is>
      </c>
      <c r="M365" t="n">
        <v>10275113</v>
      </c>
      <c r="N365" t="inlineStr">
        <is>
          <t>MP ARENA TRIT ANDESITA MALLA 4</t>
        </is>
      </c>
      <c r="O365" t="inlineStr">
        <is>
          <t>DW70</t>
        </is>
      </c>
      <c r="P365" t="inlineStr">
        <is>
          <t>MX-CED. CENTRO</t>
        </is>
      </c>
      <c r="Q365" t="n">
        <v>20210712</v>
      </c>
      <c r="R365" t="n">
        <v>20261231</v>
      </c>
      <c r="S365" t="n">
        <v>20260310</v>
      </c>
      <c r="T365" t="n">
        <v>99991231</v>
      </c>
      <c r="U365" t="n">
        <v>150</v>
      </c>
      <c r="V365" t="inlineStr">
        <is>
          <t>MXN</t>
        </is>
      </c>
      <c r="W365" t="inlineStr">
        <is>
          <t>M3</t>
        </is>
      </c>
      <c r="AC365" t="n">
        <v>56103638</v>
      </c>
      <c r="AD365" t="n">
        <v>6644261540</v>
      </c>
      <c r="AE365" t="n">
        <v>1</v>
      </c>
      <c r="AF365" t="inlineStr">
        <is>
          <t>ENTREGADO</t>
        </is>
      </c>
      <c r="AG365" t="n">
        <v>1.409</v>
      </c>
      <c r="AH365" t="inlineStr">
        <is>
          <t>M3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20260310</v>
      </c>
      <c r="AM365" t="inlineStr">
        <is>
          <t>DW70-900006544-10275113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2026-09-14T14:22:38Z</dcterms:created>
  <dcterms:modified xsi:type="dcterms:W3CDTF">2026-09-14T14:22:42Z</dcterms:modified>
</cp:coreProperties>
</file>