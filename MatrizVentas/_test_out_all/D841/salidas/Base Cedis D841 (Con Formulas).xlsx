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900000123</v>
      </c>
      <c r="D3" s="7">
        <f>IFERROR(VLOOKUP(C3,TRAOPE!$G:$H,2,0),"")</f>
        <v/>
      </c>
      <c r="E3" s="8" t="inlineStr">
        <is>
          <t>D841</t>
        </is>
      </c>
      <c r="F3" s="8" t="inlineStr">
        <is>
          <t>67212269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10039802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20240401</t>
        </is>
      </c>
      <c r="M3" s="8" t="inlineStr">
        <is>
          <t>20240401</t>
        </is>
      </c>
      <c r="N3" s="10" t="n">
        <v>35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900000123</v>
      </c>
      <c r="D4" s="7">
        <f>IFERROR(VLOOKUP(C4,TRAOPE!$G:$H,2,0),"")</f>
        <v/>
      </c>
      <c r="E4" s="8" t="inlineStr">
        <is>
          <t>D841</t>
        </is>
      </c>
      <c r="F4" s="8" t="inlineStr">
        <is>
          <t>67126085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10217514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20150101</t>
        </is>
      </c>
      <c r="M4" s="8" t="inlineStr">
        <is>
          <t>20250615</t>
        </is>
      </c>
      <c r="N4" s="10" t="n">
        <v>130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900000123</v>
      </c>
      <c r="D5" s="7">
        <f>IFERROR(VLOOKUP(C5,TRAOPE!$G:$H,2,0),"")</f>
        <v/>
      </c>
      <c r="E5" s="8" t="inlineStr">
        <is>
          <t>D841</t>
        </is>
      </c>
      <c r="F5" s="8" t="inlineStr">
        <is>
          <t>67208155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10217514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20150101</t>
        </is>
      </c>
      <c r="M5" s="8" t="inlineStr">
        <is>
          <t>20250615</t>
        </is>
      </c>
      <c r="N5" s="10" t="n">
        <v>140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900000123</v>
      </c>
      <c r="D6" s="7">
        <f>IFERROR(VLOOKUP(C6,TRAOPE!$G:$H,2,0),"")</f>
        <v/>
      </c>
      <c r="E6" s="8" t="inlineStr">
        <is>
          <t>D841</t>
        </is>
      </c>
      <c r="F6" s="8" t="inlineStr">
        <is>
          <t>67212269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10217514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20150101</t>
        </is>
      </c>
      <c r="M6" s="8" t="inlineStr">
        <is>
          <t>20250615</t>
        </is>
      </c>
      <c r="N6" s="10" t="n">
        <v>130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900003614</v>
      </c>
      <c r="D7" s="7">
        <f>IFERROR(VLOOKUP(C7,TRAOPE!$G:$H,2,0),"")</f>
        <v/>
      </c>
      <c r="E7" s="8" t="inlineStr">
        <is>
          <t>D841</t>
        </is>
      </c>
      <c r="F7" s="8" t="inlineStr">
        <is>
          <t>67061443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10065029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20150101</t>
        </is>
      </c>
      <c r="M7" s="8" t="inlineStr">
        <is>
          <t>20250615</t>
        </is>
      </c>
      <c r="N7" s="10" t="n">
        <v>620.29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900006260</v>
      </c>
      <c r="D8" s="7">
        <f>IFERROR(VLOOKUP(C8,TRAOPE!$G:$H,2,0),"")</f>
        <v/>
      </c>
      <c r="E8" s="8" t="inlineStr">
        <is>
          <t>D841</t>
        </is>
      </c>
      <c r="F8" s="8" t="inlineStr">
        <is>
          <t>66800640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10000403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20150101</t>
        </is>
      </c>
      <c r="M8" s="8" t="inlineStr">
        <is>
          <t>20250615</t>
        </is>
      </c>
      <c r="N8" s="10" t="n">
        <v>132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900006260</v>
      </c>
      <c r="D9" s="7">
        <f>IFERROR(VLOOKUP(C9,TRAOPE!$G:$H,2,0),"")</f>
        <v/>
      </c>
      <c r="E9" s="8" t="inlineStr">
        <is>
          <t>D841</t>
        </is>
      </c>
      <c r="F9" s="8" t="inlineStr">
        <is>
          <t>66800640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10000405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20150101</t>
        </is>
      </c>
      <c r="M9" s="8" t="inlineStr">
        <is>
          <t>20250615</t>
        </is>
      </c>
      <c r="N9" s="10" t="n">
        <v>132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900006260</v>
      </c>
      <c r="D10" s="7">
        <f>IFERROR(VLOOKUP(C10,TRAOPE!$G:$H,2,0),"")</f>
        <v/>
      </c>
      <c r="E10" s="8" t="inlineStr">
        <is>
          <t>D841</t>
        </is>
      </c>
      <c r="F10" s="8" t="inlineStr">
        <is>
          <t>66800640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10058501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20150101</t>
        </is>
      </c>
      <c r="M10" s="8" t="inlineStr">
        <is>
          <t>20250615</t>
        </is>
      </c>
      <c r="N10" s="10" t="n">
        <v>122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900000123</v>
      </c>
      <c r="D11" s="7">
        <f>IFERROR(VLOOKUP(C11,TRAOPE!$G:$H,2,0),"")</f>
        <v/>
      </c>
      <c r="E11" s="8" t="inlineStr">
        <is>
          <t>D841</t>
        </is>
      </c>
      <c r="F11" s="8" t="inlineStr">
        <is>
          <t>67212269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10000760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20250505</t>
        </is>
      </c>
      <c r="M11" s="8" t="inlineStr">
        <is>
          <t>20260215</t>
        </is>
      </c>
      <c r="N11" s="10" t="n">
        <v>30.17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900000123</v>
      </c>
      <c r="D12" s="7">
        <f>IFERROR(VLOOKUP(C12,TRAOPE!$G:$H,2,0),"")</f>
        <v/>
      </c>
      <c r="E12" s="8" t="inlineStr">
        <is>
          <t>D841</t>
        </is>
      </c>
      <c r="F12" s="8" t="inlineStr">
        <is>
          <t>67229653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10217514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20250201</t>
        </is>
      </c>
      <c r="M12" s="8" t="inlineStr">
        <is>
          <t>20260215</t>
        </is>
      </c>
      <c r="N12" s="10" t="n">
        <v>135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900000123</v>
      </c>
      <c r="D13" s="7">
        <f>IFERROR(VLOOKUP(C13,TRAOPE!$G:$H,2,0),"")</f>
        <v/>
      </c>
      <c r="E13" s="8" t="inlineStr">
        <is>
          <t>D841</t>
        </is>
      </c>
      <c r="F13" s="8" t="inlineStr">
        <is>
          <t>67245970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10217514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20241115</t>
        </is>
      </c>
      <c r="M13" s="8" t="inlineStr">
        <is>
          <t>20260215</t>
        </is>
      </c>
      <c r="N13" s="10" t="n">
        <v>130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900000123</v>
      </c>
      <c r="D14" s="7">
        <f>IFERROR(VLOOKUP(C14,TRAOPE!$G:$H,2,0),"")</f>
        <v/>
      </c>
      <c r="E14" s="8" t="inlineStr">
        <is>
          <t>D841</t>
        </is>
      </c>
      <c r="F14" s="8" t="inlineStr">
        <is>
          <t>67279114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10217514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20241211</t>
        </is>
      </c>
      <c r="M14" s="8" t="inlineStr">
        <is>
          <t>20260215</t>
        </is>
      </c>
      <c r="N14" s="10" t="n">
        <v>135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900000123</v>
      </c>
      <c r="D15" s="7">
        <f>IFERROR(VLOOKUP(C15,TRAOPE!$G:$H,2,0),"")</f>
        <v/>
      </c>
      <c r="E15" s="8" t="inlineStr">
        <is>
          <t>D841</t>
        </is>
      </c>
      <c r="F15" s="8" t="inlineStr">
        <is>
          <t>67287837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10217514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20241115</t>
        </is>
      </c>
      <c r="M15" s="8" t="inlineStr">
        <is>
          <t>20260215</t>
        </is>
      </c>
      <c r="N15" s="10" t="n">
        <v>135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900000123</v>
      </c>
      <c r="D16" s="7">
        <f>IFERROR(VLOOKUP(C16,TRAOPE!$G:$H,2,0),"")</f>
        <v/>
      </c>
      <c r="E16" s="8" t="inlineStr">
        <is>
          <t>D841</t>
        </is>
      </c>
      <c r="F16" s="8" t="inlineStr">
        <is>
          <t>67289735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10217514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20241115</t>
        </is>
      </c>
      <c r="M16" s="8" t="inlineStr">
        <is>
          <t>20260215</t>
        </is>
      </c>
      <c r="N16" s="10" t="n">
        <v>135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900000123</v>
      </c>
      <c r="D17" s="7">
        <f>IFERROR(VLOOKUP(C17,TRAOPE!$G:$H,2,0),"")</f>
        <v/>
      </c>
      <c r="E17" s="8" t="inlineStr">
        <is>
          <t>D841</t>
        </is>
      </c>
      <c r="F17" s="8" t="inlineStr">
        <is>
          <t>67293805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10217514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20241209</t>
        </is>
      </c>
      <c r="M17" s="8" t="inlineStr">
        <is>
          <t>20260215</t>
        </is>
      </c>
      <c r="N17" s="10" t="n">
        <v>135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900000123</v>
      </c>
      <c r="D18" s="7">
        <f>IFERROR(VLOOKUP(C18,TRAOPE!$G:$H,2,0),"")</f>
        <v/>
      </c>
      <c r="E18" s="8" t="inlineStr">
        <is>
          <t>D841</t>
        </is>
      </c>
      <c r="F18" s="8" t="inlineStr">
        <is>
          <t>67304231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10217514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20250204</t>
        </is>
      </c>
      <c r="M18" s="8" t="inlineStr">
        <is>
          <t>20260215</t>
        </is>
      </c>
      <c r="N18" s="10" t="n">
        <v>150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900000123</v>
      </c>
      <c r="D19" s="7">
        <f>IFERROR(VLOOKUP(C19,TRAOPE!$G:$H,2,0),"")</f>
        <v/>
      </c>
      <c r="E19" s="8" t="inlineStr">
        <is>
          <t>D841</t>
        </is>
      </c>
      <c r="F19" s="8" t="inlineStr">
        <is>
          <t>67305567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10217514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20250219</t>
        </is>
      </c>
      <c r="M19" s="8" t="inlineStr">
        <is>
          <t>20260215</t>
        </is>
      </c>
      <c r="N19" s="10" t="n">
        <v>135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900000123</v>
      </c>
      <c r="D20" s="7">
        <f>IFERROR(VLOOKUP(C20,TRAOPE!$G:$H,2,0),"")</f>
        <v/>
      </c>
      <c r="E20" s="8" t="inlineStr">
        <is>
          <t>D841</t>
        </is>
      </c>
      <c r="F20" s="8" t="inlineStr">
        <is>
          <t>67317665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10217514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20250626</t>
        </is>
      </c>
      <c r="M20" s="8" t="inlineStr">
        <is>
          <t>20260215</t>
        </is>
      </c>
      <c r="N20" s="10" t="n">
        <v>130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900000123</v>
      </c>
      <c r="D21" s="7">
        <f>IFERROR(VLOOKUP(C21,TRAOPE!$G:$H,2,0),"")</f>
        <v/>
      </c>
      <c r="E21" s="8" t="inlineStr">
        <is>
          <t>D841</t>
        </is>
      </c>
      <c r="F21" s="8" t="inlineStr">
        <is>
          <t>67212269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10000760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20250505</t>
        </is>
      </c>
      <c r="M21" s="8" t="inlineStr">
        <is>
          <t>20250507</t>
        </is>
      </c>
      <c r="N21" s="10" t="n">
        <v>30.17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900000123</v>
      </c>
      <c r="D22" s="7">
        <f>IFERROR(VLOOKUP(C22,TRAOPE!$G:$H,2,0),"")</f>
        <v/>
      </c>
      <c r="E22" s="8" t="inlineStr">
        <is>
          <t>D841</t>
        </is>
      </c>
      <c r="F22" s="8" t="inlineStr">
        <is>
          <t>67212269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10039802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20240425</t>
        </is>
      </c>
      <c r="M22" s="8" t="inlineStr">
        <is>
          <t>20240814</t>
        </is>
      </c>
      <c r="N22" s="10" t="n">
        <v>35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900000123</v>
      </c>
      <c r="D23" s="7">
        <f>IFERROR(VLOOKUP(C23,TRAOPE!$G:$H,2,0),"")</f>
        <v/>
      </c>
      <c r="E23" s="8" t="inlineStr">
        <is>
          <t>D841</t>
        </is>
      </c>
      <c r="F23" s="8" t="inlineStr">
        <is>
          <t>67229653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10217514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20250505</t>
        </is>
      </c>
      <c r="M23" s="8" t="inlineStr">
        <is>
          <t>20250507</t>
        </is>
      </c>
      <c r="N23" s="10" t="n">
        <v>135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900000123</v>
      </c>
      <c r="D24" s="7">
        <f>IFERROR(VLOOKUP(C24,TRAOPE!$G:$H,2,0),"")</f>
        <v/>
      </c>
      <c r="E24" s="8" t="inlineStr">
        <is>
          <t>D841</t>
        </is>
      </c>
      <c r="F24" s="8" t="inlineStr">
        <is>
          <t>67245970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10217514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20250505</t>
        </is>
      </c>
      <c r="M24" s="8" t="inlineStr">
        <is>
          <t>20250507</t>
        </is>
      </c>
      <c r="N24" s="10" t="n">
        <v>130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900000123</v>
      </c>
      <c r="D25" s="7">
        <f>IFERROR(VLOOKUP(C25,TRAOPE!$G:$H,2,0),"")</f>
        <v/>
      </c>
      <c r="E25" s="8" t="inlineStr">
        <is>
          <t>D841</t>
        </is>
      </c>
      <c r="F25" s="8" t="inlineStr">
        <is>
          <t>67287837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10217514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20250505</t>
        </is>
      </c>
      <c r="M25" s="8" t="inlineStr">
        <is>
          <t>20250507</t>
        </is>
      </c>
      <c r="N25" s="10" t="n">
        <v>135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900000123</v>
      </c>
      <c r="D26" s="7">
        <f>IFERROR(VLOOKUP(C26,TRAOPE!$G:$H,2,0),"")</f>
        <v/>
      </c>
      <c r="E26" s="8" t="inlineStr">
        <is>
          <t>D841</t>
        </is>
      </c>
      <c r="F26" s="8" t="inlineStr">
        <is>
          <t>67289735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10217514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20250505</t>
        </is>
      </c>
      <c r="M26" s="8" t="inlineStr">
        <is>
          <t>20250507</t>
        </is>
      </c>
      <c r="N26" s="10" t="n">
        <v>135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900000123</v>
      </c>
      <c r="D27" s="7">
        <f>IFERROR(VLOOKUP(C27,TRAOPE!$G:$H,2,0),"")</f>
        <v/>
      </c>
      <c r="E27" s="8" t="inlineStr">
        <is>
          <t>D841</t>
        </is>
      </c>
      <c r="F27" s="8" t="inlineStr">
        <is>
          <t>67293805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10217514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20250505</t>
        </is>
      </c>
      <c r="M27" s="8" t="inlineStr">
        <is>
          <t>20250507</t>
        </is>
      </c>
      <c r="N27" s="10" t="n">
        <v>135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900000123</v>
      </c>
      <c r="D28" s="7">
        <f>IFERROR(VLOOKUP(C28,TRAOPE!$G:$H,2,0),"")</f>
        <v/>
      </c>
      <c r="E28" s="8" t="inlineStr">
        <is>
          <t>D841</t>
        </is>
      </c>
      <c r="F28" s="8" t="inlineStr">
        <is>
          <t>67305567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10217514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20250505</t>
        </is>
      </c>
      <c r="M28" s="8" t="inlineStr">
        <is>
          <t>20250507</t>
        </is>
      </c>
      <c r="N28" s="10" t="n">
        <v>135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900000123</v>
      </c>
      <c r="D29" s="7">
        <f>IFERROR(VLOOKUP(C29,TRAOPE!$G:$H,2,0),"")</f>
        <v/>
      </c>
      <c r="E29" s="8" t="inlineStr">
        <is>
          <t>D841</t>
        </is>
      </c>
      <c r="F29" s="8" t="inlineStr">
        <is>
          <t>67317665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10217514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20250528</t>
        </is>
      </c>
      <c r="M29" s="8" t="inlineStr">
        <is>
          <t>20250710</t>
        </is>
      </c>
      <c r="N29" s="10" t="n">
        <v>140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900000123</t>
        </is>
      </c>
      <c r="B2" t="inlineStr">
        <is>
          <t>D841</t>
        </is>
      </c>
      <c r="C2" t="inlineStr">
        <is>
          <t>67212269</t>
        </is>
      </c>
      <c r="D2" t="inlineStr">
        <is>
          <t>10039802</t>
        </is>
      </c>
      <c r="E2" t="inlineStr"/>
      <c r="F2" s="11" t="n">
        <v>35</v>
      </c>
      <c r="G2" t="inlineStr"/>
      <c r="I2" t="inlineStr">
        <is>
          <t>M3</t>
        </is>
      </c>
      <c r="J2" t="inlineStr"/>
      <c r="K2" t="inlineStr">
        <is>
          <t>20240401</t>
        </is>
      </c>
      <c r="L2" t="inlineStr">
        <is>
          <t>20240401</t>
        </is>
      </c>
    </row>
    <row r="3">
      <c r="A3" t="inlineStr">
        <is>
          <t>900000123</t>
        </is>
      </c>
      <c r="B3" t="inlineStr">
        <is>
          <t>D841</t>
        </is>
      </c>
      <c r="C3" t="inlineStr">
        <is>
          <t>67126085</t>
        </is>
      </c>
      <c r="D3" t="inlineStr">
        <is>
          <t>10217514</t>
        </is>
      </c>
      <c r="E3" t="inlineStr"/>
      <c r="F3" s="11" t="n">
        <v>130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900000123</t>
        </is>
      </c>
      <c r="B4" t="inlineStr">
        <is>
          <t>D841</t>
        </is>
      </c>
      <c r="C4" t="inlineStr">
        <is>
          <t>67208155</t>
        </is>
      </c>
      <c r="D4" t="inlineStr">
        <is>
          <t>10217514</t>
        </is>
      </c>
      <c r="E4" t="inlineStr"/>
      <c r="F4" s="11" t="n">
        <v>140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900000123</t>
        </is>
      </c>
      <c r="B5" t="inlineStr">
        <is>
          <t>D841</t>
        </is>
      </c>
      <c r="C5" t="inlineStr">
        <is>
          <t>67212269</t>
        </is>
      </c>
      <c r="D5" t="inlineStr">
        <is>
          <t>10217514</t>
        </is>
      </c>
      <c r="E5" t="inlineStr"/>
      <c r="F5" s="11" t="n">
        <v>130</v>
      </c>
      <c r="G5" t="inlineStr"/>
      <c r="I5" t="inlineStr">
        <is>
          <t>M3</t>
        </is>
      </c>
      <c r="J5" t="inlineStr"/>
      <c r="K5" t="inlineStr">
        <is>
          <t>20150101</t>
        </is>
      </c>
      <c r="L5" t="inlineStr">
        <is>
          <t>20250615</t>
        </is>
      </c>
    </row>
    <row r="6">
      <c r="A6" t="inlineStr">
        <is>
          <t>900003614</t>
        </is>
      </c>
      <c r="B6" t="inlineStr">
        <is>
          <t>D841</t>
        </is>
      </c>
      <c r="C6" t="inlineStr">
        <is>
          <t>67061443</t>
        </is>
      </c>
      <c r="D6" t="inlineStr">
        <is>
          <t>10065029</t>
        </is>
      </c>
      <c r="E6" t="inlineStr"/>
      <c r="F6" s="11" t="n">
        <v>620.29</v>
      </c>
      <c r="G6" t="inlineStr"/>
      <c r="I6" t="inlineStr">
        <is>
          <t>M3</t>
        </is>
      </c>
      <c r="J6" t="inlineStr"/>
      <c r="K6" t="inlineStr">
        <is>
          <t>20150101</t>
        </is>
      </c>
      <c r="L6" t="inlineStr">
        <is>
          <t>20250615</t>
        </is>
      </c>
    </row>
    <row r="7">
      <c r="A7" t="inlineStr">
        <is>
          <t>900006260</t>
        </is>
      </c>
      <c r="B7" t="inlineStr">
        <is>
          <t>D841</t>
        </is>
      </c>
      <c r="C7" t="inlineStr">
        <is>
          <t>66800640</t>
        </is>
      </c>
      <c r="D7" t="inlineStr">
        <is>
          <t>10000403</t>
        </is>
      </c>
      <c r="E7" t="inlineStr"/>
      <c r="F7" s="11" t="n">
        <v>132</v>
      </c>
      <c r="G7" t="inlineStr"/>
      <c r="I7" t="inlineStr">
        <is>
          <t>TN</t>
        </is>
      </c>
      <c r="J7" t="inlineStr"/>
      <c r="K7" t="inlineStr">
        <is>
          <t>20150101</t>
        </is>
      </c>
      <c r="L7" t="inlineStr">
        <is>
          <t>20250615</t>
        </is>
      </c>
    </row>
    <row r="8">
      <c r="A8" t="inlineStr">
        <is>
          <t>900006260</t>
        </is>
      </c>
      <c r="B8" t="inlineStr">
        <is>
          <t>D841</t>
        </is>
      </c>
      <c r="C8" t="inlineStr">
        <is>
          <t>66800640</t>
        </is>
      </c>
      <c r="D8" t="inlineStr">
        <is>
          <t>10000405</t>
        </is>
      </c>
      <c r="E8" t="inlineStr"/>
      <c r="F8" s="11" t="n">
        <v>132</v>
      </c>
      <c r="G8" t="inlineStr"/>
      <c r="I8" t="inlineStr">
        <is>
          <t>TN</t>
        </is>
      </c>
      <c r="J8" t="inlineStr"/>
      <c r="K8" t="inlineStr">
        <is>
          <t>20150101</t>
        </is>
      </c>
      <c r="L8" t="inlineStr">
        <is>
          <t>20250615</t>
        </is>
      </c>
    </row>
    <row r="9">
      <c r="A9" t="inlineStr">
        <is>
          <t>900006260</t>
        </is>
      </c>
      <c r="B9" t="inlineStr">
        <is>
          <t>D841</t>
        </is>
      </c>
      <c r="C9" t="inlineStr">
        <is>
          <t>66800640</t>
        </is>
      </c>
      <c r="D9" t="inlineStr">
        <is>
          <t>10058501</t>
        </is>
      </c>
      <c r="E9" t="inlineStr"/>
      <c r="F9" s="11" t="n">
        <v>122</v>
      </c>
      <c r="G9" t="inlineStr"/>
      <c r="I9" t="inlineStr">
        <is>
          <t>TN</t>
        </is>
      </c>
      <c r="J9" t="inlineStr"/>
      <c r="K9" t="inlineStr">
        <is>
          <t>20150101</t>
        </is>
      </c>
      <c r="L9" t="inlineStr">
        <is>
          <t>20250615</t>
        </is>
      </c>
    </row>
    <row r="10">
      <c r="A10" t="inlineStr">
        <is>
          <t>900000123</t>
        </is>
      </c>
      <c r="B10" t="inlineStr">
        <is>
          <t>D841</t>
        </is>
      </c>
      <c r="C10" t="inlineStr">
        <is>
          <t>67212269</t>
        </is>
      </c>
      <c r="D10" t="inlineStr">
        <is>
          <t>10000760</t>
        </is>
      </c>
      <c r="E10" t="inlineStr"/>
      <c r="F10" s="11" t="n">
        <v>30.17</v>
      </c>
      <c r="G10" t="inlineStr"/>
      <c r="I10" t="inlineStr">
        <is>
          <t>M3</t>
        </is>
      </c>
      <c r="J10" t="inlineStr"/>
      <c r="K10" t="inlineStr">
        <is>
          <t>20250505</t>
        </is>
      </c>
      <c r="L10" t="inlineStr">
        <is>
          <t>20260215</t>
        </is>
      </c>
    </row>
    <row r="11">
      <c r="A11" t="inlineStr">
        <is>
          <t>900000123</t>
        </is>
      </c>
      <c r="B11" t="inlineStr">
        <is>
          <t>D841</t>
        </is>
      </c>
      <c r="C11" t="inlineStr">
        <is>
          <t>67229653</t>
        </is>
      </c>
      <c r="D11" t="inlineStr">
        <is>
          <t>10217514</t>
        </is>
      </c>
      <c r="E11" t="inlineStr"/>
      <c r="F11" s="11" t="n">
        <v>135</v>
      </c>
      <c r="G11" t="inlineStr"/>
      <c r="I11" t="inlineStr">
        <is>
          <t>M3</t>
        </is>
      </c>
      <c r="J11" t="inlineStr"/>
      <c r="K11" t="inlineStr">
        <is>
          <t>20250201</t>
        </is>
      </c>
      <c r="L11" t="inlineStr">
        <is>
          <t>20260215</t>
        </is>
      </c>
    </row>
    <row r="12">
      <c r="A12" t="inlineStr">
        <is>
          <t>900000123</t>
        </is>
      </c>
      <c r="B12" t="inlineStr">
        <is>
          <t>D841</t>
        </is>
      </c>
      <c r="C12" t="inlineStr">
        <is>
          <t>67245970</t>
        </is>
      </c>
      <c r="D12" t="inlineStr">
        <is>
          <t>10217514</t>
        </is>
      </c>
      <c r="E12" t="inlineStr"/>
      <c r="F12" s="11" t="n">
        <v>130</v>
      </c>
      <c r="G12" t="inlineStr"/>
      <c r="I12" t="inlineStr">
        <is>
          <t>M3</t>
        </is>
      </c>
      <c r="J12" t="inlineStr"/>
      <c r="K12" t="inlineStr">
        <is>
          <t>20241115</t>
        </is>
      </c>
      <c r="L12" t="inlineStr">
        <is>
          <t>20260215</t>
        </is>
      </c>
    </row>
    <row r="13">
      <c r="A13" t="inlineStr">
        <is>
          <t>900000123</t>
        </is>
      </c>
      <c r="B13" t="inlineStr">
        <is>
          <t>D841</t>
        </is>
      </c>
      <c r="C13" t="inlineStr">
        <is>
          <t>67279114</t>
        </is>
      </c>
      <c r="D13" t="inlineStr">
        <is>
          <t>10217514</t>
        </is>
      </c>
      <c r="E13" t="inlineStr"/>
      <c r="F13" s="11" t="n">
        <v>135</v>
      </c>
      <c r="G13" t="inlineStr"/>
      <c r="I13" t="inlineStr">
        <is>
          <t>M3</t>
        </is>
      </c>
      <c r="J13" t="inlineStr"/>
      <c r="K13" t="inlineStr">
        <is>
          <t>20241211</t>
        </is>
      </c>
      <c r="L13" t="inlineStr">
        <is>
          <t>20260215</t>
        </is>
      </c>
    </row>
    <row r="14">
      <c r="A14" t="inlineStr">
        <is>
          <t>900000123</t>
        </is>
      </c>
      <c r="B14" t="inlineStr">
        <is>
          <t>D841</t>
        </is>
      </c>
      <c r="C14" t="inlineStr">
        <is>
          <t>67287837</t>
        </is>
      </c>
      <c r="D14" t="inlineStr">
        <is>
          <t>10217514</t>
        </is>
      </c>
      <c r="E14" t="inlineStr"/>
      <c r="F14" s="11" t="n">
        <v>135</v>
      </c>
      <c r="G14" t="inlineStr"/>
      <c r="I14" t="inlineStr">
        <is>
          <t>M3</t>
        </is>
      </c>
      <c r="J14" t="inlineStr"/>
      <c r="K14" t="inlineStr">
        <is>
          <t>20241115</t>
        </is>
      </c>
      <c r="L14" t="inlineStr">
        <is>
          <t>20260215</t>
        </is>
      </c>
    </row>
    <row r="15">
      <c r="A15" t="inlineStr">
        <is>
          <t>900000123</t>
        </is>
      </c>
      <c r="B15" t="inlineStr">
        <is>
          <t>D841</t>
        </is>
      </c>
      <c r="C15" t="inlineStr">
        <is>
          <t>67289735</t>
        </is>
      </c>
      <c r="D15" t="inlineStr">
        <is>
          <t>10217514</t>
        </is>
      </c>
      <c r="E15" t="inlineStr"/>
      <c r="F15" s="11" t="n">
        <v>135</v>
      </c>
      <c r="G15" t="inlineStr"/>
      <c r="I15" t="inlineStr">
        <is>
          <t>M3</t>
        </is>
      </c>
      <c r="J15" t="inlineStr"/>
      <c r="K15" t="inlineStr">
        <is>
          <t>20241115</t>
        </is>
      </c>
      <c r="L15" t="inlineStr">
        <is>
          <t>20260215</t>
        </is>
      </c>
    </row>
    <row r="16">
      <c r="A16" t="inlineStr">
        <is>
          <t>900000123</t>
        </is>
      </c>
      <c r="B16" t="inlineStr">
        <is>
          <t>D841</t>
        </is>
      </c>
      <c r="C16" t="inlineStr">
        <is>
          <t>67293805</t>
        </is>
      </c>
      <c r="D16" t="inlineStr">
        <is>
          <t>10217514</t>
        </is>
      </c>
      <c r="E16" t="inlineStr"/>
      <c r="F16" s="11" t="n">
        <v>135</v>
      </c>
      <c r="G16" t="inlineStr"/>
      <c r="I16" t="inlineStr">
        <is>
          <t>M3</t>
        </is>
      </c>
      <c r="J16" t="inlineStr"/>
      <c r="K16" t="inlineStr">
        <is>
          <t>20241209</t>
        </is>
      </c>
      <c r="L16" t="inlineStr">
        <is>
          <t>20260215</t>
        </is>
      </c>
    </row>
    <row r="17">
      <c r="A17" t="inlineStr">
        <is>
          <t>900000123</t>
        </is>
      </c>
      <c r="B17" t="inlineStr">
        <is>
          <t>D841</t>
        </is>
      </c>
      <c r="C17" t="inlineStr">
        <is>
          <t>67304231</t>
        </is>
      </c>
      <c r="D17" t="inlineStr">
        <is>
          <t>10217514</t>
        </is>
      </c>
      <c r="E17" t="inlineStr"/>
      <c r="F17" s="11" t="n">
        <v>150</v>
      </c>
      <c r="G17" t="inlineStr"/>
      <c r="I17" t="inlineStr">
        <is>
          <t>M3</t>
        </is>
      </c>
      <c r="J17" t="inlineStr"/>
      <c r="K17" t="inlineStr">
        <is>
          <t>20250204</t>
        </is>
      </c>
      <c r="L17" t="inlineStr">
        <is>
          <t>20260215</t>
        </is>
      </c>
    </row>
    <row r="18">
      <c r="A18" t="inlineStr">
        <is>
          <t>900000123</t>
        </is>
      </c>
      <c r="B18" t="inlineStr">
        <is>
          <t>D841</t>
        </is>
      </c>
      <c r="C18" t="inlineStr">
        <is>
          <t>67305567</t>
        </is>
      </c>
      <c r="D18" t="inlineStr">
        <is>
          <t>10217514</t>
        </is>
      </c>
      <c r="E18" t="inlineStr"/>
      <c r="F18" s="11" t="n">
        <v>135</v>
      </c>
      <c r="G18" t="inlineStr"/>
      <c r="I18" t="inlineStr">
        <is>
          <t>M3</t>
        </is>
      </c>
      <c r="J18" t="inlineStr"/>
      <c r="K18" t="inlineStr">
        <is>
          <t>20250219</t>
        </is>
      </c>
      <c r="L18" t="inlineStr">
        <is>
          <t>20260215</t>
        </is>
      </c>
    </row>
    <row r="19">
      <c r="A19" t="inlineStr">
        <is>
          <t>900000123</t>
        </is>
      </c>
      <c r="B19" t="inlineStr">
        <is>
          <t>D841</t>
        </is>
      </c>
      <c r="C19" t="inlineStr">
        <is>
          <t>67317665</t>
        </is>
      </c>
      <c r="D19" t="inlineStr">
        <is>
          <t>10217514</t>
        </is>
      </c>
      <c r="E19" t="inlineStr"/>
      <c r="F19" s="11" t="n">
        <v>130</v>
      </c>
      <c r="G19" t="inlineStr"/>
      <c r="I19" t="inlineStr">
        <is>
          <t>M3</t>
        </is>
      </c>
      <c r="J19" t="inlineStr"/>
      <c r="K19" t="inlineStr">
        <is>
          <t>20250626</t>
        </is>
      </c>
      <c r="L19" t="inlineStr">
        <is>
          <t>20260215</t>
        </is>
      </c>
    </row>
    <row r="20">
      <c r="A20" t="inlineStr">
        <is>
          <t>900000123</t>
        </is>
      </c>
      <c r="B20" t="inlineStr">
        <is>
          <t>D841</t>
        </is>
      </c>
      <c r="C20" t="inlineStr">
        <is>
          <t>67212269</t>
        </is>
      </c>
      <c r="D20" t="inlineStr">
        <is>
          <t>10000760</t>
        </is>
      </c>
      <c r="E20" t="inlineStr"/>
      <c r="F20" s="11" t="n">
        <v>30.17</v>
      </c>
      <c r="G20" t="inlineStr"/>
      <c r="I20" t="inlineStr">
        <is>
          <t>M3</t>
        </is>
      </c>
      <c r="J20" t="inlineStr"/>
      <c r="K20" t="inlineStr">
        <is>
          <t>20250505</t>
        </is>
      </c>
      <c r="L20" t="inlineStr">
        <is>
          <t>20250507</t>
        </is>
      </c>
    </row>
    <row r="21">
      <c r="A21" t="inlineStr">
        <is>
          <t>900000123</t>
        </is>
      </c>
      <c r="B21" t="inlineStr">
        <is>
          <t>D841</t>
        </is>
      </c>
      <c r="C21" t="inlineStr">
        <is>
          <t>67212269</t>
        </is>
      </c>
      <c r="D21" t="inlineStr">
        <is>
          <t>10039802</t>
        </is>
      </c>
      <c r="E21" t="inlineStr"/>
      <c r="F21" s="11" t="n">
        <v>35</v>
      </c>
      <c r="G21" t="inlineStr"/>
      <c r="I21" t="inlineStr">
        <is>
          <t>M3</t>
        </is>
      </c>
      <c r="J21" t="inlineStr"/>
      <c r="K21" t="inlineStr">
        <is>
          <t>20240425</t>
        </is>
      </c>
      <c r="L21" t="inlineStr">
        <is>
          <t>20240814</t>
        </is>
      </c>
    </row>
    <row r="22">
      <c r="A22" t="inlineStr">
        <is>
          <t>900000123</t>
        </is>
      </c>
      <c r="B22" t="inlineStr">
        <is>
          <t>D841</t>
        </is>
      </c>
      <c r="C22" t="inlineStr">
        <is>
          <t>67229653</t>
        </is>
      </c>
      <c r="D22" t="inlineStr">
        <is>
          <t>10217514</t>
        </is>
      </c>
      <c r="E22" t="inlineStr"/>
      <c r="F22" s="11" t="n">
        <v>135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900000123</t>
        </is>
      </c>
      <c r="B23" t="inlineStr">
        <is>
          <t>D841</t>
        </is>
      </c>
      <c r="C23" t="inlineStr">
        <is>
          <t>67245970</t>
        </is>
      </c>
      <c r="D23" t="inlineStr">
        <is>
          <t>10217514</t>
        </is>
      </c>
      <c r="E23" t="inlineStr"/>
      <c r="F23" s="11" t="n">
        <v>130</v>
      </c>
      <c r="G23" t="inlineStr"/>
      <c r="I23" t="inlineStr">
        <is>
          <t>M3</t>
        </is>
      </c>
      <c r="J23" t="inlineStr"/>
      <c r="K23" t="inlineStr">
        <is>
          <t>20250505</t>
        </is>
      </c>
      <c r="L23" t="inlineStr">
        <is>
          <t>20250507</t>
        </is>
      </c>
    </row>
    <row r="24">
      <c r="A24" t="inlineStr">
        <is>
          <t>900000123</t>
        </is>
      </c>
      <c r="B24" t="inlineStr">
        <is>
          <t>D841</t>
        </is>
      </c>
      <c r="C24" t="inlineStr">
        <is>
          <t>67287837</t>
        </is>
      </c>
      <c r="D24" t="inlineStr">
        <is>
          <t>10217514</t>
        </is>
      </c>
      <c r="E24" t="inlineStr"/>
      <c r="F24" s="11" t="n">
        <v>135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900000123</t>
        </is>
      </c>
      <c r="B25" t="inlineStr">
        <is>
          <t>D841</t>
        </is>
      </c>
      <c r="C25" t="inlineStr">
        <is>
          <t>67289735</t>
        </is>
      </c>
      <c r="D25" t="inlineStr">
        <is>
          <t>10217514</t>
        </is>
      </c>
      <c r="E25" t="inlineStr"/>
      <c r="F25" s="11" t="n">
        <v>135</v>
      </c>
      <c r="G25" t="inlineStr"/>
      <c r="I25" t="inlineStr">
        <is>
          <t>M3</t>
        </is>
      </c>
      <c r="J25" t="inlineStr"/>
      <c r="K25" t="inlineStr">
        <is>
          <t>20250505</t>
        </is>
      </c>
      <c r="L25" t="inlineStr">
        <is>
          <t>20250507</t>
        </is>
      </c>
    </row>
    <row r="26">
      <c r="A26" t="inlineStr">
        <is>
          <t>900000123</t>
        </is>
      </c>
      <c r="B26" t="inlineStr">
        <is>
          <t>D841</t>
        </is>
      </c>
      <c r="C26" t="inlineStr">
        <is>
          <t>67293805</t>
        </is>
      </c>
      <c r="D26" t="inlineStr">
        <is>
          <t>10217514</t>
        </is>
      </c>
      <c r="E26" t="inlineStr"/>
      <c r="F26" s="11" t="n">
        <v>135</v>
      </c>
      <c r="G26" t="inlineStr"/>
      <c r="I26" t="inlineStr">
        <is>
          <t>M3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900000123</t>
        </is>
      </c>
      <c r="B27" t="inlineStr">
        <is>
          <t>D841</t>
        </is>
      </c>
      <c r="C27" t="inlineStr">
        <is>
          <t>67305567</t>
        </is>
      </c>
      <c r="D27" t="inlineStr">
        <is>
          <t>10217514</t>
        </is>
      </c>
      <c r="E27" t="inlineStr"/>
      <c r="F27" s="11" t="n">
        <v>135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  <row r="28">
      <c r="A28" t="inlineStr">
        <is>
          <t>900000123</t>
        </is>
      </c>
      <c r="B28" t="inlineStr">
        <is>
          <t>D841</t>
        </is>
      </c>
      <c r="C28" t="inlineStr">
        <is>
          <t>67317665</t>
        </is>
      </c>
      <c r="D28" t="inlineStr">
        <is>
          <t>10217514</t>
        </is>
      </c>
      <c r="E28" t="inlineStr"/>
      <c r="F28" s="11" t="n">
        <v>140</v>
      </c>
      <c r="G28" t="inlineStr"/>
      <c r="I28" t="inlineStr">
        <is>
          <t>TN</t>
        </is>
      </c>
      <c r="J28" t="inlineStr"/>
      <c r="K28" t="inlineStr">
        <is>
          <t>20250528</t>
        </is>
      </c>
      <c r="L28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900006260D8416680064010000403</t>
        </is>
      </c>
      <c r="B2" t="inlineStr">
        <is>
          <t>900006260</t>
        </is>
      </c>
      <c r="C2" t="inlineStr">
        <is>
          <t>D841</t>
        </is>
      </c>
      <c r="D2" t="inlineStr">
        <is>
          <t>66800640</t>
        </is>
      </c>
      <c r="E2" t="inlineStr">
        <is>
          <t>4</t>
        </is>
      </c>
      <c r="F2" t="inlineStr">
        <is>
          <t>10000403</t>
        </is>
      </c>
      <c r="H2" t="inlineStr"/>
      <c r="J2" t="n">
        <v>80</v>
      </c>
      <c r="K2" t="inlineStr"/>
      <c r="M2" t="inlineStr">
        <is>
          <t>TN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900006260D8416680064010000405</t>
        </is>
      </c>
      <c r="B3" t="inlineStr">
        <is>
          <t>900006260</t>
        </is>
      </c>
      <c r="C3" t="inlineStr">
        <is>
          <t>D841</t>
        </is>
      </c>
      <c r="D3" t="inlineStr">
        <is>
          <t>66800640</t>
        </is>
      </c>
      <c r="E3" t="inlineStr">
        <is>
          <t>4</t>
        </is>
      </c>
      <c r="F3" t="inlineStr">
        <is>
          <t>10000405</t>
        </is>
      </c>
      <c r="H3" t="inlineStr"/>
      <c r="J3" t="n">
        <v>80</v>
      </c>
      <c r="K3" t="inlineStr"/>
      <c r="M3" t="inlineStr">
        <is>
          <t>TN</t>
        </is>
      </c>
      <c r="N3" t="inlineStr"/>
      <c r="P3" t="inlineStr">
        <is>
          <t>20220513</t>
        </is>
      </c>
      <c r="Q3" t="inlineStr">
        <is>
          <t>20250615</t>
        </is>
      </c>
    </row>
    <row r="4">
      <c r="A4" t="inlineStr">
        <is>
          <t>900006260D8416680064010058501</t>
        </is>
      </c>
      <c r="B4" t="inlineStr">
        <is>
          <t>900006260</t>
        </is>
      </c>
      <c r="C4" t="inlineStr">
        <is>
          <t>D841</t>
        </is>
      </c>
      <c r="D4" t="inlineStr">
        <is>
          <t>66800640</t>
        </is>
      </c>
      <c r="E4" t="inlineStr">
        <is>
          <t>4</t>
        </is>
      </c>
      <c r="F4" t="inlineStr">
        <is>
          <t>10058501</t>
        </is>
      </c>
      <c r="H4" t="inlineStr"/>
      <c r="J4" t="n">
        <v>80</v>
      </c>
      <c r="K4" t="inlineStr"/>
      <c r="M4" t="inlineStr">
        <is>
          <t>TN</t>
        </is>
      </c>
      <c r="N4" t="inlineStr"/>
      <c r="P4" t="inlineStr">
        <is>
          <t>20220513</t>
        </is>
      </c>
      <c r="Q4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900000123D84110217514</t>
        </is>
      </c>
      <c r="B2" t="inlineStr">
        <is>
          <t>4600068914-10</t>
        </is>
      </c>
      <c r="C2" t="n">
        <v>4600068914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900000123</v>
      </c>
      <c r="H2" t="inlineStr">
        <is>
          <t>SF TP-GIH REC VTA CRUZADA</t>
        </is>
      </c>
      <c r="I2" t="n">
        <v>5005072</v>
      </c>
      <c r="J2" t="inlineStr">
        <is>
          <t>GIH D/CERRALVO D/RESPONS LIMIT D/ C</t>
        </is>
      </c>
      <c r="K2" t="inlineStr">
        <is>
          <t>Z06</t>
        </is>
      </c>
      <c r="L2" t="inlineStr">
        <is>
          <t>(AP) 45 Dias</t>
        </is>
      </c>
      <c r="M2" t="n">
        <v>10217514</v>
      </c>
      <c r="N2" t="inlineStr">
        <is>
          <t>ECOBASE</t>
        </is>
      </c>
      <c r="O2" t="inlineStr">
        <is>
          <t>D841</t>
        </is>
      </c>
      <c r="P2" t="inlineStr">
        <is>
          <t>MX-CED. VICTORIA</t>
        </is>
      </c>
      <c r="Q2" t="n">
        <v>20231212</v>
      </c>
      <c r="R2" t="n">
        <v>20291231</v>
      </c>
      <c r="S2" t="n">
        <v>20231212</v>
      </c>
      <c r="T2" t="n">
        <v>20271231</v>
      </c>
      <c r="U2" t="n">
        <v>100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6622311540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20241104</v>
      </c>
      <c r="AM2" t="inlineStr">
        <is>
          <t>D841-900000123-10217514</t>
        </is>
      </c>
    </row>
    <row r="3">
      <c r="A3" t="inlineStr">
        <is>
          <t>900000123D84110000760</t>
        </is>
      </c>
      <c r="B3" t="inlineStr">
        <is>
          <t>4600068914-20</t>
        </is>
      </c>
      <c r="C3" t="n">
        <v>4600068914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900000123</v>
      </c>
      <c r="H3" t="inlineStr">
        <is>
          <t>SF TP-GIH REC VTA CRUZADA</t>
        </is>
      </c>
      <c r="I3" t="n">
        <v>5005072</v>
      </c>
      <c r="J3" t="inlineStr">
        <is>
          <t>GIH D/CERRALVO D/RESPONS LIMIT D/ C</t>
        </is>
      </c>
      <c r="K3" t="inlineStr">
        <is>
          <t>Z06</t>
        </is>
      </c>
      <c r="L3" t="inlineStr">
        <is>
          <t>(AP) 45 Dias</t>
        </is>
      </c>
      <c r="M3" t="n">
        <v>10000760</v>
      </c>
      <c r="N3" t="inlineStr">
        <is>
          <t>No Clasificado Triturado Caliza NA</t>
        </is>
      </c>
      <c r="O3" t="inlineStr">
        <is>
          <t>D841</t>
        </is>
      </c>
      <c r="P3" t="inlineStr">
        <is>
          <t>MX-CED. VICTORIA</t>
        </is>
      </c>
      <c r="Q3" t="n">
        <v>20231212</v>
      </c>
      <c r="R3" t="n">
        <v>20291231</v>
      </c>
      <c r="S3" t="n">
        <v>20240229</v>
      </c>
      <c r="T3" t="n">
        <v>20291231</v>
      </c>
      <c r="U3" t="n">
        <v>10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56103591</v>
      </c>
      <c r="AD3" t="n">
        <v>6622311540</v>
      </c>
      <c r="AE3" t="n">
        <v>2</v>
      </c>
      <c r="AF3" t="inlineStr">
        <is>
          <t>RECOGIDO</t>
        </is>
      </c>
      <c r="AG3" t="n">
        <v>1.5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20241104</v>
      </c>
      <c r="AM3" t="inlineStr">
        <is>
          <t>D841-900000123-10000760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2026-09-14T14:20:02Z</dcterms:created>
  <dcterms:modified xsi:type="dcterms:W3CDTF">2026-09-14T14:20:02Z</dcterms:modified>
</cp:coreProperties>
</file>