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65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900000540</t>
        </is>
      </c>
      <c r="B3" s="8" t="inlineStr"/>
      <c r="C3" s="7" t="inlineStr">
        <is>
          <t>D865</t>
        </is>
      </c>
      <c r="D3" s="7" t="inlineStr">
        <is>
          <t>65014664</t>
        </is>
      </c>
      <c r="E3" s="7" t="inlineStr">
        <is>
          <t>1</t>
        </is>
      </c>
      <c r="F3" s="8" t="inlineStr"/>
      <c r="G3" s="8" t="inlineStr">
        <is>
          <t>10000829</t>
        </is>
      </c>
      <c r="H3" s="8" t="inlineStr">
        <is>
          <t>Arena Triturada Basalto  Malla 5</t>
        </is>
      </c>
      <c r="I3" s="9" t="n">
        <v>1430</v>
      </c>
      <c r="J3" s="7" t="inlineStr">
        <is>
          <t>20190426</t>
        </is>
      </c>
      <c r="K3" s="7" t="inlineStr">
        <is>
          <t>20250127</t>
        </is>
      </c>
      <c r="L3" s="10" t="n">
        <v>51.84</v>
      </c>
      <c r="M3" s="10" t="n">
        <v>211.09</v>
      </c>
      <c r="N3" s="7" t="inlineStr">
        <is>
          <t>M3</t>
        </is>
      </c>
      <c r="O3" s="10" t="n"/>
      <c r="P3" s="7" t="inlineStr"/>
      <c r="Q3" s="10">
        <f>IF(AND(N3="TN",P3="TN"),L3+N(M3),IF(E3&amp;""="1",N(I3)*L3,(L3+N(M3))*N(I3)))</f>
        <v/>
      </c>
      <c r="R3" s="10">
        <f>O3-Q3</f>
        <v/>
      </c>
    </row>
    <row r="4">
      <c r="A4" s="7" t="inlineStr">
        <is>
          <t>900003877</t>
        </is>
      </c>
      <c r="B4" s="8" t="inlineStr">
        <is>
          <t>TP-MAT Y FORRAJES</t>
        </is>
      </c>
      <c r="C4" s="7" t="inlineStr">
        <is>
          <t>D865</t>
        </is>
      </c>
      <c r="D4" s="7" t="inlineStr">
        <is>
          <t>65944468</t>
        </is>
      </c>
      <c r="E4" s="7" t="inlineStr">
        <is>
          <t>1</t>
        </is>
      </c>
      <c r="F4" s="8" t="inlineStr"/>
      <c r="G4" s="8" t="inlineStr">
        <is>
          <t>10000360</t>
        </is>
      </c>
      <c r="H4" s="8" t="inlineStr">
        <is>
          <t>Base H Triturada Caliza 1 1/2" a Finos</t>
        </is>
      </c>
      <c r="I4" s="9" t="n">
        <v>1500</v>
      </c>
      <c r="J4" s="7" t="inlineStr">
        <is>
          <t>20190426</t>
        </is>
      </c>
      <c r="K4" s="7" t="inlineStr">
        <is>
          <t>20250127</t>
        </is>
      </c>
      <c r="L4" s="10" t="n">
        <v>153.7</v>
      </c>
      <c r="M4" s="10" t="n">
        <v>70</v>
      </c>
      <c r="N4" s="7" t="inlineStr">
        <is>
          <t>M3</t>
        </is>
      </c>
      <c r="O4" s="10" t="n"/>
      <c r="P4" s="7" t="inlineStr"/>
      <c r="Q4" s="10">
        <f>IF(AND(N4="TN",P4="TN"),L4+N(M4),IF(E4&amp;""="1",N(I4)*L4,(L4+N(M4))*N(I4)))</f>
        <v/>
      </c>
      <c r="R4" s="10">
        <f>O4-Q4</f>
        <v/>
      </c>
    </row>
    <row r="5">
      <c r="A5" s="7" t="inlineStr">
        <is>
          <t>900003877</t>
        </is>
      </c>
      <c r="B5" s="8" t="inlineStr">
        <is>
          <t>TP-MAT Y FORRAJES</t>
        </is>
      </c>
      <c r="C5" s="7" t="inlineStr">
        <is>
          <t>D865</t>
        </is>
      </c>
      <c r="D5" s="7" t="inlineStr">
        <is>
          <t>65944468</t>
        </is>
      </c>
      <c r="E5" s="7" t="inlineStr">
        <is>
          <t>1</t>
        </is>
      </c>
      <c r="F5" s="8" t="inlineStr"/>
      <c r="G5" s="8" t="inlineStr">
        <is>
          <t>10000632</t>
        </is>
      </c>
      <c r="H5" s="8" t="inlineStr">
        <is>
          <t>Grava Triturada Caliza 20 mm - 3/4"</t>
        </is>
      </c>
      <c r="I5" s="9" t="n">
        <v>1533</v>
      </c>
      <c r="J5" s="7" t="inlineStr">
        <is>
          <t>20190426</t>
        </is>
      </c>
      <c r="K5" s="7" t="inlineStr">
        <is>
          <t>20250127</t>
        </is>
      </c>
      <c r="L5" s="10" t="n">
        <v>163</v>
      </c>
      <c r="M5" s="10" t="n">
        <v>70</v>
      </c>
      <c r="N5" s="7" t="inlineStr">
        <is>
          <t>M3</t>
        </is>
      </c>
      <c r="O5" s="10" t="n">
        <v>290</v>
      </c>
      <c r="P5" s="7" t="inlineStr">
        <is>
          <t>M3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900003877</t>
        </is>
      </c>
      <c r="B6" s="8" t="inlineStr">
        <is>
          <t>TP-MAT Y FORRAJES</t>
        </is>
      </c>
      <c r="C6" s="7" t="inlineStr">
        <is>
          <t>D865</t>
        </is>
      </c>
      <c r="D6" s="7" t="inlineStr">
        <is>
          <t>65944468</t>
        </is>
      </c>
      <c r="E6" s="7" t="inlineStr"/>
      <c r="F6" s="8" t="inlineStr"/>
      <c r="G6" s="8" t="inlineStr">
        <is>
          <t>10000735</t>
        </is>
      </c>
      <c r="H6" s="8" t="inlineStr">
        <is>
          <t>Grava Triturada Caliza 10 mm - 3/8"</t>
        </is>
      </c>
      <c r="I6" s="9" t="n">
        <v>1410</v>
      </c>
      <c r="J6" s="7" t="inlineStr">
        <is>
          <t>20190426</t>
        </is>
      </c>
      <c r="K6" s="7" t="inlineStr">
        <is>
          <t>20250127</t>
        </is>
      </c>
      <c r="L6" s="10" t="n">
        <v>148.35</v>
      </c>
      <c r="M6" s="10" t="n"/>
      <c r="N6" s="7" t="inlineStr">
        <is>
          <t>M3</t>
        </is>
      </c>
      <c r="O6" s="10" t="n">
        <v>340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900003877</t>
        </is>
      </c>
      <c r="B7" s="8" t="inlineStr">
        <is>
          <t>TP-MAT Y FORRAJES</t>
        </is>
      </c>
      <c r="C7" s="7" t="inlineStr">
        <is>
          <t>D865</t>
        </is>
      </c>
      <c r="D7" s="7" t="inlineStr">
        <is>
          <t>65944468</t>
        </is>
      </c>
      <c r="E7" s="7" t="inlineStr">
        <is>
          <t>1</t>
        </is>
      </c>
      <c r="F7" s="8" t="inlineStr"/>
      <c r="G7" s="8" t="inlineStr">
        <is>
          <t>10047573</t>
        </is>
      </c>
      <c r="H7" s="8" t="inlineStr">
        <is>
          <t>Arena Triturada Caliza Malla 4</t>
        </is>
      </c>
      <c r="I7" s="9" t="n">
        <v>1607</v>
      </c>
      <c r="J7" s="7" t="inlineStr">
        <is>
          <t>20190426</t>
        </is>
      </c>
      <c r="K7" s="7" t="inlineStr">
        <is>
          <t>20250127</t>
        </is>
      </c>
      <c r="L7" s="10" t="n">
        <v>81</v>
      </c>
      <c r="M7" s="10" t="n">
        <v>70</v>
      </c>
      <c r="N7" s="7" t="inlineStr">
        <is>
          <t>M3</t>
        </is>
      </c>
      <c r="O7" s="10" t="n">
        <v>90</v>
      </c>
      <c r="P7" s="7" t="inlineStr">
        <is>
          <t>M3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900003877</t>
        </is>
      </c>
      <c r="B8" s="8" t="inlineStr">
        <is>
          <t>TP-MAT Y FORRAJES</t>
        </is>
      </c>
      <c r="C8" s="7" t="inlineStr">
        <is>
          <t>D865</t>
        </is>
      </c>
      <c r="D8" s="7" t="inlineStr">
        <is>
          <t>66542531</t>
        </is>
      </c>
      <c r="E8" s="7" t="inlineStr"/>
      <c r="F8" s="8" t="inlineStr"/>
      <c r="G8" s="8" t="inlineStr">
        <is>
          <t>10000829</t>
        </is>
      </c>
      <c r="H8" s="8" t="inlineStr">
        <is>
          <t>Arena Triturada Basalto  Malla 5</t>
        </is>
      </c>
      <c r="I8" s="9" t="n">
        <v>1430</v>
      </c>
      <c r="J8" s="7" t="inlineStr">
        <is>
          <t>20190426</t>
        </is>
      </c>
      <c r="K8" s="7" t="inlineStr">
        <is>
          <t>20250127</t>
        </is>
      </c>
      <c r="L8" s="10" t="n">
        <v>49</v>
      </c>
      <c r="M8" s="10" t="n"/>
      <c r="N8" s="7" t="inlineStr">
        <is>
          <t>M3</t>
        </is>
      </c>
      <c r="O8" s="10" t="n">
        <v>46.67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900003877</t>
        </is>
      </c>
      <c r="B9" s="8" t="inlineStr">
        <is>
          <t>TP-MAT Y FORRAJES</t>
        </is>
      </c>
      <c r="C9" s="7" t="inlineStr">
        <is>
          <t>D865</t>
        </is>
      </c>
      <c r="D9" s="7" t="inlineStr">
        <is>
          <t>66566504</t>
        </is>
      </c>
      <c r="E9" s="7" t="inlineStr"/>
      <c r="F9" s="8" t="inlineStr"/>
      <c r="G9" s="8" t="inlineStr">
        <is>
          <t>10000632</t>
        </is>
      </c>
      <c r="H9" s="8" t="inlineStr">
        <is>
          <t>Grava Triturada Caliza 20 mm - 3/4"</t>
        </is>
      </c>
      <c r="I9" s="9" t="n">
        <v>1533</v>
      </c>
      <c r="J9" s="7" t="inlineStr">
        <is>
          <t>20190426</t>
        </is>
      </c>
      <c r="K9" s="7" t="inlineStr">
        <is>
          <t>20250127</t>
        </is>
      </c>
      <c r="L9" s="10" t="n">
        <v>147</v>
      </c>
      <c r="M9" s="10" t="n"/>
      <c r="N9" s="7" t="inlineStr">
        <is>
          <t>M3</t>
        </is>
      </c>
      <c r="O9" s="10" t="n">
        <v>290</v>
      </c>
      <c r="P9" s="7" t="inlineStr">
        <is>
          <t>M3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900003877</t>
        </is>
      </c>
      <c r="B10" s="8" t="inlineStr">
        <is>
          <t>TP-MAT Y FORRAJES</t>
        </is>
      </c>
      <c r="C10" s="7" t="inlineStr">
        <is>
          <t>D865</t>
        </is>
      </c>
      <c r="D10" s="7" t="inlineStr">
        <is>
          <t>66604125</t>
        </is>
      </c>
      <c r="E10" s="7" t="inlineStr"/>
      <c r="F10" s="8" t="inlineStr"/>
      <c r="G10" s="8" t="inlineStr">
        <is>
          <t>10000829</t>
        </is>
      </c>
      <c r="H10" s="8" t="inlineStr">
        <is>
          <t>Arena Triturada Basalto  Malla 5</t>
        </is>
      </c>
      <c r="I10" s="9" t="n">
        <v>1430</v>
      </c>
      <c r="J10" s="7" t="inlineStr">
        <is>
          <t>20190426</t>
        </is>
      </c>
      <c r="K10" s="7" t="inlineStr">
        <is>
          <t>20250127</t>
        </is>
      </c>
      <c r="L10" s="10" t="n">
        <v>49</v>
      </c>
      <c r="M10" s="10" t="n"/>
      <c r="N10" s="7" t="inlineStr">
        <is>
          <t>M3</t>
        </is>
      </c>
      <c r="O10" s="10" t="n">
        <v>46.67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900003877</t>
        </is>
      </c>
      <c r="B11" s="8" t="inlineStr">
        <is>
          <t>TP-MAT Y FORRAJES</t>
        </is>
      </c>
      <c r="C11" s="7" t="inlineStr">
        <is>
          <t>D865</t>
        </is>
      </c>
      <c r="D11" s="7" t="inlineStr">
        <is>
          <t>67098138</t>
        </is>
      </c>
      <c r="E11" s="7" t="inlineStr"/>
      <c r="F11" s="8" t="inlineStr"/>
      <c r="G11" s="8" t="inlineStr">
        <is>
          <t>10000735</t>
        </is>
      </c>
      <c r="H11" s="8" t="inlineStr">
        <is>
          <t>Grava Triturada Caliza 10 mm - 3/8"</t>
        </is>
      </c>
      <c r="I11" s="9" t="n">
        <v>1410</v>
      </c>
      <c r="J11" s="7" t="inlineStr">
        <is>
          <t>20190426</t>
        </is>
      </c>
      <c r="K11" s="7" t="inlineStr">
        <is>
          <t>20250127</t>
        </is>
      </c>
      <c r="L11" s="10" t="n">
        <v>350</v>
      </c>
      <c r="M11" s="10" t="n"/>
      <c r="N11" s="7" t="inlineStr">
        <is>
          <t>M3</t>
        </is>
      </c>
      <c r="O11" s="10" t="n">
        <v>340</v>
      </c>
      <c r="P11" s="7" t="inlineStr">
        <is>
          <t>M3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900003877</t>
        </is>
      </c>
      <c r="B12" s="8" t="inlineStr">
        <is>
          <t>TP-MAT Y FORRAJES</t>
        </is>
      </c>
      <c r="C12" s="7" t="inlineStr">
        <is>
          <t>D865</t>
        </is>
      </c>
      <c r="D12" s="7" t="inlineStr">
        <is>
          <t>67098138</t>
        </is>
      </c>
      <c r="E12" s="7" t="inlineStr"/>
      <c r="F12" s="8" t="inlineStr"/>
      <c r="G12" s="8" t="inlineStr">
        <is>
          <t>10047573</t>
        </is>
      </c>
      <c r="H12" s="8" t="inlineStr">
        <is>
          <t>Arena Triturada Caliza Malla 4</t>
        </is>
      </c>
      <c r="I12" s="9" t="n">
        <v>1607</v>
      </c>
      <c r="J12" s="7" t="inlineStr">
        <is>
          <t>20190426</t>
        </is>
      </c>
      <c r="K12" s="7" t="inlineStr">
        <is>
          <t>20250127</t>
        </is>
      </c>
      <c r="L12" s="10" t="n">
        <v>100</v>
      </c>
      <c r="M12" s="10" t="n"/>
      <c r="N12" s="7" t="inlineStr">
        <is>
          <t>M3</t>
        </is>
      </c>
      <c r="O12" s="10" t="n">
        <v>90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900003877</t>
        </is>
      </c>
      <c r="B13" s="8" t="inlineStr">
        <is>
          <t>TP-MAT Y FORRAJES</t>
        </is>
      </c>
      <c r="C13" s="7" t="inlineStr">
        <is>
          <t>D865</t>
        </is>
      </c>
      <c r="D13" s="7" t="inlineStr">
        <is>
          <t>67159573</t>
        </is>
      </c>
      <c r="E13" s="7" t="inlineStr"/>
      <c r="F13" s="8" t="inlineStr"/>
      <c r="G13" s="8" t="inlineStr">
        <is>
          <t>10000632</t>
        </is>
      </c>
      <c r="H13" s="8" t="inlineStr">
        <is>
          <t>Grava Triturada Caliza 20 mm - 3/4"</t>
        </is>
      </c>
      <c r="I13" s="9" t="n">
        <v>1533</v>
      </c>
      <c r="J13" s="7" t="inlineStr">
        <is>
          <t>20190426</t>
        </is>
      </c>
      <c r="K13" s="7" t="inlineStr">
        <is>
          <t>20250127</t>
        </is>
      </c>
      <c r="L13" s="10" t="n">
        <v>291</v>
      </c>
      <c r="M13" s="10" t="n"/>
      <c r="N13" s="7" t="inlineStr">
        <is>
          <t>M3</t>
        </is>
      </c>
      <c r="O13" s="10" t="n">
        <v>290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900003877</t>
        </is>
      </c>
      <c r="B14" s="8" t="inlineStr">
        <is>
          <t>TP-MAT Y FORRAJES</t>
        </is>
      </c>
      <c r="C14" s="7" t="inlineStr">
        <is>
          <t>D865</t>
        </is>
      </c>
      <c r="D14" s="7" t="inlineStr">
        <is>
          <t>67159573</t>
        </is>
      </c>
      <c r="E14" s="7" t="inlineStr"/>
      <c r="F14" s="8" t="inlineStr"/>
      <c r="G14" s="8" t="inlineStr">
        <is>
          <t>10000735</t>
        </is>
      </c>
      <c r="H14" s="8" t="inlineStr">
        <is>
          <t>Grava Triturada Caliza 10 mm - 3/8"</t>
        </is>
      </c>
      <c r="I14" s="9" t="n">
        <v>1410</v>
      </c>
      <c r="J14" s="7" t="inlineStr">
        <is>
          <t>20190426</t>
        </is>
      </c>
      <c r="K14" s="7" t="inlineStr">
        <is>
          <t>20250127</t>
        </is>
      </c>
      <c r="L14" s="10" t="n">
        <v>341</v>
      </c>
      <c r="M14" s="10" t="n"/>
      <c r="N14" s="7" t="inlineStr">
        <is>
          <t>M3</t>
        </is>
      </c>
      <c r="O14" s="10" t="n">
        <v>340</v>
      </c>
      <c r="P14" s="7" t="inlineStr">
        <is>
          <t>M3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900003877</t>
        </is>
      </c>
      <c r="B15" s="8" t="inlineStr">
        <is>
          <t>TP-MAT Y FORRAJES</t>
        </is>
      </c>
      <c r="C15" s="7" t="inlineStr">
        <is>
          <t>D865</t>
        </is>
      </c>
      <c r="D15" s="7" t="inlineStr">
        <is>
          <t>67159573</t>
        </is>
      </c>
      <c r="E15" s="7" t="inlineStr"/>
      <c r="F15" s="8" t="inlineStr"/>
      <c r="G15" s="8" t="inlineStr">
        <is>
          <t>10047573</t>
        </is>
      </c>
      <c r="H15" s="8" t="inlineStr">
        <is>
          <t>Arena Triturada Caliza Malla 4</t>
        </is>
      </c>
      <c r="I15" s="9" t="n">
        <v>1607</v>
      </c>
      <c r="J15" s="7" t="inlineStr">
        <is>
          <t>20190426</t>
        </is>
      </c>
      <c r="K15" s="7" t="inlineStr">
        <is>
          <t>20250127</t>
        </is>
      </c>
      <c r="L15" s="10" t="n">
        <v>91</v>
      </c>
      <c r="M15" s="10" t="n"/>
      <c r="N15" s="7" t="inlineStr">
        <is>
          <t>M3</t>
        </is>
      </c>
      <c r="O15" s="10" t="n">
        <v>90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900003999</t>
        </is>
      </c>
      <c r="B16" s="8" t="inlineStr"/>
      <c r="C16" s="7" t="inlineStr">
        <is>
          <t>D865</t>
        </is>
      </c>
      <c r="D16" s="7" t="inlineStr">
        <is>
          <t>65944468</t>
        </is>
      </c>
      <c r="E16" s="7" t="inlineStr"/>
      <c r="F16" s="8" t="inlineStr"/>
      <c r="G16" s="8" t="inlineStr">
        <is>
          <t>10000394</t>
        </is>
      </c>
      <c r="H16" s="8" t="inlineStr">
        <is>
          <t>Arena Triturada Andesita Malla 4</t>
        </is>
      </c>
      <c r="I16" s="9" t="n">
        <v>1410</v>
      </c>
      <c r="J16" s="7" t="inlineStr">
        <is>
          <t>20190426</t>
        </is>
      </c>
      <c r="K16" s="7" t="inlineStr">
        <is>
          <t>20250127</t>
        </is>
      </c>
      <c r="L16" s="10" t="n">
        <v>145</v>
      </c>
      <c r="M16" s="10" t="n"/>
      <c r="N16" s="7" t="inlineStr">
        <is>
          <t>M3</t>
        </is>
      </c>
      <c r="O16" s="10" t="n"/>
      <c r="P16" s="7" t="inlineStr"/>
      <c r="Q16" s="10">
        <f>IF(AND(N16="TN",P16="TN"),L16+N(M16),IF(E16&amp;""="1",N(I16)*L16,(L16+N(M16))*N(I16)))</f>
        <v/>
      </c>
      <c r="R16" s="10">
        <f>O16-Q16</f>
        <v/>
      </c>
    </row>
    <row r="17">
      <c r="A17" s="7" t="inlineStr">
        <is>
          <t>900003999</t>
        </is>
      </c>
      <c r="B17" s="8" t="inlineStr"/>
      <c r="C17" s="7" t="inlineStr">
        <is>
          <t>D865</t>
        </is>
      </c>
      <c r="D17" s="7" t="inlineStr">
        <is>
          <t>65944468</t>
        </is>
      </c>
      <c r="E17" s="7" t="inlineStr"/>
      <c r="F17" s="8" t="inlineStr"/>
      <c r="G17" s="8" t="inlineStr">
        <is>
          <t>10000430</t>
        </is>
      </c>
      <c r="H17" s="8" t="inlineStr">
        <is>
          <t>Grava Triturada Caliza 20 mm - 3/4"</t>
        </is>
      </c>
      <c r="I17" s="9" t="n">
        <v>1500</v>
      </c>
      <c r="J17" s="7" t="inlineStr">
        <is>
          <t>20190426</t>
        </is>
      </c>
      <c r="K17" s="7" t="inlineStr">
        <is>
          <t>20250127</t>
        </is>
      </c>
      <c r="L17" s="10" t="n">
        <v>165</v>
      </c>
      <c r="M17" s="10" t="n"/>
      <c r="N17" s="7" t="inlineStr">
        <is>
          <t>M3</t>
        </is>
      </c>
      <c r="O17" s="10" t="n"/>
      <c r="P17" s="7" t="inlineStr"/>
      <c r="Q17" s="10">
        <f>IF(AND(N17="TN",P17="TN"),L17+N(M17),IF(E17&amp;""="1",N(I17)*L17,(L17+N(M17))*N(I17)))</f>
        <v/>
      </c>
      <c r="R17" s="10">
        <f>O17-Q17</f>
        <v/>
      </c>
    </row>
    <row r="18">
      <c r="A18" s="7" t="inlineStr">
        <is>
          <t>900003999</t>
        </is>
      </c>
      <c r="B18" s="8" t="inlineStr"/>
      <c r="C18" s="7" t="inlineStr">
        <is>
          <t>D865</t>
        </is>
      </c>
      <c r="D18" s="7" t="inlineStr">
        <is>
          <t>65944468</t>
        </is>
      </c>
      <c r="E18" s="7" t="inlineStr"/>
      <c r="F18" s="8" t="inlineStr"/>
      <c r="G18" s="8" t="inlineStr">
        <is>
          <t>10000632</t>
        </is>
      </c>
      <c r="H18" s="8" t="inlineStr">
        <is>
          <t>Grava Triturada Caliza 20 mm - 3/4"</t>
        </is>
      </c>
      <c r="I18" s="9" t="n">
        <v>1533</v>
      </c>
      <c r="J18" s="7" t="inlineStr">
        <is>
          <t>20190426</t>
        </is>
      </c>
      <c r="K18" s="7" t="inlineStr">
        <is>
          <t>20250127</t>
        </is>
      </c>
      <c r="L18" s="10" t="n">
        <v>143</v>
      </c>
      <c r="M18" s="10" t="n"/>
      <c r="N18" s="7" t="inlineStr">
        <is>
          <t>M3</t>
        </is>
      </c>
      <c r="O18" s="10" t="n"/>
      <c r="P18" s="7" t="inlineStr"/>
      <c r="Q18" s="10">
        <f>IF(AND(N18="TN",P18="TN"),L18+N(M18),IF(E18&amp;""="1",N(I18)*L18,(L18+N(M18))*N(I18)))</f>
        <v/>
      </c>
      <c r="R18" s="10">
        <f>O18-Q18</f>
        <v/>
      </c>
    </row>
    <row r="19">
      <c r="A19" s="7" t="inlineStr">
        <is>
          <t>900003999</t>
        </is>
      </c>
      <c r="B19" s="8" t="inlineStr"/>
      <c r="C19" s="7" t="inlineStr">
        <is>
          <t>D865</t>
        </is>
      </c>
      <c r="D19" s="7" t="inlineStr">
        <is>
          <t>65944468</t>
        </is>
      </c>
      <c r="E19" s="7" t="inlineStr"/>
      <c r="F19" s="8" t="inlineStr"/>
      <c r="G19" s="8" t="inlineStr">
        <is>
          <t>10000735</t>
        </is>
      </c>
      <c r="H19" s="8" t="inlineStr">
        <is>
          <t>Grava Triturada Caliza 10 mm - 3/8"</t>
        </is>
      </c>
      <c r="I19" s="9" t="n">
        <v>1410</v>
      </c>
      <c r="J19" s="7" t="inlineStr">
        <is>
          <t>20190426</t>
        </is>
      </c>
      <c r="K19" s="7" t="inlineStr">
        <is>
          <t>20250127</t>
        </is>
      </c>
      <c r="L19" s="10" t="n">
        <v>176</v>
      </c>
      <c r="M19" s="10" t="n"/>
      <c r="N19" s="7" t="inlineStr">
        <is>
          <t>M3</t>
        </is>
      </c>
      <c r="O19" s="10" t="n"/>
      <c r="P19" s="7" t="inlineStr"/>
      <c r="Q19" s="10">
        <f>IF(AND(N19="TN",P19="TN"),L19+N(M19),IF(E19&amp;""="1",N(I19)*L19,(L19+N(M19))*N(I19)))</f>
        <v/>
      </c>
      <c r="R19" s="10">
        <f>O19-Q19</f>
        <v/>
      </c>
    </row>
    <row r="20">
      <c r="A20" s="7" t="inlineStr">
        <is>
          <t>900004224</t>
        </is>
      </c>
      <c r="B20" s="8" t="inlineStr">
        <is>
          <t>TP-EL PAPAYO</t>
        </is>
      </c>
      <c r="C20" s="7" t="inlineStr">
        <is>
          <t>D865</t>
        </is>
      </c>
      <c r="D20" s="7" t="inlineStr">
        <is>
          <t>66189620</t>
        </is>
      </c>
      <c r="E20" s="7" t="inlineStr"/>
      <c r="F20" s="8" t="inlineStr"/>
      <c r="G20" s="8" t="inlineStr">
        <is>
          <t>10000229</t>
        </is>
      </c>
      <c r="H20" s="8" t="inlineStr">
        <is>
          <t>Grava Triturada Basalto  10 mm - 3/8"</t>
        </is>
      </c>
      <c r="I20" s="9" t="n">
        <v>1522</v>
      </c>
      <c r="J20" s="7" t="inlineStr">
        <is>
          <t>20190426</t>
        </is>
      </c>
      <c r="K20" s="7" t="inlineStr">
        <is>
          <t>20250127</t>
        </is>
      </c>
      <c r="L20" s="10" t="n">
        <v>200</v>
      </c>
      <c r="M20" s="10" t="n"/>
      <c r="N20" s="7" t="inlineStr">
        <is>
          <t>M3</t>
        </is>
      </c>
      <c r="O20" s="10" t="n">
        <v>220</v>
      </c>
      <c r="P20" s="7" t="inlineStr">
        <is>
          <t>M3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900004224</t>
        </is>
      </c>
      <c r="B21" s="8" t="inlineStr">
        <is>
          <t>TP-EL PAPAYO</t>
        </is>
      </c>
      <c r="C21" s="7" t="inlineStr">
        <is>
          <t>D865</t>
        </is>
      </c>
      <c r="D21" s="7" t="inlineStr">
        <is>
          <t>66189620</t>
        </is>
      </c>
      <c r="E21" s="7" t="inlineStr"/>
      <c r="F21" s="8" t="inlineStr"/>
      <c r="G21" s="8" t="inlineStr">
        <is>
          <t>10000284</t>
        </is>
      </c>
      <c r="H21" s="8" t="inlineStr">
        <is>
          <t>Grava Triturada Basalto  20 mm - 3/4"</t>
        </is>
      </c>
      <c r="I21" s="9" t="n">
        <v>1429</v>
      </c>
      <c r="J21" s="7" t="inlineStr">
        <is>
          <t>20190426</t>
        </is>
      </c>
      <c r="K21" s="7" t="inlineStr">
        <is>
          <t>20250127</t>
        </is>
      </c>
      <c r="L21" s="10" t="n">
        <v>165</v>
      </c>
      <c r="M21" s="10" t="n"/>
      <c r="N21" s="7" t="inlineStr">
        <is>
          <t>M3</t>
        </is>
      </c>
      <c r="O21" s="10" t="n">
        <v>180</v>
      </c>
      <c r="P21" s="7" t="inlineStr">
        <is>
          <t>M3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900004224</t>
        </is>
      </c>
      <c r="B22" s="8" t="inlineStr">
        <is>
          <t>TP-EL PAPAYO</t>
        </is>
      </c>
      <c r="C22" s="7" t="inlineStr">
        <is>
          <t>D865</t>
        </is>
      </c>
      <c r="D22" s="7" t="inlineStr">
        <is>
          <t>66569174</t>
        </is>
      </c>
      <c r="E22" s="7" t="inlineStr"/>
      <c r="F22" s="8" t="inlineStr">
        <is>
          <t>HOSPITAL GENERAL CUAUTLA (LAAJ)</t>
        </is>
      </c>
      <c r="G22" s="8" t="inlineStr">
        <is>
          <t>10000284</t>
        </is>
      </c>
      <c r="H22" s="8" t="inlineStr">
        <is>
          <t>Grava Triturada Basalto  20 mm - 3/4"</t>
        </is>
      </c>
      <c r="I22" s="9" t="n">
        <v>1429</v>
      </c>
      <c r="J22" s="7" t="inlineStr">
        <is>
          <t>20190426</t>
        </is>
      </c>
      <c r="K22" s="7" t="inlineStr">
        <is>
          <t>20250127</t>
        </is>
      </c>
      <c r="L22" s="10" t="n">
        <v>195.5</v>
      </c>
      <c r="M22" s="10" t="n"/>
      <c r="N22" s="7" t="inlineStr">
        <is>
          <t>M3</t>
        </is>
      </c>
      <c r="O22" s="10" t="n">
        <v>180</v>
      </c>
      <c r="P22" s="7" t="inlineStr">
        <is>
          <t>M3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900004240</t>
        </is>
      </c>
      <c r="B23" s="8" t="inlineStr">
        <is>
          <t>TP-ACAMILPA (SOTELO)</t>
        </is>
      </c>
      <c r="C23" s="7" t="inlineStr">
        <is>
          <t>D865</t>
        </is>
      </c>
      <c r="D23" s="7" t="inlineStr">
        <is>
          <t>66569174</t>
        </is>
      </c>
      <c r="E23" s="7" t="inlineStr"/>
      <c r="F23" s="8" t="inlineStr">
        <is>
          <t>HOSPITAL GENERAL CUAUTLA (LAAJ)</t>
        </is>
      </c>
      <c r="G23" s="8" t="inlineStr">
        <is>
          <t>10000394</t>
        </is>
      </c>
      <c r="H23" s="8" t="inlineStr">
        <is>
          <t>Arena Triturada Andesita Malla 4</t>
        </is>
      </c>
      <c r="I23" s="9" t="n">
        <v>1410</v>
      </c>
      <c r="J23" s="7" t="inlineStr">
        <is>
          <t>20190426</t>
        </is>
      </c>
      <c r="K23" s="7" t="inlineStr">
        <is>
          <t>20250127</t>
        </is>
      </c>
      <c r="L23" s="10" t="n">
        <v>60</v>
      </c>
      <c r="M23" s="10" t="n"/>
      <c r="N23" s="7" t="inlineStr">
        <is>
          <t>M3</t>
        </is>
      </c>
      <c r="O23" s="10" t="n">
        <v>65</v>
      </c>
      <c r="P23" s="7" t="inlineStr">
        <is>
          <t>M3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900004240</t>
        </is>
      </c>
      <c r="B24" s="8" t="inlineStr">
        <is>
          <t>TP-ACAMILPA (SOTELO)</t>
        </is>
      </c>
      <c r="C24" s="7" t="inlineStr">
        <is>
          <t>D865</t>
        </is>
      </c>
      <c r="D24" s="7" t="inlineStr">
        <is>
          <t>67160581</t>
        </is>
      </c>
      <c r="E24" s="7" t="inlineStr"/>
      <c r="F24" s="8" t="inlineStr"/>
      <c r="G24" s="8" t="inlineStr">
        <is>
          <t>10000394</t>
        </is>
      </c>
      <c r="H24" s="8" t="inlineStr">
        <is>
          <t>Arena Triturada Andesita Malla 4</t>
        </is>
      </c>
      <c r="I24" s="9" t="n">
        <v>1410</v>
      </c>
      <c r="J24" s="7" t="inlineStr">
        <is>
          <t>20190426</t>
        </is>
      </c>
      <c r="K24" s="7" t="inlineStr">
        <is>
          <t>20250127</t>
        </is>
      </c>
      <c r="L24" s="10" t="n">
        <v>70</v>
      </c>
      <c r="M24" s="10" t="n"/>
      <c r="N24" s="7" t="inlineStr">
        <is>
          <t>M3</t>
        </is>
      </c>
      <c r="O24" s="10" t="n">
        <v>65</v>
      </c>
      <c r="P24" s="7" t="inlineStr">
        <is>
          <t>M3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900004240</t>
        </is>
      </c>
      <c r="B25" s="8" t="inlineStr">
        <is>
          <t>TP-ACAMILPA (SOTELO)</t>
        </is>
      </c>
      <c r="C25" s="7" t="inlineStr">
        <is>
          <t>D865</t>
        </is>
      </c>
      <c r="D25" s="7" t="inlineStr">
        <is>
          <t>67161848</t>
        </is>
      </c>
      <c r="E25" s="7" t="inlineStr"/>
      <c r="F25" s="8" t="inlineStr"/>
      <c r="G25" s="8" t="inlineStr">
        <is>
          <t>10000394</t>
        </is>
      </c>
      <c r="H25" s="8" t="inlineStr">
        <is>
          <t>Arena Triturada Andesita Malla 4</t>
        </is>
      </c>
      <c r="I25" s="9" t="n">
        <v>1410</v>
      </c>
      <c r="J25" s="7" t="inlineStr">
        <is>
          <t>20190426</t>
        </is>
      </c>
      <c r="K25" s="7" t="inlineStr">
        <is>
          <t>20250127</t>
        </is>
      </c>
      <c r="L25" s="10" t="n">
        <v>70</v>
      </c>
      <c r="M25" s="10" t="n"/>
      <c r="N25" s="7" t="inlineStr">
        <is>
          <t>M3</t>
        </is>
      </c>
      <c r="O25" s="10" t="n">
        <v>65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900004447</t>
        </is>
      </c>
      <c r="B26" s="8" t="inlineStr">
        <is>
          <t>TP-CEKUR</t>
        </is>
      </c>
      <c r="C26" s="7" t="inlineStr">
        <is>
          <t>D865</t>
        </is>
      </c>
      <c r="D26" s="7" t="inlineStr">
        <is>
          <t>65014664</t>
        </is>
      </c>
      <c r="E26" s="7" t="inlineStr">
        <is>
          <t>1</t>
        </is>
      </c>
      <c r="F26" s="8" t="inlineStr"/>
      <c r="G26" s="8" t="inlineStr">
        <is>
          <t>10000160</t>
        </is>
      </c>
      <c r="H26" s="8" t="inlineStr">
        <is>
          <t>Arena Triturada Andesita Malla 4</t>
        </is>
      </c>
      <c r="I26" s="9" t="n">
        <v>1409</v>
      </c>
      <c r="J26" s="7" t="inlineStr">
        <is>
          <t>20190426</t>
        </is>
      </c>
      <c r="K26" s="7" t="inlineStr">
        <is>
          <t>20250127</t>
        </is>
      </c>
      <c r="L26" s="10" t="n">
        <v>44</v>
      </c>
      <c r="M26" s="10" t="n">
        <v>237.18</v>
      </c>
      <c r="N26" s="7" t="inlineStr">
        <is>
          <t>M3</t>
        </is>
      </c>
      <c r="O26" s="10" t="n"/>
      <c r="P26" s="7" t="inlineStr"/>
      <c r="Q26" s="10">
        <f>IF(AND(N26="TN",P26="TN"),L26+N(M26),IF(E26&amp;""="1",N(I26)*L26,(L26+N(M26))*N(I26)))</f>
        <v/>
      </c>
      <c r="R26" s="10">
        <f>O26-Q26</f>
        <v/>
      </c>
    </row>
    <row r="27">
      <c r="A27" s="7" t="inlineStr">
        <is>
          <t>900004447</t>
        </is>
      </c>
      <c r="B27" s="8" t="inlineStr">
        <is>
          <t>TP-CEKUR</t>
        </is>
      </c>
      <c r="C27" s="7" t="inlineStr">
        <is>
          <t>D865</t>
        </is>
      </c>
      <c r="D27" s="7" t="inlineStr">
        <is>
          <t>65014664</t>
        </is>
      </c>
      <c r="E27" s="7" t="inlineStr">
        <is>
          <t>1</t>
        </is>
      </c>
      <c r="F27" s="8" t="inlineStr"/>
      <c r="G27" s="8" t="inlineStr">
        <is>
          <t>10000829</t>
        </is>
      </c>
      <c r="H27" s="8" t="inlineStr">
        <is>
          <t>Arena Triturada Basalto  Malla 5</t>
        </is>
      </c>
      <c r="I27" s="9" t="n">
        <v>1430</v>
      </c>
      <c r="J27" s="7" t="inlineStr">
        <is>
          <t>20190426</t>
        </is>
      </c>
      <c r="K27" s="7" t="inlineStr">
        <is>
          <t>20250127</t>
        </is>
      </c>
      <c r="L27" s="10" t="n">
        <v>44</v>
      </c>
      <c r="M27" s="10" t="n">
        <v>237.18</v>
      </c>
      <c r="N27" s="7" t="inlineStr">
        <is>
          <t>M3</t>
        </is>
      </c>
      <c r="O27" s="10" t="n">
        <v>50.68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900004447</t>
        </is>
      </c>
      <c r="B28" s="8" t="inlineStr">
        <is>
          <t>TP-CEKUR</t>
        </is>
      </c>
      <c r="C28" s="7" t="inlineStr">
        <is>
          <t>D865</t>
        </is>
      </c>
      <c r="D28" s="7" t="inlineStr">
        <is>
          <t>65944468</t>
        </is>
      </c>
      <c r="E28" s="7" t="inlineStr"/>
      <c r="F28" s="8" t="inlineStr"/>
      <c r="G28" s="8" t="inlineStr">
        <is>
          <t>10000829</t>
        </is>
      </c>
      <c r="H28" s="8" t="inlineStr">
        <is>
          <t>Arena Triturada Basalto  Malla 5</t>
        </is>
      </c>
      <c r="I28" s="9" t="n">
        <v>1430</v>
      </c>
      <c r="J28" s="7" t="inlineStr">
        <is>
          <t>20190426</t>
        </is>
      </c>
      <c r="K28" s="7" t="inlineStr">
        <is>
          <t>20250127</t>
        </is>
      </c>
      <c r="L28" s="10" t="n">
        <v>51.5</v>
      </c>
      <c r="M28" s="10" t="n"/>
      <c r="N28" s="7" t="inlineStr">
        <is>
          <t>M3</t>
        </is>
      </c>
      <c r="O28" s="10" t="n">
        <v>50.68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900004447</t>
        </is>
      </c>
      <c r="B29" s="8" t="inlineStr">
        <is>
          <t>TP-CEKUR</t>
        </is>
      </c>
      <c r="C29" s="7" t="inlineStr">
        <is>
          <t>D865</t>
        </is>
      </c>
      <c r="D29" s="7" t="inlineStr">
        <is>
          <t>66416982</t>
        </is>
      </c>
      <c r="E29" s="7" t="inlineStr"/>
      <c r="F29" s="8" t="inlineStr"/>
      <c r="G29" s="8" t="inlineStr">
        <is>
          <t>10000829</t>
        </is>
      </c>
      <c r="H29" s="8" t="inlineStr">
        <is>
          <t>Arena Triturada Basalto  Malla 5</t>
        </is>
      </c>
      <c r="I29" s="9" t="n">
        <v>1430</v>
      </c>
      <c r="J29" s="7" t="inlineStr">
        <is>
          <t>20190426</t>
        </is>
      </c>
      <c r="K29" s="7" t="inlineStr">
        <is>
          <t>20250127</t>
        </is>
      </c>
      <c r="L29" s="10" t="n">
        <v>54</v>
      </c>
      <c r="M29" s="10" t="n"/>
      <c r="N29" s="7" t="inlineStr">
        <is>
          <t>M3</t>
        </is>
      </c>
      <c r="O29" s="10" t="n">
        <v>50.68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900004447</t>
        </is>
      </c>
      <c r="B30" s="8" t="inlineStr">
        <is>
          <t>TP-CEKUR</t>
        </is>
      </c>
      <c r="C30" s="7" t="inlineStr">
        <is>
          <t>D865</t>
        </is>
      </c>
      <c r="D30" s="7" t="inlineStr">
        <is>
          <t>66529377</t>
        </is>
      </c>
      <c r="E30" s="7" t="inlineStr"/>
      <c r="F30" s="8" t="inlineStr"/>
      <c r="G30" s="8" t="inlineStr">
        <is>
          <t>10000829</t>
        </is>
      </c>
      <c r="H30" s="8" t="inlineStr">
        <is>
          <t>Arena Triturada Basalto  Malla 5</t>
        </is>
      </c>
      <c r="I30" s="9" t="n">
        <v>1430</v>
      </c>
      <c r="J30" s="7" t="inlineStr">
        <is>
          <t>20190426</t>
        </is>
      </c>
      <c r="K30" s="7" t="inlineStr">
        <is>
          <t>20250127</t>
        </is>
      </c>
      <c r="L30" s="10" t="n">
        <v>55</v>
      </c>
      <c r="M30" s="10" t="n"/>
      <c r="N30" s="7" t="inlineStr">
        <is>
          <t>M3</t>
        </is>
      </c>
      <c r="O30" s="10" t="n">
        <v>50.68</v>
      </c>
      <c r="P30" s="7" t="inlineStr">
        <is>
          <t>M3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900005087</t>
        </is>
      </c>
      <c r="B31" s="8" t="inlineStr"/>
      <c r="C31" s="7" t="inlineStr">
        <is>
          <t>D865</t>
        </is>
      </c>
      <c r="D31" s="7" t="inlineStr">
        <is>
          <t>65944468</t>
        </is>
      </c>
      <c r="E31" s="7" t="inlineStr"/>
      <c r="F31" s="8" t="inlineStr"/>
      <c r="G31" s="8" t="inlineStr">
        <is>
          <t>10000632</t>
        </is>
      </c>
      <c r="H31" s="8" t="inlineStr">
        <is>
          <t>Grava Triturada Caliza 20 mm - 3/4"</t>
        </is>
      </c>
      <c r="I31" s="9" t="n">
        <v>1533</v>
      </c>
      <c r="J31" s="7" t="inlineStr">
        <is>
          <t>20190426</t>
        </is>
      </c>
      <c r="K31" s="7" t="inlineStr">
        <is>
          <t>20250127</t>
        </is>
      </c>
      <c r="L31" s="10" t="n">
        <v>110</v>
      </c>
      <c r="M31" s="10" t="n"/>
      <c r="N31" s="7" t="inlineStr">
        <is>
          <t>M3</t>
        </is>
      </c>
      <c r="O31" s="10" t="n"/>
      <c r="P31" s="7" t="inlineStr"/>
      <c r="Q31" s="10">
        <f>IF(AND(N31="TN",P31="TN"),L31+N(M31),IF(E31&amp;""="1",N(I31)*L31,(L31+N(M31))*N(I31)))</f>
        <v/>
      </c>
      <c r="R31" s="10">
        <f>O31-Q31</f>
        <v/>
      </c>
    </row>
    <row r="32">
      <c r="A32" s="7" t="inlineStr">
        <is>
          <t>900005087</t>
        </is>
      </c>
      <c r="B32" s="8" t="inlineStr"/>
      <c r="C32" s="7" t="inlineStr">
        <is>
          <t>D865</t>
        </is>
      </c>
      <c r="D32" s="7" t="inlineStr">
        <is>
          <t>65944468</t>
        </is>
      </c>
      <c r="E32" s="7" t="inlineStr"/>
      <c r="F32" s="8" t="inlineStr"/>
      <c r="G32" s="8" t="inlineStr">
        <is>
          <t>10139788</t>
        </is>
      </c>
      <c r="H32" s="8" t="inlineStr">
        <is>
          <t>GRAVA TRITURADA ANDESITA 10MM</t>
        </is>
      </c>
      <c r="I32" s="9" t="n">
        <v>1303</v>
      </c>
      <c r="J32" s="7" t="inlineStr">
        <is>
          <t>20190426</t>
        </is>
      </c>
      <c r="K32" s="7" t="inlineStr">
        <is>
          <t>20250127</t>
        </is>
      </c>
      <c r="L32" s="10" t="n">
        <v>110</v>
      </c>
      <c r="M32" s="10" t="n"/>
      <c r="N32" s="7" t="inlineStr">
        <is>
          <t>M3</t>
        </is>
      </c>
      <c r="O32" s="10" t="n"/>
      <c r="P32" s="7" t="inlineStr"/>
      <c r="Q32" s="10">
        <f>IF(AND(N32="TN",P32="TN"),L32+N(M32),IF(E32&amp;""="1",N(I32)*L32,(L32+N(M32))*N(I32)))</f>
        <v/>
      </c>
      <c r="R32" s="10">
        <f>O32-Q32</f>
        <v/>
      </c>
    </row>
    <row r="33">
      <c r="A33" s="7" t="inlineStr">
        <is>
          <t>900005087</t>
        </is>
      </c>
      <c r="B33" s="8" t="inlineStr"/>
      <c r="C33" s="7" t="inlineStr">
        <is>
          <t>D865</t>
        </is>
      </c>
      <c r="D33" s="7" t="inlineStr">
        <is>
          <t>65944468</t>
        </is>
      </c>
      <c r="E33" s="7" t="inlineStr"/>
      <c r="F33" s="8" t="inlineStr"/>
      <c r="G33" s="8" t="inlineStr">
        <is>
          <t>10140399</t>
        </is>
      </c>
      <c r="H33" s="8" t="inlineStr">
        <is>
          <t>ARENA ANDESITA MALLA 4</t>
        </is>
      </c>
      <c r="I33" s="9" t="n">
        <v>1554</v>
      </c>
      <c r="J33" s="7" t="inlineStr">
        <is>
          <t>20190426</t>
        </is>
      </c>
      <c r="K33" s="7" t="inlineStr">
        <is>
          <t>20250127</t>
        </is>
      </c>
      <c r="L33" s="10" t="n">
        <v>88</v>
      </c>
      <c r="M33" s="10" t="n"/>
      <c r="N33" s="7" t="inlineStr">
        <is>
          <t>M3</t>
        </is>
      </c>
      <c r="O33" s="10" t="n"/>
      <c r="P33" s="7" t="inlineStr"/>
      <c r="Q33" s="10">
        <f>IF(AND(N33="TN",P33="TN"),L33+N(M33),IF(E33&amp;""="1",N(I33)*L33,(L33+N(M33))*N(I33)))</f>
        <v/>
      </c>
      <c r="R33" s="10">
        <f>O33-Q33</f>
        <v/>
      </c>
    </row>
    <row r="34">
      <c r="A34" s="7" t="inlineStr">
        <is>
          <t>900005655</t>
        </is>
      </c>
      <c r="B34" s="8" t="inlineStr">
        <is>
          <t>TP-TISCAREÑO</t>
        </is>
      </c>
      <c r="C34" s="7" t="inlineStr">
        <is>
          <t>D865</t>
        </is>
      </c>
      <c r="D34" s="7" t="inlineStr">
        <is>
          <t>67098138</t>
        </is>
      </c>
      <c r="E34" s="7" t="inlineStr"/>
      <c r="F34" s="8" t="inlineStr"/>
      <c r="G34" s="8" t="inlineStr">
        <is>
          <t>10000229</t>
        </is>
      </c>
      <c r="H34" s="8" t="inlineStr">
        <is>
          <t>Grava Triturada Basalto  10 mm - 3/8"</t>
        </is>
      </c>
      <c r="I34" s="9" t="n">
        <v>1522</v>
      </c>
      <c r="J34" s="7" t="inlineStr">
        <is>
          <t>20190426</t>
        </is>
      </c>
      <c r="K34" s="7" t="inlineStr">
        <is>
          <t>20250127</t>
        </is>
      </c>
      <c r="L34" s="10" t="n">
        <v>350</v>
      </c>
      <c r="M34" s="10" t="n"/>
      <c r="N34" s="7" t="inlineStr">
        <is>
          <t>M3</t>
        </is>
      </c>
      <c r="O34" s="10" t="n">
        <v>330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900005655</t>
        </is>
      </c>
      <c r="B35" s="8" t="inlineStr">
        <is>
          <t>TP-TISCAREÑO</t>
        </is>
      </c>
      <c r="C35" s="7" t="inlineStr">
        <is>
          <t>D865</t>
        </is>
      </c>
      <c r="D35" s="7" t="inlineStr">
        <is>
          <t>67098138</t>
        </is>
      </c>
      <c r="E35" s="7" t="inlineStr"/>
      <c r="F35" s="8" t="inlineStr"/>
      <c r="G35" s="8" t="inlineStr">
        <is>
          <t>10000284</t>
        </is>
      </c>
      <c r="H35" s="8" t="inlineStr">
        <is>
          <t>Grava Triturada Basalto  20 mm - 3/4"</t>
        </is>
      </c>
      <c r="I35" s="9" t="n">
        <v>1429</v>
      </c>
      <c r="J35" s="7" t="inlineStr">
        <is>
          <t>20190426</t>
        </is>
      </c>
      <c r="K35" s="7" t="inlineStr">
        <is>
          <t>20250127</t>
        </is>
      </c>
      <c r="L35" s="10" t="n">
        <v>270</v>
      </c>
      <c r="M35" s="10" t="n"/>
      <c r="N35" s="7" t="inlineStr">
        <is>
          <t>M3</t>
        </is>
      </c>
      <c r="O35" s="10" t="n">
        <v>250</v>
      </c>
      <c r="P35" s="7" t="inlineStr">
        <is>
          <t>M3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900005655</t>
        </is>
      </c>
      <c r="B36" s="8" t="inlineStr">
        <is>
          <t>TP-TISCAREÑO</t>
        </is>
      </c>
      <c r="C36" s="7" t="inlineStr">
        <is>
          <t>D865</t>
        </is>
      </c>
      <c r="D36" s="7" t="inlineStr">
        <is>
          <t>67098138</t>
        </is>
      </c>
      <c r="E36" s="7" t="inlineStr"/>
      <c r="F36" s="8" t="inlineStr"/>
      <c r="G36" s="8" t="inlineStr">
        <is>
          <t>10000287</t>
        </is>
      </c>
      <c r="H36" s="8" t="inlineStr">
        <is>
          <t>Grava Triturada Basalto  40 mm - 1 1/2"</t>
        </is>
      </c>
      <c r="I36" s="9" t="n">
        <v>1440</v>
      </c>
      <c r="J36" s="7" t="inlineStr">
        <is>
          <t>20190426</t>
        </is>
      </c>
      <c r="K36" s="7" t="inlineStr">
        <is>
          <t>20250127</t>
        </is>
      </c>
      <c r="L36" s="10" t="n">
        <v>250</v>
      </c>
      <c r="M36" s="10" t="n"/>
      <c r="N36" s="7" t="inlineStr">
        <is>
          <t>M3</t>
        </is>
      </c>
      <c r="O36" s="10" t="n">
        <v>230</v>
      </c>
      <c r="P36" s="7" t="inlineStr">
        <is>
          <t>M3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900005785</t>
        </is>
      </c>
      <c r="B37" s="8" t="inlineStr">
        <is>
          <t>SF TP-ED-ACAMILPA (SOTELO)</t>
        </is>
      </c>
      <c r="C37" s="7" t="inlineStr">
        <is>
          <t>D865</t>
        </is>
      </c>
      <c r="D37" s="7" t="inlineStr">
        <is>
          <t>66569174</t>
        </is>
      </c>
      <c r="E37" s="7" t="inlineStr">
        <is>
          <t>4</t>
        </is>
      </c>
      <c r="F37" s="8" t="inlineStr">
        <is>
          <t>HOSPITAL GENERAL CUAUTLA (LAAJ)</t>
        </is>
      </c>
      <c r="G37" s="8" t="inlineStr">
        <is>
          <t>10000394</t>
        </is>
      </c>
      <c r="H37" s="8" t="inlineStr">
        <is>
          <t>Arena Triturada Andesita Malla 4</t>
        </is>
      </c>
      <c r="I37" s="9" t="n">
        <v>1410</v>
      </c>
      <c r="J37" s="7" t="inlineStr">
        <is>
          <t>20190426</t>
        </is>
      </c>
      <c r="K37" s="7" t="inlineStr">
        <is>
          <t>20250127</t>
        </is>
      </c>
      <c r="L37" s="10" t="n">
        <v>60</v>
      </c>
      <c r="M37" s="10" t="n">
        <v>119</v>
      </c>
      <c r="N37" s="7" t="inlineStr">
        <is>
          <t>M3</t>
        </is>
      </c>
      <c r="O37" s="10" t="n">
        <v>164.29</v>
      </c>
      <c r="P37" s="7" t="inlineStr">
        <is>
          <t>M3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900005792</t>
        </is>
      </c>
      <c r="B38" s="8" t="inlineStr">
        <is>
          <t>SF TP-ED-EL PAPAYO</t>
        </is>
      </c>
      <c r="C38" s="7" t="inlineStr">
        <is>
          <t>D865</t>
        </is>
      </c>
      <c r="D38" s="7" t="inlineStr">
        <is>
          <t>66569174</t>
        </is>
      </c>
      <c r="E38" s="7" t="inlineStr">
        <is>
          <t>4</t>
        </is>
      </c>
      <c r="F38" s="8" t="inlineStr">
        <is>
          <t>HOSPITAL GENERAL CUAUTLA (LAAJ)</t>
        </is>
      </c>
      <c r="G38" s="8" t="inlineStr">
        <is>
          <t>10000284</t>
        </is>
      </c>
      <c r="H38" s="8" t="inlineStr">
        <is>
          <t>Grava Triturada Basalto  20 mm - 3/4"</t>
        </is>
      </c>
      <c r="I38" s="9" t="n">
        <v>1429</v>
      </c>
      <c r="J38" s="7" t="inlineStr">
        <is>
          <t>20190426</t>
        </is>
      </c>
      <c r="K38" s="7" t="inlineStr">
        <is>
          <t>20250127</t>
        </is>
      </c>
      <c r="L38" s="10" t="n">
        <v>195.5</v>
      </c>
      <c r="M38" s="10" t="n">
        <v>44.5</v>
      </c>
      <c r="N38" s="7" t="inlineStr">
        <is>
          <t>M3</t>
        </is>
      </c>
      <c r="O38" s="10" t="n">
        <v>220</v>
      </c>
      <c r="P38" s="7" t="inlineStr">
        <is>
          <t>M3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900006123</t>
        </is>
      </c>
      <c r="B39" s="8" t="inlineStr"/>
      <c r="C39" s="7" t="inlineStr">
        <is>
          <t>D865</t>
        </is>
      </c>
      <c r="D39" s="7" t="inlineStr">
        <is>
          <t>DE12</t>
        </is>
      </c>
      <c r="E39" s="7" t="inlineStr">
        <is>
          <t>1</t>
        </is>
      </c>
      <c r="F39" s="8" t="inlineStr"/>
      <c r="G39" s="8" t="inlineStr">
        <is>
          <t>10000651</t>
        </is>
      </c>
      <c r="H39" s="8" t="inlineStr">
        <is>
          <t>Arena Triturada Andesita Malla 8</t>
        </is>
      </c>
      <c r="I39" s="9" t="n">
        <v>1350</v>
      </c>
      <c r="J39" s="7" t="inlineStr">
        <is>
          <t>20190517</t>
        </is>
      </c>
      <c r="K39" s="7" t="inlineStr">
        <is>
          <t>20250127</t>
        </is>
      </c>
      <c r="L39" s="10" t="n">
        <v>70.18000000000001</v>
      </c>
      <c r="M39" s="10" t="n">
        <v>63.6</v>
      </c>
      <c r="N39" s="7" t="inlineStr">
        <is>
          <t>TN</t>
        </is>
      </c>
      <c r="O39" s="10" t="n"/>
      <c r="P39" s="7" t="inlineStr"/>
      <c r="Q39" s="10">
        <f>IF(AND(N39="TN",P39="TN"),L39+N(M39),IF(E39&amp;""="1",N(I39)*L39,(L39+N(M39))*N(I39)))</f>
        <v/>
      </c>
      <c r="R39" s="10">
        <f>O39-Q39</f>
        <v/>
      </c>
    </row>
    <row r="40">
      <c r="A40" s="7" t="inlineStr">
        <is>
          <t>900006123</t>
        </is>
      </c>
      <c r="B40" s="8" t="inlineStr"/>
      <c r="C40" s="7" t="inlineStr">
        <is>
          <t>D865</t>
        </is>
      </c>
      <c r="D40" s="7" t="inlineStr">
        <is>
          <t>DE13</t>
        </is>
      </c>
      <c r="E40" s="7" t="inlineStr">
        <is>
          <t>1</t>
        </is>
      </c>
      <c r="F40" s="8" t="inlineStr"/>
      <c r="G40" s="8" t="inlineStr">
        <is>
          <t>10000651</t>
        </is>
      </c>
      <c r="H40" s="8" t="inlineStr">
        <is>
          <t>Arena Triturada Andesita Malla 8</t>
        </is>
      </c>
      <c r="I40" s="9" t="n">
        <v>1350</v>
      </c>
      <c r="J40" s="7" t="inlineStr">
        <is>
          <t>20190517</t>
        </is>
      </c>
      <c r="K40" s="7" t="inlineStr">
        <is>
          <t>20250127</t>
        </is>
      </c>
      <c r="L40" s="10" t="n">
        <v>70.18000000000001</v>
      </c>
      <c r="M40" s="10" t="n">
        <v>71.08</v>
      </c>
      <c r="N40" s="7" t="inlineStr">
        <is>
          <t>TN</t>
        </is>
      </c>
      <c r="O40" s="10" t="n"/>
      <c r="P40" s="7" t="inlineStr"/>
      <c r="Q40" s="10">
        <f>IF(AND(N40="TN",P40="TN"),L40+N(M40),IF(E40&amp;""="1",N(I40)*L40,(L40+N(M40))*N(I40)))</f>
        <v/>
      </c>
      <c r="R40" s="10">
        <f>O40-Q40</f>
        <v/>
      </c>
    </row>
    <row r="41">
      <c r="A41" s="7" t="inlineStr">
        <is>
          <t>900006123</t>
        </is>
      </c>
      <c r="B41" s="8" t="inlineStr"/>
      <c r="C41" s="7" t="inlineStr">
        <is>
          <t>D865</t>
        </is>
      </c>
      <c r="D41" s="7" t="inlineStr">
        <is>
          <t>DE73</t>
        </is>
      </c>
      <c r="E41" s="7" t="inlineStr">
        <is>
          <t>1</t>
        </is>
      </c>
      <c r="F41" s="8" t="inlineStr"/>
      <c r="G41" s="8" t="inlineStr">
        <is>
          <t>10000651</t>
        </is>
      </c>
      <c r="H41" s="8" t="inlineStr">
        <is>
          <t>Arena Triturada Andesita Malla 8</t>
        </is>
      </c>
      <c r="I41" s="9" t="n">
        <v>1350</v>
      </c>
      <c r="J41" s="7" t="inlineStr">
        <is>
          <t>20190517</t>
        </is>
      </c>
      <c r="K41" s="7" t="inlineStr">
        <is>
          <t>20250127</t>
        </is>
      </c>
      <c r="L41" s="10" t="n">
        <v>70.18000000000001</v>
      </c>
      <c r="M41" s="10" t="n">
        <v>118.41</v>
      </c>
      <c r="N41" s="7" t="inlineStr">
        <is>
          <t>TN</t>
        </is>
      </c>
      <c r="O41" s="10" t="n"/>
      <c r="P41" s="7" t="inlineStr"/>
      <c r="Q41" s="10">
        <f>IF(AND(N41="TN",P41="TN"),L41+N(M41),IF(E41&amp;""="1",N(I41)*L41,(L41+N(M41))*N(I41)))</f>
        <v/>
      </c>
      <c r="R41" s="10">
        <f>O41-Q41</f>
        <v/>
      </c>
    </row>
    <row r="42">
      <c r="A42" s="7" t="inlineStr">
        <is>
          <t>900006255</t>
        </is>
      </c>
      <c r="B42" s="8" t="inlineStr">
        <is>
          <t>SF TP-MAT Y FORRAJES YAUTEPEC</t>
        </is>
      </c>
      <c r="C42" s="7" t="inlineStr">
        <is>
          <t>D865</t>
        </is>
      </c>
      <c r="D42" s="7" t="inlineStr">
        <is>
          <t>67098138</t>
        </is>
      </c>
      <c r="E42" s="7" t="inlineStr"/>
      <c r="F42" s="8" t="inlineStr"/>
      <c r="G42" s="8" t="inlineStr">
        <is>
          <t>10000621</t>
        </is>
      </c>
      <c r="H42" s="8" t="inlineStr">
        <is>
          <t>Grava Triturada Caliza 40 mm - 1 1/2"</t>
        </is>
      </c>
      <c r="I42" s="9" t="n">
        <v>1490</v>
      </c>
      <c r="J42" s="7" t="inlineStr">
        <is>
          <t>20190426</t>
        </is>
      </c>
      <c r="K42" s="7" t="inlineStr">
        <is>
          <t>20250127</t>
        </is>
      </c>
      <c r="L42" s="10" t="n">
        <v>290</v>
      </c>
      <c r="M42" s="10" t="n"/>
      <c r="N42" s="7" t="inlineStr">
        <is>
          <t>M3</t>
        </is>
      </c>
      <c r="O42" s="10" t="n">
        <v>290</v>
      </c>
      <c r="P42" s="7" t="inlineStr">
        <is>
          <t>M3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900006255</t>
        </is>
      </c>
      <c r="B43" s="8" t="inlineStr">
        <is>
          <t>SF TP-MAT Y FORRAJES YAUTEPEC</t>
        </is>
      </c>
      <c r="C43" s="7" t="inlineStr">
        <is>
          <t>D865</t>
        </is>
      </c>
      <c r="D43" s="7" t="inlineStr">
        <is>
          <t>67098138</t>
        </is>
      </c>
      <c r="E43" s="7" t="inlineStr"/>
      <c r="F43" s="8" t="inlineStr"/>
      <c r="G43" s="8" t="inlineStr">
        <is>
          <t>10047573</t>
        </is>
      </c>
      <c r="H43" s="8" t="inlineStr">
        <is>
          <t>Arena Triturada Caliza Malla 4</t>
        </is>
      </c>
      <c r="I43" s="9" t="n">
        <v>1607</v>
      </c>
      <c r="J43" s="7" t="inlineStr">
        <is>
          <t>20190426</t>
        </is>
      </c>
      <c r="K43" s="7" t="inlineStr">
        <is>
          <t>20250127</t>
        </is>
      </c>
      <c r="L43" s="10" t="n">
        <v>100</v>
      </c>
      <c r="M43" s="10" t="n"/>
      <c r="N43" s="7" t="inlineStr">
        <is>
          <t>M3</t>
        </is>
      </c>
      <c r="O43" s="10" t="n">
        <v>90</v>
      </c>
      <c r="P43" s="7" t="inlineStr">
        <is>
          <t>M3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900006255</t>
        </is>
      </c>
      <c r="B44" s="8" t="inlineStr">
        <is>
          <t>SF TP-MAT Y FORRAJES YAUTEPEC</t>
        </is>
      </c>
      <c r="C44" s="7" t="inlineStr">
        <is>
          <t>D865</t>
        </is>
      </c>
      <c r="D44" s="7" t="inlineStr">
        <is>
          <t>67159573</t>
        </is>
      </c>
      <c r="E44" s="7" t="inlineStr"/>
      <c r="F44" s="8" t="inlineStr"/>
      <c r="G44" s="8" t="inlineStr">
        <is>
          <t>10000621</t>
        </is>
      </c>
      <c r="H44" s="8" t="inlineStr">
        <is>
          <t>Grava Triturada Caliza 40 mm - 1 1/2"</t>
        </is>
      </c>
      <c r="I44" s="9" t="n">
        <v>1490</v>
      </c>
      <c r="J44" s="7" t="inlineStr">
        <is>
          <t>20190426</t>
        </is>
      </c>
      <c r="K44" s="7" t="inlineStr">
        <is>
          <t>20250127</t>
        </is>
      </c>
      <c r="L44" s="10" t="n">
        <v>291</v>
      </c>
      <c r="M44" s="10" t="n"/>
      <c r="N44" s="7" t="inlineStr">
        <is>
          <t>M3</t>
        </is>
      </c>
      <c r="O44" s="10" t="n">
        <v>290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900006255</t>
        </is>
      </c>
      <c r="B45" s="8" t="inlineStr">
        <is>
          <t>SF TP-MAT Y FORRAJES YAUTEPEC</t>
        </is>
      </c>
      <c r="C45" s="7" t="inlineStr">
        <is>
          <t>D865</t>
        </is>
      </c>
      <c r="D45" s="7" t="inlineStr">
        <is>
          <t>67159573</t>
        </is>
      </c>
      <c r="E45" s="7" t="inlineStr"/>
      <c r="F45" s="8" t="inlineStr"/>
      <c r="G45" s="8" t="inlineStr">
        <is>
          <t>10006150</t>
        </is>
      </c>
      <c r="H45" s="8" t="inlineStr">
        <is>
          <t>Grava Triturada Caliza 20 mm - 3/4"</t>
        </is>
      </c>
      <c r="I45" s="9" t="n">
        <v>1387</v>
      </c>
      <c r="J45" s="7" t="inlineStr">
        <is>
          <t>20190426</t>
        </is>
      </c>
      <c r="K45" s="7" t="inlineStr">
        <is>
          <t>20250127</t>
        </is>
      </c>
      <c r="L45" s="10" t="n">
        <v>291</v>
      </c>
      <c r="M45" s="10" t="n"/>
      <c r="N45" s="7" t="inlineStr">
        <is>
          <t>M3</t>
        </is>
      </c>
      <c r="O45" s="10" t="n">
        <v>290</v>
      </c>
      <c r="P45" s="7" t="inlineStr">
        <is>
          <t>M3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900006255</t>
        </is>
      </c>
      <c r="B46" s="8" t="inlineStr">
        <is>
          <t>SF TP-MAT Y FORRAJES YAUTEPEC</t>
        </is>
      </c>
      <c r="C46" s="7" t="inlineStr">
        <is>
          <t>D865</t>
        </is>
      </c>
      <c r="D46" s="7" t="inlineStr">
        <is>
          <t>67159573</t>
        </is>
      </c>
      <c r="E46" s="7" t="inlineStr"/>
      <c r="F46" s="8" t="inlineStr"/>
      <c r="G46" s="8" t="inlineStr">
        <is>
          <t>10047573</t>
        </is>
      </c>
      <c r="H46" s="8" t="inlineStr">
        <is>
          <t>Arena Triturada Caliza Malla 4</t>
        </is>
      </c>
      <c r="I46" s="9" t="n">
        <v>1607</v>
      </c>
      <c r="J46" s="7" t="inlineStr">
        <is>
          <t>20190426</t>
        </is>
      </c>
      <c r="K46" s="7" t="inlineStr">
        <is>
          <t>20250127</t>
        </is>
      </c>
      <c r="L46" s="10" t="n">
        <v>91</v>
      </c>
      <c r="M46" s="10" t="n"/>
      <c r="N46" s="7" t="inlineStr">
        <is>
          <t>M3</t>
        </is>
      </c>
      <c r="O46" s="10" t="n">
        <v>90</v>
      </c>
      <c r="P46" s="7" t="inlineStr">
        <is>
          <t>M3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900006766</t>
        </is>
      </c>
      <c r="B47" s="8" t="inlineStr">
        <is>
          <t>SF TP-AGREGADOS DEL SUR</t>
        </is>
      </c>
      <c r="C47" s="7" t="inlineStr">
        <is>
          <t>D865</t>
        </is>
      </c>
      <c r="D47" s="7" t="inlineStr">
        <is>
          <t>66533688</t>
        </is>
      </c>
      <c r="E47" s="7" t="inlineStr"/>
      <c r="F47" s="8" t="inlineStr"/>
      <c r="G47" s="8" t="inlineStr">
        <is>
          <t>10000829</t>
        </is>
      </c>
      <c r="H47" s="8" t="inlineStr">
        <is>
          <t>Arena Triturada Basalto  Malla 5</t>
        </is>
      </c>
      <c r="I47" s="9" t="n">
        <v>1430</v>
      </c>
      <c r="J47" s="7" t="inlineStr">
        <is>
          <t>20190426</t>
        </is>
      </c>
      <c r="K47" s="7" t="inlineStr">
        <is>
          <t>20250127</t>
        </is>
      </c>
      <c r="L47" s="10" t="n">
        <v>72</v>
      </c>
      <c r="M47" s="10" t="n"/>
      <c r="N47" s="7" t="inlineStr">
        <is>
          <t>M3</t>
        </is>
      </c>
      <c r="O47" s="10" t="n">
        <v>65</v>
      </c>
      <c r="P47" s="7" t="inlineStr">
        <is>
          <t>M3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900006766</t>
        </is>
      </c>
      <c r="B48" s="8" t="inlineStr">
        <is>
          <t>SF TP-AGREGADOS DEL SUR</t>
        </is>
      </c>
      <c r="C48" s="7" t="inlineStr">
        <is>
          <t>D865</t>
        </is>
      </c>
      <c r="D48" s="7" t="inlineStr">
        <is>
          <t>66586197</t>
        </is>
      </c>
      <c r="E48" s="7" t="inlineStr"/>
      <c r="F48" s="8" t="inlineStr"/>
      <c r="G48" s="8" t="inlineStr">
        <is>
          <t>10000829</t>
        </is>
      </c>
      <c r="H48" s="8" t="inlineStr">
        <is>
          <t>Arena Triturada Basalto  Malla 5</t>
        </is>
      </c>
      <c r="I48" s="9" t="n">
        <v>1430</v>
      </c>
      <c r="J48" s="7" t="inlineStr">
        <is>
          <t>20190426</t>
        </is>
      </c>
      <c r="K48" s="7" t="inlineStr">
        <is>
          <t>20250127</t>
        </is>
      </c>
      <c r="L48" s="10" t="n">
        <v>72</v>
      </c>
      <c r="M48" s="10" t="n"/>
      <c r="N48" s="7" t="inlineStr">
        <is>
          <t>M3</t>
        </is>
      </c>
      <c r="O48" s="10" t="n">
        <v>65</v>
      </c>
      <c r="P48" s="7" t="inlineStr">
        <is>
          <t>M3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900006766</t>
        </is>
      </c>
      <c r="B49" s="8" t="inlineStr">
        <is>
          <t>SF TP-AGREGADOS DEL SUR</t>
        </is>
      </c>
      <c r="C49" s="7" t="inlineStr">
        <is>
          <t>D865</t>
        </is>
      </c>
      <c r="D49" s="7" t="inlineStr">
        <is>
          <t>67098138</t>
        </is>
      </c>
      <c r="E49" s="7" t="inlineStr"/>
      <c r="F49" s="8" t="inlineStr"/>
      <c r="G49" s="8" t="inlineStr">
        <is>
          <t>10000829</t>
        </is>
      </c>
      <c r="H49" s="8" t="inlineStr">
        <is>
          <t>Arena Triturada Basalto  Malla 5</t>
        </is>
      </c>
      <c r="I49" s="9" t="n">
        <v>1430</v>
      </c>
      <c r="J49" s="7" t="inlineStr">
        <is>
          <t>20190426</t>
        </is>
      </c>
      <c r="K49" s="7" t="inlineStr">
        <is>
          <t>20250127</t>
        </is>
      </c>
      <c r="L49" s="10" t="n">
        <v>70</v>
      </c>
      <c r="M49" s="10" t="n"/>
      <c r="N49" s="7" t="inlineStr">
        <is>
          <t>M3</t>
        </is>
      </c>
      <c r="O49" s="10" t="n">
        <v>65</v>
      </c>
      <c r="P49" s="7" t="inlineStr">
        <is>
          <t>M3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900007185</t>
        </is>
      </c>
      <c r="B50" s="8" t="inlineStr"/>
      <c r="C50" s="7" t="inlineStr">
        <is>
          <t>D865</t>
        </is>
      </c>
      <c r="D50" s="7" t="inlineStr">
        <is>
          <t>67098138</t>
        </is>
      </c>
      <c r="E50" s="7" t="inlineStr"/>
      <c r="F50" s="8" t="inlineStr"/>
      <c r="G50" s="8" t="inlineStr">
        <is>
          <t>10000651</t>
        </is>
      </c>
      <c r="H50" s="8" t="inlineStr">
        <is>
          <t>Arena Triturada Andesita Malla 8</t>
        </is>
      </c>
      <c r="I50" s="9" t="n">
        <v>1350</v>
      </c>
      <c r="J50" s="7" t="inlineStr">
        <is>
          <t>20190426</t>
        </is>
      </c>
      <c r="K50" s="7" t="inlineStr">
        <is>
          <t>20250127</t>
        </is>
      </c>
      <c r="L50" s="10" t="n">
        <v>110</v>
      </c>
      <c r="M50" s="10" t="n"/>
      <c r="N50" s="7" t="inlineStr">
        <is>
          <t>M3</t>
        </is>
      </c>
      <c r="O50" s="10" t="n"/>
      <c r="P50" s="7" t="inlineStr"/>
      <c r="Q50" s="10">
        <f>IF(AND(N50="TN",P50="TN"),L50+N(M50),IF(E50&amp;""="1",N(I50)*L50,(L50+N(M50))*N(I50)))</f>
        <v/>
      </c>
      <c r="R50" s="10">
        <f>O50-Q50</f>
        <v/>
      </c>
    </row>
    <row r="51">
      <c r="A51" s="7" t="inlineStr">
        <is>
          <t>900003877</t>
        </is>
      </c>
      <c r="B51" s="8" t="inlineStr">
        <is>
          <t>TP-MAT Y FORRAJES</t>
        </is>
      </c>
      <c r="C51" s="7" t="inlineStr">
        <is>
          <t>D865</t>
        </is>
      </c>
      <c r="D51" s="7" t="inlineStr">
        <is>
          <t>67200025</t>
        </is>
      </c>
      <c r="E51" s="7" t="inlineStr"/>
      <c r="F51" s="8" t="inlineStr"/>
      <c r="G51" s="8" t="inlineStr">
        <is>
          <t>10000632</t>
        </is>
      </c>
      <c r="H51" s="8" t="inlineStr">
        <is>
          <t>Grava Triturada Caliza 20 mm - 3/4"</t>
        </is>
      </c>
      <c r="I51" s="9" t="n">
        <v>1533</v>
      </c>
      <c r="J51" s="7" t="inlineStr">
        <is>
          <t>20240619</t>
        </is>
      </c>
      <c r="K51" s="7" t="inlineStr">
        <is>
          <t>20251031</t>
        </is>
      </c>
      <c r="L51" s="10" t="n">
        <v>291</v>
      </c>
      <c r="M51" s="10" t="n"/>
      <c r="N51" s="7" t="inlineStr">
        <is>
          <t>M3</t>
        </is>
      </c>
      <c r="O51" s="10" t="n">
        <v>290</v>
      </c>
      <c r="P51" s="7" t="inlineStr">
        <is>
          <t>M3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900003877</t>
        </is>
      </c>
      <c r="B52" s="8" t="inlineStr">
        <is>
          <t>TP-MAT Y FORRAJES</t>
        </is>
      </c>
      <c r="C52" s="7" t="inlineStr">
        <is>
          <t>D865</t>
        </is>
      </c>
      <c r="D52" s="7" t="inlineStr">
        <is>
          <t>67200025</t>
        </is>
      </c>
      <c r="E52" s="7" t="inlineStr"/>
      <c r="F52" s="8" t="inlineStr"/>
      <c r="G52" s="8" t="inlineStr">
        <is>
          <t>10000735</t>
        </is>
      </c>
      <c r="H52" s="8" t="inlineStr">
        <is>
          <t>Grava Triturada Caliza 10 mm - 3/8"</t>
        </is>
      </c>
      <c r="I52" s="9" t="n">
        <v>1410</v>
      </c>
      <c r="J52" s="7" t="inlineStr">
        <is>
          <t>20240619</t>
        </is>
      </c>
      <c r="K52" s="7" t="inlineStr">
        <is>
          <t>20251031</t>
        </is>
      </c>
      <c r="L52" s="10" t="n">
        <v>341</v>
      </c>
      <c r="M52" s="10" t="n"/>
      <c r="N52" s="7" t="inlineStr">
        <is>
          <t>M3</t>
        </is>
      </c>
      <c r="O52" s="10" t="n">
        <v>340</v>
      </c>
      <c r="P52" s="7" t="inlineStr">
        <is>
          <t>M3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900003877</t>
        </is>
      </c>
      <c r="B53" s="8" t="inlineStr">
        <is>
          <t>TP-MAT Y FORRAJES</t>
        </is>
      </c>
      <c r="C53" s="7" t="inlineStr">
        <is>
          <t>D865</t>
        </is>
      </c>
      <c r="D53" s="7" t="inlineStr">
        <is>
          <t>67200025</t>
        </is>
      </c>
      <c r="E53" s="7" t="inlineStr"/>
      <c r="F53" s="8" t="inlineStr"/>
      <c r="G53" s="8" t="inlineStr">
        <is>
          <t>10047573</t>
        </is>
      </c>
      <c r="H53" s="8" t="inlineStr">
        <is>
          <t>Arena Triturada Caliza Malla 4</t>
        </is>
      </c>
      <c r="I53" s="9" t="n">
        <v>1607</v>
      </c>
      <c r="J53" s="7" t="inlineStr">
        <is>
          <t>20240619</t>
        </is>
      </c>
      <c r="K53" s="7" t="inlineStr">
        <is>
          <t>20251031</t>
        </is>
      </c>
      <c r="L53" s="10" t="n">
        <v>91</v>
      </c>
      <c r="M53" s="10" t="n"/>
      <c r="N53" s="7" t="inlineStr">
        <is>
          <t>M3</t>
        </is>
      </c>
      <c r="O53" s="10" t="n">
        <v>90</v>
      </c>
      <c r="P53" s="7" t="inlineStr">
        <is>
          <t>M3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900004240</t>
        </is>
      </c>
      <c r="B54" s="8" t="inlineStr">
        <is>
          <t>TP-ACAMILPA (SOTELO)</t>
        </is>
      </c>
      <c r="C54" s="7" t="inlineStr">
        <is>
          <t>D865</t>
        </is>
      </c>
      <c r="D54" s="7" t="inlineStr">
        <is>
          <t>67098138</t>
        </is>
      </c>
      <c r="E54" s="7" t="inlineStr"/>
      <c r="F54" s="8" t="inlineStr"/>
      <c r="G54" s="8" t="inlineStr">
        <is>
          <t>10000394</t>
        </is>
      </c>
      <c r="H54" s="8" t="inlineStr">
        <is>
          <t>Arena Triturada Andesita Malla 4</t>
        </is>
      </c>
      <c r="I54" s="9" t="n">
        <v>1410</v>
      </c>
      <c r="J54" s="7" t="inlineStr">
        <is>
          <t>20240619</t>
        </is>
      </c>
      <c r="K54" s="7" t="inlineStr">
        <is>
          <t>20251031</t>
        </is>
      </c>
      <c r="L54" s="10" t="n">
        <v>74.90000000000001</v>
      </c>
      <c r="M54" s="10" t="n"/>
      <c r="N54" s="7" t="inlineStr">
        <is>
          <t>M3</t>
        </is>
      </c>
      <c r="O54" s="10" t="n">
        <v>65</v>
      </c>
      <c r="P54" s="7" t="inlineStr">
        <is>
          <t>M3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900004240</t>
        </is>
      </c>
      <c r="B55" s="8" t="inlineStr">
        <is>
          <t>TP-ACAMILPA (SOTELO)</t>
        </is>
      </c>
      <c r="C55" s="7" t="inlineStr">
        <is>
          <t>D865</t>
        </is>
      </c>
      <c r="D55" s="7" t="inlineStr">
        <is>
          <t>67240729</t>
        </is>
      </c>
      <c r="E55" s="7" t="inlineStr"/>
      <c r="F55" s="8" t="inlineStr">
        <is>
          <t>COMOSA / SEPSA</t>
        </is>
      </c>
      <c r="G55" s="8" t="inlineStr">
        <is>
          <t>10000394</t>
        </is>
      </c>
      <c r="H55" s="8" t="inlineStr">
        <is>
          <t>Arena Triturada Andesita Malla 4</t>
        </is>
      </c>
      <c r="I55" s="9" t="n">
        <v>1410</v>
      </c>
      <c r="J55" s="7" t="inlineStr">
        <is>
          <t>20240619</t>
        </is>
      </c>
      <c r="K55" s="7" t="inlineStr">
        <is>
          <t>20251031</t>
        </is>
      </c>
      <c r="L55" s="10" t="n">
        <v>84</v>
      </c>
      <c r="M55" s="10" t="n"/>
      <c r="N55" s="7" t="inlineStr">
        <is>
          <t>M3</t>
        </is>
      </c>
      <c r="O55" s="10" t="n">
        <v>65</v>
      </c>
      <c r="P55" s="7" t="inlineStr">
        <is>
          <t>M3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900004240</t>
        </is>
      </c>
      <c r="B56" s="8" t="inlineStr">
        <is>
          <t>TP-ACAMILPA (SOTELO)</t>
        </is>
      </c>
      <c r="C56" s="7" t="inlineStr">
        <is>
          <t>D865</t>
        </is>
      </c>
      <c r="D56" s="7" t="inlineStr">
        <is>
          <t>67242385</t>
        </is>
      </c>
      <c r="E56" s="7" t="inlineStr"/>
      <c r="F56" s="8" t="inlineStr">
        <is>
          <t>COMOSA /  CUERNAVACA</t>
        </is>
      </c>
      <c r="G56" s="8" t="inlineStr">
        <is>
          <t>10000394</t>
        </is>
      </c>
      <c r="H56" s="8" t="inlineStr">
        <is>
          <t>Arena Triturada Andesita Malla 4</t>
        </is>
      </c>
      <c r="I56" s="9" t="n">
        <v>1410</v>
      </c>
      <c r="J56" s="7" t="inlineStr">
        <is>
          <t>20240619</t>
        </is>
      </c>
      <c r="K56" s="7" t="inlineStr">
        <is>
          <t>20251031</t>
        </is>
      </c>
      <c r="L56" s="10" t="n">
        <v>84</v>
      </c>
      <c r="M56" s="10" t="n"/>
      <c r="N56" s="7" t="inlineStr">
        <is>
          <t>M3</t>
        </is>
      </c>
      <c r="O56" s="10" t="n">
        <v>65</v>
      </c>
      <c r="P56" s="7" t="inlineStr">
        <is>
          <t>M3</t>
        </is>
      </c>
      <c r="Q56" s="10">
        <f>IF(AND(N56="TN",P56="TN"),L56+N(M56),IF(E56&amp;""="1",N(I56)*L56,(L56+N(M56))*N(I56)))</f>
        <v/>
      </c>
      <c r="R56" s="11">
        <f>O56-Q56</f>
        <v/>
      </c>
    </row>
    <row r="57">
      <c r="A57" s="7" t="inlineStr">
        <is>
          <t>900005655</t>
        </is>
      </c>
      <c r="B57" s="8" t="inlineStr">
        <is>
          <t>TP-TISCAREÑO</t>
        </is>
      </c>
      <c r="C57" s="7" t="inlineStr">
        <is>
          <t>D865</t>
        </is>
      </c>
      <c r="D57" s="7" t="inlineStr">
        <is>
          <t>67098138</t>
        </is>
      </c>
      <c r="E57" s="7" t="inlineStr"/>
      <c r="F57" s="8" t="inlineStr"/>
      <c r="G57" s="8" t="inlineStr">
        <is>
          <t>10000829</t>
        </is>
      </c>
      <c r="H57" s="8" t="inlineStr">
        <is>
          <t>Arena Triturada Basalto  Malla 5</t>
        </is>
      </c>
      <c r="I57" s="9" t="n">
        <v>1430</v>
      </c>
      <c r="J57" s="7" t="inlineStr">
        <is>
          <t>20240619</t>
        </is>
      </c>
      <c r="K57" s="7" t="inlineStr">
        <is>
          <t>20251031</t>
        </is>
      </c>
      <c r="L57" s="10" t="n">
        <v>140</v>
      </c>
      <c r="M57" s="10" t="n"/>
      <c r="N57" s="7" t="inlineStr">
        <is>
          <t>M3</t>
        </is>
      </c>
      <c r="O57" s="10" t="n">
        <v>130</v>
      </c>
      <c r="P57" s="7" t="inlineStr">
        <is>
          <t>M3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900006255</t>
        </is>
      </c>
      <c r="B58" s="8" t="inlineStr">
        <is>
          <t>SF TP-MAT Y FORRAJES YAUTEPEC</t>
        </is>
      </c>
      <c r="C58" s="7" t="inlineStr">
        <is>
          <t>D865</t>
        </is>
      </c>
      <c r="D58" s="7" t="inlineStr">
        <is>
          <t>67200025</t>
        </is>
      </c>
      <c r="E58" s="7" t="inlineStr"/>
      <c r="F58" s="8" t="inlineStr"/>
      <c r="G58" s="8" t="inlineStr">
        <is>
          <t>10000621</t>
        </is>
      </c>
      <c r="H58" s="8" t="inlineStr">
        <is>
          <t>Grava Triturada Caliza 40 mm - 1 1/2"</t>
        </is>
      </c>
      <c r="I58" s="9" t="n">
        <v>1490</v>
      </c>
      <c r="J58" s="7" t="inlineStr">
        <is>
          <t>20240619</t>
        </is>
      </c>
      <c r="K58" s="7" t="inlineStr">
        <is>
          <t>20251031</t>
        </is>
      </c>
      <c r="L58" s="10" t="n">
        <v>291</v>
      </c>
      <c r="M58" s="10" t="n"/>
      <c r="N58" s="7" t="inlineStr">
        <is>
          <t>M3</t>
        </is>
      </c>
      <c r="O58" s="10" t="n">
        <v>290</v>
      </c>
      <c r="P58" s="7" t="inlineStr">
        <is>
          <t>M3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900006255</t>
        </is>
      </c>
      <c r="B59" s="8" t="inlineStr">
        <is>
          <t>SF TP-MAT Y FORRAJES YAUTEPEC</t>
        </is>
      </c>
      <c r="C59" s="7" t="inlineStr">
        <is>
          <t>D865</t>
        </is>
      </c>
      <c r="D59" s="7" t="inlineStr">
        <is>
          <t>67200025</t>
        </is>
      </c>
      <c r="E59" s="7" t="inlineStr"/>
      <c r="F59" s="8" t="inlineStr"/>
      <c r="G59" s="8" t="inlineStr">
        <is>
          <t>10006150</t>
        </is>
      </c>
      <c r="H59" s="8" t="inlineStr">
        <is>
          <t>Grava Triturada Caliza 20 mm - 3/4"</t>
        </is>
      </c>
      <c r="I59" s="9" t="n">
        <v>1387</v>
      </c>
      <c r="J59" s="7" t="inlineStr">
        <is>
          <t>20240619</t>
        </is>
      </c>
      <c r="K59" s="7" t="inlineStr">
        <is>
          <t>20251031</t>
        </is>
      </c>
      <c r="L59" s="10" t="n">
        <v>291</v>
      </c>
      <c r="M59" s="10" t="n"/>
      <c r="N59" s="7" t="inlineStr">
        <is>
          <t>M3</t>
        </is>
      </c>
      <c r="O59" s="10" t="n">
        <v>290</v>
      </c>
      <c r="P59" s="7" t="inlineStr">
        <is>
          <t>M3</t>
        </is>
      </c>
      <c r="Q59" s="10">
        <f>IF(AND(N59="TN",P59="TN"),L59+N(M59),IF(E59&amp;""="1",N(I59)*L59,(L59+N(M59))*N(I59)))</f>
        <v/>
      </c>
      <c r="R59" s="11">
        <f>O59-Q59</f>
        <v/>
      </c>
    </row>
    <row r="60">
      <c r="A60" s="7" t="inlineStr">
        <is>
          <t>900006255</t>
        </is>
      </c>
      <c r="B60" s="8" t="inlineStr">
        <is>
          <t>SF TP-MAT Y FORRAJES YAUTEPEC</t>
        </is>
      </c>
      <c r="C60" s="7" t="inlineStr">
        <is>
          <t>D865</t>
        </is>
      </c>
      <c r="D60" s="7" t="inlineStr">
        <is>
          <t>67200025</t>
        </is>
      </c>
      <c r="E60" s="7" t="inlineStr"/>
      <c r="F60" s="8" t="inlineStr"/>
      <c r="G60" s="8" t="inlineStr">
        <is>
          <t>10047573</t>
        </is>
      </c>
      <c r="H60" s="8" t="inlineStr">
        <is>
          <t>Arena Triturada Caliza Malla 4</t>
        </is>
      </c>
      <c r="I60" s="9" t="n">
        <v>1607</v>
      </c>
      <c r="J60" s="7" t="inlineStr">
        <is>
          <t>20240619</t>
        </is>
      </c>
      <c r="K60" s="7" t="inlineStr">
        <is>
          <t>20251031</t>
        </is>
      </c>
      <c r="L60" s="10" t="n">
        <v>91</v>
      </c>
      <c r="M60" s="10" t="n"/>
      <c r="N60" s="7" t="inlineStr">
        <is>
          <t>M3</t>
        </is>
      </c>
      <c r="O60" s="10" t="n">
        <v>90</v>
      </c>
      <c r="P60" s="7" t="inlineStr">
        <is>
          <t>M3</t>
        </is>
      </c>
      <c r="Q60" s="10">
        <f>IF(AND(N60="TN",P60="TN"),L60+N(M60),IF(E60&amp;""="1",N(I60)*L60,(L60+N(M60))*N(I60)))</f>
        <v/>
      </c>
      <c r="R60" s="11">
        <f>O60-Q60</f>
        <v/>
      </c>
    </row>
    <row r="61">
      <c r="A61" s="7" t="inlineStr">
        <is>
          <t>900008869</t>
        </is>
      </c>
      <c r="B61" s="8" t="inlineStr">
        <is>
          <t>SF TP-ED CONTROL Y MANEJO OBRAS</t>
        </is>
      </c>
      <c r="C61" s="7" t="inlineStr">
        <is>
          <t>D865</t>
        </is>
      </c>
      <c r="D61" s="7" t="inlineStr">
        <is>
          <t>67242382</t>
        </is>
      </c>
      <c r="E61" s="7" t="inlineStr">
        <is>
          <t>4</t>
        </is>
      </c>
      <c r="F61" s="8" t="inlineStr">
        <is>
          <t>COMOSA /  TEZOYUCA</t>
        </is>
      </c>
      <c r="G61" s="8" t="inlineStr">
        <is>
          <t>10000623</t>
        </is>
      </c>
      <c r="H61" s="8" t="inlineStr">
        <is>
          <t>Grava Triturada Caliza 10 mm - 3/8"</t>
        </is>
      </c>
      <c r="I61" s="9" t="n">
        <v>1410</v>
      </c>
      <c r="J61" s="7" t="inlineStr">
        <is>
          <t>20240619</t>
        </is>
      </c>
      <c r="K61" s="7" t="inlineStr">
        <is>
          <t>20251031</t>
        </is>
      </c>
      <c r="L61" s="10" t="n">
        <v>203.39</v>
      </c>
      <c r="M61" s="10" t="n">
        <v>310</v>
      </c>
      <c r="N61" s="7" t="inlineStr">
        <is>
          <t>TN</t>
        </is>
      </c>
      <c r="O61" s="10" t="n">
        <v>470</v>
      </c>
      <c r="P61" s="7" t="inlineStr">
        <is>
          <t>TN</t>
        </is>
      </c>
      <c r="Q61" s="10">
        <f>IF(AND(N61="TN",P61="TN"),L61+N(M61),IF(E61&amp;""="1",N(I61)*L61,(L61+N(M61))*N(I61)))</f>
        <v/>
      </c>
      <c r="R61" s="11">
        <f>O61-Q61</f>
        <v/>
      </c>
    </row>
    <row r="62">
      <c r="A62" s="7" t="inlineStr">
        <is>
          <t>900003877</t>
        </is>
      </c>
      <c r="B62" s="8" t="inlineStr">
        <is>
          <t>TP-MAT Y FORRAJES</t>
        </is>
      </c>
      <c r="C62" s="7" t="inlineStr">
        <is>
          <t>D865</t>
        </is>
      </c>
      <c r="D62" s="7" t="inlineStr">
        <is>
          <t>67198083</t>
        </is>
      </c>
      <c r="E62" s="7" t="inlineStr"/>
      <c r="F62" s="8" t="inlineStr"/>
      <c r="G62" s="8" t="inlineStr">
        <is>
          <t>10000632</t>
        </is>
      </c>
      <c r="H62" s="8" t="inlineStr">
        <is>
          <t>Grava Triturada Caliza 20 mm - 3/4"</t>
        </is>
      </c>
      <c r="I62" s="9" t="n">
        <v>1533</v>
      </c>
      <c r="J62" s="7" t="inlineStr">
        <is>
          <t>20251105</t>
        </is>
      </c>
      <c r="K62" s="7" t="inlineStr">
        <is>
          <t>99991231</t>
        </is>
      </c>
      <c r="L62" s="10" t="n">
        <v>320</v>
      </c>
      <c r="M62" s="10" t="n"/>
      <c r="N62" s="7" t="inlineStr">
        <is>
          <t>M3</t>
        </is>
      </c>
      <c r="O62" s="10" t="n">
        <v>290</v>
      </c>
      <c r="P62" s="7" t="inlineStr">
        <is>
          <t>M3</t>
        </is>
      </c>
      <c r="Q62" s="10">
        <f>IF(AND(N62="TN",P62="TN"),L62+N(M62),IF(E62&amp;""="1",N(I62)*L62,(L62+N(M62))*N(I62)))</f>
        <v/>
      </c>
      <c r="R62" s="11">
        <f>O62-Q62</f>
        <v/>
      </c>
    </row>
    <row r="63">
      <c r="A63" s="7" t="inlineStr">
        <is>
          <t>900004240</t>
        </is>
      </c>
      <c r="B63" s="8" t="inlineStr">
        <is>
          <t>TP-ACAMILPA (SOTELO)</t>
        </is>
      </c>
      <c r="C63" s="7" t="inlineStr">
        <is>
          <t>D865</t>
        </is>
      </c>
      <c r="D63" s="7" t="inlineStr">
        <is>
          <t>67198083</t>
        </is>
      </c>
      <c r="E63" s="7" t="inlineStr"/>
      <c r="F63" s="8" t="inlineStr"/>
      <c r="G63" s="8" t="inlineStr">
        <is>
          <t>10000394</t>
        </is>
      </c>
      <c r="H63" s="8" t="inlineStr">
        <is>
          <t>Arena Triturada Andesita Malla 4</t>
        </is>
      </c>
      <c r="I63" s="9" t="n">
        <v>1410</v>
      </c>
      <c r="J63" s="7" t="inlineStr">
        <is>
          <t>20240925</t>
        </is>
      </c>
      <c r="K63" s="7" t="inlineStr">
        <is>
          <t>99991231</t>
        </is>
      </c>
      <c r="L63" s="10" t="n">
        <v>75</v>
      </c>
      <c r="M63" s="10" t="n"/>
      <c r="N63" s="7" t="inlineStr">
        <is>
          <t>M3</t>
        </is>
      </c>
      <c r="O63" s="10" t="n">
        <v>65</v>
      </c>
      <c r="P63" s="7" t="inlineStr">
        <is>
          <t>M3</t>
        </is>
      </c>
      <c r="Q63" s="10">
        <f>IF(AND(N63="TN",P63="TN"),L63+N(M63),IF(E63&amp;""="1",N(I63)*L63,(L63+N(M63))*N(I63)))</f>
        <v/>
      </c>
      <c r="R63" s="11">
        <f>O63-Q63</f>
        <v/>
      </c>
    </row>
    <row r="64">
      <c r="A64" s="7" t="inlineStr">
        <is>
          <t>900004598</t>
        </is>
      </c>
      <c r="B64" s="8" t="inlineStr">
        <is>
          <t>TP-GALEANA</t>
        </is>
      </c>
      <c r="C64" s="7" t="inlineStr">
        <is>
          <t>D865</t>
        </is>
      </c>
      <c r="D64" s="7" t="inlineStr">
        <is>
          <t>67098138</t>
        </is>
      </c>
      <c r="E64" s="7" t="inlineStr"/>
      <c r="F64" s="8" t="inlineStr"/>
      <c r="G64" s="8" t="inlineStr">
        <is>
          <t>10006150</t>
        </is>
      </c>
      <c r="H64" s="8" t="inlineStr">
        <is>
          <t>Grava Triturada Caliza 20 mm - 3/4"</t>
        </is>
      </c>
      <c r="I64" s="9" t="n">
        <v>1387</v>
      </c>
      <c r="J64" s="7" t="inlineStr">
        <is>
          <t>20241022</t>
        </is>
      </c>
      <c r="K64" s="7" t="inlineStr">
        <is>
          <t>99991231</t>
        </is>
      </c>
      <c r="L64" s="10" t="n">
        <v>310</v>
      </c>
      <c r="M64" s="10" t="n"/>
      <c r="N64" s="7" t="inlineStr">
        <is>
          <t>M3</t>
        </is>
      </c>
      <c r="O64" s="10" t="n">
        <v>300</v>
      </c>
      <c r="P64" s="7" t="inlineStr">
        <is>
          <t>M3</t>
        </is>
      </c>
      <c r="Q64" s="10">
        <f>IF(AND(N64="TN",P64="TN"),L64+N(M64),IF(E64&amp;""="1",N(I64)*L64,(L64+N(M64))*N(I64)))</f>
        <v/>
      </c>
      <c r="R64" s="11">
        <f>O64-Q64</f>
        <v/>
      </c>
    </row>
    <row r="65">
      <c r="A65" s="7" t="inlineStr">
        <is>
          <t>900004598</t>
        </is>
      </c>
      <c r="B65" s="8" t="inlineStr">
        <is>
          <t>TP-GALEANA</t>
        </is>
      </c>
      <c r="C65" s="7" t="inlineStr">
        <is>
          <t>D865</t>
        </is>
      </c>
      <c r="D65" s="7" t="inlineStr">
        <is>
          <t>67098138</t>
        </is>
      </c>
      <c r="E65" s="7" t="inlineStr"/>
      <c r="F65" s="8" t="inlineStr"/>
      <c r="G65" s="8" t="inlineStr">
        <is>
          <t>10047573</t>
        </is>
      </c>
      <c r="H65" s="8" t="inlineStr">
        <is>
          <t>Arena Triturada Caliza Malla 4</t>
        </is>
      </c>
      <c r="I65" s="9" t="n">
        <v>1607</v>
      </c>
      <c r="J65" s="7" t="inlineStr">
        <is>
          <t>20241022</t>
        </is>
      </c>
      <c r="K65" s="7" t="inlineStr">
        <is>
          <t>99991231</t>
        </is>
      </c>
      <c r="L65" s="10" t="n">
        <v>58</v>
      </c>
      <c r="M65" s="10" t="n"/>
      <c r="N65" s="7" t="inlineStr">
        <is>
          <t>M3</t>
        </is>
      </c>
      <c r="O65" s="10" t="n">
        <v>55</v>
      </c>
      <c r="P65" s="7" t="inlineStr">
        <is>
          <t>M3</t>
        </is>
      </c>
      <c r="Q65" s="10">
        <f>IF(AND(N65="TN",P65="TN"),L65+N(M65),IF(E65&amp;""="1",N(I65)*L65,(L65+N(M65))*N(I65)))</f>
        <v/>
      </c>
      <c r="R65" s="11">
        <f>O65-Q65</f>
        <v/>
      </c>
    </row>
    <row r="66">
      <c r="A66" s="7" t="inlineStr">
        <is>
          <t>900006255</t>
        </is>
      </c>
      <c r="B66" s="8" t="inlineStr">
        <is>
          <t>SF TP-MAT Y FORRAJES YAUTEPEC</t>
        </is>
      </c>
      <c r="C66" s="7" t="inlineStr">
        <is>
          <t>D865</t>
        </is>
      </c>
      <c r="D66" s="7" t="inlineStr">
        <is>
          <t>67098138</t>
        </is>
      </c>
      <c r="E66" s="7" t="inlineStr"/>
      <c r="F66" s="8" t="inlineStr"/>
      <c r="G66" s="8" t="inlineStr">
        <is>
          <t>10006150</t>
        </is>
      </c>
      <c r="H66" s="8" t="inlineStr">
        <is>
          <t>Grava Triturada Caliza 20 mm - 3/4"</t>
        </is>
      </c>
      <c r="I66" s="9" t="n">
        <v>1387</v>
      </c>
      <c r="J66" s="7" t="inlineStr">
        <is>
          <t>20240619</t>
        </is>
      </c>
      <c r="K66" s="7" t="inlineStr">
        <is>
          <t>99991231</t>
        </is>
      </c>
      <c r="L66" s="10" t="n">
        <v>290</v>
      </c>
      <c r="M66" s="10" t="n"/>
      <c r="N66" s="7" t="inlineStr">
        <is>
          <t>M3</t>
        </is>
      </c>
      <c r="O66" s="10" t="n">
        <v>290</v>
      </c>
      <c r="P66" s="7" t="inlineStr">
        <is>
          <t>M3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900008869</t>
        </is>
      </c>
      <c r="B67" s="8" t="inlineStr">
        <is>
          <t>SF TP-ED CONTROL Y MANEJO OBRAS</t>
        </is>
      </c>
      <c r="C67" s="7" t="inlineStr">
        <is>
          <t>D865</t>
        </is>
      </c>
      <c r="D67" s="7" t="inlineStr">
        <is>
          <t>67240729</t>
        </is>
      </c>
      <c r="E67" s="7" t="inlineStr">
        <is>
          <t>4</t>
        </is>
      </c>
      <c r="F67" s="8" t="inlineStr">
        <is>
          <t>COMOSA / SEPSA</t>
        </is>
      </c>
      <c r="G67" s="8" t="inlineStr">
        <is>
          <t>10000623</t>
        </is>
      </c>
      <c r="H67" s="8" t="inlineStr">
        <is>
          <t>Grava Triturada Caliza 10 mm - 3/8"</t>
        </is>
      </c>
      <c r="I67" s="9" t="n">
        <v>1410</v>
      </c>
      <c r="J67" s="7" t="inlineStr">
        <is>
          <t>20240619</t>
        </is>
      </c>
      <c r="K67" s="7" t="inlineStr">
        <is>
          <t>99991231</t>
        </is>
      </c>
      <c r="L67" s="10" t="n">
        <v>142.49</v>
      </c>
      <c r="M67" s="10" t="n">
        <v>360</v>
      </c>
      <c r="N67" s="7" t="inlineStr">
        <is>
          <t>TN</t>
        </is>
      </c>
      <c r="O67" s="10" t="n">
        <v>480</v>
      </c>
      <c r="P67" s="7" t="inlineStr">
        <is>
          <t>TN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900008869</t>
        </is>
      </c>
      <c r="B68" s="8" t="inlineStr">
        <is>
          <t>SF TP-ED CONTROL Y MANEJO OBRAS</t>
        </is>
      </c>
      <c r="C68" s="7" t="inlineStr">
        <is>
          <t>D865</t>
        </is>
      </c>
      <c r="D68" s="7" t="inlineStr">
        <is>
          <t>67242385</t>
        </is>
      </c>
      <c r="E68" s="7" t="inlineStr">
        <is>
          <t>4</t>
        </is>
      </c>
      <c r="F68" s="8" t="inlineStr">
        <is>
          <t>COMOSA /  CUERNAVACA</t>
        </is>
      </c>
      <c r="G68" s="8" t="inlineStr">
        <is>
          <t>10000623</t>
        </is>
      </c>
      <c r="H68" s="8" t="inlineStr">
        <is>
          <t>Grava Triturada Caliza 10 mm - 3/8"</t>
        </is>
      </c>
      <c r="I68" s="9" t="n">
        <v>1410</v>
      </c>
      <c r="J68" s="7" t="inlineStr">
        <is>
          <t>20240619</t>
        </is>
      </c>
      <c r="K68" s="7" t="inlineStr">
        <is>
          <t>99991231</t>
        </is>
      </c>
      <c r="L68" s="10" t="n">
        <v>184.86</v>
      </c>
      <c r="M68" s="10" t="n">
        <v>310</v>
      </c>
      <c r="N68" s="7" t="inlineStr">
        <is>
          <t>TN</t>
        </is>
      </c>
      <c r="O68" s="10" t="n">
        <v>445</v>
      </c>
      <c r="P68" s="7" t="inlineStr">
        <is>
          <t>TN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900008869</t>
        </is>
      </c>
      <c r="B69" s="8" t="inlineStr">
        <is>
          <t>SF TP-ED CONTROL Y MANEJO OBRAS</t>
        </is>
      </c>
      <c r="C69" s="7" t="inlineStr">
        <is>
          <t>D865</t>
        </is>
      </c>
      <c r="D69" s="7" t="inlineStr">
        <is>
          <t>67283503</t>
        </is>
      </c>
      <c r="E69" s="7" t="inlineStr">
        <is>
          <t>4</t>
        </is>
      </c>
      <c r="F69" s="8" t="inlineStr">
        <is>
          <t>COMOSA /  CUAUTLA</t>
        </is>
      </c>
      <c r="G69" s="8" t="inlineStr">
        <is>
          <t>10000623</t>
        </is>
      </c>
      <c r="H69" s="8" t="inlineStr">
        <is>
          <t>Grava Triturada Caliza 10 mm - 3/8"</t>
        </is>
      </c>
      <c r="I69" s="9" t="n">
        <v>1410</v>
      </c>
      <c r="J69" s="7" t="inlineStr">
        <is>
          <t>20250219</t>
        </is>
      </c>
      <c r="K69" s="7" t="inlineStr">
        <is>
          <t>99991231</t>
        </is>
      </c>
      <c r="L69" s="10" t="n">
        <v>203.39</v>
      </c>
      <c r="M69" s="10" t="n">
        <v>310</v>
      </c>
      <c r="N69" s="7" t="inlineStr">
        <is>
          <t>TN</t>
        </is>
      </c>
      <c r="O69" s="10" t="n">
        <v>470</v>
      </c>
      <c r="P69" s="7" t="inlineStr">
        <is>
          <t>TN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900009140</t>
        </is>
      </c>
      <c r="B70" s="8" t="inlineStr">
        <is>
          <t>SF TP-ED CONCRETOS Y PAVIMENTOS</t>
        </is>
      </c>
      <c r="C70" s="7" t="inlineStr">
        <is>
          <t>D865</t>
        </is>
      </c>
      <c r="D70" s="7" t="inlineStr">
        <is>
          <t>67240729</t>
        </is>
      </c>
      <c r="E70" s="7" t="inlineStr">
        <is>
          <t>4</t>
        </is>
      </c>
      <c r="F70" s="8" t="inlineStr">
        <is>
          <t>COMOSA / SEPSA</t>
        </is>
      </c>
      <c r="G70" s="8" t="inlineStr">
        <is>
          <t>10000623</t>
        </is>
      </c>
      <c r="H70" s="8" t="inlineStr">
        <is>
          <t>Grava Triturada Caliza 10 mm - 3/8"</t>
        </is>
      </c>
      <c r="I70" s="9" t="n">
        <v>1410</v>
      </c>
      <c r="J70" s="7" t="inlineStr">
        <is>
          <t>20250627</t>
        </is>
      </c>
      <c r="K70" s="7" t="inlineStr">
        <is>
          <t>99991231</t>
        </is>
      </c>
      <c r="L70" s="10" t="n">
        <v>142.49</v>
      </c>
      <c r="M70" s="10" t="n">
        <v>360</v>
      </c>
      <c r="N70" s="7" t="inlineStr">
        <is>
          <t>TN</t>
        </is>
      </c>
      <c r="O70" s="10" t="n">
        <v>475</v>
      </c>
      <c r="P70" s="7" t="inlineStr">
        <is>
          <t>TN</t>
        </is>
      </c>
      <c r="Q70" s="10">
        <f>IF(AND(N70="TN",P70="TN"),L70+N(M70),IF(E70&amp;""="1",N(I70)*L70,(L70+N(M70))*N(I70)))</f>
        <v/>
      </c>
      <c r="R70" s="11">
        <f>O70-Q70</f>
        <v/>
      </c>
    </row>
    <row r="71">
      <c r="A71" s="7" t="inlineStr">
        <is>
          <t>900009140</t>
        </is>
      </c>
      <c r="B71" s="8" t="inlineStr">
        <is>
          <t>SF TP-ED CONCRETOS Y PAVIMENTOS</t>
        </is>
      </c>
      <c r="C71" s="7" t="inlineStr">
        <is>
          <t>D865</t>
        </is>
      </c>
      <c r="D71" s="7" t="inlineStr">
        <is>
          <t>67242385</t>
        </is>
      </c>
      <c r="E71" s="7" t="inlineStr">
        <is>
          <t>4</t>
        </is>
      </c>
      <c r="F71" s="8" t="inlineStr">
        <is>
          <t>COMOSA /  CUERNAVACA</t>
        </is>
      </c>
      <c r="G71" s="8" t="inlineStr">
        <is>
          <t>10000623</t>
        </is>
      </c>
      <c r="H71" s="8" t="inlineStr">
        <is>
          <t>Grava Triturada Caliza 10 mm - 3/8"</t>
        </is>
      </c>
      <c r="I71" s="9" t="n">
        <v>1410</v>
      </c>
      <c r="J71" s="7" t="inlineStr">
        <is>
          <t>20251104</t>
        </is>
      </c>
      <c r="K71" s="7" t="inlineStr">
        <is>
          <t>99991231</t>
        </is>
      </c>
      <c r="L71" s="10" t="n">
        <v>184.86</v>
      </c>
      <c r="M71" s="10" t="n">
        <v>310</v>
      </c>
      <c r="N71" s="7" t="inlineStr">
        <is>
          <t>TN</t>
        </is>
      </c>
      <c r="O71" s="10" t="n">
        <v>400</v>
      </c>
      <c r="P71" s="7" t="inlineStr">
        <is>
          <t>TN</t>
        </is>
      </c>
      <c r="Q71" s="10">
        <f>IF(AND(N71="TN",P71="TN"),L71+N(M71),IF(E71&amp;""="1",N(I71)*L71,(L71+N(M71))*N(I71)))</f>
        <v/>
      </c>
      <c r="R71" s="11">
        <f>O71-Q71</f>
        <v/>
      </c>
    </row>
    <row r="72">
      <c r="A72" s="7" t="inlineStr">
        <is>
          <t>900009140</t>
        </is>
      </c>
      <c r="B72" s="8" t="inlineStr">
        <is>
          <t>SF TP-ED CONCRETOS Y PAVIMENTOS</t>
        </is>
      </c>
      <c r="C72" s="7" t="inlineStr">
        <is>
          <t>D865</t>
        </is>
      </c>
      <c r="D72" s="7" t="inlineStr">
        <is>
          <t>67283503</t>
        </is>
      </c>
      <c r="E72" s="7" t="inlineStr">
        <is>
          <t>4</t>
        </is>
      </c>
      <c r="F72" s="8" t="inlineStr">
        <is>
          <t>COMOSA /  CUAUTLA</t>
        </is>
      </c>
      <c r="G72" s="8" t="inlineStr">
        <is>
          <t>10000623</t>
        </is>
      </c>
      <c r="H72" s="8" t="inlineStr">
        <is>
          <t>Grava Triturada Caliza 10 mm - 3/8"</t>
        </is>
      </c>
      <c r="I72" s="9" t="n">
        <v>1410</v>
      </c>
      <c r="J72" s="7" t="inlineStr">
        <is>
          <t>20250708</t>
        </is>
      </c>
      <c r="K72" s="7" t="inlineStr">
        <is>
          <t>99991231</t>
        </is>
      </c>
      <c r="L72" s="10" t="n">
        <v>203.39</v>
      </c>
      <c r="M72" s="10" t="n">
        <v>310</v>
      </c>
      <c r="N72" s="7" t="inlineStr">
        <is>
          <t>TN</t>
        </is>
      </c>
      <c r="O72" s="10" t="n">
        <v>460</v>
      </c>
      <c r="P72" s="7" t="inlineStr">
        <is>
          <t>TN</t>
        </is>
      </c>
      <c r="Q72" s="10">
        <f>IF(AND(N72="TN",P72="TN"),L72+N(M72),IF(E72&amp;""="1",N(I72)*L72,(L72+N(M72))*N(I72)))</f>
        <v/>
      </c>
      <c r="R72" s="11">
        <f>O72-Q72</f>
        <v/>
      </c>
    </row>
    <row r="73">
      <c r="A73" s="7" t="inlineStr">
        <is>
          <t>900009140</t>
        </is>
      </c>
      <c r="B73" s="8" t="inlineStr">
        <is>
          <t>SF TP-ED CONCRETOS Y PAVIMENTOS</t>
        </is>
      </c>
      <c r="C73" s="7" t="inlineStr">
        <is>
          <t>D865</t>
        </is>
      </c>
      <c r="D73" s="7" t="inlineStr">
        <is>
          <t>67376830</t>
        </is>
      </c>
      <c r="E73" s="7" t="inlineStr"/>
      <c r="F73" s="8" t="inlineStr">
        <is>
          <t>HOLCIM XOCHITEPEC</t>
        </is>
      </c>
      <c r="G73" s="8" t="inlineStr">
        <is>
          <t>10000623</t>
        </is>
      </c>
      <c r="H73" s="8" t="inlineStr">
        <is>
          <t>Grava Triturada Caliza 10 mm - 3/8"</t>
        </is>
      </c>
      <c r="I73" s="9" t="n">
        <v>1410</v>
      </c>
      <c r="J73" s="7" t="inlineStr">
        <is>
          <t>20260901</t>
        </is>
      </c>
      <c r="K73" s="7" t="inlineStr">
        <is>
          <t>99991231</t>
        </is>
      </c>
      <c r="L73" s="10" t="n">
        <v>217</v>
      </c>
      <c r="M73" s="10" t="n"/>
      <c r="N73" s="7" t="inlineStr">
        <is>
          <t>TN</t>
        </is>
      </c>
      <c r="O73" s="10" t="n">
        <v>627</v>
      </c>
      <c r="P73" s="7" t="inlineStr">
        <is>
          <t>TN</t>
        </is>
      </c>
      <c r="Q73" s="10">
        <f>IF(AND(N73="TN",P73="TN"),L73+N(M73),IF(E73&amp;""="1",N(I73)*L73,(L73+N(M73))*N(I73)))</f>
        <v/>
      </c>
      <c r="R73" s="11">
        <f>O73-Q73</f>
        <v/>
      </c>
    </row>
    <row r="74">
      <c r="A74" s="7" t="inlineStr">
        <is>
          <t>900004240</t>
        </is>
      </c>
      <c r="B74" s="8" t="inlineStr">
        <is>
          <t>TP-ACAMILPA (SOTELO)</t>
        </is>
      </c>
      <c r="C74" s="7" t="inlineStr">
        <is>
          <t>D865</t>
        </is>
      </c>
      <c r="D74" s="7" t="inlineStr">
        <is>
          <t>67098138</t>
        </is>
      </c>
      <c r="E74" s="7" t="inlineStr"/>
      <c r="F74" s="8" t="inlineStr"/>
      <c r="G74" s="8" t="inlineStr">
        <is>
          <t>10000394</t>
        </is>
      </c>
      <c r="H74" s="8" t="inlineStr">
        <is>
          <t>Arena Triturada Andesita Malla 4</t>
        </is>
      </c>
      <c r="I74" s="9" t="n">
        <v>1410</v>
      </c>
      <c r="J74" s="7" t="inlineStr">
        <is>
          <t>20250505</t>
        </is>
      </c>
      <c r="K74" s="7" t="inlineStr">
        <is>
          <t>20250507</t>
        </is>
      </c>
      <c r="L74" s="10" t="n">
        <v>74.90000000000001</v>
      </c>
      <c r="M74" s="10" t="n"/>
      <c r="N74" s="7" t="inlineStr">
        <is>
          <t>M3</t>
        </is>
      </c>
      <c r="O74" s="10" t="n">
        <v>65</v>
      </c>
      <c r="P74" s="7" t="inlineStr">
        <is>
          <t>M3</t>
        </is>
      </c>
      <c r="Q74" s="10">
        <f>IF(AND(N74="TN",P74="TN"),L74+N(M74),IF(E74&amp;""="1",N(I74)*L74,(L74+N(M74))*N(I74)))</f>
        <v/>
      </c>
      <c r="R74" s="11">
        <f>O74-Q74</f>
        <v/>
      </c>
    </row>
    <row r="75">
      <c r="A75" s="7" t="inlineStr">
        <is>
          <t>900004240</t>
        </is>
      </c>
      <c r="B75" s="8" t="inlineStr">
        <is>
          <t>TP-ACAMILPA (SOTELO)</t>
        </is>
      </c>
      <c r="C75" s="7" t="inlineStr">
        <is>
          <t>D865</t>
        </is>
      </c>
      <c r="D75" s="7" t="inlineStr">
        <is>
          <t>67198083</t>
        </is>
      </c>
      <c r="E75" s="7" t="inlineStr"/>
      <c r="F75" s="8" t="inlineStr"/>
      <c r="G75" s="8" t="inlineStr">
        <is>
          <t>10000394</t>
        </is>
      </c>
      <c r="H75" s="8" t="inlineStr">
        <is>
          <t>Arena Triturada Andesita Malla 4</t>
        </is>
      </c>
      <c r="I75" s="9" t="n">
        <v>1410</v>
      </c>
      <c r="J75" s="7" t="inlineStr">
        <is>
          <t>20240813</t>
        </is>
      </c>
      <c r="K75" s="7" t="inlineStr">
        <is>
          <t>20241108</t>
        </is>
      </c>
      <c r="L75" s="10" t="n">
        <v>75</v>
      </c>
      <c r="M75" s="10" t="n"/>
      <c r="N75" s="7" t="inlineStr">
        <is>
          <t>M3</t>
        </is>
      </c>
      <c r="O75" s="10" t="n">
        <v>65</v>
      </c>
      <c r="P75" s="7" t="inlineStr">
        <is>
          <t>M3</t>
        </is>
      </c>
      <c r="Q75" s="10">
        <f>IF(AND(N75="TN",P75="TN"),L75+N(M75),IF(E75&amp;""="1",N(I75)*L75,(L75+N(M75))*N(I75)))</f>
        <v/>
      </c>
      <c r="R75" s="11">
        <f>O75-Q75</f>
        <v/>
      </c>
    </row>
    <row r="76">
      <c r="A76" s="7" t="inlineStr">
        <is>
          <t>900004598</t>
        </is>
      </c>
      <c r="B76" s="8" t="inlineStr">
        <is>
          <t>TP-GALEANA</t>
        </is>
      </c>
      <c r="C76" s="7" t="inlineStr">
        <is>
          <t>D865</t>
        </is>
      </c>
      <c r="D76" s="7" t="inlineStr">
        <is>
          <t>67098138</t>
        </is>
      </c>
      <c r="E76" s="7" t="inlineStr"/>
      <c r="F76" s="8" t="inlineStr"/>
      <c r="G76" s="8" t="inlineStr">
        <is>
          <t>10006150</t>
        </is>
      </c>
      <c r="H76" s="8" t="inlineStr">
        <is>
          <t>Grava Triturada Caliza 20 mm - 3/4"</t>
        </is>
      </c>
      <c r="I76" s="9" t="n">
        <v>1387</v>
      </c>
      <c r="J76" s="7" t="inlineStr">
        <is>
          <t>20240813</t>
        </is>
      </c>
      <c r="K76" s="7" t="inlineStr">
        <is>
          <t>20241108</t>
        </is>
      </c>
      <c r="L76" s="10" t="n">
        <v>310</v>
      </c>
      <c r="M76" s="10" t="n"/>
      <c r="N76" s="7" t="inlineStr">
        <is>
          <t>M3</t>
        </is>
      </c>
      <c r="O76" s="10" t="n">
        <v>300</v>
      </c>
      <c r="P76" s="7" t="inlineStr">
        <is>
          <t>M3</t>
        </is>
      </c>
      <c r="Q76" s="10">
        <f>IF(AND(N76="TN",P76="TN"),L76+N(M76),IF(E76&amp;""="1",N(I76)*L76,(L76+N(M76))*N(I76)))</f>
        <v/>
      </c>
      <c r="R76" s="11">
        <f>O76-Q76</f>
        <v/>
      </c>
    </row>
    <row r="77">
      <c r="A77" s="7" t="inlineStr">
        <is>
          <t>900004598</t>
        </is>
      </c>
      <c r="B77" s="8" t="inlineStr">
        <is>
          <t>TP-GALEANA</t>
        </is>
      </c>
      <c r="C77" s="7" t="inlineStr">
        <is>
          <t>D865</t>
        </is>
      </c>
      <c r="D77" s="7" t="inlineStr">
        <is>
          <t>67098138</t>
        </is>
      </c>
      <c r="E77" s="7" t="inlineStr"/>
      <c r="F77" s="8" t="inlineStr"/>
      <c r="G77" s="8" t="inlineStr">
        <is>
          <t>10047573</t>
        </is>
      </c>
      <c r="H77" s="8" t="inlineStr">
        <is>
          <t>Arena Triturada Caliza Malla 4</t>
        </is>
      </c>
      <c r="I77" s="9" t="n">
        <v>1607</v>
      </c>
      <c r="J77" s="7" t="inlineStr">
        <is>
          <t>20240813</t>
        </is>
      </c>
      <c r="K77" s="7" t="inlineStr">
        <is>
          <t>20241108</t>
        </is>
      </c>
      <c r="L77" s="10" t="n">
        <v>58</v>
      </c>
      <c r="M77" s="10" t="n"/>
      <c r="N77" s="7" t="inlineStr">
        <is>
          <t>M3</t>
        </is>
      </c>
      <c r="O77" s="10" t="n">
        <v>55</v>
      </c>
      <c r="P77" s="7" t="inlineStr">
        <is>
          <t>M3</t>
        </is>
      </c>
      <c r="Q77" s="10">
        <f>IF(AND(N77="TN",P77="TN"),L77+N(M77),IF(E77&amp;""="1",N(I77)*L77,(L77+N(M77))*N(I77)))</f>
        <v/>
      </c>
      <c r="R77" s="11">
        <f>O77-Q77</f>
        <v/>
      </c>
    </row>
    <row r="78">
      <c r="A78" s="7" t="inlineStr">
        <is>
          <t>900005655</t>
        </is>
      </c>
      <c r="B78" s="8" t="inlineStr">
        <is>
          <t>TP-TISCAREÑO</t>
        </is>
      </c>
      <c r="C78" s="7" t="inlineStr">
        <is>
          <t>D865</t>
        </is>
      </c>
      <c r="D78" s="7" t="inlineStr">
        <is>
          <t>67098138</t>
        </is>
      </c>
      <c r="E78" s="7" t="inlineStr"/>
      <c r="F78" s="8" t="inlineStr"/>
      <c r="G78" s="8" t="inlineStr">
        <is>
          <t>10000829</t>
        </is>
      </c>
      <c r="H78" s="8" t="inlineStr">
        <is>
          <t>Arena Triturada Basalto  Malla 5</t>
        </is>
      </c>
      <c r="I78" s="9" t="n">
        <v>1430</v>
      </c>
      <c r="J78" s="7" t="inlineStr">
        <is>
          <t>20240425</t>
        </is>
      </c>
      <c r="K78" s="7" t="inlineStr">
        <is>
          <t>20240814</t>
        </is>
      </c>
      <c r="L78" s="10" t="n">
        <v>140</v>
      </c>
      <c r="M78" s="10" t="n"/>
      <c r="N78" s="7" t="inlineStr">
        <is>
          <t>M3</t>
        </is>
      </c>
      <c r="O78" s="10" t="n">
        <v>130</v>
      </c>
      <c r="P78" s="7" t="inlineStr">
        <is>
          <t>M3</t>
        </is>
      </c>
      <c r="Q78" s="10">
        <f>IF(AND(N78="TN",P78="TN"),L78+N(M78),IF(E78&amp;""="1",N(I78)*L78,(L78+N(M78))*N(I78)))</f>
        <v/>
      </c>
      <c r="R78" s="11">
        <f>O78-Q78</f>
        <v/>
      </c>
    </row>
    <row r="79">
      <c r="A79" s="7" t="inlineStr">
        <is>
          <t>900008869</t>
        </is>
      </c>
      <c r="B79" s="8" t="inlineStr">
        <is>
          <t>SF TP-ED CONTROL Y MANEJO OBRAS</t>
        </is>
      </c>
      <c r="C79" s="7" t="inlineStr">
        <is>
          <t>D865</t>
        </is>
      </c>
      <c r="D79" s="7" t="inlineStr">
        <is>
          <t>67242382</t>
        </is>
      </c>
      <c r="E79" s="7" t="inlineStr">
        <is>
          <t>4</t>
        </is>
      </c>
      <c r="F79" s="8" t="inlineStr">
        <is>
          <t>COMOSA /  TEZOYUCA</t>
        </is>
      </c>
      <c r="G79" s="8" t="inlineStr">
        <is>
          <t>10000623</t>
        </is>
      </c>
      <c r="H79" s="8" t="inlineStr">
        <is>
          <t>Grava Triturada Caliza 10 mm - 3/8"</t>
        </is>
      </c>
      <c r="I79" s="9" t="n">
        <v>1410</v>
      </c>
      <c r="J79" s="7" t="inlineStr">
        <is>
          <t>20240813</t>
        </is>
      </c>
      <c r="K79" s="7" t="inlineStr">
        <is>
          <t>20241108</t>
        </is>
      </c>
      <c r="L79" s="10" t="n">
        <v>171</v>
      </c>
      <c r="M79" s="10" t="n">
        <v>310</v>
      </c>
      <c r="N79" s="7" t="inlineStr">
        <is>
          <t>TN</t>
        </is>
      </c>
      <c r="O79" s="10" t="n">
        <v>470</v>
      </c>
      <c r="P79" s="7" t="inlineStr">
        <is>
          <t>TN</t>
        </is>
      </c>
      <c r="Q79" s="10">
        <f>IF(AND(N79="TN",P79="TN"),L79+N(M79),IF(E79&amp;""="1",N(I79)*L79,(L79+N(M79))*N(I79)))</f>
        <v/>
      </c>
      <c r="R79" s="11">
        <f>O79-Q79</f>
        <v/>
      </c>
    </row>
    <row r="80">
      <c r="A80" s="7" t="inlineStr">
        <is>
          <t>900008869</t>
        </is>
      </c>
      <c r="B80" s="8" t="inlineStr">
        <is>
          <t>SF TP-ED CONTROL Y MANEJO OBRAS</t>
        </is>
      </c>
      <c r="C80" s="7" t="inlineStr">
        <is>
          <t>D865</t>
        </is>
      </c>
      <c r="D80" s="7" t="inlineStr">
        <is>
          <t>67242385</t>
        </is>
      </c>
      <c r="E80" s="7" t="inlineStr">
        <is>
          <t>4</t>
        </is>
      </c>
      <c r="F80" s="8" t="inlineStr">
        <is>
          <t>COMOSA /  CUERNAVACA</t>
        </is>
      </c>
      <c r="G80" s="8" t="inlineStr">
        <is>
          <t>10000623</t>
        </is>
      </c>
      <c r="H80" s="8" t="inlineStr">
        <is>
          <t>Grava Triturada Caliza 10 mm - 3/8"</t>
        </is>
      </c>
      <c r="I80" s="9" t="n">
        <v>1410</v>
      </c>
      <c r="J80" s="7" t="inlineStr">
        <is>
          <t>20240813</t>
        </is>
      </c>
      <c r="K80" s="7" t="inlineStr">
        <is>
          <t>20241108</t>
        </is>
      </c>
      <c r="L80" s="10" t="n">
        <v>154</v>
      </c>
      <c r="M80" s="10" t="n">
        <v>310</v>
      </c>
      <c r="N80" s="7" t="inlineStr">
        <is>
          <t>TN</t>
        </is>
      </c>
      <c r="O80" s="10" t="n">
        <v>445</v>
      </c>
      <c r="P80" s="7" t="inlineStr">
        <is>
          <t>TN</t>
        </is>
      </c>
      <c r="Q80" s="10">
        <f>IF(AND(N80="TN",P80="TN"),L80+N(M80),IF(E80&amp;""="1",N(I80)*L80,(L80+N(M80))*N(I80)))</f>
        <v/>
      </c>
      <c r="R80" s="11">
        <f>O80-Q80</f>
        <v/>
      </c>
    </row>
    <row r="81">
      <c r="A81" s="7" t="inlineStr">
        <is>
          <t>900008869</t>
        </is>
      </c>
      <c r="B81" s="8" t="inlineStr">
        <is>
          <t>SF TP-ED CONTROL Y MANEJO OBRAS</t>
        </is>
      </c>
      <c r="C81" s="7" t="inlineStr">
        <is>
          <t>D865</t>
        </is>
      </c>
      <c r="D81" s="7" t="inlineStr">
        <is>
          <t>67283503</t>
        </is>
      </c>
      <c r="E81" s="7" t="inlineStr">
        <is>
          <t>4</t>
        </is>
      </c>
      <c r="F81" s="8" t="inlineStr">
        <is>
          <t>COMOSA /  CUAUTLA</t>
        </is>
      </c>
      <c r="G81" s="8" t="inlineStr">
        <is>
          <t>10000623</t>
        </is>
      </c>
      <c r="H81" s="8" t="inlineStr">
        <is>
          <t>Grava Triturada Caliza 10 mm - 3/8"</t>
        </is>
      </c>
      <c r="I81" s="9" t="n">
        <v>1410</v>
      </c>
      <c r="J81" s="7" t="inlineStr">
        <is>
          <t>20240813</t>
        </is>
      </c>
      <c r="K81" s="7" t="inlineStr">
        <is>
          <t>20241108</t>
        </is>
      </c>
      <c r="L81" s="10" t="n">
        <v>171</v>
      </c>
      <c r="M81" s="10" t="n">
        <v>310</v>
      </c>
      <c r="N81" s="7" t="inlineStr">
        <is>
          <t>TN</t>
        </is>
      </c>
      <c r="O81" s="10" t="n">
        <v>470</v>
      </c>
      <c r="P81" s="7" t="inlineStr">
        <is>
          <t>TN</t>
        </is>
      </c>
      <c r="Q81" s="10">
        <f>IF(AND(N81="TN",P81="TN"),L81+N(M81),IF(E81&amp;""="1",N(I81)*L81,(L81+N(M81))*N(I81)))</f>
        <v/>
      </c>
      <c r="R81" s="11">
        <f>O81-Q81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900000540</t>
        </is>
      </c>
      <c r="B2" t="inlineStr">
        <is>
          <t>D865</t>
        </is>
      </c>
      <c r="C2" t="inlineStr">
        <is>
          <t>65014664</t>
        </is>
      </c>
      <c r="D2" t="inlineStr">
        <is>
          <t>10000829</t>
        </is>
      </c>
      <c r="E2" t="inlineStr"/>
      <c r="F2" s="12" t="n">
        <v>51.84</v>
      </c>
      <c r="G2" t="inlineStr"/>
      <c r="I2" t="inlineStr">
        <is>
          <t>M3</t>
        </is>
      </c>
      <c r="J2" t="inlineStr"/>
      <c r="K2" t="inlineStr">
        <is>
          <t>20190426</t>
        </is>
      </c>
      <c r="L2" t="inlineStr">
        <is>
          <t>20250127</t>
        </is>
      </c>
    </row>
    <row r="3">
      <c r="A3" t="inlineStr">
        <is>
          <t>900003877</t>
        </is>
      </c>
      <c r="B3" t="inlineStr">
        <is>
          <t>D865</t>
        </is>
      </c>
      <c r="C3" t="inlineStr">
        <is>
          <t>65944468</t>
        </is>
      </c>
      <c r="D3" t="inlineStr">
        <is>
          <t>10000360</t>
        </is>
      </c>
      <c r="E3" t="inlineStr"/>
      <c r="F3" s="12" t="n">
        <v>153.7</v>
      </c>
      <c r="G3" t="inlineStr"/>
      <c r="I3" t="inlineStr">
        <is>
          <t>M3</t>
        </is>
      </c>
      <c r="J3" t="inlineStr"/>
      <c r="K3" t="inlineStr">
        <is>
          <t>20190426</t>
        </is>
      </c>
      <c r="L3" t="inlineStr">
        <is>
          <t>20250127</t>
        </is>
      </c>
    </row>
    <row r="4">
      <c r="A4" t="inlineStr">
        <is>
          <t>900003877</t>
        </is>
      </c>
      <c r="B4" t="inlineStr">
        <is>
          <t>D865</t>
        </is>
      </c>
      <c r="C4" t="inlineStr">
        <is>
          <t>65944468</t>
        </is>
      </c>
      <c r="D4" t="inlineStr">
        <is>
          <t>10000632</t>
        </is>
      </c>
      <c r="E4" t="inlineStr"/>
      <c r="F4" s="12" t="n">
        <v>163</v>
      </c>
      <c r="G4" t="inlineStr"/>
      <c r="I4" t="inlineStr">
        <is>
          <t>M3</t>
        </is>
      </c>
      <c r="J4" t="inlineStr"/>
      <c r="K4" t="inlineStr">
        <is>
          <t>20190426</t>
        </is>
      </c>
      <c r="L4" t="inlineStr">
        <is>
          <t>20250127</t>
        </is>
      </c>
    </row>
    <row r="5">
      <c r="A5" t="inlineStr">
        <is>
          <t>900003877</t>
        </is>
      </c>
      <c r="B5" t="inlineStr">
        <is>
          <t>D865</t>
        </is>
      </c>
      <c r="C5" t="inlineStr">
        <is>
          <t>65944468</t>
        </is>
      </c>
      <c r="D5" t="inlineStr">
        <is>
          <t>10000735</t>
        </is>
      </c>
      <c r="E5" t="inlineStr"/>
      <c r="F5" s="12" t="n">
        <v>148.35</v>
      </c>
      <c r="G5" t="inlineStr"/>
      <c r="I5" t="inlineStr">
        <is>
          <t>M3</t>
        </is>
      </c>
      <c r="J5" t="inlineStr"/>
      <c r="K5" t="inlineStr">
        <is>
          <t>20190426</t>
        </is>
      </c>
      <c r="L5" t="inlineStr">
        <is>
          <t>20250127</t>
        </is>
      </c>
    </row>
    <row r="6">
      <c r="A6" t="inlineStr">
        <is>
          <t>900003877</t>
        </is>
      </c>
      <c r="B6" t="inlineStr">
        <is>
          <t>D865</t>
        </is>
      </c>
      <c r="C6" t="inlineStr">
        <is>
          <t>65944468</t>
        </is>
      </c>
      <c r="D6" t="inlineStr">
        <is>
          <t>10047573</t>
        </is>
      </c>
      <c r="E6" t="inlineStr"/>
      <c r="F6" s="12" t="n">
        <v>81</v>
      </c>
      <c r="G6" t="inlineStr"/>
      <c r="I6" t="inlineStr">
        <is>
          <t>M3</t>
        </is>
      </c>
      <c r="J6" t="inlineStr"/>
      <c r="K6" t="inlineStr">
        <is>
          <t>20190426</t>
        </is>
      </c>
      <c r="L6" t="inlineStr">
        <is>
          <t>20250127</t>
        </is>
      </c>
    </row>
    <row r="7">
      <c r="A7" t="inlineStr">
        <is>
          <t>900003877</t>
        </is>
      </c>
      <c r="B7" t="inlineStr">
        <is>
          <t>D865</t>
        </is>
      </c>
      <c r="C7" t="inlineStr">
        <is>
          <t>66542531</t>
        </is>
      </c>
      <c r="D7" t="inlineStr">
        <is>
          <t>10000829</t>
        </is>
      </c>
      <c r="E7" t="inlineStr"/>
      <c r="F7" s="12" t="n">
        <v>49</v>
      </c>
      <c r="G7" t="inlineStr"/>
      <c r="I7" t="inlineStr">
        <is>
          <t>M3</t>
        </is>
      </c>
      <c r="J7" t="inlineStr"/>
      <c r="K7" t="inlineStr">
        <is>
          <t>20190426</t>
        </is>
      </c>
      <c r="L7" t="inlineStr">
        <is>
          <t>20250127</t>
        </is>
      </c>
    </row>
    <row r="8">
      <c r="A8" t="inlineStr">
        <is>
          <t>900003877</t>
        </is>
      </c>
      <c r="B8" t="inlineStr">
        <is>
          <t>D865</t>
        </is>
      </c>
      <c r="C8" t="inlineStr">
        <is>
          <t>66566504</t>
        </is>
      </c>
      <c r="D8" t="inlineStr">
        <is>
          <t>10000632</t>
        </is>
      </c>
      <c r="E8" t="inlineStr"/>
      <c r="F8" s="12" t="n">
        <v>147</v>
      </c>
      <c r="G8" t="inlineStr"/>
      <c r="I8" t="inlineStr">
        <is>
          <t>M3</t>
        </is>
      </c>
      <c r="J8" t="inlineStr"/>
      <c r="K8" t="inlineStr">
        <is>
          <t>20190426</t>
        </is>
      </c>
      <c r="L8" t="inlineStr">
        <is>
          <t>20250127</t>
        </is>
      </c>
    </row>
    <row r="9">
      <c r="A9" t="inlineStr">
        <is>
          <t>900003877</t>
        </is>
      </c>
      <c r="B9" t="inlineStr">
        <is>
          <t>D865</t>
        </is>
      </c>
      <c r="C9" t="inlineStr">
        <is>
          <t>66604125</t>
        </is>
      </c>
      <c r="D9" t="inlineStr">
        <is>
          <t>10000829</t>
        </is>
      </c>
      <c r="E9" t="inlineStr"/>
      <c r="F9" s="12" t="n">
        <v>49</v>
      </c>
      <c r="G9" t="inlineStr"/>
      <c r="I9" t="inlineStr">
        <is>
          <t>M3</t>
        </is>
      </c>
      <c r="J9" t="inlineStr"/>
      <c r="K9" t="inlineStr">
        <is>
          <t>20190426</t>
        </is>
      </c>
      <c r="L9" t="inlineStr">
        <is>
          <t>20250127</t>
        </is>
      </c>
    </row>
    <row r="10">
      <c r="A10" t="inlineStr">
        <is>
          <t>900003877</t>
        </is>
      </c>
      <c r="B10" t="inlineStr">
        <is>
          <t>D865</t>
        </is>
      </c>
      <c r="C10" t="inlineStr">
        <is>
          <t>67098138</t>
        </is>
      </c>
      <c r="D10" t="inlineStr">
        <is>
          <t>10000735</t>
        </is>
      </c>
      <c r="E10" t="inlineStr"/>
      <c r="F10" s="12" t="n">
        <v>350</v>
      </c>
      <c r="G10" t="inlineStr"/>
      <c r="I10" t="inlineStr">
        <is>
          <t>M3</t>
        </is>
      </c>
      <c r="J10" t="inlineStr"/>
      <c r="K10" t="inlineStr">
        <is>
          <t>20190426</t>
        </is>
      </c>
      <c r="L10" t="inlineStr">
        <is>
          <t>20250127</t>
        </is>
      </c>
    </row>
    <row r="11">
      <c r="A11" t="inlineStr">
        <is>
          <t>900003877</t>
        </is>
      </c>
      <c r="B11" t="inlineStr">
        <is>
          <t>D865</t>
        </is>
      </c>
      <c r="C11" t="inlineStr">
        <is>
          <t>67098138</t>
        </is>
      </c>
      <c r="D11" t="inlineStr">
        <is>
          <t>10047573</t>
        </is>
      </c>
      <c r="E11" t="inlineStr"/>
      <c r="F11" s="12" t="n">
        <v>100</v>
      </c>
      <c r="G11" t="inlineStr"/>
      <c r="I11" t="inlineStr">
        <is>
          <t>M3</t>
        </is>
      </c>
      <c r="J11" t="inlineStr"/>
      <c r="K11" t="inlineStr">
        <is>
          <t>20190426</t>
        </is>
      </c>
      <c r="L11" t="inlineStr">
        <is>
          <t>20250127</t>
        </is>
      </c>
    </row>
    <row r="12">
      <c r="A12" t="inlineStr">
        <is>
          <t>900003877</t>
        </is>
      </c>
      <c r="B12" t="inlineStr">
        <is>
          <t>D865</t>
        </is>
      </c>
      <c r="C12" t="inlineStr">
        <is>
          <t>67159573</t>
        </is>
      </c>
      <c r="D12" t="inlineStr">
        <is>
          <t>10000632</t>
        </is>
      </c>
      <c r="E12" t="inlineStr"/>
      <c r="F12" s="12" t="n">
        <v>291</v>
      </c>
      <c r="G12" t="inlineStr"/>
      <c r="I12" t="inlineStr">
        <is>
          <t>M3</t>
        </is>
      </c>
      <c r="J12" t="inlineStr"/>
      <c r="K12" t="inlineStr">
        <is>
          <t>20190426</t>
        </is>
      </c>
      <c r="L12" t="inlineStr">
        <is>
          <t>20250127</t>
        </is>
      </c>
    </row>
    <row r="13">
      <c r="A13" t="inlineStr">
        <is>
          <t>900003877</t>
        </is>
      </c>
      <c r="B13" t="inlineStr">
        <is>
          <t>D865</t>
        </is>
      </c>
      <c r="C13" t="inlineStr">
        <is>
          <t>67159573</t>
        </is>
      </c>
      <c r="D13" t="inlineStr">
        <is>
          <t>10000735</t>
        </is>
      </c>
      <c r="E13" t="inlineStr"/>
      <c r="F13" s="12" t="n">
        <v>341</v>
      </c>
      <c r="G13" t="inlineStr"/>
      <c r="I13" t="inlineStr">
        <is>
          <t>M3</t>
        </is>
      </c>
      <c r="J13" t="inlineStr"/>
      <c r="K13" t="inlineStr">
        <is>
          <t>20190426</t>
        </is>
      </c>
      <c r="L13" t="inlineStr">
        <is>
          <t>20250127</t>
        </is>
      </c>
    </row>
    <row r="14">
      <c r="A14" t="inlineStr">
        <is>
          <t>900003877</t>
        </is>
      </c>
      <c r="B14" t="inlineStr">
        <is>
          <t>D865</t>
        </is>
      </c>
      <c r="C14" t="inlineStr">
        <is>
          <t>67159573</t>
        </is>
      </c>
      <c r="D14" t="inlineStr">
        <is>
          <t>10047573</t>
        </is>
      </c>
      <c r="E14" t="inlineStr"/>
      <c r="F14" s="12" t="n">
        <v>91</v>
      </c>
      <c r="G14" t="inlineStr"/>
      <c r="I14" t="inlineStr">
        <is>
          <t>M3</t>
        </is>
      </c>
      <c r="J14" t="inlineStr"/>
      <c r="K14" t="inlineStr">
        <is>
          <t>20190426</t>
        </is>
      </c>
      <c r="L14" t="inlineStr">
        <is>
          <t>20250127</t>
        </is>
      </c>
    </row>
    <row r="15">
      <c r="A15" t="inlineStr">
        <is>
          <t>900003999</t>
        </is>
      </c>
      <c r="B15" t="inlineStr">
        <is>
          <t>D865</t>
        </is>
      </c>
      <c r="C15" t="inlineStr">
        <is>
          <t>65944468</t>
        </is>
      </c>
      <c r="D15" t="inlineStr">
        <is>
          <t>10000394</t>
        </is>
      </c>
      <c r="E15" t="inlineStr"/>
      <c r="F15" s="12" t="n">
        <v>145</v>
      </c>
      <c r="G15" t="inlineStr"/>
      <c r="I15" t="inlineStr">
        <is>
          <t>M3</t>
        </is>
      </c>
      <c r="J15" t="inlineStr"/>
      <c r="K15" t="inlineStr">
        <is>
          <t>20190426</t>
        </is>
      </c>
      <c r="L15" t="inlineStr">
        <is>
          <t>20250127</t>
        </is>
      </c>
    </row>
    <row r="16">
      <c r="A16" t="inlineStr">
        <is>
          <t>900003999</t>
        </is>
      </c>
      <c r="B16" t="inlineStr">
        <is>
          <t>D865</t>
        </is>
      </c>
      <c r="C16" t="inlineStr">
        <is>
          <t>65944468</t>
        </is>
      </c>
      <c r="D16" t="inlineStr">
        <is>
          <t>10000430</t>
        </is>
      </c>
      <c r="E16" t="inlineStr"/>
      <c r="F16" s="12" t="n">
        <v>165</v>
      </c>
      <c r="G16" t="inlineStr"/>
      <c r="I16" t="inlineStr">
        <is>
          <t>M3</t>
        </is>
      </c>
      <c r="J16" t="inlineStr"/>
      <c r="K16" t="inlineStr">
        <is>
          <t>20190426</t>
        </is>
      </c>
      <c r="L16" t="inlineStr">
        <is>
          <t>20250127</t>
        </is>
      </c>
    </row>
    <row r="17">
      <c r="A17" t="inlineStr">
        <is>
          <t>900003999</t>
        </is>
      </c>
      <c r="B17" t="inlineStr">
        <is>
          <t>D865</t>
        </is>
      </c>
      <c r="C17" t="inlineStr">
        <is>
          <t>65944468</t>
        </is>
      </c>
      <c r="D17" t="inlineStr">
        <is>
          <t>10000632</t>
        </is>
      </c>
      <c r="E17" t="inlineStr"/>
      <c r="F17" s="12" t="n">
        <v>143</v>
      </c>
      <c r="G17" t="inlineStr"/>
      <c r="I17" t="inlineStr">
        <is>
          <t>M3</t>
        </is>
      </c>
      <c r="J17" t="inlineStr"/>
      <c r="K17" t="inlineStr">
        <is>
          <t>20190426</t>
        </is>
      </c>
      <c r="L17" t="inlineStr">
        <is>
          <t>20250127</t>
        </is>
      </c>
    </row>
    <row r="18">
      <c r="A18" t="inlineStr">
        <is>
          <t>900003999</t>
        </is>
      </c>
      <c r="B18" t="inlineStr">
        <is>
          <t>D865</t>
        </is>
      </c>
      <c r="C18" t="inlineStr">
        <is>
          <t>65944468</t>
        </is>
      </c>
      <c r="D18" t="inlineStr">
        <is>
          <t>10000735</t>
        </is>
      </c>
      <c r="E18" t="inlineStr"/>
      <c r="F18" s="12" t="n">
        <v>176</v>
      </c>
      <c r="G18" t="inlineStr"/>
      <c r="I18" t="inlineStr">
        <is>
          <t>M3</t>
        </is>
      </c>
      <c r="J18" t="inlineStr"/>
      <c r="K18" t="inlineStr">
        <is>
          <t>20190426</t>
        </is>
      </c>
      <c r="L18" t="inlineStr">
        <is>
          <t>20250127</t>
        </is>
      </c>
    </row>
    <row r="19">
      <c r="A19" t="inlineStr">
        <is>
          <t>900004224</t>
        </is>
      </c>
      <c r="B19" t="inlineStr">
        <is>
          <t>D865</t>
        </is>
      </c>
      <c r="C19" t="inlineStr">
        <is>
          <t>66189620</t>
        </is>
      </c>
      <c r="D19" t="inlineStr">
        <is>
          <t>10000229</t>
        </is>
      </c>
      <c r="E19" t="inlineStr"/>
      <c r="F19" s="12" t="n">
        <v>200</v>
      </c>
      <c r="G19" t="inlineStr"/>
      <c r="I19" t="inlineStr">
        <is>
          <t>M3</t>
        </is>
      </c>
      <c r="J19" t="inlineStr"/>
      <c r="K19" t="inlineStr">
        <is>
          <t>20190426</t>
        </is>
      </c>
      <c r="L19" t="inlineStr">
        <is>
          <t>20250127</t>
        </is>
      </c>
    </row>
    <row r="20">
      <c r="A20" t="inlineStr">
        <is>
          <t>900004224</t>
        </is>
      </c>
      <c r="B20" t="inlineStr">
        <is>
          <t>D865</t>
        </is>
      </c>
      <c r="C20" t="inlineStr">
        <is>
          <t>66189620</t>
        </is>
      </c>
      <c r="D20" t="inlineStr">
        <is>
          <t>10000284</t>
        </is>
      </c>
      <c r="E20" t="inlineStr"/>
      <c r="F20" s="12" t="n">
        <v>165</v>
      </c>
      <c r="G20" t="inlineStr"/>
      <c r="I20" t="inlineStr">
        <is>
          <t>M3</t>
        </is>
      </c>
      <c r="J20" t="inlineStr"/>
      <c r="K20" t="inlineStr">
        <is>
          <t>20190426</t>
        </is>
      </c>
      <c r="L20" t="inlineStr">
        <is>
          <t>20250127</t>
        </is>
      </c>
    </row>
    <row r="21">
      <c r="A21" t="inlineStr">
        <is>
          <t>900004224</t>
        </is>
      </c>
      <c r="B21" t="inlineStr">
        <is>
          <t>D865</t>
        </is>
      </c>
      <c r="C21" t="inlineStr">
        <is>
          <t>66569174</t>
        </is>
      </c>
      <c r="D21" t="inlineStr">
        <is>
          <t>10000284</t>
        </is>
      </c>
      <c r="E21" t="inlineStr"/>
      <c r="F21" s="12" t="n">
        <v>195.5</v>
      </c>
      <c r="G21" t="inlineStr"/>
      <c r="I21" t="inlineStr">
        <is>
          <t>M3</t>
        </is>
      </c>
      <c r="J21" t="inlineStr"/>
      <c r="K21" t="inlineStr">
        <is>
          <t>20190426</t>
        </is>
      </c>
      <c r="L21" t="inlineStr">
        <is>
          <t>20250127</t>
        </is>
      </c>
    </row>
    <row r="22">
      <c r="A22" t="inlineStr">
        <is>
          <t>900004240</t>
        </is>
      </c>
      <c r="B22" t="inlineStr">
        <is>
          <t>D865</t>
        </is>
      </c>
      <c r="C22" t="inlineStr">
        <is>
          <t>66569174</t>
        </is>
      </c>
      <c r="D22" t="inlineStr">
        <is>
          <t>10000394</t>
        </is>
      </c>
      <c r="E22" t="inlineStr"/>
      <c r="F22" s="12" t="n">
        <v>60</v>
      </c>
      <c r="G22" t="inlineStr"/>
      <c r="I22" t="inlineStr">
        <is>
          <t>M3</t>
        </is>
      </c>
      <c r="J22" t="inlineStr"/>
      <c r="K22" t="inlineStr">
        <is>
          <t>20190426</t>
        </is>
      </c>
      <c r="L22" t="inlineStr">
        <is>
          <t>20250127</t>
        </is>
      </c>
    </row>
    <row r="23">
      <c r="A23" t="inlineStr">
        <is>
          <t>900004240</t>
        </is>
      </c>
      <c r="B23" t="inlineStr">
        <is>
          <t>D865</t>
        </is>
      </c>
      <c r="C23" t="inlineStr">
        <is>
          <t>67160581</t>
        </is>
      </c>
      <c r="D23" t="inlineStr">
        <is>
          <t>10000394</t>
        </is>
      </c>
      <c r="E23" t="inlineStr"/>
      <c r="F23" s="12" t="n">
        <v>70</v>
      </c>
      <c r="G23" t="inlineStr"/>
      <c r="I23" t="inlineStr">
        <is>
          <t>M3</t>
        </is>
      </c>
      <c r="J23" t="inlineStr"/>
      <c r="K23" t="inlineStr">
        <is>
          <t>20190426</t>
        </is>
      </c>
      <c r="L23" t="inlineStr">
        <is>
          <t>20250127</t>
        </is>
      </c>
    </row>
    <row r="24">
      <c r="A24" t="inlineStr">
        <is>
          <t>900004240</t>
        </is>
      </c>
      <c r="B24" t="inlineStr">
        <is>
          <t>D865</t>
        </is>
      </c>
      <c r="C24" t="inlineStr">
        <is>
          <t>67161848</t>
        </is>
      </c>
      <c r="D24" t="inlineStr">
        <is>
          <t>10000394</t>
        </is>
      </c>
      <c r="E24" t="inlineStr"/>
      <c r="F24" s="12" t="n">
        <v>70</v>
      </c>
      <c r="G24" t="inlineStr"/>
      <c r="I24" t="inlineStr">
        <is>
          <t>M3</t>
        </is>
      </c>
      <c r="J24" t="inlineStr"/>
      <c r="K24" t="inlineStr">
        <is>
          <t>20190426</t>
        </is>
      </c>
      <c r="L24" t="inlineStr">
        <is>
          <t>20250127</t>
        </is>
      </c>
    </row>
    <row r="25">
      <c r="A25" t="inlineStr">
        <is>
          <t>900004447</t>
        </is>
      </c>
      <c r="B25" t="inlineStr">
        <is>
          <t>D865</t>
        </is>
      </c>
      <c r="C25" t="inlineStr">
        <is>
          <t>65014664</t>
        </is>
      </c>
      <c r="D25" t="inlineStr">
        <is>
          <t>10000160</t>
        </is>
      </c>
      <c r="E25" t="inlineStr"/>
      <c r="F25" s="12" t="n">
        <v>44</v>
      </c>
      <c r="G25" t="inlineStr"/>
      <c r="I25" t="inlineStr">
        <is>
          <t>M3</t>
        </is>
      </c>
      <c r="J25" t="inlineStr"/>
      <c r="K25" t="inlineStr">
        <is>
          <t>20190426</t>
        </is>
      </c>
      <c r="L25" t="inlineStr">
        <is>
          <t>20250127</t>
        </is>
      </c>
    </row>
    <row r="26">
      <c r="A26" t="inlineStr">
        <is>
          <t>900004447</t>
        </is>
      </c>
      <c r="B26" t="inlineStr">
        <is>
          <t>D865</t>
        </is>
      </c>
      <c r="C26" t="inlineStr">
        <is>
          <t>65014664</t>
        </is>
      </c>
      <c r="D26" t="inlineStr">
        <is>
          <t>10000829</t>
        </is>
      </c>
      <c r="E26" t="inlineStr"/>
      <c r="F26" s="12" t="n">
        <v>44</v>
      </c>
      <c r="G26" t="inlineStr"/>
      <c r="I26" t="inlineStr">
        <is>
          <t>M3</t>
        </is>
      </c>
      <c r="J26" t="inlineStr"/>
      <c r="K26" t="inlineStr">
        <is>
          <t>20190426</t>
        </is>
      </c>
      <c r="L26" t="inlineStr">
        <is>
          <t>20250127</t>
        </is>
      </c>
    </row>
    <row r="27">
      <c r="A27" t="inlineStr">
        <is>
          <t>900004447</t>
        </is>
      </c>
      <c r="B27" t="inlineStr">
        <is>
          <t>D865</t>
        </is>
      </c>
      <c r="C27" t="inlineStr">
        <is>
          <t>65944468</t>
        </is>
      </c>
      <c r="D27" t="inlineStr">
        <is>
          <t>10000829</t>
        </is>
      </c>
      <c r="E27" t="inlineStr"/>
      <c r="F27" s="12" t="n">
        <v>51.5</v>
      </c>
      <c r="G27" t="inlineStr"/>
      <c r="I27" t="inlineStr">
        <is>
          <t>M3</t>
        </is>
      </c>
      <c r="J27" t="inlineStr"/>
      <c r="K27" t="inlineStr">
        <is>
          <t>20190426</t>
        </is>
      </c>
      <c r="L27" t="inlineStr">
        <is>
          <t>20250127</t>
        </is>
      </c>
    </row>
    <row r="28">
      <c r="A28" t="inlineStr">
        <is>
          <t>900004447</t>
        </is>
      </c>
      <c r="B28" t="inlineStr">
        <is>
          <t>D865</t>
        </is>
      </c>
      <c r="C28" t="inlineStr">
        <is>
          <t>66416982</t>
        </is>
      </c>
      <c r="D28" t="inlineStr">
        <is>
          <t>10000829</t>
        </is>
      </c>
      <c r="E28" t="inlineStr"/>
      <c r="F28" s="12" t="n">
        <v>54</v>
      </c>
      <c r="G28" t="inlineStr"/>
      <c r="I28" t="inlineStr">
        <is>
          <t>M3</t>
        </is>
      </c>
      <c r="J28" t="inlineStr"/>
      <c r="K28" t="inlineStr">
        <is>
          <t>20190426</t>
        </is>
      </c>
      <c r="L28" t="inlineStr">
        <is>
          <t>20250127</t>
        </is>
      </c>
    </row>
    <row r="29">
      <c r="A29" t="inlineStr">
        <is>
          <t>900004447</t>
        </is>
      </c>
      <c r="B29" t="inlineStr">
        <is>
          <t>D865</t>
        </is>
      </c>
      <c r="C29" t="inlineStr">
        <is>
          <t>66529377</t>
        </is>
      </c>
      <c r="D29" t="inlineStr">
        <is>
          <t>10000829</t>
        </is>
      </c>
      <c r="E29" t="inlineStr"/>
      <c r="F29" s="12" t="n">
        <v>55</v>
      </c>
      <c r="G29" t="inlineStr"/>
      <c r="I29" t="inlineStr">
        <is>
          <t>M3</t>
        </is>
      </c>
      <c r="J29" t="inlineStr"/>
      <c r="K29" t="inlineStr">
        <is>
          <t>20190426</t>
        </is>
      </c>
      <c r="L29" t="inlineStr">
        <is>
          <t>20250127</t>
        </is>
      </c>
    </row>
    <row r="30">
      <c r="A30" t="inlineStr">
        <is>
          <t>900005087</t>
        </is>
      </c>
      <c r="B30" t="inlineStr">
        <is>
          <t>D865</t>
        </is>
      </c>
      <c r="C30" t="inlineStr">
        <is>
          <t>65944468</t>
        </is>
      </c>
      <c r="D30" t="inlineStr">
        <is>
          <t>10000632</t>
        </is>
      </c>
      <c r="E30" t="inlineStr"/>
      <c r="F30" s="12" t="n">
        <v>110</v>
      </c>
      <c r="G30" t="inlineStr"/>
      <c r="I30" t="inlineStr">
        <is>
          <t>M3</t>
        </is>
      </c>
      <c r="J30" t="inlineStr"/>
      <c r="K30" t="inlineStr">
        <is>
          <t>20190426</t>
        </is>
      </c>
      <c r="L30" t="inlineStr">
        <is>
          <t>20250127</t>
        </is>
      </c>
    </row>
    <row r="31">
      <c r="A31" t="inlineStr">
        <is>
          <t>900005087</t>
        </is>
      </c>
      <c r="B31" t="inlineStr">
        <is>
          <t>D865</t>
        </is>
      </c>
      <c r="C31" t="inlineStr">
        <is>
          <t>65944468</t>
        </is>
      </c>
      <c r="D31" t="inlineStr">
        <is>
          <t>10139788</t>
        </is>
      </c>
      <c r="E31" t="inlineStr"/>
      <c r="F31" s="12" t="n">
        <v>110</v>
      </c>
      <c r="G31" t="inlineStr"/>
      <c r="I31" t="inlineStr">
        <is>
          <t>M3</t>
        </is>
      </c>
      <c r="J31" t="inlineStr"/>
      <c r="K31" t="inlineStr">
        <is>
          <t>20190426</t>
        </is>
      </c>
      <c r="L31" t="inlineStr">
        <is>
          <t>20250127</t>
        </is>
      </c>
    </row>
    <row r="32">
      <c r="A32" t="inlineStr">
        <is>
          <t>900005087</t>
        </is>
      </c>
      <c r="B32" t="inlineStr">
        <is>
          <t>D865</t>
        </is>
      </c>
      <c r="C32" t="inlineStr">
        <is>
          <t>65944468</t>
        </is>
      </c>
      <c r="D32" t="inlineStr">
        <is>
          <t>10140399</t>
        </is>
      </c>
      <c r="E32" t="inlineStr"/>
      <c r="F32" s="12" t="n">
        <v>88</v>
      </c>
      <c r="G32" t="inlineStr"/>
      <c r="I32" t="inlineStr">
        <is>
          <t>M3</t>
        </is>
      </c>
      <c r="J32" t="inlineStr"/>
      <c r="K32" t="inlineStr">
        <is>
          <t>20190426</t>
        </is>
      </c>
      <c r="L32" t="inlineStr">
        <is>
          <t>20250127</t>
        </is>
      </c>
    </row>
    <row r="33">
      <c r="A33" t="inlineStr">
        <is>
          <t>900005655</t>
        </is>
      </c>
      <c r="B33" t="inlineStr">
        <is>
          <t>D865</t>
        </is>
      </c>
      <c r="C33" t="inlineStr">
        <is>
          <t>67098138</t>
        </is>
      </c>
      <c r="D33" t="inlineStr">
        <is>
          <t>10000229</t>
        </is>
      </c>
      <c r="E33" t="inlineStr"/>
      <c r="F33" s="12" t="n">
        <v>350</v>
      </c>
      <c r="G33" t="inlineStr"/>
      <c r="I33" t="inlineStr">
        <is>
          <t>M3</t>
        </is>
      </c>
      <c r="J33" t="inlineStr"/>
      <c r="K33" t="inlineStr">
        <is>
          <t>20190426</t>
        </is>
      </c>
      <c r="L33" t="inlineStr">
        <is>
          <t>20250127</t>
        </is>
      </c>
    </row>
    <row r="34">
      <c r="A34" t="inlineStr">
        <is>
          <t>900005655</t>
        </is>
      </c>
      <c r="B34" t="inlineStr">
        <is>
          <t>D865</t>
        </is>
      </c>
      <c r="C34" t="inlineStr">
        <is>
          <t>67098138</t>
        </is>
      </c>
      <c r="D34" t="inlineStr">
        <is>
          <t>10000284</t>
        </is>
      </c>
      <c r="E34" t="inlineStr"/>
      <c r="F34" s="12" t="n">
        <v>270</v>
      </c>
      <c r="G34" t="inlineStr"/>
      <c r="I34" t="inlineStr">
        <is>
          <t>M3</t>
        </is>
      </c>
      <c r="J34" t="inlineStr"/>
      <c r="K34" t="inlineStr">
        <is>
          <t>20190426</t>
        </is>
      </c>
      <c r="L34" t="inlineStr">
        <is>
          <t>20250127</t>
        </is>
      </c>
    </row>
    <row r="35">
      <c r="A35" t="inlineStr">
        <is>
          <t>900005655</t>
        </is>
      </c>
      <c r="B35" t="inlineStr">
        <is>
          <t>D865</t>
        </is>
      </c>
      <c r="C35" t="inlineStr">
        <is>
          <t>67098138</t>
        </is>
      </c>
      <c r="D35" t="inlineStr">
        <is>
          <t>10000287</t>
        </is>
      </c>
      <c r="E35" t="inlineStr"/>
      <c r="F35" s="12" t="n">
        <v>250</v>
      </c>
      <c r="G35" t="inlineStr"/>
      <c r="I35" t="inlineStr">
        <is>
          <t>M3</t>
        </is>
      </c>
      <c r="J35" t="inlineStr"/>
      <c r="K35" t="inlineStr">
        <is>
          <t>20190426</t>
        </is>
      </c>
      <c r="L35" t="inlineStr">
        <is>
          <t>20250127</t>
        </is>
      </c>
    </row>
    <row r="36">
      <c r="A36" t="inlineStr">
        <is>
          <t>900005785</t>
        </is>
      </c>
      <c r="B36" t="inlineStr">
        <is>
          <t>D865</t>
        </is>
      </c>
      <c r="C36" t="inlineStr">
        <is>
          <t>66569174</t>
        </is>
      </c>
      <c r="D36" t="inlineStr">
        <is>
          <t>10000394</t>
        </is>
      </c>
      <c r="E36" t="inlineStr"/>
      <c r="F36" s="12" t="n">
        <v>60</v>
      </c>
      <c r="G36" t="inlineStr"/>
      <c r="I36" t="inlineStr">
        <is>
          <t>M3</t>
        </is>
      </c>
      <c r="J36" t="inlineStr"/>
      <c r="K36" t="inlineStr">
        <is>
          <t>20190426</t>
        </is>
      </c>
      <c r="L36" t="inlineStr">
        <is>
          <t>20250127</t>
        </is>
      </c>
    </row>
    <row r="37">
      <c r="A37" t="inlineStr">
        <is>
          <t>900005792</t>
        </is>
      </c>
      <c r="B37" t="inlineStr">
        <is>
          <t>D865</t>
        </is>
      </c>
      <c r="C37" t="inlineStr">
        <is>
          <t>66569174</t>
        </is>
      </c>
      <c r="D37" t="inlineStr">
        <is>
          <t>10000284</t>
        </is>
      </c>
      <c r="E37" t="inlineStr"/>
      <c r="F37" s="12" t="n">
        <v>195.5</v>
      </c>
      <c r="G37" t="inlineStr"/>
      <c r="I37" t="inlineStr">
        <is>
          <t>M3</t>
        </is>
      </c>
      <c r="J37" t="inlineStr"/>
      <c r="K37" t="inlineStr">
        <is>
          <t>20190426</t>
        </is>
      </c>
      <c r="L37" t="inlineStr">
        <is>
          <t>20250127</t>
        </is>
      </c>
    </row>
    <row r="38">
      <c r="A38" t="inlineStr">
        <is>
          <t>900006123</t>
        </is>
      </c>
      <c r="B38" t="inlineStr">
        <is>
          <t>D865</t>
        </is>
      </c>
      <c r="C38" t="inlineStr">
        <is>
          <t>DE12</t>
        </is>
      </c>
      <c r="D38" t="inlineStr">
        <is>
          <t>10000651</t>
        </is>
      </c>
      <c r="E38" t="inlineStr"/>
      <c r="F38" s="12" t="n">
        <v>70.18000000000001</v>
      </c>
      <c r="G38" t="inlineStr"/>
      <c r="I38" t="inlineStr">
        <is>
          <t>TN</t>
        </is>
      </c>
      <c r="J38" t="inlineStr"/>
      <c r="K38" t="inlineStr">
        <is>
          <t>20190517</t>
        </is>
      </c>
      <c r="L38" t="inlineStr">
        <is>
          <t>20250127</t>
        </is>
      </c>
    </row>
    <row r="39">
      <c r="A39" t="inlineStr">
        <is>
          <t>900006123</t>
        </is>
      </c>
      <c r="B39" t="inlineStr">
        <is>
          <t>D865</t>
        </is>
      </c>
      <c r="C39" t="inlineStr">
        <is>
          <t>DE13</t>
        </is>
      </c>
      <c r="D39" t="inlineStr">
        <is>
          <t>10000651</t>
        </is>
      </c>
      <c r="E39" t="inlineStr"/>
      <c r="F39" s="12" t="n">
        <v>70.18000000000001</v>
      </c>
      <c r="G39" t="inlineStr"/>
      <c r="I39" t="inlineStr">
        <is>
          <t>TN</t>
        </is>
      </c>
      <c r="J39" t="inlineStr"/>
      <c r="K39" t="inlineStr">
        <is>
          <t>20190517</t>
        </is>
      </c>
      <c r="L39" t="inlineStr">
        <is>
          <t>20250127</t>
        </is>
      </c>
    </row>
    <row r="40">
      <c r="A40" t="inlineStr">
        <is>
          <t>900006123</t>
        </is>
      </c>
      <c r="B40" t="inlineStr">
        <is>
          <t>D865</t>
        </is>
      </c>
      <c r="C40" t="inlineStr">
        <is>
          <t>DE73</t>
        </is>
      </c>
      <c r="D40" t="inlineStr">
        <is>
          <t>10000651</t>
        </is>
      </c>
      <c r="E40" t="inlineStr"/>
      <c r="F40" s="12" t="n">
        <v>70.18000000000001</v>
      </c>
      <c r="G40" t="inlineStr"/>
      <c r="I40" t="inlineStr">
        <is>
          <t>TN</t>
        </is>
      </c>
      <c r="J40" t="inlineStr"/>
      <c r="K40" t="inlineStr">
        <is>
          <t>20190517</t>
        </is>
      </c>
      <c r="L40" t="inlineStr">
        <is>
          <t>20250127</t>
        </is>
      </c>
    </row>
    <row r="41">
      <c r="A41" t="inlineStr">
        <is>
          <t>900006255</t>
        </is>
      </c>
      <c r="B41" t="inlineStr">
        <is>
          <t>D865</t>
        </is>
      </c>
      <c r="C41" t="inlineStr">
        <is>
          <t>67098138</t>
        </is>
      </c>
      <c r="D41" t="inlineStr">
        <is>
          <t>10000621</t>
        </is>
      </c>
      <c r="E41" t="inlineStr"/>
      <c r="F41" s="12" t="n">
        <v>290</v>
      </c>
      <c r="G41" t="inlineStr"/>
      <c r="I41" t="inlineStr">
        <is>
          <t>M3</t>
        </is>
      </c>
      <c r="J41" t="inlineStr"/>
      <c r="K41" t="inlineStr">
        <is>
          <t>20190426</t>
        </is>
      </c>
      <c r="L41" t="inlineStr">
        <is>
          <t>20250127</t>
        </is>
      </c>
    </row>
    <row r="42">
      <c r="A42" t="inlineStr">
        <is>
          <t>900006255</t>
        </is>
      </c>
      <c r="B42" t="inlineStr">
        <is>
          <t>D865</t>
        </is>
      </c>
      <c r="C42" t="inlineStr">
        <is>
          <t>67098138</t>
        </is>
      </c>
      <c r="D42" t="inlineStr">
        <is>
          <t>10047573</t>
        </is>
      </c>
      <c r="E42" t="inlineStr"/>
      <c r="F42" s="12" t="n">
        <v>100</v>
      </c>
      <c r="G42" t="inlineStr"/>
      <c r="I42" t="inlineStr">
        <is>
          <t>M3</t>
        </is>
      </c>
      <c r="J42" t="inlineStr"/>
      <c r="K42" t="inlineStr">
        <is>
          <t>20190426</t>
        </is>
      </c>
      <c r="L42" t="inlineStr">
        <is>
          <t>20250127</t>
        </is>
      </c>
    </row>
    <row r="43">
      <c r="A43" t="inlineStr">
        <is>
          <t>900006255</t>
        </is>
      </c>
      <c r="B43" t="inlineStr">
        <is>
          <t>D865</t>
        </is>
      </c>
      <c r="C43" t="inlineStr">
        <is>
          <t>67159573</t>
        </is>
      </c>
      <c r="D43" t="inlineStr">
        <is>
          <t>10000621</t>
        </is>
      </c>
      <c r="E43" t="inlineStr"/>
      <c r="F43" s="12" t="n">
        <v>291</v>
      </c>
      <c r="G43" t="inlineStr"/>
      <c r="I43" t="inlineStr">
        <is>
          <t>M3</t>
        </is>
      </c>
      <c r="J43" t="inlineStr"/>
      <c r="K43" t="inlineStr">
        <is>
          <t>20190426</t>
        </is>
      </c>
      <c r="L43" t="inlineStr">
        <is>
          <t>20250127</t>
        </is>
      </c>
    </row>
    <row r="44">
      <c r="A44" t="inlineStr">
        <is>
          <t>900006255</t>
        </is>
      </c>
      <c r="B44" t="inlineStr">
        <is>
          <t>D865</t>
        </is>
      </c>
      <c r="C44" t="inlineStr">
        <is>
          <t>67159573</t>
        </is>
      </c>
      <c r="D44" t="inlineStr">
        <is>
          <t>10006150</t>
        </is>
      </c>
      <c r="E44" t="inlineStr"/>
      <c r="F44" s="12" t="n">
        <v>291</v>
      </c>
      <c r="G44" t="inlineStr"/>
      <c r="I44" t="inlineStr">
        <is>
          <t>M3</t>
        </is>
      </c>
      <c r="J44" t="inlineStr"/>
      <c r="K44" t="inlineStr">
        <is>
          <t>20190426</t>
        </is>
      </c>
      <c r="L44" t="inlineStr">
        <is>
          <t>20250127</t>
        </is>
      </c>
    </row>
    <row r="45">
      <c r="A45" t="inlineStr">
        <is>
          <t>900006255</t>
        </is>
      </c>
      <c r="B45" t="inlineStr">
        <is>
          <t>D865</t>
        </is>
      </c>
      <c r="C45" t="inlineStr">
        <is>
          <t>67159573</t>
        </is>
      </c>
      <c r="D45" t="inlineStr">
        <is>
          <t>10047573</t>
        </is>
      </c>
      <c r="E45" t="inlineStr"/>
      <c r="F45" s="12" t="n">
        <v>91</v>
      </c>
      <c r="G45" t="inlineStr"/>
      <c r="I45" t="inlineStr">
        <is>
          <t>M3</t>
        </is>
      </c>
      <c r="J45" t="inlineStr"/>
      <c r="K45" t="inlineStr">
        <is>
          <t>20190426</t>
        </is>
      </c>
      <c r="L45" t="inlineStr">
        <is>
          <t>20250127</t>
        </is>
      </c>
    </row>
    <row r="46">
      <c r="A46" t="inlineStr">
        <is>
          <t>900006766</t>
        </is>
      </c>
      <c r="B46" t="inlineStr">
        <is>
          <t>D865</t>
        </is>
      </c>
      <c r="C46" t="inlineStr">
        <is>
          <t>66533688</t>
        </is>
      </c>
      <c r="D46" t="inlineStr">
        <is>
          <t>10000829</t>
        </is>
      </c>
      <c r="E46" t="inlineStr"/>
      <c r="F46" s="12" t="n">
        <v>72</v>
      </c>
      <c r="G46" t="inlineStr"/>
      <c r="I46" t="inlineStr">
        <is>
          <t>M3</t>
        </is>
      </c>
      <c r="J46" t="inlineStr"/>
      <c r="K46" t="inlineStr">
        <is>
          <t>20190426</t>
        </is>
      </c>
      <c r="L46" t="inlineStr">
        <is>
          <t>20250127</t>
        </is>
      </c>
    </row>
    <row r="47">
      <c r="A47" t="inlineStr">
        <is>
          <t>900006766</t>
        </is>
      </c>
      <c r="B47" t="inlineStr">
        <is>
          <t>D865</t>
        </is>
      </c>
      <c r="C47" t="inlineStr">
        <is>
          <t>66586197</t>
        </is>
      </c>
      <c r="D47" t="inlineStr">
        <is>
          <t>10000829</t>
        </is>
      </c>
      <c r="E47" t="inlineStr"/>
      <c r="F47" s="12" t="n">
        <v>72</v>
      </c>
      <c r="G47" t="inlineStr"/>
      <c r="I47" t="inlineStr">
        <is>
          <t>M3</t>
        </is>
      </c>
      <c r="J47" t="inlineStr"/>
      <c r="K47" t="inlineStr">
        <is>
          <t>20190426</t>
        </is>
      </c>
      <c r="L47" t="inlineStr">
        <is>
          <t>20250127</t>
        </is>
      </c>
    </row>
    <row r="48">
      <c r="A48" t="inlineStr">
        <is>
          <t>900006766</t>
        </is>
      </c>
      <c r="B48" t="inlineStr">
        <is>
          <t>D865</t>
        </is>
      </c>
      <c r="C48" t="inlineStr">
        <is>
          <t>67098138</t>
        </is>
      </c>
      <c r="D48" t="inlineStr">
        <is>
          <t>10000829</t>
        </is>
      </c>
      <c r="E48" t="inlineStr"/>
      <c r="F48" s="12" t="n">
        <v>70</v>
      </c>
      <c r="G48" t="inlineStr"/>
      <c r="I48" t="inlineStr">
        <is>
          <t>M3</t>
        </is>
      </c>
      <c r="J48" t="inlineStr"/>
      <c r="K48" t="inlineStr">
        <is>
          <t>20190426</t>
        </is>
      </c>
      <c r="L48" t="inlineStr">
        <is>
          <t>20250127</t>
        </is>
      </c>
    </row>
    <row r="49">
      <c r="A49" t="inlineStr">
        <is>
          <t>900007185</t>
        </is>
      </c>
      <c r="B49" t="inlineStr">
        <is>
          <t>D865</t>
        </is>
      </c>
      <c r="C49" t="inlineStr">
        <is>
          <t>67098138</t>
        </is>
      </c>
      <c r="D49" t="inlineStr">
        <is>
          <t>10000651</t>
        </is>
      </c>
      <c r="E49" t="inlineStr"/>
      <c r="F49" s="12" t="n">
        <v>110</v>
      </c>
      <c r="G49" t="inlineStr"/>
      <c r="I49" t="inlineStr">
        <is>
          <t>M3</t>
        </is>
      </c>
      <c r="J49" t="inlineStr"/>
      <c r="K49" t="inlineStr">
        <is>
          <t>20190426</t>
        </is>
      </c>
      <c r="L49" t="inlineStr">
        <is>
          <t>20250127</t>
        </is>
      </c>
    </row>
    <row r="50">
      <c r="A50" t="inlineStr">
        <is>
          <t>900003877</t>
        </is>
      </c>
      <c r="B50" t="inlineStr">
        <is>
          <t>D865</t>
        </is>
      </c>
      <c r="C50" t="inlineStr">
        <is>
          <t>67200025</t>
        </is>
      </c>
      <c r="D50" t="inlineStr">
        <is>
          <t>10000632</t>
        </is>
      </c>
      <c r="E50" t="inlineStr"/>
      <c r="F50" s="12" t="n">
        <v>291</v>
      </c>
      <c r="G50" t="inlineStr"/>
      <c r="I50" t="inlineStr">
        <is>
          <t>M3</t>
        </is>
      </c>
      <c r="J50" t="inlineStr"/>
      <c r="K50" t="inlineStr">
        <is>
          <t>20240619</t>
        </is>
      </c>
      <c r="L50" t="inlineStr">
        <is>
          <t>20251031</t>
        </is>
      </c>
    </row>
    <row r="51">
      <c r="A51" t="inlineStr">
        <is>
          <t>900003877</t>
        </is>
      </c>
      <c r="B51" t="inlineStr">
        <is>
          <t>D865</t>
        </is>
      </c>
      <c r="C51" t="inlineStr">
        <is>
          <t>67200025</t>
        </is>
      </c>
      <c r="D51" t="inlineStr">
        <is>
          <t>10000735</t>
        </is>
      </c>
      <c r="E51" t="inlineStr"/>
      <c r="F51" s="12" t="n">
        <v>341</v>
      </c>
      <c r="G51" t="inlineStr"/>
      <c r="I51" t="inlineStr">
        <is>
          <t>M3</t>
        </is>
      </c>
      <c r="J51" t="inlineStr"/>
      <c r="K51" t="inlineStr">
        <is>
          <t>20240619</t>
        </is>
      </c>
      <c r="L51" t="inlineStr">
        <is>
          <t>20251031</t>
        </is>
      </c>
    </row>
    <row r="52">
      <c r="A52" t="inlineStr">
        <is>
          <t>900003877</t>
        </is>
      </c>
      <c r="B52" t="inlineStr">
        <is>
          <t>D865</t>
        </is>
      </c>
      <c r="C52" t="inlineStr">
        <is>
          <t>67200025</t>
        </is>
      </c>
      <c r="D52" t="inlineStr">
        <is>
          <t>10047573</t>
        </is>
      </c>
      <c r="E52" t="inlineStr"/>
      <c r="F52" s="12" t="n">
        <v>91</v>
      </c>
      <c r="G52" t="inlineStr"/>
      <c r="I52" t="inlineStr">
        <is>
          <t>M3</t>
        </is>
      </c>
      <c r="J52" t="inlineStr"/>
      <c r="K52" t="inlineStr">
        <is>
          <t>20240619</t>
        </is>
      </c>
      <c r="L52" t="inlineStr">
        <is>
          <t>20251031</t>
        </is>
      </c>
    </row>
    <row r="53">
      <c r="A53" t="inlineStr">
        <is>
          <t>900004240</t>
        </is>
      </c>
      <c r="B53" t="inlineStr">
        <is>
          <t>D865</t>
        </is>
      </c>
      <c r="C53" t="inlineStr">
        <is>
          <t>67098138</t>
        </is>
      </c>
      <c r="D53" t="inlineStr">
        <is>
          <t>10000394</t>
        </is>
      </c>
      <c r="E53" t="inlineStr"/>
      <c r="F53" s="12" t="n">
        <v>74.90000000000001</v>
      </c>
      <c r="G53" t="inlineStr"/>
      <c r="I53" t="inlineStr">
        <is>
          <t>M3</t>
        </is>
      </c>
      <c r="J53" t="inlineStr"/>
      <c r="K53" t="inlineStr">
        <is>
          <t>20240619</t>
        </is>
      </c>
      <c r="L53" t="inlineStr">
        <is>
          <t>20251031</t>
        </is>
      </c>
    </row>
    <row r="54">
      <c r="A54" t="inlineStr">
        <is>
          <t>900004240</t>
        </is>
      </c>
      <c r="B54" t="inlineStr">
        <is>
          <t>D865</t>
        </is>
      </c>
      <c r="C54" t="inlineStr">
        <is>
          <t>67240729</t>
        </is>
      </c>
      <c r="D54" t="inlineStr">
        <is>
          <t>10000394</t>
        </is>
      </c>
      <c r="E54" t="inlineStr"/>
      <c r="F54" s="12" t="n">
        <v>84</v>
      </c>
      <c r="G54" t="inlineStr"/>
      <c r="I54" t="inlineStr">
        <is>
          <t>M3</t>
        </is>
      </c>
      <c r="J54" t="inlineStr"/>
      <c r="K54" t="inlineStr">
        <is>
          <t>20240619</t>
        </is>
      </c>
      <c r="L54" t="inlineStr">
        <is>
          <t>20251031</t>
        </is>
      </c>
    </row>
    <row r="55">
      <c r="A55" t="inlineStr">
        <is>
          <t>900004240</t>
        </is>
      </c>
      <c r="B55" t="inlineStr">
        <is>
          <t>D865</t>
        </is>
      </c>
      <c r="C55" t="inlineStr">
        <is>
          <t>67242385</t>
        </is>
      </c>
      <c r="D55" t="inlineStr">
        <is>
          <t>10000394</t>
        </is>
      </c>
      <c r="E55" t="inlineStr"/>
      <c r="F55" s="12" t="n">
        <v>84</v>
      </c>
      <c r="G55" t="inlineStr"/>
      <c r="I55" t="inlineStr">
        <is>
          <t>M3</t>
        </is>
      </c>
      <c r="J55" t="inlineStr"/>
      <c r="K55" t="inlineStr">
        <is>
          <t>20240619</t>
        </is>
      </c>
      <c r="L55" t="inlineStr">
        <is>
          <t>20251031</t>
        </is>
      </c>
    </row>
    <row r="56">
      <c r="A56" t="inlineStr">
        <is>
          <t>900005655</t>
        </is>
      </c>
      <c r="B56" t="inlineStr">
        <is>
          <t>D865</t>
        </is>
      </c>
      <c r="C56" t="inlineStr">
        <is>
          <t>67098138</t>
        </is>
      </c>
      <c r="D56" t="inlineStr">
        <is>
          <t>10000829</t>
        </is>
      </c>
      <c r="E56" t="inlineStr"/>
      <c r="F56" s="12" t="n">
        <v>140</v>
      </c>
      <c r="G56" t="inlineStr"/>
      <c r="I56" t="inlineStr">
        <is>
          <t>M3</t>
        </is>
      </c>
      <c r="J56" t="inlineStr"/>
      <c r="K56" t="inlineStr">
        <is>
          <t>20240619</t>
        </is>
      </c>
      <c r="L56" t="inlineStr">
        <is>
          <t>20251031</t>
        </is>
      </c>
    </row>
    <row r="57">
      <c r="A57" t="inlineStr">
        <is>
          <t>900006255</t>
        </is>
      </c>
      <c r="B57" t="inlineStr">
        <is>
          <t>D865</t>
        </is>
      </c>
      <c r="C57" t="inlineStr">
        <is>
          <t>67200025</t>
        </is>
      </c>
      <c r="D57" t="inlineStr">
        <is>
          <t>10000621</t>
        </is>
      </c>
      <c r="E57" t="inlineStr"/>
      <c r="F57" s="12" t="n">
        <v>291</v>
      </c>
      <c r="G57" t="inlineStr"/>
      <c r="I57" t="inlineStr">
        <is>
          <t>M3</t>
        </is>
      </c>
      <c r="J57" t="inlineStr"/>
      <c r="K57" t="inlineStr">
        <is>
          <t>20240619</t>
        </is>
      </c>
      <c r="L57" t="inlineStr">
        <is>
          <t>20251031</t>
        </is>
      </c>
    </row>
    <row r="58">
      <c r="A58" t="inlineStr">
        <is>
          <t>900006255</t>
        </is>
      </c>
      <c r="B58" t="inlineStr">
        <is>
          <t>D865</t>
        </is>
      </c>
      <c r="C58" t="inlineStr">
        <is>
          <t>67200025</t>
        </is>
      </c>
      <c r="D58" t="inlineStr">
        <is>
          <t>10006150</t>
        </is>
      </c>
      <c r="E58" t="inlineStr"/>
      <c r="F58" s="12" t="n">
        <v>291</v>
      </c>
      <c r="G58" t="inlineStr"/>
      <c r="I58" t="inlineStr">
        <is>
          <t>M3</t>
        </is>
      </c>
      <c r="J58" t="inlineStr"/>
      <c r="K58" t="inlineStr">
        <is>
          <t>20240619</t>
        </is>
      </c>
      <c r="L58" t="inlineStr">
        <is>
          <t>20251031</t>
        </is>
      </c>
    </row>
    <row r="59">
      <c r="A59" t="inlineStr">
        <is>
          <t>900006255</t>
        </is>
      </c>
      <c r="B59" t="inlineStr">
        <is>
          <t>D865</t>
        </is>
      </c>
      <c r="C59" t="inlineStr">
        <is>
          <t>67200025</t>
        </is>
      </c>
      <c r="D59" t="inlineStr">
        <is>
          <t>10047573</t>
        </is>
      </c>
      <c r="E59" t="inlineStr"/>
      <c r="F59" s="12" t="n">
        <v>91</v>
      </c>
      <c r="G59" t="inlineStr"/>
      <c r="I59" t="inlineStr">
        <is>
          <t>M3</t>
        </is>
      </c>
      <c r="J59" t="inlineStr"/>
      <c r="K59" t="inlineStr">
        <is>
          <t>20240619</t>
        </is>
      </c>
      <c r="L59" t="inlineStr">
        <is>
          <t>20251031</t>
        </is>
      </c>
    </row>
    <row r="60">
      <c r="A60" t="inlineStr">
        <is>
          <t>900008869</t>
        </is>
      </c>
      <c r="B60" t="inlineStr">
        <is>
          <t>D865</t>
        </is>
      </c>
      <c r="C60" t="inlineStr">
        <is>
          <t>67242382</t>
        </is>
      </c>
      <c r="D60" t="inlineStr">
        <is>
          <t>10000623</t>
        </is>
      </c>
      <c r="E60" t="inlineStr"/>
      <c r="F60" s="12" t="n">
        <v>203.39</v>
      </c>
      <c r="G60" t="inlineStr"/>
      <c r="I60" t="inlineStr">
        <is>
          <t>TN</t>
        </is>
      </c>
      <c r="J60" t="inlineStr"/>
      <c r="K60" t="inlineStr">
        <is>
          <t>20240619</t>
        </is>
      </c>
      <c r="L60" t="inlineStr">
        <is>
          <t>20251031</t>
        </is>
      </c>
    </row>
    <row r="61">
      <c r="A61" t="inlineStr">
        <is>
          <t>900003877</t>
        </is>
      </c>
      <c r="B61" t="inlineStr">
        <is>
          <t>D865</t>
        </is>
      </c>
      <c r="C61" t="inlineStr">
        <is>
          <t>67198083</t>
        </is>
      </c>
      <c r="D61" t="inlineStr">
        <is>
          <t>10000632</t>
        </is>
      </c>
      <c r="E61" t="inlineStr"/>
      <c r="F61" s="12" t="n">
        <v>320</v>
      </c>
      <c r="G61" t="inlineStr"/>
      <c r="I61" t="inlineStr">
        <is>
          <t>M3</t>
        </is>
      </c>
      <c r="J61" t="inlineStr"/>
      <c r="K61" t="inlineStr">
        <is>
          <t>20251105</t>
        </is>
      </c>
      <c r="L61" t="inlineStr">
        <is>
          <t>99991231</t>
        </is>
      </c>
    </row>
    <row r="62">
      <c r="A62" t="inlineStr">
        <is>
          <t>900004240</t>
        </is>
      </c>
      <c r="B62" t="inlineStr">
        <is>
          <t>D865</t>
        </is>
      </c>
      <c r="C62" t="inlineStr">
        <is>
          <t>67198083</t>
        </is>
      </c>
      <c r="D62" t="inlineStr">
        <is>
          <t>10000394</t>
        </is>
      </c>
      <c r="E62" t="inlineStr"/>
      <c r="F62" s="12" t="n">
        <v>75</v>
      </c>
      <c r="G62" t="inlineStr"/>
      <c r="I62" t="inlineStr">
        <is>
          <t>M3</t>
        </is>
      </c>
      <c r="J62" t="inlineStr"/>
      <c r="K62" t="inlineStr">
        <is>
          <t>20240925</t>
        </is>
      </c>
      <c r="L62" t="inlineStr">
        <is>
          <t>99991231</t>
        </is>
      </c>
    </row>
    <row r="63">
      <c r="A63" t="inlineStr">
        <is>
          <t>900004598</t>
        </is>
      </c>
      <c r="B63" t="inlineStr">
        <is>
          <t>D865</t>
        </is>
      </c>
      <c r="C63" t="inlineStr">
        <is>
          <t>67098138</t>
        </is>
      </c>
      <c r="D63" t="inlineStr">
        <is>
          <t>10006150</t>
        </is>
      </c>
      <c r="E63" t="inlineStr"/>
      <c r="F63" s="12" t="n">
        <v>310</v>
      </c>
      <c r="G63" t="inlineStr"/>
      <c r="I63" t="inlineStr">
        <is>
          <t>M3</t>
        </is>
      </c>
      <c r="J63" t="inlineStr"/>
      <c r="K63" t="inlineStr">
        <is>
          <t>20241022</t>
        </is>
      </c>
      <c r="L63" t="inlineStr">
        <is>
          <t>99991231</t>
        </is>
      </c>
    </row>
    <row r="64">
      <c r="A64" t="inlineStr">
        <is>
          <t>900004598</t>
        </is>
      </c>
      <c r="B64" t="inlineStr">
        <is>
          <t>D865</t>
        </is>
      </c>
      <c r="C64" t="inlineStr">
        <is>
          <t>67098138</t>
        </is>
      </c>
      <c r="D64" t="inlineStr">
        <is>
          <t>10047573</t>
        </is>
      </c>
      <c r="E64" t="inlineStr"/>
      <c r="F64" s="12" t="n">
        <v>58</v>
      </c>
      <c r="G64" t="inlineStr"/>
      <c r="I64" t="inlineStr">
        <is>
          <t>M3</t>
        </is>
      </c>
      <c r="J64" t="inlineStr"/>
      <c r="K64" t="inlineStr">
        <is>
          <t>20241022</t>
        </is>
      </c>
      <c r="L64" t="inlineStr">
        <is>
          <t>99991231</t>
        </is>
      </c>
    </row>
    <row r="65">
      <c r="A65" t="inlineStr">
        <is>
          <t>900006255</t>
        </is>
      </c>
      <c r="B65" t="inlineStr">
        <is>
          <t>D865</t>
        </is>
      </c>
      <c r="C65" t="inlineStr">
        <is>
          <t>67098138</t>
        </is>
      </c>
      <c r="D65" t="inlineStr">
        <is>
          <t>10006150</t>
        </is>
      </c>
      <c r="E65" t="inlineStr"/>
      <c r="F65" s="12" t="n">
        <v>290</v>
      </c>
      <c r="G65" t="inlineStr"/>
      <c r="I65" t="inlineStr">
        <is>
          <t>M3</t>
        </is>
      </c>
      <c r="J65" t="inlineStr"/>
      <c r="K65" t="inlineStr">
        <is>
          <t>20240619</t>
        </is>
      </c>
      <c r="L65" t="inlineStr">
        <is>
          <t>99991231</t>
        </is>
      </c>
    </row>
    <row r="66">
      <c r="A66" t="inlineStr">
        <is>
          <t>900008869</t>
        </is>
      </c>
      <c r="B66" t="inlineStr">
        <is>
          <t>D865</t>
        </is>
      </c>
      <c r="C66" t="inlineStr">
        <is>
          <t>67240729</t>
        </is>
      </c>
      <c r="D66" t="inlineStr">
        <is>
          <t>10000623</t>
        </is>
      </c>
      <c r="E66" t="inlineStr"/>
      <c r="F66" s="12" t="n">
        <v>142.49</v>
      </c>
      <c r="G66" t="inlineStr"/>
      <c r="I66" t="inlineStr">
        <is>
          <t>TN</t>
        </is>
      </c>
      <c r="J66" t="inlineStr"/>
      <c r="K66" t="inlineStr">
        <is>
          <t>20240619</t>
        </is>
      </c>
      <c r="L66" t="inlineStr">
        <is>
          <t>99991231</t>
        </is>
      </c>
    </row>
    <row r="67">
      <c r="A67" t="inlineStr">
        <is>
          <t>900008869</t>
        </is>
      </c>
      <c r="B67" t="inlineStr">
        <is>
          <t>D865</t>
        </is>
      </c>
      <c r="C67" t="inlineStr">
        <is>
          <t>67242385</t>
        </is>
      </c>
      <c r="D67" t="inlineStr">
        <is>
          <t>10000623</t>
        </is>
      </c>
      <c r="E67" t="inlineStr"/>
      <c r="F67" s="12" t="n">
        <v>184.86</v>
      </c>
      <c r="G67" t="inlineStr"/>
      <c r="I67" t="inlineStr">
        <is>
          <t>TN</t>
        </is>
      </c>
      <c r="J67" t="inlineStr"/>
      <c r="K67" t="inlineStr">
        <is>
          <t>20240619</t>
        </is>
      </c>
      <c r="L67" t="inlineStr">
        <is>
          <t>99991231</t>
        </is>
      </c>
    </row>
    <row r="68">
      <c r="A68" t="inlineStr">
        <is>
          <t>900008869</t>
        </is>
      </c>
      <c r="B68" t="inlineStr">
        <is>
          <t>D865</t>
        </is>
      </c>
      <c r="C68" t="inlineStr">
        <is>
          <t>67283503</t>
        </is>
      </c>
      <c r="D68" t="inlineStr">
        <is>
          <t>10000623</t>
        </is>
      </c>
      <c r="E68" t="inlineStr"/>
      <c r="F68" s="12" t="n">
        <v>203.39</v>
      </c>
      <c r="G68" t="inlineStr"/>
      <c r="I68" t="inlineStr">
        <is>
          <t>TN</t>
        </is>
      </c>
      <c r="J68" t="inlineStr"/>
      <c r="K68" t="inlineStr">
        <is>
          <t>20250219</t>
        </is>
      </c>
      <c r="L68" t="inlineStr">
        <is>
          <t>99991231</t>
        </is>
      </c>
    </row>
    <row r="69">
      <c r="A69" t="inlineStr">
        <is>
          <t>900009140</t>
        </is>
      </c>
      <c r="B69" t="inlineStr">
        <is>
          <t>D865</t>
        </is>
      </c>
      <c r="C69" t="inlineStr">
        <is>
          <t>67240729</t>
        </is>
      </c>
      <c r="D69" t="inlineStr">
        <is>
          <t>10000623</t>
        </is>
      </c>
      <c r="E69" t="inlineStr"/>
      <c r="F69" s="12" t="n">
        <v>142.49</v>
      </c>
      <c r="G69" t="inlineStr"/>
      <c r="I69" t="inlineStr">
        <is>
          <t>TN</t>
        </is>
      </c>
      <c r="J69" t="inlineStr"/>
      <c r="K69" t="inlineStr">
        <is>
          <t>20250627</t>
        </is>
      </c>
      <c r="L69" t="inlineStr">
        <is>
          <t>99991231</t>
        </is>
      </c>
    </row>
    <row r="70">
      <c r="A70" t="inlineStr">
        <is>
          <t>900009140</t>
        </is>
      </c>
      <c r="B70" t="inlineStr">
        <is>
          <t>D865</t>
        </is>
      </c>
      <c r="C70" t="inlineStr">
        <is>
          <t>67242385</t>
        </is>
      </c>
      <c r="D70" t="inlineStr">
        <is>
          <t>10000623</t>
        </is>
      </c>
      <c r="E70" t="inlineStr"/>
      <c r="F70" s="12" t="n">
        <v>184.86</v>
      </c>
      <c r="G70" t="inlineStr"/>
      <c r="I70" t="inlineStr">
        <is>
          <t>TN</t>
        </is>
      </c>
      <c r="J70" t="inlineStr"/>
      <c r="K70" t="inlineStr">
        <is>
          <t>20251104</t>
        </is>
      </c>
      <c r="L70" t="inlineStr">
        <is>
          <t>99991231</t>
        </is>
      </c>
    </row>
    <row r="71">
      <c r="A71" t="inlineStr">
        <is>
          <t>900009140</t>
        </is>
      </c>
      <c r="B71" t="inlineStr">
        <is>
          <t>D865</t>
        </is>
      </c>
      <c r="C71" t="inlineStr">
        <is>
          <t>67283503</t>
        </is>
      </c>
      <c r="D71" t="inlineStr">
        <is>
          <t>10000623</t>
        </is>
      </c>
      <c r="E71" t="inlineStr"/>
      <c r="F71" s="12" t="n">
        <v>203.39</v>
      </c>
      <c r="G71" t="inlineStr"/>
      <c r="I71" t="inlineStr">
        <is>
          <t>TN</t>
        </is>
      </c>
      <c r="J71" t="inlineStr"/>
      <c r="K71" t="inlineStr">
        <is>
          <t>20250708</t>
        </is>
      </c>
      <c r="L71" t="inlineStr">
        <is>
          <t>99991231</t>
        </is>
      </c>
    </row>
    <row r="72">
      <c r="A72" t="inlineStr">
        <is>
          <t>900009140</t>
        </is>
      </c>
      <c r="B72" t="inlineStr">
        <is>
          <t>D865</t>
        </is>
      </c>
      <c r="C72" t="inlineStr">
        <is>
          <t>67376830</t>
        </is>
      </c>
      <c r="D72" t="inlineStr">
        <is>
          <t>10000623</t>
        </is>
      </c>
      <c r="E72" t="inlineStr"/>
      <c r="F72" s="12" t="n">
        <v>217</v>
      </c>
      <c r="G72" t="inlineStr"/>
      <c r="I72" t="inlineStr">
        <is>
          <t>TN</t>
        </is>
      </c>
      <c r="J72" t="inlineStr"/>
      <c r="K72" t="inlineStr">
        <is>
          <t>20260901</t>
        </is>
      </c>
      <c r="L72" t="inlineStr">
        <is>
          <t>99991231</t>
        </is>
      </c>
    </row>
    <row r="73">
      <c r="A73" t="inlineStr">
        <is>
          <t>900004240</t>
        </is>
      </c>
      <c r="B73" t="inlineStr">
        <is>
          <t>D865</t>
        </is>
      </c>
      <c r="C73" t="inlineStr">
        <is>
          <t>67098138</t>
        </is>
      </c>
      <c r="D73" t="inlineStr">
        <is>
          <t>10000394</t>
        </is>
      </c>
      <c r="E73" t="inlineStr"/>
      <c r="F73" s="12" t="n">
        <v>74.90000000000001</v>
      </c>
      <c r="G73" t="inlineStr"/>
      <c r="I73" t="inlineStr">
        <is>
          <t>M3</t>
        </is>
      </c>
      <c r="J73" t="inlineStr"/>
      <c r="K73" t="inlineStr">
        <is>
          <t>20250505</t>
        </is>
      </c>
      <c r="L73" t="inlineStr">
        <is>
          <t>20250507</t>
        </is>
      </c>
    </row>
    <row r="74">
      <c r="A74" t="inlineStr">
        <is>
          <t>900004240</t>
        </is>
      </c>
      <c r="B74" t="inlineStr">
        <is>
          <t>D865</t>
        </is>
      </c>
      <c r="C74" t="inlineStr">
        <is>
          <t>67198083</t>
        </is>
      </c>
      <c r="D74" t="inlineStr">
        <is>
          <t>10000394</t>
        </is>
      </c>
      <c r="E74" t="inlineStr"/>
      <c r="F74" s="12" t="n">
        <v>75</v>
      </c>
      <c r="G74" t="inlineStr"/>
      <c r="I74" t="inlineStr">
        <is>
          <t>M3</t>
        </is>
      </c>
      <c r="J74" t="inlineStr"/>
      <c r="K74" t="inlineStr">
        <is>
          <t>20240813</t>
        </is>
      </c>
      <c r="L74" t="inlineStr">
        <is>
          <t>20241108</t>
        </is>
      </c>
    </row>
    <row r="75">
      <c r="A75" t="inlineStr">
        <is>
          <t>900004598</t>
        </is>
      </c>
      <c r="B75" t="inlineStr">
        <is>
          <t>D865</t>
        </is>
      </c>
      <c r="C75" t="inlineStr">
        <is>
          <t>67098138</t>
        </is>
      </c>
      <c r="D75" t="inlineStr">
        <is>
          <t>10006150</t>
        </is>
      </c>
      <c r="E75" t="inlineStr"/>
      <c r="F75" s="12" t="n">
        <v>310</v>
      </c>
      <c r="G75" t="inlineStr"/>
      <c r="I75" t="inlineStr">
        <is>
          <t>M3</t>
        </is>
      </c>
      <c r="J75" t="inlineStr"/>
      <c r="K75" t="inlineStr">
        <is>
          <t>20240813</t>
        </is>
      </c>
      <c r="L75" t="inlineStr">
        <is>
          <t>20241108</t>
        </is>
      </c>
    </row>
    <row r="76">
      <c r="A76" t="inlineStr">
        <is>
          <t>900004598</t>
        </is>
      </c>
      <c r="B76" t="inlineStr">
        <is>
          <t>D865</t>
        </is>
      </c>
      <c r="C76" t="inlineStr">
        <is>
          <t>67098138</t>
        </is>
      </c>
      <c r="D76" t="inlineStr">
        <is>
          <t>10047573</t>
        </is>
      </c>
      <c r="E76" t="inlineStr"/>
      <c r="F76" s="12" t="n">
        <v>58</v>
      </c>
      <c r="G76" t="inlineStr"/>
      <c r="I76" t="inlineStr">
        <is>
          <t>M3</t>
        </is>
      </c>
      <c r="J76" t="inlineStr"/>
      <c r="K76" t="inlineStr">
        <is>
          <t>20240813</t>
        </is>
      </c>
      <c r="L76" t="inlineStr">
        <is>
          <t>20241108</t>
        </is>
      </c>
    </row>
    <row r="77">
      <c r="A77" t="inlineStr">
        <is>
          <t>900005655</t>
        </is>
      </c>
      <c r="B77" t="inlineStr">
        <is>
          <t>D865</t>
        </is>
      </c>
      <c r="C77" t="inlineStr">
        <is>
          <t>67098138</t>
        </is>
      </c>
      <c r="D77" t="inlineStr">
        <is>
          <t>10000829</t>
        </is>
      </c>
      <c r="E77" t="inlineStr"/>
      <c r="F77" s="12" t="n">
        <v>140</v>
      </c>
      <c r="G77" t="inlineStr"/>
      <c r="I77" t="inlineStr">
        <is>
          <t>M3</t>
        </is>
      </c>
      <c r="J77" t="inlineStr"/>
      <c r="K77" t="inlineStr">
        <is>
          <t>20240425</t>
        </is>
      </c>
      <c r="L77" t="inlineStr">
        <is>
          <t>20240814</t>
        </is>
      </c>
    </row>
    <row r="78">
      <c r="A78" t="inlineStr">
        <is>
          <t>900008869</t>
        </is>
      </c>
      <c r="B78" t="inlineStr">
        <is>
          <t>D865</t>
        </is>
      </c>
      <c r="C78" t="inlineStr">
        <is>
          <t>67242382</t>
        </is>
      </c>
      <c r="D78" t="inlineStr">
        <is>
          <t>10000623</t>
        </is>
      </c>
      <c r="E78" t="inlineStr"/>
      <c r="F78" s="12" t="n">
        <v>171</v>
      </c>
      <c r="G78" t="inlineStr"/>
      <c r="I78" t="inlineStr">
        <is>
          <t>TN</t>
        </is>
      </c>
      <c r="J78" t="inlineStr"/>
      <c r="K78" t="inlineStr">
        <is>
          <t>20240813</t>
        </is>
      </c>
      <c r="L78" t="inlineStr">
        <is>
          <t>20241108</t>
        </is>
      </c>
    </row>
    <row r="79">
      <c r="A79" t="inlineStr">
        <is>
          <t>900008869</t>
        </is>
      </c>
      <c r="B79" t="inlineStr">
        <is>
          <t>D865</t>
        </is>
      </c>
      <c r="C79" t="inlineStr">
        <is>
          <t>67242385</t>
        </is>
      </c>
      <c r="D79" t="inlineStr">
        <is>
          <t>10000623</t>
        </is>
      </c>
      <c r="E79" t="inlineStr"/>
      <c r="F79" s="12" t="n">
        <v>154</v>
      </c>
      <c r="G79" t="inlineStr"/>
      <c r="I79" t="inlineStr">
        <is>
          <t>TN</t>
        </is>
      </c>
      <c r="J79" t="inlineStr"/>
      <c r="K79" t="inlineStr">
        <is>
          <t>20240813</t>
        </is>
      </c>
      <c r="L79" t="inlineStr">
        <is>
          <t>20241108</t>
        </is>
      </c>
    </row>
    <row r="80">
      <c r="A80" t="inlineStr">
        <is>
          <t>900008869</t>
        </is>
      </c>
      <c r="B80" t="inlineStr">
        <is>
          <t>D865</t>
        </is>
      </c>
      <c r="C80" t="inlineStr">
        <is>
          <t>67283503</t>
        </is>
      </c>
      <c r="D80" t="inlineStr">
        <is>
          <t>10000623</t>
        </is>
      </c>
      <c r="E80" t="inlineStr"/>
      <c r="F80" s="12" t="n">
        <v>171</v>
      </c>
      <c r="G80" t="inlineStr"/>
      <c r="I80" t="inlineStr">
        <is>
          <t>TN</t>
        </is>
      </c>
      <c r="J80" t="inlineStr"/>
      <c r="K80" t="inlineStr">
        <is>
          <t>20240813</t>
        </is>
      </c>
      <c r="L80" t="inlineStr">
        <is>
          <t>20241108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900000540D8656501466410000829</t>
        </is>
      </c>
      <c r="B2" t="inlineStr">
        <is>
          <t>900000540</t>
        </is>
      </c>
      <c r="C2" t="inlineStr">
        <is>
          <t>D865</t>
        </is>
      </c>
      <c r="D2" t="inlineStr">
        <is>
          <t>65014664</t>
        </is>
      </c>
      <c r="E2" t="inlineStr">
        <is>
          <t>1</t>
        </is>
      </c>
      <c r="F2" t="inlineStr">
        <is>
          <t>10000829</t>
        </is>
      </c>
      <c r="H2" t="inlineStr"/>
      <c r="J2" t="n">
        <v>211.09</v>
      </c>
      <c r="K2" t="inlineStr"/>
      <c r="M2" t="inlineStr">
        <is>
          <t>M3</t>
        </is>
      </c>
      <c r="N2" t="inlineStr"/>
      <c r="P2" t="inlineStr">
        <is>
          <t>20190426</t>
        </is>
      </c>
      <c r="Q2" t="inlineStr">
        <is>
          <t>20250127</t>
        </is>
      </c>
    </row>
    <row r="3">
      <c r="A3" t="inlineStr">
        <is>
          <t>900003877D8656594446810000360</t>
        </is>
      </c>
      <c r="B3" t="inlineStr">
        <is>
          <t>900003877</t>
        </is>
      </c>
      <c r="C3" t="inlineStr">
        <is>
          <t>D865</t>
        </is>
      </c>
      <c r="D3" t="inlineStr">
        <is>
          <t>65944468</t>
        </is>
      </c>
      <c r="E3" t="inlineStr">
        <is>
          <t>1</t>
        </is>
      </c>
      <c r="F3" t="inlineStr">
        <is>
          <t>10000360</t>
        </is>
      </c>
      <c r="H3" t="inlineStr"/>
      <c r="J3" t="n">
        <v>70</v>
      </c>
      <c r="K3" t="inlineStr"/>
      <c r="M3" t="inlineStr">
        <is>
          <t>M3</t>
        </is>
      </c>
      <c r="N3" t="inlineStr"/>
      <c r="P3" t="inlineStr">
        <is>
          <t>20190426</t>
        </is>
      </c>
      <c r="Q3" t="inlineStr">
        <is>
          <t>20250127</t>
        </is>
      </c>
    </row>
    <row r="4">
      <c r="A4" t="inlineStr">
        <is>
          <t>900003877D8656594446810000632</t>
        </is>
      </c>
      <c r="B4" t="inlineStr">
        <is>
          <t>900003877</t>
        </is>
      </c>
      <c r="C4" t="inlineStr">
        <is>
          <t>D865</t>
        </is>
      </c>
      <c r="D4" t="inlineStr">
        <is>
          <t>65944468</t>
        </is>
      </c>
      <c r="E4" t="inlineStr">
        <is>
          <t>1</t>
        </is>
      </c>
      <c r="F4" t="inlineStr">
        <is>
          <t>10000632</t>
        </is>
      </c>
      <c r="H4" t="inlineStr"/>
      <c r="J4" t="n">
        <v>70</v>
      </c>
      <c r="K4" t="inlineStr"/>
      <c r="M4" t="inlineStr">
        <is>
          <t>M3</t>
        </is>
      </c>
      <c r="N4" t="inlineStr"/>
      <c r="P4" t="inlineStr">
        <is>
          <t>20190426</t>
        </is>
      </c>
      <c r="Q4" t="inlineStr">
        <is>
          <t>20250127</t>
        </is>
      </c>
    </row>
    <row r="5">
      <c r="A5" t="inlineStr">
        <is>
          <t>900003877D8656594446810047573</t>
        </is>
      </c>
      <c r="B5" t="inlineStr">
        <is>
          <t>900003877</t>
        </is>
      </c>
      <c r="C5" t="inlineStr">
        <is>
          <t>D865</t>
        </is>
      </c>
      <c r="D5" t="inlineStr">
        <is>
          <t>65944468</t>
        </is>
      </c>
      <c r="E5" t="inlineStr">
        <is>
          <t>1</t>
        </is>
      </c>
      <c r="F5" t="inlineStr">
        <is>
          <t>10047573</t>
        </is>
      </c>
      <c r="H5" t="inlineStr"/>
      <c r="J5" t="n">
        <v>70</v>
      </c>
      <c r="K5" t="inlineStr"/>
      <c r="M5" t="inlineStr">
        <is>
          <t>M3</t>
        </is>
      </c>
      <c r="N5" t="inlineStr"/>
      <c r="P5" t="inlineStr">
        <is>
          <t>20190426</t>
        </is>
      </c>
      <c r="Q5" t="inlineStr">
        <is>
          <t>20250127</t>
        </is>
      </c>
    </row>
    <row r="6">
      <c r="A6" t="inlineStr">
        <is>
          <t>900004446D8656594446810000829</t>
        </is>
      </c>
      <c r="B6" t="inlineStr">
        <is>
          <t>900004446</t>
        </is>
      </c>
      <c r="C6" t="inlineStr">
        <is>
          <t>D865</t>
        </is>
      </c>
      <c r="D6" t="inlineStr">
        <is>
          <t>65944468</t>
        </is>
      </c>
      <c r="E6" t="inlineStr">
        <is>
          <t>1</t>
        </is>
      </c>
      <c r="F6" t="inlineStr">
        <is>
          <t>10000829</t>
        </is>
      </c>
      <c r="H6" t="inlineStr"/>
      <c r="J6" t="n">
        <v>115</v>
      </c>
      <c r="K6" t="inlineStr"/>
      <c r="M6" t="inlineStr">
        <is>
          <t>M3</t>
        </is>
      </c>
      <c r="N6" t="inlineStr"/>
      <c r="P6" t="inlineStr">
        <is>
          <t>20190426</t>
        </is>
      </c>
      <c r="Q6" t="inlineStr">
        <is>
          <t>20250127</t>
        </is>
      </c>
    </row>
    <row r="7">
      <c r="A7" t="inlineStr">
        <is>
          <t>900004447D8656501466410000160</t>
        </is>
      </c>
      <c r="B7" t="inlineStr">
        <is>
          <t>900004447</t>
        </is>
      </c>
      <c r="C7" t="inlineStr">
        <is>
          <t>D865</t>
        </is>
      </c>
      <c r="D7" t="inlineStr">
        <is>
          <t>65014664</t>
        </is>
      </c>
      <c r="E7" t="inlineStr">
        <is>
          <t>1</t>
        </is>
      </c>
      <c r="F7" t="inlineStr">
        <is>
          <t>10000160</t>
        </is>
      </c>
      <c r="H7" t="inlineStr"/>
      <c r="J7" t="n">
        <v>237.18</v>
      </c>
      <c r="K7" t="inlineStr"/>
      <c r="M7" t="inlineStr">
        <is>
          <t>M3</t>
        </is>
      </c>
      <c r="N7" t="inlineStr"/>
      <c r="P7" t="inlineStr">
        <is>
          <t>20190426</t>
        </is>
      </c>
      <c r="Q7" t="inlineStr">
        <is>
          <t>20250127</t>
        </is>
      </c>
    </row>
    <row r="8">
      <c r="A8" t="inlineStr">
        <is>
          <t>900004447D8656501466410000829</t>
        </is>
      </c>
      <c r="B8" t="inlineStr">
        <is>
          <t>900004447</t>
        </is>
      </c>
      <c r="C8" t="inlineStr">
        <is>
          <t>D865</t>
        </is>
      </c>
      <c r="D8" t="inlineStr">
        <is>
          <t>65014664</t>
        </is>
      </c>
      <c r="E8" t="inlineStr">
        <is>
          <t>1</t>
        </is>
      </c>
      <c r="F8" t="inlineStr">
        <is>
          <t>10000829</t>
        </is>
      </c>
      <c r="H8" t="inlineStr"/>
      <c r="J8" t="n">
        <v>237.18</v>
      </c>
      <c r="K8" t="inlineStr"/>
      <c r="M8" t="inlineStr">
        <is>
          <t>M3</t>
        </is>
      </c>
      <c r="N8" t="inlineStr"/>
      <c r="P8" t="inlineStr">
        <is>
          <t>20190426</t>
        </is>
      </c>
      <c r="Q8" t="inlineStr">
        <is>
          <t>20250127</t>
        </is>
      </c>
    </row>
    <row r="9">
      <c r="A9" t="inlineStr">
        <is>
          <t>900005785D8656656917410000394</t>
        </is>
      </c>
      <c r="B9" t="inlineStr">
        <is>
          <t>900005785</t>
        </is>
      </c>
      <c r="C9" t="inlineStr">
        <is>
          <t>D865</t>
        </is>
      </c>
      <c r="D9" t="inlineStr">
        <is>
          <t>66569174</t>
        </is>
      </c>
      <c r="E9" t="inlineStr">
        <is>
          <t>4</t>
        </is>
      </c>
      <c r="F9" t="inlineStr">
        <is>
          <t>10000394</t>
        </is>
      </c>
      <c r="H9" t="inlineStr"/>
      <c r="J9" t="n">
        <v>119</v>
      </c>
      <c r="K9" t="inlineStr"/>
      <c r="M9" t="inlineStr">
        <is>
          <t>M3</t>
        </is>
      </c>
      <c r="N9" t="inlineStr"/>
      <c r="P9" t="inlineStr">
        <is>
          <t>20190426</t>
        </is>
      </c>
      <c r="Q9" t="inlineStr">
        <is>
          <t>20250127</t>
        </is>
      </c>
    </row>
    <row r="10">
      <c r="A10" t="inlineStr">
        <is>
          <t>900005792D8656656917410000284</t>
        </is>
      </c>
      <c r="B10" t="inlineStr">
        <is>
          <t>900005792</t>
        </is>
      </c>
      <c r="C10" t="inlineStr">
        <is>
          <t>D865</t>
        </is>
      </c>
      <c r="D10" t="inlineStr">
        <is>
          <t>66569174</t>
        </is>
      </c>
      <c r="E10" t="inlineStr">
        <is>
          <t>4</t>
        </is>
      </c>
      <c r="F10" t="inlineStr">
        <is>
          <t>10000284</t>
        </is>
      </c>
      <c r="H10" t="inlineStr"/>
      <c r="J10" t="n">
        <v>44.5</v>
      </c>
      <c r="K10" t="inlineStr"/>
      <c r="M10" t="inlineStr">
        <is>
          <t>M3</t>
        </is>
      </c>
      <c r="N10" t="inlineStr"/>
      <c r="P10" t="inlineStr">
        <is>
          <t>20190426</t>
        </is>
      </c>
      <c r="Q10" t="inlineStr">
        <is>
          <t>20250127</t>
        </is>
      </c>
    </row>
    <row r="11">
      <c r="A11" t="inlineStr">
        <is>
          <t>900006123D865DE1210000651</t>
        </is>
      </c>
      <c r="B11" t="inlineStr">
        <is>
          <t>900006123</t>
        </is>
      </c>
      <c r="C11" t="inlineStr">
        <is>
          <t>D865</t>
        </is>
      </c>
      <c r="D11" t="inlineStr">
        <is>
          <t>DE12</t>
        </is>
      </c>
      <c r="E11" t="inlineStr">
        <is>
          <t>1</t>
        </is>
      </c>
      <c r="F11" t="inlineStr">
        <is>
          <t>10000651</t>
        </is>
      </c>
      <c r="H11" t="inlineStr"/>
      <c r="J11" t="n">
        <v>63.6</v>
      </c>
      <c r="K11" t="inlineStr"/>
      <c r="M11" t="inlineStr">
        <is>
          <t>TN</t>
        </is>
      </c>
      <c r="N11" t="inlineStr"/>
      <c r="P11" t="inlineStr">
        <is>
          <t>20190517</t>
        </is>
      </c>
      <c r="Q11" t="inlineStr">
        <is>
          <t>20240710</t>
        </is>
      </c>
    </row>
    <row r="12">
      <c r="A12" t="inlineStr">
        <is>
          <t>900006123D865DE1310000651</t>
        </is>
      </c>
      <c r="B12" t="inlineStr">
        <is>
          <t>900006123</t>
        </is>
      </c>
      <c r="C12" t="inlineStr">
        <is>
          <t>D865</t>
        </is>
      </c>
      <c r="D12" t="inlineStr">
        <is>
          <t>DE13</t>
        </is>
      </c>
      <c r="E12" t="inlineStr">
        <is>
          <t>1</t>
        </is>
      </c>
      <c r="F12" t="inlineStr">
        <is>
          <t>10000651</t>
        </is>
      </c>
      <c r="H12" t="inlineStr"/>
      <c r="J12" t="n">
        <v>71.08</v>
      </c>
      <c r="K12" t="inlineStr"/>
      <c r="M12" t="inlineStr">
        <is>
          <t>TN</t>
        </is>
      </c>
      <c r="N12" t="inlineStr"/>
      <c r="P12" t="inlineStr">
        <is>
          <t>20190517</t>
        </is>
      </c>
      <c r="Q12" t="inlineStr">
        <is>
          <t>20240710</t>
        </is>
      </c>
    </row>
    <row r="13">
      <c r="A13" t="inlineStr">
        <is>
          <t>900006123D865DE7310000651</t>
        </is>
      </c>
      <c r="B13" t="inlineStr">
        <is>
          <t>900006123</t>
        </is>
      </c>
      <c r="C13" t="inlineStr">
        <is>
          <t>D865</t>
        </is>
      </c>
      <c r="D13" t="inlineStr">
        <is>
          <t>DE73</t>
        </is>
      </c>
      <c r="E13" t="inlineStr">
        <is>
          <t>1</t>
        </is>
      </c>
      <c r="F13" t="inlineStr">
        <is>
          <t>10000651</t>
        </is>
      </c>
      <c r="H13" t="inlineStr"/>
      <c r="J13" t="n">
        <v>118.41</v>
      </c>
      <c r="K13" t="inlineStr"/>
      <c r="M13" t="inlineStr">
        <is>
          <t>TN</t>
        </is>
      </c>
      <c r="N13" t="inlineStr"/>
      <c r="P13" t="inlineStr">
        <is>
          <t>20190517</t>
        </is>
      </c>
      <c r="Q13" t="inlineStr">
        <is>
          <t>20240710</t>
        </is>
      </c>
    </row>
    <row r="14">
      <c r="A14" t="inlineStr">
        <is>
          <t>900008869D8656724072910000623</t>
        </is>
      </c>
      <c r="B14" t="inlineStr">
        <is>
          <t>900008869</t>
        </is>
      </c>
      <c r="C14" t="inlineStr">
        <is>
          <t>D865</t>
        </is>
      </c>
      <c r="D14" t="inlineStr">
        <is>
          <t>67240729</t>
        </is>
      </c>
      <c r="E14" t="inlineStr">
        <is>
          <t>4</t>
        </is>
      </c>
      <c r="F14" t="inlineStr">
        <is>
          <t>10000623</t>
        </is>
      </c>
      <c r="H14" t="inlineStr"/>
      <c r="J14" t="n">
        <v>360</v>
      </c>
      <c r="K14" t="inlineStr"/>
      <c r="M14" t="inlineStr">
        <is>
          <t>TN</t>
        </is>
      </c>
      <c r="N14" t="inlineStr"/>
      <c r="P14" t="inlineStr">
        <is>
          <t>20250219</t>
        </is>
      </c>
      <c r="Q14" t="inlineStr">
        <is>
          <t>99991231</t>
        </is>
      </c>
    </row>
    <row r="15">
      <c r="A15" t="inlineStr">
        <is>
          <t>900008869D8656724238210000623</t>
        </is>
      </c>
      <c r="B15" t="inlineStr">
        <is>
          <t>900008869</t>
        </is>
      </c>
      <c r="C15" t="inlineStr">
        <is>
          <t>D865</t>
        </is>
      </c>
      <c r="D15" t="inlineStr">
        <is>
          <t>67242382</t>
        </is>
      </c>
      <c r="E15" t="inlineStr">
        <is>
          <t>4</t>
        </is>
      </c>
      <c r="F15" t="inlineStr">
        <is>
          <t>10000623</t>
        </is>
      </c>
      <c r="H15" t="inlineStr"/>
      <c r="J15" t="n">
        <v>310</v>
      </c>
      <c r="K15" t="inlineStr"/>
      <c r="M15" t="inlineStr">
        <is>
          <t>TN</t>
        </is>
      </c>
      <c r="N15" t="inlineStr"/>
      <c r="P15" t="inlineStr">
        <is>
          <t>20230301</t>
        </is>
      </c>
      <c r="Q15" t="inlineStr">
        <is>
          <t>20251031</t>
        </is>
      </c>
    </row>
    <row r="16">
      <c r="A16" t="inlineStr">
        <is>
          <t>900008869D8656724238510000623</t>
        </is>
      </c>
      <c r="B16" t="inlineStr">
        <is>
          <t>900008869</t>
        </is>
      </c>
      <c r="C16" t="inlineStr">
        <is>
          <t>D865</t>
        </is>
      </c>
      <c r="D16" t="inlineStr">
        <is>
          <t>67242385</t>
        </is>
      </c>
      <c r="E16" t="inlineStr">
        <is>
          <t>4</t>
        </is>
      </c>
      <c r="F16" t="inlineStr">
        <is>
          <t>10000623</t>
        </is>
      </c>
      <c r="H16" t="inlineStr"/>
      <c r="J16" t="n">
        <v>310</v>
      </c>
      <c r="K16" t="inlineStr"/>
      <c r="M16" t="inlineStr">
        <is>
          <t>TN</t>
        </is>
      </c>
      <c r="N16" t="inlineStr"/>
      <c r="P16" t="inlineStr">
        <is>
          <t>20250219</t>
        </is>
      </c>
      <c r="Q16" t="inlineStr">
        <is>
          <t>99991231</t>
        </is>
      </c>
    </row>
    <row r="17">
      <c r="A17" t="inlineStr">
        <is>
          <t>900008869D8656728350310000623</t>
        </is>
      </c>
      <c r="B17" t="inlineStr">
        <is>
          <t>900008869</t>
        </is>
      </c>
      <c r="C17" t="inlineStr">
        <is>
          <t>D865</t>
        </is>
      </c>
      <c r="D17" t="inlineStr">
        <is>
          <t>67283503</t>
        </is>
      </c>
      <c r="E17" t="inlineStr">
        <is>
          <t>4</t>
        </is>
      </c>
      <c r="F17" t="inlineStr">
        <is>
          <t>10000623</t>
        </is>
      </c>
      <c r="H17" t="inlineStr"/>
      <c r="J17" t="n">
        <v>310</v>
      </c>
      <c r="K17" t="inlineStr"/>
      <c r="M17" t="inlineStr">
        <is>
          <t>TN</t>
        </is>
      </c>
      <c r="N17" t="inlineStr"/>
      <c r="P17" t="inlineStr">
        <is>
          <t>20250219</t>
        </is>
      </c>
      <c r="Q17" t="inlineStr">
        <is>
          <t>99991231</t>
        </is>
      </c>
    </row>
    <row r="18">
      <c r="A18" t="inlineStr">
        <is>
          <t>900009140D8656724072910000623</t>
        </is>
      </c>
      <c r="B18" t="inlineStr">
        <is>
          <t>900009140</t>
        </is>
      </c>
      <c r="C18" t="inlineStr">
        <is>
          <t>D865</t>
        </is>
      </c>
      <c r="D18" t="inlineStr">
        <is>
          <t>67240729</t>
        </is>
      </c>
      <c r="E18" t="inlineStr">
        <is>
          <t>4</t>
        </is>
      </c>
      <c r="F18" t="inlineStr">
        <is>
          <t>10000623</t>
        </is>
      </c>
      <c r="H18" t="inlineStr"/>
      <c r="J18" t="n">
        <v>360</v>
      </c>
      <c r="K18" t="inlineStr"/>
      <c r="M18" t="inlineStr">
        <is>
          <t>TN</t>
        </is>
      </c>
      <c r="N18" t="inlineStr"/>
      <c r="P18" t="inlineStr">
        <is>
          <t>20250627</t>
        </is>
      </c>
      <c r="Q18" t="inlineStr">
        <is>
          <t>99991231</t>
        </is>
      </c>
    </row>
    <row r="19">
      <c r="A19" t="inlineStr">
        <is>
          <t>900009140D8656724238510000623</t>
        </is>
      </c>
      <c r="B19" t="inlineStr">
        <is>
          <t>900009140</t>
        </is>
      </c>
      <c r="C19" t="inlineStr">
        <is>
          <t>D865</t>
        </is>
      </c>
      <c r="D19" t="inlineStr">
        <is>
          <t>67242385</t>
        </is>
      </c>
      <c r="E19" t="inlineStr">
        <is>
          <t>4</t>
        </is>
      </c>
      <c r="F19" t="inlineStr">
        <is>
          <t>10000623</t>
        </is>
      </c>
      <c r="H19" t="inlineStr"/>
      <c r="J19" t="n">
        <v>310</v>
      </c>
      <c r="K19" t="inlineStr"/>
      <c r="M19" t="inlineStr">
        <is>
          <t>TN</t>
        </is>
      </c>
      <c r="N19" t="inlineStr"/>
      <c r="P19" t="inlineStr">
        <is>
          <t>20251104</t>
        </is>
      </c>
      <c r="Q19" t="inlineStr">
        <is>
          <t>99991231</t>
        </is>
      </c>
    </row>
    <row r="20">
      <c r="A20" t="inlineStr">
        <is>
          <t>900009140D8656728350310000623</t>
        </is>
      </c>
      <c r="B20" t="inlineStr">
        <is>
          <t>900009140</t>
        </is>
      </c>
      <c r="C20" t="inlineStr">
        <is>
          <t>D865</t>
        </is>
      </c>
      <c r="D20" t="inlineStr">
        <is>
          <t>67283503</t>
        </is>
      </c>
      <c r="E20" t="inlineStr">
        <is>
          <t>4</t>
        </is>
      </c>
      <c r="F20" t="inlineStr">
        <is>
          <t>10000623</t>
        </is>
      </c>
      <c r="H20" t="inlineStr"/>
      <c r="J20" t="n">
        <v>310</v>
      </c>
      <c r="K20" t="inlineStr"/>
      <c r="M20" t="inlineStr">
        <is>
          <t>TN</t>
        </is>
      </c>
      <c r="N20" t="inlineStr"/>
      <c r="P20" t="inlineStr">
        <is>
          <t>20250708</t>
        </is>
      </c>
      <c r="Q20" t="inlineStr">
        <is>
          <t>99991231</t>
        </is>
      </c>
    </row>
    <row r="21">
      <c r="A21" t="inlineStr">
        <is>
          <t>900008869D8656724238210000623</t>
        </is>
      </c>
      <c r="B21" t="inlineStr">
        <is>
          <t>900008869</t>
        </is>
      </c>
      <c r="C21" t="inlineStr">
        <is>
          <t>D865</t>
        </is>
      </c>
      <c r="D21" t="inlineStr">
        <is>
          <t>67242382</t>
        </is>
      </c>
      <c r="E21" t="inlineStr">
        <is>
          <t>4</t>
        </is>
      </c>
      <c r="F21" t="inlineStr">
        <is>
          <t>10000623</t>
        </is>
      </c>
      <c r="H21" t="inlineStr"/>
      <c r="J21" t="n">
        <v>300</v>
      </c>
      <c r="K21" t="inlineStr"/>
      <c r="M21" t="inlineStr">
        <is>
          <t>TN</t>
        </is>
      </c>
      <c r="N21" t="inlineStr"/>
      <c r="P21" t="inlineStr">
        <is>
          <t>20240921</t>
        </is>
      </c>
      <c r="Q21" t="inlineStr">
        <is>
          <t>99991231</t>
        </is>
      </c>
    </row>
    <row r="22">
      <c r="A22" t="inlineStr">
        <is>
          <t>900008869D8656724238510000623</t>
        </is>
      </c>
      <c r="B22" t="inlineStr">
        <is>
          <t>900008869</t>
        </is>
      </c>
      <c r="C22" t="inlineStr">
        <is>
          <t>D865</t>
        </is>
      </c>
      <c r="D22" t="inlineStr">
        <is>
          <t>67242385</t>
        </is>
      </c>
      <c r="E22" t="inlineStr">
        <is>
          <t>4</t>
        </is>
      </c>
      <c r="F22" t="inlineStr">
        <is>
          <t>10000623</t>
        </is>
      </c>
      <c r="H22" t="inlineStr"/>
      <c r="J22" t="n">
        <v>300</v>
      </c>
      <c r="K22" t="inlineStr"/>
      <c r="M22" t="inlineStr">
        <is>
          <t>TN</t>
        </is>
      </c>
      <c r="N22" t="inlineStr"/>
      <c r="P22" t="inlineStr">
        <is>
          <t>20240921</t>
        </is>
      </c>
      <c r="Q22" t="inlineStr">
        <is>
          <t>99991231</t>
        </is>
      </c>
    </row>
    <row r="23">
      <c r="A23" t="inlineStr">
        <is>
          <t>900008869D8656728350310000623</t>
        </is>
      </c>
      <c r="B23" t="inlineStr">
        <is>
          <t>900008869</t>
        </is>
      </c>
      <c r="C23" t="inlineStr">
        <is>
          <t>D865</t>
        </is>
      </c>
      <c r="D23" t="inlineStr">
        <is>
          <t>67283503</t>
        </is>
      </c>
      <c r="E23" t="inlineStr">
        <is>
          <t>4</t>
        </is>
      </c>
      <c r="F23" t="inlineStr">
        <is>
          <t>10000623</t>
        </is>
      </c>
      <c r="H23" t="inlineStr"/>
      <c r="J23" t="n">
        <v>300</v>
      </c>
      <c r="K23" t="inlineStr"/>
      <c r="M23" t="inlineStr">
        <is>
          <t>TN</t>
        </is>
      </c>
      <c r="N23" t="inlineStr"/>
      <c r="P23" t="inlineStr">
        <is>
          <t>20240921</t>
        </is>
      </c>
      <c r="Q23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900009140D8656737683010000623</t>
        </is>
      </c>
      <c r="B2" t="inlineStr">
        <is>
          <t>4600071388-40</t>
        </is>
      </c>
      <c r="C2" t="n">
        <v>4600071388</v>
      </c>
      <c r="D2" t="n">
        <v>40</v>
      </c>
      <c r="E2" t="inlineStr">
        <is>
          <t>MXPO</t>
        </is>
      </c>
      <c r="F2" t="inlineStr">
        <is>
          <t>MXL</t>
        </is>
      </c>
      <c r="G2" t="n">
        <v>900009140</v>
      </c>
      <c r="H2" t="inlineStr">
        <is>
          <t>SF TP-ED CONCRETOS Y PAVIMENTOS</t>
        </is>
      </c>
      <c r="I2" t="n">
        <v>5089601</v>
      </c>
      <c r="J2" t="inlineStr">
        <is>
          <t>CONCRETOS Y PAVIMENTOS EXTERIORES S</t>
        </is>
      </c>
      <c r="K2" t="inlineStr">
        <is>
          <t>N90</t>
        </is>
      </c>
      <c r="L2" t="inlineStr">
        <is>
          <t>(AP) NAFIN 90 Dias</t>
        </is>
      </c>
      <c r="M2" t="n">
        <v>10000623</v>
      </c>
      <c r="N2" t="inlineStr">
        <is>
          <t>Grava Triturada Caliza 10 mm - 3/8"</t>
        </is>
      </c>
      <c r="O2" t="inlineStr">
        <is>
          <t>D865</t>
        </is>
      </c>
      <c r="P2" t="inlineStr">
        <is>
          <t>MX-CED. MORELOS</t>
        </is>
      </c>
      <c r="Q2" t="n">
        <v>20250627</v>
      </c>
      <c r="R2" t="n">
        <v>20301231</v>
      </c>
      <c r="S2" t="n">
        <v>20260727</v>
      </c>
      <c r="T2" t="n">
        <v>20301231</v>
      </c>
      <c r="U2" t="n">
        <v>627</v>
      </c>
      <c r="V2" t="inlineStr">
        <is>
          <t>MXN</t>
        </is>
      </c>
      <c r="W2" t="inlineStr">
        <is>
          <t>TN</t>
        </is>
      </c>
      <c r="X2" t="n">
        <v>440</v>
      </c>
      <c r="Y2" t="inlineStr">
        <is>
          <t>MXN</t>
        </is>
      </c>
      <c r="Z2" t="inlineStr">
        <is>
          <t>TN</t>
        </is>
      </c>
      <c r="AA2" t="inlineStr">
        <is>
          <t>67376830</t>
        </is>
      </c>
      <c r="AB2" t="inlineStr">
        <is>
          <t>HOLCIM XOCHITEPEC</t>
        </is>
      </c>
      <c r="AC2" t="n">
        <v>56103637</v>
      </c>
      <c r="AD2" t="n">
        <v>6622551540</v>
      </c>
      <c r="AE2" t="n">
        <v>4</v>
      </c>
      <c r="AF2" t="inlineStr">
        <is>
          <t>ENTREGA DIRECTA</t>
        </is>
      </c>
      <c r="AG2" t="n">
        <v>1</v>
      </c>
      <c r="AH2" t="inlineStr">
        <is>
          <t>TO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20260731</v>
      </c>
      <c r="AM2" t="inlineStr">
        <is>
          <t>D865-900009140-67376830-10000623-4</t>
        </is>
      </c>
    </row>
    <row r="3">
      <c r="A3" t="inlineStr">
        <is>
          <t>900003877D86510047573</t>
        </is>
      </c>
      <c r="B3" t="inlineStr">
        <is>
          <t>4600032991-10</t>
        </is>
      </c>
      <c r="C3" t="n">
        <v>4600032991</v>
      </c>
      <c r="D3" t="n">
        <v>10</v>
      </c>
      <c r="E3" t="inlineStr">
        <is>
          <t>MXPO</t>
        </is>
      </c>
      <c r="F3" t="inlineStr">
        <is>
          <t>MXL</t>
        </is>
      </c>
      <c r="G3" t="n">
        <v>900003877</v>
      </c>
      <c r="H3" t="inlineStr">
        <is>
          <t>TP-MAT Y FORRAJES</t>
        </is>
      </c>
      <c r="I3" t="n">
        <v>5054376</v>
      </c>
      <c r="J3" t="inlineStr">
        <is>
          <t>DISTRIBUIDORA DE MATERIALES Y FORRA</t>
        </is>
      </c>
      <c r="K3" t="inlineStr">
        <is>
          <t>N15</t>
        </is>
      </c>
      <c r="L3" t="inlineStr">
        <is>
          <t>(AP) NAFIN 15 Dias</t>
        </is>
      </c>
      <c r="M3" t="n">
        <v>10047573</v>
      </c>
      <c r="N3" t="inlineStr">
        <is>
          <t>Arena Triturada Caliza Malla 4</t>
        </is>
      </c>
      <c r="O3" t="inlineStr">
        <is>
          <t>D865</t>
        </is>
      </c>
      <c r="P3" t="inlineStr">
        <is>
          <t>MX-CED. MORELOS</t>
        </is>
      </c>
      <c r="Q3" t="n">
        <v>20160201</v>
      </c>
      <c r="R3" t="n">
        <v>20281231</v>
      </c>
      <c r="S3" t="n">
        <v>20230825</v>
      </c>
      <c r="T3" t="n">
        <v>20281231</v>
      </c>
      <c r="U3" t="n">
        <v>90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56103638</v>
      </c>
      <c r="AD3" t="n">
        <v>6622551540</v>
      </c>
      <c r="AE3" t="n">
        <v>1</v>
      </c>
      <c r="AF3" t="inlineStr">
        <is>
          <t>ENTREGADO</t>
        </is>
      </c>
      <c r="AG3" t="n">
        <v>1.607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20230920</v>
      </c>
      <c r="AM3" t="inlineStr">
        <is>
          <t>D865-900003877-10047573</t>
        </is>
      </c>
    </row>
    <row r="4">
      <c r="A4" t="inlineStr">
        <is>
          <t>900009140D8656724072910000623</t>
        </is>
      </c>
      <c r="B4" t="inlineStr">
        <is>
          <t>4600071388-20</t>
        </is>
      </c>
      <c r="C4" t="n">
        <v>4600071388</v>
      </c>
      <c r="D4" t="n">
        <v>20</v>
      </c>
      <c r="E4" t="inlineStr">
        <is>
          <t>MXPO</t>
        </is>
      </c>
      <c r="F4" t="inlineStr">
        <is>
          <t>MXL</t>
        </is>
      </c>
      <c r="G4" t="n">
        <v>900009140</v>
      </c>
      <c r="H4" t="inlineStr">
        <is>
          <t>SF TP-ED CONCRETOS Y PAVIMENTOS</t>
        </is>
      </c>
      <c r="I4" t="n">
        <v>5089601</v>
      </c>
      <c r="J4" t="inlineStr">
        <is>
          <t>CONCRETOS Y PAVIMENTOS EXTERIORES S</t>
        </is>
      </c>
      <c r="K4" t="inlineStr">
        <is>
          <t>N90</t>
        </is>
      </c>
      <c r="L4" t="inlineStr">
        <is>
          <t>(AP) NAFIN 90 Dias</t>
        </is>
      </c>
      <c r="M4" t="n">
        <v>10000623</v>
      </c>
      <c r="N4" t="inlineStr">
        <is>
          <t>Grava Triturada Caliza 10 mm - 3/8"</t>
        </is>
      </c>
      <c r="O4" t="inlineStr">
        <is>
          <t>D865</t>
        </is>
      </c>
      <c r="P4" t="inlineStr">
        <is>
          <t>MX-CED. MORELOS</t>
        </is>
      </c>
      <c r="Q4" t="n">
        <v>20250627</v>
      </c>
      <c r="R4" t="n">
        <v>20301231</v>
      </c>
      <c r="S4" t="n">
        <v>20250627</v>
      </c>
      <c r="T4" t="n">
        <v>20301231</v>
      </c>
      <c r="U4" t="n">
        <v>475</v>
      </c>
      <c r="V4" t="inlineStr">
        <is>
          <t>MXN</t>
        </is>
      </c>
      <c r="W4" t="inlineStr">
        <is>
          <t>TN</t>
        </is>
      </c>
      <c r="X4" t="n">
        <v>360</v>
      </c>
      <c r="Y4" t="inlineStr">
        <is>
          <t>MXN</t>
        </is>
      </c>
      <c r="Z4" t="inlineStr">
        <is>
          <t>TN</t>
        </is>
      </c>
      <c r="AA4" t="inlineStr">
        <is>
          <t>67240729</t>
        </is>
      </c>
      <c r="AB4" t="inlineStr">
        <is>
          <t>COMOSA / SEPSA</t>
        </is>
      </c>
      <c r="AC4" t="n">
        <v>56103637</v>
      </c>
      <c r="AD4" t="n">
        <v>6622551540</v>
      </c>
      <c r="AE4" t="n">
        <v>4</v>
      </c>
      <c r="AF4" t="inlineStr">
        <is>
          <t>ENTREGA DIRECTA</t>
        </is>
      </c>
      <c r="AG4" t="n">
        <v>1</v>
      </c>
      <c r="AH4" t="inlineStr">
        <is>
          <t>TO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20250716</v>
      </c>
      <c r="AM4" t="inlineStr">
        <is>
          <t>D865-900009140-67240729-10000623-4</t>
        </is>
      </c>
    </row>
    <row r="5">
      <c r="A5" t="inlineStr">
        <is>
          <t>900004447D86510000829</t>
        </is>
      </c>
      <c r="B5" t="inlineStr">
        <is>
          <t>4600040010-10</t>
        </is>
      </c>
      <c r="C5" t="n">
        <v>4600040010</v>
      </c>
      <c r="D5" t="n">
        <v>10</v>
      </c>
      <c r="E5" t="inlineStr">
        <is>
          <t>MXPO</t>
        </is>
      </c>
      <c r="F5" t="inlineStr">
        <is>
          <t>MXL</t>
        </is>
      </c>
      <c r="G5" t="n">
        <v>900004447</v>
      </c>
      <c r="H5" t="inlineStr">
        <is>
          <t>TP-CEKUR</t>
        </is>
      </c>
      <c r="I5" t="n">
        <v>5058788</v>
      </c>
      <c r="J5" t="inlineStr">
        <is>
          <t>INMOBILIARIA CEKUR S.A. DE C.V.</t>
        </is>
      </c>
      <c r="K5" t="inlineStr">
        <is>
          <t>Z06</t>
        </is>
      </c>
      <c r="L5" t="inlineStr">
        <is>
          <t>(AP) 45 Dias</t>
        </is>
      </c>
      <c r="M5" t="n">
        <v>10000829</v>
      </c>
      <c r="N5" t="inlineStr">
        <is>
          <t>Arena Triturada Basalto  Malla 5</t>
        </is>
      </c>
      <c r="O5" t="inlineStr">
        <is>
          <t>D865</t>
        </is>
      </c>
      <c r="P5" t="inlineStr">
        <is>
          <t>MX-CED. MORELOS</t>
        </is>
      </c>
      <c r="Q5" t="n">
        <v>20171010</v>
      </c>
      <c r="R5" t="n">
        <v>20241231</v>
      </c>
      <c r="S5" t="n">
        <v>20180209</v>
      </c>
      <c r="T5" t="n">
        <v>20241231</v>
      </c>
      <c r="U5" t="n">
        <v>50.68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56103638</v>
      </c>
      <c r="AD5" t="n">
        <v>6622551540</v>
      </c>
      <c r="AE5" t="n">
        <v>2</v>
      </c>
      <c r="AF5" t="inlineStr">
        <is>
          <t>RECOGIDO</t>
        </is>
      </c>
      <c r="AG5" t="n">
        <v>1.43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20230920</v>
      </c>
      <c r="AM5" t="inlineStr">
        <is>
          <t>D865-900004447-10000829</t>
        </is>
      </c>
    </row>
    <row r="6">
      <c r="A6" t="inlineStr">
        <is>
          <t>900003877D86510000829</t>
        </is>
      </c>
      <c r="B6" t="inlineStr">
        <is>
          <t>4600032991-60</t>
        </is>
      </c>
      <c r="C6" t="n">
        <v>4600032991</v>
      </c>
      <c r="D6" t="n">
        <v>60</v>
      </c>
      <c r="E6" t="inlineStr">
        <is>
          <t>MXPO</t>
        </is>
      </c>
      <c r="F6" t="inlineStr">
        <is>
          <t>MXL</t>
        </is>
      </c>
      <c r="G6" t="n">
        <v>900003877</v>
      </c>
      <c r="H6" t="inlineStr">
        <is>
          <t>TP-MAT Y FORRAJES</t>
        </is>
      </c>
      <c r="I6" t="n">
        <v>5054376</v>
      </c>
      <c r="J6" t="inlineStr">
        <is>
          <t>DISTRIBUIDORA DE MATERIALES Y FORRA</t>
        </is>
      </c>
      <c r="K6" t="inlineStr">
        <is>
          <t>N15</t>
        </is>
      </c>
      <c r="L6" t="inlineStr">
        <is>
          <t>(AP) NAFIN 15 Dias</t>
        </is>
      </c>
      <c r="M6" t="n">
        <v>10000829</v>
      </c>
      <c r="N6" t="inlineStr">
        <is>
          <t>Arena Triturada Basalto  Malla 5</t>
        </is>
      </c>
      <c r="O6" t="inlineStr">
        <is>
          <t>D865</t>
        </is>
      </c>
      <c r="P6" t="inlineStr">
        <is>
          <t>MX-CED. MORELOS</t>
        </is>
      </c>
      <c r="Q6" t="n">
        <v>20160201</v>
      </c>
      <c r="R6" t="n">
        <v>20281231</v>
      </c>
      <c r="S6" t="n">
        <v>20190307</v>
      </c>
      <c r="T6" t="n">
        <v>20241231</v>
      </c>
      <c r="U6" t="n">
        <v>46.67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56103638</v>
      </c>
      <c r="AD6" t="n">
        <v>6622551540</v>
      </c>
      <c r="AE6" t="n">
        <v>1</v>
      </c>
      <c r="AF6" t="inlineStr">
        <is>
          <t>ENTREGADO</t>
        </is>
      </c>
      <c r="AG6" t="n">
        <v>1.43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D865-900003877-10000829</t>
        </is>
      </c>
    </row>
    <row r="7">
      <c r="A7" t="inlineStr">
        <is>
          <t>900006766D86510000829</t>
        </is>
      </c>
      <c r="B7" t="inlineStr">
        <is>
          <t>4600053924-10</t>
        </is>
      </c>
      <c r="C7" t="n">
        <v>4600053924</v>
      </c>
      <c r="D7" t="n">
        <v>10</v>
      </c>
      <c r="E7" t="inlineStr">
        <is>
          <t>MXPO</t>
        </is>
      </c>
      <c r="F7" t="inlineStr">
        <is>
          <t>MXL</t>
        </is>
      </c>
      <c r="G7" t="n">
        <v>900006766</v>
      </c>
      <c r="H7" t="inlineStr">
        <is>
          <t>SF TP-AGREGADOS DEL SUR</t>
        </is>
      </c>
      <c r="I7" t="n">
        <v>5078934</v>
      </c>
      <c r="J7" t="inlineStr">
        <is>
          <t>GARCIA CONCHA JANET</t>
        </is>
      </c>
      <c r="K7" t="inlineStr">
        <is>
          <t>Z09</t>
        </is>
      </c>
      <c r="L7" t="inlineStr">
        <is>
          <t>(AP) 90 Dias</t>
        </is>
      </c>
      <c r="M7" t="n">
        <v>10000829</v>
      </c>
      <c r="N7" t="inlineStr">
        <is>
          <t>Arena Triturada Basalto  Malla 5</t>
        </is>
      </c>
      <c r="O7" t="inlineStr">
        <is>
          <t>D865</t>
        </is>
      </c>
      <c r="P7" t="inlineStr">
        <is>
          <t>MX-CED. MORELOS</t>
        </is>
      </c>
      <c r="Q7" t="n">
        <v>20220516</v>
      </c>
      <c r="R7" t="n">
        <v>20271231</v>
      </c>
      <c r="S7" t="n">
        <v>20220513</v>
      </c>
      <c r="T7" t="n">
        <v>20271231</v>
      </c>
      <c r="U7" t="n">
        <v>65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56103638</v>
      </c>
      <c r="AD7" t="n">
        <v>6622551540</v>
      </c>
      <c r="AE7" t="n">
        <v>1</v>
      </c>
      <c r="AF7" t="inlineStr">
        <is>
          <t>ENTREGADO</t>
        </is>
      </c>
      <c r="AG7" t="n">
        <v>1.43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D865-900006766-10000829</t>
        </is>
      </c>
    </row>
    <row r="8">
      <c r="A8" t="inlineStr">
        <is>
          <t>900005785D8656656917410000394</t>
        </is>
      </c>
      <c r="B8" t="inlineStr">
        <is>
          <t>4600042858-10</t>
        </is>
      </c>
      <c r="C8" t="n">
        <v>4600042858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900005785</v>
      </c>
      <c r="H8" t="inlineStr">
        <is>
          <t>SF TP-ED-ACAMILPA (SOTELO)</t>
        </is>
      </c>
      <c r="I8" t="n">
        <v>5058988</v>
      </c>
      <c r="J8" t="inlineStr">
        <is>
          <t>RAMIREZ CARIÑO MARIA DOLORES</t>
        </is>
      </c>
      <c r="K8" t="inlineStr">
        <is>
          <t>Z06</t>
        </is>
      </c>
      <c r="L8" t="inlineStr">
        <is>
          <t>(AP) 45 Dias</t>
        </is>
      </c>
      <c r="M8" t="n">
        <v>10000394</v>
      </c>
      <c r="N8" t="inlineStr">
        <is>
          <t>Arena Triturada Andesita Malla 4</t>
        </is>
      </c>
      <c r="O8" t="inlineStr">
        <is>
          <t>D865</t>
        </is>
      </c>
      <c r="P8" t="inlineStr">
        <is>
          <t>MX-CED. MORELOS</t>
        </is>
      </c>
      <c r="Q8" t="n">
        <v>20180829</v>
      </c>
      <c r="R8" t="n">
        <v>20241231</v>
      </c>
      <c r="S8" t="n">
        <v>20180829</v>
      </c>
      <c r="T8" t="n">
        <v>20241231</v>
      </c>
      <c r="U8" t="n">
        <v>164.29</v>
      </c>
      <c r="V8" t="inlineStr">
        <is>
          <t>MXN</t>
        </is>
      </c>
      <c r="W8" t="inlineStr">
        <is>
          <t>M3</t>
        </is>
      </c>
      <c r="X8" t="n">
        <v>119</v>
      </c>
      <c r="Y8" t="inlineStr">
        <is>
          <t>MXN</t>
        </is>
      </c>
      <c r="Z8" t="inlineStr">
        <is>
          <t>M3</t>
        </is>
      </c>
      <c r="AA8" t="inlineStr">
        <is>
          <t>66569174</t>
        </is>
      </c>
      <c r="AB8" t="inlineStr">
        <is>
          <t>HOSPITAL GENERAL CUAUTLA (LAAJ)</t>
        </is>
      </c>
      <c r="AC8" t="n">
        <v>56103638</v>
      </c>
      <c r="AD8" t="n">
        <v>6622551540</v>
      </c>
      <c r="AE8" t="n">
        <v>4</v>
      </c>
      <c r="AF8" t="inlineStr">
        <is>
          <t>ENTREGA DIRECTA</t>
        </is>
      </c>
      <c r="AG8" t="n">
        <v>1.41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D865-900005785-66569174-10000394-4</t>
        </is>
      </c>
    </row>
    <row r="9">
      <c r="A9" t="inlineStr">
        <is>
          <t>900009140D8656724238510000623</t>
        </is>
      </c>
      <c r="B9" t="inlineStr">
        <is>
          <t>4600071388-30</t>
        </is>
      </c>
      <c r="C9" t="n">
        <v>4600071388</v>
      </c>
      <c r="D9" t="n">
        <v>30</v>
      </c>
      <c r="E9" t="inlineStr">
        <is>
          <t>MXPO</t>
        </is>
      </c>
      <c r="F9" t="inlineStr">
        <is>
          <t>MXL</t>
        </is>
      </c>
      <c r="G9" t="n">
        <v>900009140</v>
      </c>
      <c r="H9" t="inlineStr">
        <is>
          <t>SF TP-ED CONCRETOS Y PAVIMENTOS</t>
        </is>
      </c>
      <c r="I9" t="n">
        <v>5089601</v>
      </c>
      <c r="J9" t="inlineStr">
        <is>
          <t>CONCRETOS Y PAVIMENTOS EXTERIORES S</t>
        </is>
      </c>
      <c r="K9" t="inlineStr">
        <is>
          <t>N90</t>
        </is>
      </c>
      <c r="L9" t="inlineStr">
        <is>
          <t>(AP) NAFIN 90 Dias</t>
        </is>
      </c>
      <c r="M9" t="n">
        <v>10000623</v>
      </c>
      <c r="N9" t="inlineStr">
        <is>
          <t>Grava Triturada Caliza 10 mm - 3/8"</t>
        </is>
      </c>
      <c r="O9" t="inlineStr">
        <is>
          <t>D865</t>
        </is>
      </c>
      <c r="P9" t="inlineStr">
        <is>
          <t>MX-CED. MORELOS</t>
        </is>
      </c>
      <c r="Q9" t="n">
        <v>20250627</v>
      </c>
      <c r="R9" t="n">
        <v>20301231</v>
      </c>
      <c r="S9" t="n">
        <v>20251029</v>
      </c>
      <c r="T9" t="n">
        <v>20301231</v>
      </c>
      <c r="U9" t="n">
        <v>400</v>
      </c>
      <c r="V9" t="inlineStr">
        <is>
          <t>MXN</t>
        </is>
      </c>
      <c r="W9" t="inlineStr">
        <is>
          <t>TN</t>
        </is>
      </c>
      <c r="X9" t="n">
        <v>310</v>
      </c>
      <c r="Y9" t="inlineStr">
        <is>
          <t>MXN</t>
        </is>
      </c>
      <c r="Z9" t="inlineStr">
        <is>
          <t>TN</t>
        </is>
      </c>
      <c r="AA9" t="inlineStr">
        <is>
          <t>67242385</t>
        </is>
      </c>
      <c r="AB9" t="inlineStr">
        <is>
          <t>COMOSA /  CUERNAVACA</t>
        </is>
      </c>
      <c r="AC9" t="n">
        <v>56103637</v>
      </c>
      <c r="AD9" t="n">
        <v>6622551540</v>
      </c>
      <c r="AE9" t="n">
        <v>4</v>
      </c>
      <c r="AF9" t="inlineStr">
        <is>
          <t>ENTREGA DIRECTA</t>
        </is>
      </c>
      <c r="AG9" t="n">
        <v>1</v>
      </c>
      <c r="AH9" t="inlineStr">
        <is>
          <t>TO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20251204</v>
      </c>
      <c r="AM9" t="inlineStr">
        <is>
          <t>D865-900009140-67242385-10000623-4</t>
        </is>
      </c>
    </row>
    <row r="10">
      <c r="A10" t="inlineStr">
        <is>
          <t>900006255D86510047573</t>
        </is>
      </c>
      <c r="B10" t="inlineStr">
        <is>
          <t>4600055817-30</t>
        </is>
      </c>
      <c r="C10" t="n">
        <v>4600055817</v>
      </c>
      <c r="D10" t="n">
        <v>30</v>
      </c>
      <c r="E10" t="inlineStr">
        <is>
          <t>MXPO</t>
        </is>
      </c>
      <c r="F10" t="inlineStr">
        <is>
          <t>MXL</t>
        </is>
      </c>
      <c r="G10" t="n">
        <v>900006255</v>
      </c>
      <c r="H10" t="inlineStr">
        <is>
          <t>SF TP-MAT Y FORRAJES YAUTEPEC</t>
        </is>
      </c>
      <c r="I10" t="n">
        <v>5054376</v>
      </c>
      <c r="J10" t="inlineStr">
        <is>
          <t>DISTRIBUIDORA DE MATERIALES Y FORRA</t>
        </is>
      </c>
      <c r="K10" t="inlineStr">
        <is>
          <t>N15</t>
        </is>
      </c>
      <c r="L10" t="inlineStr">
        <is>
          <t>(AP) NAFIN 15 Dias</t>
        </is>
      </c>
      <c r="M10" t="n">
        <v>10047573</v>
      </c>
      <c r="N10" t="inlineStr">
        <is>
          <t>Arena Triturada Caliza Malla 4</t>
        </is>
      </c>
      <c r="O10" t="inlineStr">
        <is>
          <t>D865</t>
        </is>
      </c>
      <c r="P10" t="inlineStr">
        <is>
          <t>MX-CED. MORELOS</t>
        </is>
      </c>
      <c r="Q10" t="n">
        <v>20211122</v>
      </c>
      <c r="R10" t="n">
        <v>20281231</v>
      </c>
      <c r="S10" t="n">
        <v>20230825</v>
      </c>
      <c r="T10" t="n">
        <v>20281231</v>
      </c>
      <c r="U10" t="n">
        <v>90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56103638</v>
      </c>
      <c r="AD10" t="n">
        <v>6622551540</v>
      </c>
      <c r="AE10" t="n">
        <v>1</v>
      </c>
      <c r="AF10" t="inlineStr">
        <is>
          <t>ENTREGADO</t>
        </is>
      </c>
      <c r="AG10" t="n">
        <v>1.607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D865-900006255-10047573</t>
        </is>
      </c>
    </row>
    <row r="11">
      <c r="A11" t="inlineStr">
        <is>
          <t>900004598D86510006150</t>
        </is>
      </c>
      <c r="B11" t="inlineStr">
        <is>
          <t>4600070492-20</t>
        </is>
      </c>
      <c r="C11" t="n">
        <v>4600070492</v>
      </c>
      <c r="D11" t="n">
        <v>20</v>
      </c>
      <c r="E11" t="inlineStr">
        <is>
          <t>MXPO</t>
        </is>
      </c>
      <c r="F11" t="inlineStr">
        <is>
          <t>MXL</t>
        </is>
      </c>
      <c r="G11" t="n">
        <v>900004598</v>
      </c>
      <c r="H11" t="inlineStr">
        <is>
          <t>TP-GALEANA</t>
        </is>
      </c>
      <c r="I11" t="n">
        <v>5062433</v>
      </c>
      <c r="J11" t="inlineStr">
        <is>
          <t>CAMINOS Y PAVIMENTOS DEL</t>
        </is>
      </c>
      <c r="K11" t="inlineStr">
        <is>
          <t>Z06</t>
        </is>
      </c>
      <c r="L11" t="inlineStr">
        <is>
          <t>(AP) 45 Dias</t>
        </is>
      </c>
      <c r="M11" t="n">
        <v>10006150</v>
      </c>
      <c r="N11" t="inlineStr">
        <is>
          <t>Grava Triturada Caliza 20 mm - 3/4"</t>
        </is>
      </c>
      <c r="O11" t="inlineStr">
        <is>
          <t>D865</t>
        </is>
      </c>
      <c r="P11" t="inlineStr">
        <is>
          <t>MX-CED. MORELOS</t>
        </is>
      </c>
      <c r="Q11" t="n">
        <v>20241022</v>
      </c>
      <c r="R11" t="n">
        <v>20291231</v>
      </c>
      <c r="S11" t="n">
        <v>20241022</v>
      </c>
      <c r="T11" t="n">
        <v>20291231</v>
      </c>
      <c r="U11" t="n">
        <v>300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56103637</v>
      </c>
      <c r="AD11" t="n">
        <v>6622551540</v>
      </c>
      <c r="AE11" t="n">
        <v>1</v>
      </c>
      <c r="AF11" t="inlineStr">
        <is>
          <t>ENTREGADO</t>
        </is>
      </c>
      <c r="AG11" t="n">
        <v>1.387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20241104</v>
      </c>
      <c r="AM11" t="inlineStr">
        <is>
          <t>D865-900004598-10006150</t>
        </is>
      </c>
    </row>
    <row r="12">
      <c r="A12" t="inlineStr">
        <is>
          <t>900004598D86510047573</t>
        </is>
      </c>
      <c r="B12" t="inlineStr">
        <is>
          <t>4600070492-10</t>
        </is>
      </c>
      <c r="C12" t="n">
        <v>4600070492</v>
      </c>
      <c r="D12" t="n">
        <v>10</v>
      </c>
      <c r="E12" t="inlineStr">
        <is>
          <t>MXPO</t>
        </is>
      </c>
      <c r="F12" t="inlineStr">
        <is>
          <t>MXL</t>
        </is>
      </c>
      <c r="G12" t="n">
        <v>900004598</v>
      </c>
      <c r="H12" t="inlineStr">
        <is>
          <t>TP-GALEANA</t>
        </is>
      </c>
      <c r="I12" t="n">
        <v>5062433</v>
      </c>
      <c r="J12" t="inlineStr">
        <is>
          <t>CAMINOS Y PAVIMENTOS DEL</t>
        </is>
      </c>
      <c r="K12" t="inlineStr">
        <is>
          <t>Z06</t>
        </is>
      </c>
      <c r="L12" t="inlineStr">
        <is>
          <t>(AP) 45 Dias</t>
        </is>
      </c>
      <c r="M12" t="n">
        <v>10047573</v>
      </c>
      <c r="N12" t="inlineStr">
        <is>
          <t>Arena Triturada Caliza Malla 4</t>
        </is>
      </c>
      <c r="O12" t="inlineStr">
        <is>
          <t>D865</t>
        </is>
      </c>
      <c r="P12" t="inlineStr">
        <is>
          <t>MX-CED. MORELOS</t>
        </is>
      </c>
      <c r="Q12" t="n">
        <v>20241022</v>
      </c>
      <c r="R12" t="n">
        <v>20291231</v>
      </c>
      <c r="S12" t="n">
        <v>20241022</v>
      </c>
      <c r="T12" t="n">
        <v>20291231</v>
      </c>
      <c r="U12" t="n">
        <v>55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56103638</v>
      </c>
      <c r="AD12" t="n">
        <v>6622551540</v>
      </c>
      <c r="AE12" t="n">
        <v>1</v>
      </c>
      <c r="AF12" t="inlineStr">
        <is>
          <t>ENTREGADO</t>
        </is>
      </c>
      <c r="AG12" t="n">
        <v>1.607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20241104</v>
      </c>
      <c r="AM12" t="inlineStr">
        <is>
          <t>D865-900004598-10047573</t>
        </is>
      </c>
    </row>
    <row r="13">
      <c r="A13" t="inlineStr">
        <is>
          <t>900008869D8656724238510000623</t>
        </is>
      </c>
      <c r="B13" t="inlineStr">
        <is>
          <t>4600069828-30</t>
        </is>
      </c>
      <c r="C13" t="n">
        <v>4600069828</v>
      </c>
      <c r="D13" t="n">
        <v>30</v>
      </c>
      <c r="E13" t="inlineStr">
        <is>
          <t>MXPO</t>
        </is>
      </c>
      <c r="F13" t="inlineStr">
        <is>
          <t>MXL</t>
        </is>
      </c>
      <c r="G13" t="n">
        <v>900008869</v>
      </c>
      <c r="H13" t="inlineStr">
        <is>
          <t>SF TP-ED CONTROL Y MANEJO OBRAS</t>
        </is>
      </c>
      <c r="I13" t="n">
        <v>5092110</v>
      </c>
      <c r="J13" t="inlineStr">
        <is>
          <t>CONTROL Y MANEJO DE OBRAS SA DE CV</t>
        </is>
      </c>
      <c r="K13" t="inlineStr">
        <is>
          <t>Z04</t>
        </is>
      </c>
      <c r="L13" t="inlineStr">
        <is>
          <t>(AP) 30 Dias</t>
        </is>
      </c>
      <c r="M13" t="n">
        <v>10000623</v>
      </c>
      <c r="N13" t="inlineStr">
        <is>
          <t>Grava Triturada Caliza 10 mm - 3/8"</t>
        </is>
      </c>
      <c r="O13" t="inlineStr">
        <is>
          <t>D865</t>
        </is>
      </c>
      <c r="P13" t="inlineStr">
        <is>
          <t>MX-CED. MORELOS</t>
        </is>
      </c>
      <c r="Q13" t="n">
        <v>20240701</v>
      </c>
      <c r="R13" t="n">
        <v>20291231</v>
      </c>
      <c r="S13" t="n">
        <v>20250219</v>
      </c>
      <c r="T13" t="n">
        <v>20301231</v>
      </c>
      <c r="U13" t="n">
        <v>445</v>
      </c>
      <c r="V13" t="inlineStr">
        <is>
          <t>MXN</t>
        </is>
      </c>
      <c r="W13" t="inlineStr">
        <is>
          <t>TN</t>
        </is>
      </c>
      <c r="X13" t="n">
        <v>310</v>
      </c>
      <c r="Y13" t="inlineStr">
        <is>
          <t>MXN</t>
        </is>
      </c>
      <c r="Z13" t="inlineStr">
        <is>
          <t>TN</t>
        </is>
      </c>
      <c r="AA13" t="inlineStr">
        <is>
          <t>67242385</t>
        </is>
      </c>
      <c r="AB13" t="inlineStr">
        <is>
          <t>COMOSA /  CUERNAVACA</t>
        </is>
      </c>
      <c r="AC13" t="n">
        <v>56103637</v>
      </c>
      <c r="AD13" t="n">
        <v>6622551540</v>
      </c>
      <c r="AE13" t="n">
        <v>4</v>
      </c>
      <c r="AF13" t="inlineStr">
        <is>
          <t>ENTREGA DIRECTA</t>
        </is>
      </c>
      <c r="AG13" t="n">
        <v>1</v>
      </c>
      <c r="AH13" t="inlineStr">
        <is>
          <t>TO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20250224</v>
      </c>
      <c r="AM13" t="inlineStr">
        <is>
          <t>D865-900008869-67242385-10000623-4</t>
        </is>
      </c>
    </row>
    <row r="14">
      <c r="A14" t="inlineStr">
        <is>
          <t>900008869D8656728350310000623</t>
        </is>
      </c>
      <c r="B14" t="inlineStr">
        <is>
          <t>4600069828-40</t>
        </is>
      </c>
      <c r="C14" t="n">
        <v>4600069828</v>
      </c>
      <c r="D14" t="n">
        <v>40</v>
      </c>
      <c r="E14" t="inlineStr">
        <is>
          <t>MXPO</t>
        </is>
      </c>
      <c r="F14" t="inlineStr">
        <is>
          <t>MXL</t>
        </is>
      </c>
      <c r="G14" t="n">
        <v>900008869</v>
      </c>
      <c r="H14" t="inlineStr">
        <is>
          <t>SF TP-ED CONTROL Y MANEJO OBRAS</t>
        </is>
      </c>
      <c r="I14" t="n">
        <v>5092110</v>
      </c>
      <c r="J14" t="inlineStr">
        <is>
          <t>CONTROL Y MANEJO DE OBRAS SA DE CV</t>
        </is>
      </c>
      <c r="K14" t="inlineStr">
        <is>
          <t>Z04</t>
        </is>
      </c>
      <c r="L14" t="inlineStr">
        <is>
          <t>(AP) 30 Dias</t>
        </is>
      </c>
      <c r="M14" t="n">
        <v>10000623</v>
      </c>
      <c r="N14" t="inlineStr">
        <is>
          <t>Grava Triturada Caliza 10 mm - 3/8"</t>
        </is>
      </c>
      <c r="O14" t="inlineStr">
        <is>
          <t>D865</t>
        </is>
      </c>
      <c r="P14" t="inlineStr">
        <is>
          <t>MX-CED. MORELOS</t>
        </is>
      </c>
      <c r="Q14" t="n">
        <v>20240701</v>
      </c>
      <c r="R14" t="n">
        <v>20291231</v>
      </c>
      <c r="S14" t="n">
        <v>20250219</v>
      </c>
      <c r="T14" t="n">
        <v>20301231</v>
      </c>
      <c r="U14" t="n">
        <v>470</v>
      </c>
      <c r="V14" t="inlineStr">
        <is>
          <t>MXN</t>
        </is>
      </c>
      <c r="W14" t="inlineStr">
        <is>
          <t>TN</t>
        </is>
      </c>
      <c r="X14" t="n">
        <v>310</v>
      </c>
      <c r="Y14" t="inlineStr">
        <is>
          <t>MXN</t>
        </is>
      </c>
      <c r="Z14" t="inlineStr">
        <is>
          <t>TN</t>
        </is>
      </c>
      <c r="AA14" t="inlineStr">
        <is>
          <t>67283503</t>
        </is>
      </c>
      <c r="AB14" t="inlineStr">
        <is>
          <t>COMOSA /  CUAUTLA</t>
        </is>
      </c>
      <c r="AC14" t="n">
        <v>56103637</v>
      </c>
      <c r="AD14" t="n">
        <v>6622551540</v>
      </c>
      <c r="AE14" t="n">
        <v>4</v>
      </c>
      <c r="AF14" t="inlineStr">
        <is>
          <t>ENTREGA DIRECTA</t>
        </is>
      </c>
      <c r="AG14" t="n">
        <v>1</v>
      </c>
      <c r="AH14" t="inlineStr">
        <is>
          <t>TO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20250224</v>
      </c>
      <c r="AM14" t="inlineStr">
        <is>
          <t>D865-900008869-67283503-10000623-4</t>
        </is>
      </c>
    </row>
    <row r="15">
      <c r="A15" t="inlineStr">
        <is>
          <t>900008869D8656724238210000623</t>
        </is>
      </c>
      <c r="B15" t="inlineStr">
        <is>
          <t>4600069828-20</t>
        </is>
      </c>
      <c r="C15" t="n">
        <v>4600069828</v>
      </c>
      <c r="D15" t="n">
        <v>20</v>
      </c>
      <c r="E15" t="inlineStr">
        <is>
          <t>MXPO</t>
        </is>
      </c>
      <c r="F15" t="inlineStr">
        <is>
          <t>MXL</t>
        </is>
      </c>
      <c r="G15" t="n">
        <v>900008869</v>
      </c>
      <c r="H15" t="inlineStr">
        <is>
          <t>SF TP-ED CONTROL Y MANEJO OBRAS</t>
        </is>
      </c>
      <c r="I15" t="n">
        <v>5092110</v>
      </c>
      <c r="J15" t="inlineStr">
        <is>
          <t>CONTROL Y MANEJO DE OBRAS SA DE CV</t>
        </is>
      </c>
      <c r="K15" t="inlineStr">
        <is>
          <t>Z04</t>
        </is>
      </c>
      <c r="L15" t="inlineStr">
        <is>
          <t>(AP) 30 Dias</t>
        </is>
      </c>
      <c r="M15" t="n">
        <v>10000623</v>
      </c>
      <c r="N15" t="inlineStr">
        <is>
          <t>Grava Triturada Caliza 10 mm - 3/8"</t>
        </is>
      </c>
      <c r="O15" t="inlineStr">
        <is>
          <t>D865</t>
        </is>
      </c>
      <c r="P15" t="inlineStr">
        <is>
          <t>MX-CED. MORELOS</t>
        </is>
      </c>
      <c r="Q15" t="n">
        <v>20240701</v>
      </c>
      <c r="R15" t="n">
        <v>20291231</v>
      </c>
      <c r="S15" t="n">
        <v>20250219</v>
      </c>
      <c r="T15" t="n">
        <v>20301231</v>
      </c>
      <c r="U15" t="n">
        <v>470</v>
      </c>
      <c r="V15" t="inlineStr">
        <is>
          <t>MXN</t>
        </is>
      </c>
      <c r="W15" t="inlineStr">
        <is>
          <t>TN</t>
        </is>
      </c>
      <c r="X15" t="n">
        <v>310</v>
      </c>
      <c r="Y15" t="inlineStr">
        <is>
          <t>MXN</t>
        </is>
      </c>
      <c r="Z15" t="inlineStr">
        <is>
          <t>TN</t>
        </is>
      </c>
      <c r="AA15" t="inlineStr">
        <is>
          <t>67242382</t>
        </is>
      </c>
      <c r="AB15" t="inlineStr">
        <is>
          <t>COMOSA /  TEZOYUCA</t>
        </is>
      </c>
      <c r="AC15" t="n">
        <v>56103637</v>
      </c>
      <c r="AD15" t="n">
        <v>6622551540</v>
      </c>
      <c r="AE15" t="n">
        <v>4</v>
      </c>
      <c r="AF15" t="inlineStr">
        <is>
          <t>ENTREGA DIRECTA</t>
        </is>
      </c>
      <c r="AG15" t="n">
        <v>1</v>
      </c>
      <c r="AH15" t="inlineStr">
        <is>
          <t>TO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20250224</v>
      </c>
      <c r="AM15" t="inlineStr">
        <is>
          <t>D865-900008869-67242382-10000623-4</t>
        </is>
      </c>
    </row>
    <row r="16">
      <c r="A16" t="inlineStr">
        <is>
          <t>900008869D8656724072910000623</t>
        </is>
      </c>
      <c r="B16" t="inlineStr">
        <is>
          <t>4600069828-10</t>
        </is>
      </c>
      <c r="C16" t="n">
        <v>4600069828</v>
      </c>
      <c r="D16" t="n">
        <v>10</v>
      </c>
      <c r="E16" t="inlineStr">
        <is>
          <t>MXPO</t>
        </is>
      </c>
      <c r="F16" t="inlineStr">
        <is>
          <t>MXL</t>
        </is>
      </c>
      <c r="G16" t="n">
        <v>900008869</v>
      </c>
      <c r="H16" t="inlineStr">
        <is>
          <t>SF TP-ED CONTROL Y MANEJO OBRAS</t>
        </is>
      </c>
      <c r="I16" t="n">
        <v>5092110</v>
      </c>
      <c r="J16" t="inlineStr">
        <is>
          <t>CONTROL Y MANEJO DE OBRAS SA DE CV</t>
        </is>
      </c>
      <c r="K16" t="inlineStr">
        <is>
          <t>Z04</t>
        </is>
      </c>
      <c r="L16" t="inlineStr">
        <is>
          <t>(AP) 30 Dias</t>
        </is>
      </c>
      <c r="M16" t="n">
        <v>10000623</v>
      </c>
      <c r="N16" t="inlineStr">
        <is>
          <t>Grava Triturada Caliza 10 mm - 3/8"</t>
        </is>
      </c>
      <c r="O16" t="inlineStr">
        <is>
          <t>D865</t>
        </is>
      </c>
      <c r="P16" t="inlineStr">
        <is>
          <t>MX-CED. MORELOS</t>
        </is>
      </c>
      <c r="Q16" t="n">
        <v>20240701</v>
      </c>
      <c r="R16" t="n">
        <v>20291231</v>
      </c>
      <c r="S16" t="n">
        <v>20250219</v>
      </c>
      <c r="T16" t="n">
        <v>20301231</v>
      </c>
      <c r="U16" t="n">
        <v>480</v>
      </c>
      <c r="V16" t="inlineStr">
        <is>
          <t>MXN</t>
        </is>
      </c>
      <c r="W16" t="inlineStr">
        <is>
          <t>TN</t>
        </is>
      </c>
      <c r="X16" t="n">
        <v>360</v>
      </c>
      <c r="Y16" t="inlineStr">
        <is>
          <t>MXN</t>
        </is>
      </c>
      <c r="Z16" t="inlineStr">
        <is>
          <t>TN</t>
        </is>
      </c>
      <c r="AA16" t="inlineStr">
        <is>
          <t>67240729</t>
        </is>
      </c>
      <c r="AB16" t="inlineStr">
        <is>
          <t>COMOSA / SEPSA</t>
        </is>
      </c>
      <c r="AC16" t="n">
        <v>56103637</v>
      </c>
      <c r="AD16" t="n">
        <v>6622551540</v>
      </c>
      <c r="AE16" t="n">
        <v>4</v>
      </c>
      <c r="AF16" t="inlineStr">
        <is>
          <t>ENTREGA DIRECTA</t>
        </is>
      </c>
      <c r="AG16" t="n">
        <v>1</v>
      </c>
      <c r="AH16" t="inlineStr">
        <is>
          <t>TO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20250224</v>
      </c>
      <c r="AM16" t="inlineStr">
        <is>
          <t>D865-900008869-67240729-10000623-4</t>
        </is>
      </c>
    </row>
    <row r="17">
      <c r="A17" t="inlineStr">
        <is>
          <t>900009140D8656728350310000623</t>
        </is>
      </c>
      <c r="B17" t="inlineStr">
        <is>
          <t>4600071388-10</t>
        </is>
      </c>
      <c r="C17" t="n">
        <v>4600071388</v>
      </c>
      <c r="D17" t="n">
        <v>10</v>
      </c>
      <c r="E17" t="inlineStr">
        <is>
          <t>MXPO</t>
        </is>
      </c>
      <c r="F17" t="inlineStr">
        <is>
          <t>MXL</t>
        </is>
      </c>
      <c r="G17" t="n">
        <v>900009140</v>
      </c>
      <c r="H17" t="inlineStr">
        <is>
          <t>SF TP-ED CONCRETOS Y PAVIMENTOS</t>
        </is>
      </c>
      <c r="I17" t="n">
        <v>5089601</v>
      </c>
      <c r="J17" t="inlineStr">
        <is>
          <t>CONCRETOS Y PAVIMENTOS EXTERIORES S</t>
        </is>
      </c>
      <c r="K17" t="inlineStr">
        <is>
          <t>N90</t>
        </is>
      </c>
      <c r="L17" t="inlineStr">
        <is>
          <t>(AP) NAFIN 90 Dias</t>
        </is>
      </c>
      <c r="M17" t="n">
        <v>10000623</v>
      </c>
      <c r="N17" t="inlineStr">
        <is>
          <t>Grava Triturada Caliza 10 mm - 3/8"</t>
        </is>
      </c>
      <c r="O17" t="inlineStr">
        <is>
          <t>D865</t>
        </is>
      </c>
      <c r="P17" t="inlineStr">
        <is>
          <t>MX-CED. MORELOS</t>
        </is>
      </c>
      <c r="Q17" t="n">
        <v>20250627</v>
      </c>
      <c r="R17" t="n">
        <v>20301231</v>
      </c>
      <c r="S17" t="n">
        <v>20250708</v>
      </c>
      <c r="T17" t="n">
        <v>20301231</v>
      </c>
      <c r="U17" t="n">
        <v>460</v>
      </c>
      <c r="V17" t="inlineStr">
        <is>
          <t>MXN</t>
        </is>
      </c>
      <c r="W17" t="inlineStr">
        <is>
          <t>TN</t>
        </is>
      </c>
      <c r="X17" t="n">
        <v>310</v>
      </c>
      <c r="Y17" t="inlineStr">
        <is>
          <t>MXN</t>
        </is>
      </c>
      <c r="Z17" t="inlineStr">
        <is>
          <t>TN</t>
        </is>
      </c>
      <c r="AA17" t="inlineStr">
        <is>
          <t>67283503</t>
        </is>
      </c>
      <c r="AB17" t="inlineStr">
        <is>
          <t>COMOSA /  CUAUTLA</t>
        </is>
      </c>
      <c r="AC17" t="n">
        <v>56103637</v>
      </c>
      <c r="AD17" t="n">
        <v>6622551540</v>
      </c>
      <c r="AE17" t="n">
        <v>4</v>
      </c>
      <c r="AF17" t="inlineStr">
        <is>
          <t>ENTREGA DIRECTA</t>
        </is>
      </c>
      <c r="AG17" t="n">
        <v>1</v>
      </c>
      <c r="AH17" t="inlineStr">
        <is>
          <t>TO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20250711</v>
      </c>
      <c r="AM17" t="inlineStr">
        <is>
          <t>D865-900009140-67283503-10000623-4</t>
        </is>
      </c>
    </row>
    <row r="18">
      <c r="A18" t="inlineStr">
        <is>
          <t>900007422D865EB3810000432</t>
        </is>
      </c>
      <c r="B18" t="inlineStr">
        <is>
          <t>4600057091-10</t>
        </is>
      </c>
      <c r="C18" t="n">
        <v>4600057091</v>
      </c>
      <c r="D18" t="n">
        <v>10</v>
      </c>
      <c r="E18" t="inlineStr">
        <is>
          <t>MXPO</t>
        </is>
      </c>
      <c r="F18" t="inlineStr">
        <is>
          <t>MXL</t>
        </is>
      </c>
      <c r="G18" t="n">
        <v>900007422</v>
      </c>
      <c r="H18" t="inlineStr">
        <is>
          <t>SF TC-ED-TISCAREÑO</t>
        </is>
      </c>
      <c r="I18" t="n">
        <v>5071793</v>
      </c>
      <c r="J18" t="inlineStr">
        <is>
          <t>TISCAREÑO MALDONADO SAUL</t>
        </is>
      </c>
      <c r="K18" t="inlineStr">
        <is>
          <t>Z09</t>
        </is>
      </c>
      <c r="L18" t="inlineStr">
        <is>
          <t>(AP) 90 Dias</t>
        </is>
      </c>
      <c r="M18" t="n">
        <v>10000432</v>
      </c>
      <c r="N18" t="inlineStr">
        <is>
          <t>Base H Triturada Basalto  1 1/2" a Finos</t>
        </is>
      </c>
      <c r="O18" t="inlineStr">
        <is>
          <t>D865</t>
        </is>
      </c>
      <c r="P18" t="inlineStr">
        <is>
          <t>MX-CED. MORELOS</t>
        </is>
      </c>
      <c r="Q18" t="n">
        <v>20230329</v>
      </c>
      <c r="R18" t="n">
        <v>20281231</v>
      </c>
      <c r="S18" t="n">
        <v>20230329</v>
      </c>
      <c r="T18" t="n">
        <v>20281231</v>
      </c>
      <c r="U18" t="n">
        <v>185.71</v>
      </c>
      <c r="V18" t="inlineStr">
        <is>
          <t>MXN</t>
        </is>
      </c>
      <c r="W18" t="inlineStr">
        <is>
          <t>M3</t>
        </is>
      </c>
      <c r="X18" t="n">
        <v>35.71</v>
      </c>
      <c r="Y18" t="inlineStr">
        <is>
          <t>MXN</t>
        </is>
      </c>
      <c r="Z18" t="inlineStr">
        <is>
          <t>M3</t>
        </is>
      </c>
      <c r="AA18" t="inlineStr">
        <is>
          <t>EB38</t>
        </is>
      </c>
      <c r="AB18" t="inlineStr">
        <is>
          <t>DEPOSITO CUAUTLA</t>
        </is>
      </c>
      <c r="AC18" t="n">
        <v>56103590</v>
      </c>
      <c r="AD18" t="n">
        <v>6622551540</v>
      </c>
      <c r="AE18" t="n">
        <v>4</v>
      </c>
      <c r="AF18" t="inlineStr">
        <is>
          <t>ENTREGA DIRECTA</t>
        </is>
      </c>
      <c r="AG18" t="n">
        <v>1.6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D865-900007422-EB38-10000432-4</t>
        </is>
      </c>
    </row>
    <row r="19">
      <c r="A19" t="inlineStr">
        <is>
          <t>900006255D86510000621</t>
        </is>
      </c>
      <c r="B19" t="inlineStr">
        <is>
          <t>4600055817-20</t>
        </is>
      </c>
      <c r="C19" t="n">
        <v>4600055817</v>
      </c>
      <c r="D19" t="n">
        <v>20</v>
      </c>
      <c r="E19" t="inlineStr">
        <is>
          <t>MXPO</t>
        </is>
      </c>
      <c r="F19" t="inlineStr">
        <is>
          <t>MXL</t>
        </is>
      </c>
      <c r="G19" t="n">
        <v>900006255</v>
      </c>
      <c r="H19" t="inlineStr">
        <is>
          <t>SF TP-MAT Y FORRAJES YAUTEPEC</t>
        </is>
      </c>
      <c r="I19" t="n">
        <v>5054376</v>
      </c>
      <c r="J19" t="inlineStr">
        <is>
          <t>DISTRIBUIDORA DE MATERIALES Y FORRA</t>
        </is>
      </c>
      <c r="K19" t="inlineStr">
        <is>
          <t>N15</t>
        </is>
      </c>
      <c r="L19" t="inlineStr">
        <is>
          <t>(AP) NAFIN 15 Dias</t>
        </is>
      </c>
      <c r="M19" t="n">
        <v>10000621</v>
      </c>
      <c r="N19" t="inlineStr">
        <is>
          <t>Grava Triturada Caliza 40 mm - 1 1/2"</t>
        </is>
      </c>
      <c r="O19" t="inlineStr">
        <is>
          <t>D865</t>
        </is>
      </c>
      <c r="P19" t="inlineStr">
        <is>
          <t>MX-CED. MORELOS</t>
        </is>
      </c>
      <c r="Q19" t="n">
        <v>20211122</v>
      </c>
      <c r="R19" t="n">
        <v>20281231</v>
      </c>
      <c r="S19" t="n">
        <v>20230825</v>
      </c>
      <c r="T19" t="n">
        <v>20281231</v>
      </c>
      <c r="U19" t="n">
        <v>290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56103637</v>
      </c>
      <c r="AD19" t="n">
        <v>6622551540</v>
      </c>
      <c r="AE19" t="n">
        <v>1</v>
      </c>
      <c r="AF19" t="inlineStr">
        <is>
          <t>ENTREGADO</t>
        </is>
      </c>
      <c r="AG19" t="n">
        <v>1.49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D865-900006255-10000621</t>
        </is>
      </c>
    </row>
    <row r="20">
      <c r="A20" t="inlineStr">
        <is>
          <t>900006255D86510006150</t>
        </is>
      </c>
      <c r="B20" t="inlineStr">
        <is>
          <t>4600055817-10</t>
        </is>
      </c>
      <c r="C20" t="n">
        <v>4600055817</v>
      </c>
      <c r="D20" t="n">
        <v>10</v>
      </c>
      <c r="E20" t="inlineStr">
        <is>
          <t>MXPO</t>
        </is>
      </c>
      <c r="F20" t="inlineStr">
        <is>
          <t>MXL</t>
        </is>
      </c>
      <c r="G20" t="n">
        <v>900006255</v>
      </c>
      <c r="H20" t="inlineStr">
        <is>
          <t>SF TP-MAT Y FORRAJES YAUTEPEC</t>
        </is>
      </c>
      <c r="I20" t="n">
        <v>5054376</v>
      </c>
      <c r="J20" t="inlineStr">
        <is>
          <t>DISTRIBUIDORA DE MATERIALES Y FORRA</t>
        </is>
      </c>
      <c r="K20" t="inlineStr">
        <is>
          <t>N15</t>
        </is>
      </c>
      <c r="L20" t="inlineStr">
        <is>
          <t>(AP) NAFIN 15 Dias</t>
        </is>
      </c>
      <c r="M20" t="n">
        <v>10006150</v>
      </c>
      <c r="N20" t="inlineStr">
        <is>
          <t>Grava Triturada Caliza 20 mm - 3/4"</t>
        </is>
      </c>
      <c r="O20" t="inlineStr">
        <is>
          <t>D865</t>
        </is>
      </c>
      <c r="P20" t="inlineStr">
        <is>
          <t>MX-CED. MORELOS</t>
        </is>
      </c>
      <c r="Q20" t="n">
        <v>20211122</v>
      </c>
      <c r="R20" t="n">
        <v>20281231</v>
      </c>
      <c r="S20" t="n">
        <v>20230825</v>
      </c>
      <c r="T20" t="n">
        <v>20281231</v>
      </c>
      <c r="U20" t="n">
        <v>290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56103637</v>
      </c>
      <c r="AD20" t="n">
        <v>6622551540</v>
      </c>
      <c r="AE20" t="n">
        <v>1</v>
      </c>
      <c r="AF20" t="inlineStr">
        <is>
          <t>ENTREGADO</t>
        </is>
      </c>
      <c r="AG20" t="n">
        <v>1.387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D865-900006255-10006150</t>
        </is>
      </c>
    </row>
    <row r="21">
      <c r="A21" t="inlineStr">
        <is>
          <t>900003877D86510000632</t>
        </is>
      </c>
      <c r="B21" t="inlineStr">
        <is>
          <t>4600032991-30</t>
        </is>
      </c>
      <c r="C21" t="n">
        <v>4600032991</v>
      </c>
      <c r="D21" t="n">
        <v>30</v>
      </c>
      <c r="E21" t="inlineStr">
        <is>
          <t>MXPO</t>
        </is>
      </c>
      <c r="F21" t="inlineStr">
        <is>
          <t>MXL</t>
        </is>
      </c>
      <c r="G21" t="n">
        <v>900003877</v>
      </c>
      <c r="H21" t="inlineStr">
        <is>
          <t>TP-MAT Y FORRAJES</t>
        </is>
      </c>
      <c r="I21" t="n">
        <v>5054376</v>
      </c>
      <c r="J21" t="inlineStr">
        <is>
          <t>DISTRIBUIDORA DE MATERIALES Y FORRA</t>
        </is>
      </c>
      <c r="K21" t="inlineStr">
        <is>
          <t>N15</t>
        </is>
      </c>
      <c r="L21" t="inlineStr">
        <is>
          <t>(AP) NAFIN 15 Dias</t>
        </is>
      </c>
      <c r="M21" t="n">
        <v>10000632</v>
      </c>
      <c r="N21" t="inlineStr">
        <is>
          <t>Grava Triturada Caliza 20 mm - 3/4"</t>
        </is>
      </c>
      <c r="O21" t="inlineStr">
        <is>
          <t>D865</t>
        </is>
      </c>
      <c r="P21" t="inlineStr">
        <is>
          <t>MX-CED. MORELOS</t>
        </is>
      </c>
      <c r="Q21" t="n">
        <v>20160201</v>
      </c>
      <c r="R21" t="n">
        <v>20281231</v>
      </c>
      <c r="S21" t="n">
        <v>20230825</v>
      </c>
      <c r="T21" t="n">
        <v>20281231</v>
      </c>
      <c r="U21" t="n">
        <v>290</v>
      </c>
      <c r="V21" t="inlineStr">
        <is>
          <t>MXN</t>
        </is>
      </c>
      <c r="W21" t="inlineStr">
        <is>
          <t>M3</t>
        </is>
      </c>
      <c r="X21" t="n">
        <v>0</v>
      </c>
      <c r="Y21" t="inlineStr">
        <is>
          <t>MXN</t>
        </is>
      </c>
      <c r="Z21" t="inlineStr">
        <is>
          <t>M3</t>
        </is>
      </c>
      <c r="AC21" t="n">
        <v>56103637</v>
      </c>
      <c r="AD21" t="n">
        <v>6622551540</v>
      </c>
      <c r="AE21" t="n">
        <v>1</v>
      </c>
      <c r="AF21" t="inlineStr">
        <is>
          <t>ENTREGADO</t>
        </is>
      </c>
      <c r="AG21" t="n">
        <v>1.533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D865-900003877-10000632</t>
        </is>
      </c>
    </row>
    <row r="22">
      <c r="A22" t="inlineStr">
        <is>
          <t>900004240D86510000394</t>
        </is>
      </c>
      <c r="B22" t="inlineStr">
        <is>
          <t>4600031503-10</t>
        </is>
      </c>
      <c r="C22" t="n">
        <v>4600031503</v>
      </c>
      <c r="D22" t="n">
        <v>10</v>
      </c>
      <c r="E22" t="inlineStr">
        <is>
          <t>MXPO</t>
        </is>
      </c>
      <c r="F22" t="inlineStr">
        <is>
          <t>MXL</t>
        </is>
      </c>
      <c r="G22" t="n">
        <v>900004240</v>
      </c>
      <c r="H22" t="inlineStr">
        <is>
          <t>TP-ACAMILPA (SOTELO)</t>
        </is>
      </c>
      <c r="I22" t="n">
        <v>5058988</v>
      </c>
      <c r="J22" t="inlineStr">
        <is>
          <t>RAMIREZ CARIÑO MARIA DOLORES</t>
        </is>
      </c>
      <c r="K22" t="inlineStr">
        <is>
          <t>Z06</t>
        </is>
      </c>
      <c r="L22" t="inlineStr">
        <is>
          <t>(AP) 45 Dias</t>
        </is>
      </c>
      <c r="M22" t="n">
        <v>10000394</v>
      </c>
      <c r="N22" t="inlineStr">
        <is>
          <t>Arena Triturada Andesita Malla 4</t>
        </is>
      </c>
      <c r="O22" t="inlineStr">
        <is>
          <t>D865</t>
        </is>
      </c>
      <c r="P22" t="inlineStr">
        <is>
          <t>MX-CED. MORELOS</t>
        </is>
      </c>
      <c r="Q22" t="n">
        <v>20150701</v>
      </c>
      <c r="R22" t="n">
        <v>20281231</v>
      </c>
      <c r="S22" t="n">
        <v>20240221</v>
      </c>
      <c r="T22" t="n">
        <v>20291231</v>
      </c>
      <c r="U22" t="n">
        <v>65</v>
      </c>
      <c r="V22" t="inlineStr">
        <is>
          <t>MXN</t>
        </is>
      </c>
      <c r="W22" t="inlineStr">
        <is>
          <t>M3</t>
        </is>
      </c>
      <c r="X22" t="n">
        <v>0</v>
      </c>
      <c r="Y22" t="inlineStr">
        <is>
          <t>MXN</t>
        </is>
      </c>
      <c r="Z22" t="inlineStr">
        <is>
          <t>M3</t>
        </is>
      </c>
      <c r="AC22" t="n">
        <v>56103638</v>
      </c>
      <c r="AD22" t="n">
        <v>6622551540</v>
      </c>
      <c r="AE22" t="n">
        <v>1</v>
      </c>
      <c r="AF22" t="inlineStr">
        <is>
          <t>ENTREGADO</t>
        </is>
      </c>
      <c r="AG22" t="n">
        <v>1.41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20240226</v>
      </c>
      <c r="AM22" t="inlineStr">
        <is>
          <t>D865-900004240-10000394</t>
        </is>
      </c>
    </row>
    <row r="23">
      <c r="A23" t="inlineStr">
        <is>
          <t>900004224D86510000284</t>
        </is>
      </c>
      <c r="B23" t="inlineStr">
        <is>
          <t>4600031364-10</t>
        </is>
      </c>
      <c r="C23" t="n">
        <v>4600031364</v>
      </c>
      <c r="D23" t="n">
        <v>10</v>
      </c>
      <c r="E23" t="inlineStr">
        <is>
          <t>MXPO</t>
        </is>
      </c>
      <c r="F23" t="inlineStr">
        <is>
          <t>MXL</t>
        </is>
      </c>
      <c r="G23" t="n">
        <v>900004224</v>
      </c>
      <c r="H23" t="inlineStr">
        <is>
          <t>TP-EL PAPAYO</t>
        </is>
      </c>
      <c r="I23" t="n">
        <v>5055683</v>
      </c>
      <c r="J23" t="inlineStr">
        <is>
          <t>ROSA ELOISA TORRES</t>
        </is>
      </c>
      <c r="K23" t="inlineStr">
        <is>
          <t>Z07</t>
        </is>
      </c>
      <c r="L23" t="inlineStr">
        <is>
          <t>(AP) 60 Dias</t>
        </is>
      </c>
      <c r="M23" t="n">
        <v>10000284</v>
      </c>
      <c r="N23" t="inlineStr">
        <is>
          <t>Grava Triturada Basalto  20 mm - 3/4"</t>
        </is>
      </c>
      <c r="O23" t="inlineStr">
        <is>
          <t>D865</t>
        </is>
      </c>
      <c r="P23" t="inlineStr">
        <is>
          <t>MX-CED. MORELOS</t>
        </is>
      </c>
      <c r="Q23" t="n">
        <v>20150701</v>
      </c>
      <c r="R23" t="n">
        <v>20241231</v>
      </c>
      <c r="S23" t="n">
        <v>20180206</v>
      </c>
      <c r="T23" t="n">
        <v>20241231</v>
      </c>
      <c r="U23" t="n">
        <v>180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56103637</v>
      </c>
      <c r="AD23" t="n">
        <v>6622551540</v>
      </c>
      <c r="AE23" t="n">
        <v>1</v>
      </c>
      <c r="AF23" t="inlineStr">
        <is>
          <t>ENTREGADO</t>
        </is>
      </c>
      <c r="AG23" t="n">
        <v>1.429</v>
      </c>
      <c r="AH23" t="inlineStr">
        <is>
          <t>M3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D865-900004224-10000284</t>
        </is>
      </c>
    </row>
    <row r="24">
      <c r="A24" t="inlineStr">
        <is>
          <t>900005655D86510000287</t>
        </is>
      </c>
      <c r="B24" t="inlineStr">
        <is>
          <t>4600055816-30</t>
        </is>
      </c>
      <c r="C24" t="n">
        <v>4600055816</v>
      </c>
      <c r="D24" t="n">
        <v>30</v>
      </c>
      <c r="E24" t="inlineStr">
        <is>
          <t>MXPO</t>
        </is>
      </c>
      <c r="F24" t="inlineStr">
        <is>
          <t>MXL</t>
        </is>
      </c>
      <c r="G24" t="n">
        <v>900005655</v>
      </c>
      <c r="H24" t="inlineStr">
        <is>
          <t>TP-TISCAREÑO</t>
        </is>
      </c>
      <c r="I24" t="n">
        <v>5071793</v>
      </c>
      <c r="J24" t="inlineStr">
        <is>
          <t>TISCAREÑO MALDONADO SAUL</t>
        </is>
      </c>
      <c r="K24" t="inlineStr">
        <is>
          <t>Z09</t>
        </is>
      </c>
      <c r="L24" t="inlineStr">
        <is>
          <t>(AP) 90 Dias</t>
        </is>
      </c>
      <c r="M24" t="n">
        <v>10000287</v>
      </c>
      <c r="N24" t="inlineStr">
        <is>
          <t>Grava Triturada Basalto  40 mm - 1 1/2"</t>
        </is>
      </c>
      <c r="O24" t="inlineStr">
        <is>
          <t>D865</t>
        </is>
      </c>
      <c r="P24" t="inlineStr">
        <is>
          <t>MX-CED. MORELOS</t>
        </is>
      </c>
      <c r="Q24" t="n">
        <v>20211122</v>
      </c>
      <c r="R24" t="n">
        <v>20281231</v>
      </c>
      <c r="S24" t="n">
        <v>20211122</v>
      </c>
      <c r="T24" t="n">
        <v>20271231</v>
      </c>
      <c r="U24" t="n">
        <v>230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56103637</v>
      </c>
      <c r="AD24" t="n">
        <v>6622551540</v>
      </c>
      <c r="AE24" t="n">
        <v>1</v>
      </c>
      <c r="AF24" t="inlineStr">
        <is>
          <t>ENTREGADO</t>
        </is>
      </c>
      <c r="AG24" t="n">
        <v>1.44</v>
      </c>
      <c r="AH24" t="inlineStr">
        <is>
          <t>M3</t>
        </is>
      </c>
      <c r="AI24" t="inlineStr">
        <is>
          <t>X</t>
        </is>
      </c>
      <c r="AJ24" t="n">
        <v>4</v>
      </c>
      <c r="AL24" t="n">
        <v>20230920</v>
      </c>
      <c r="AM24" t="inlineStr">
        <is>
          <t>D865-900005655-10000287</t>
        </is>
      </c>
    </row>
    <row r="25">
      <c r="A25" t="inlineStr">
        <is>
          <t>900005655D86510000829</t>
        </is>
      </c>
      <c r="B25" t="inlineStr">
        <is>
          <t>4600055816-40</t>
        </is>
      </c>
      <c r="C25" t="n">
        <v>4600055816</v>
      </c>
      <c r="D25" t="n">
        <v>40</v>
      </c>
      <c r="E25" t="inlineStr">
        <is>
          <t>MXPO</t>
        </is>
      </c>
      <c r="F25" t="inlineStr">
        <is>
          <t>MXL</t>
        </is>
      </c>
      <c r="G25" t="n">
        <v>900005655</v>
      </c>
      <c r="H25" t="inlineStr">
        <is>
          <t>TP-TISCAREÑO</t>
        </is>
      </c>
      <c r="I25" t="n">
        <v>5071793</v>
      </c>
      <c r="J25" t="inlineStr">
        <is>
          <t>TISCAREÑO MALDONADO SAUL</t>
        </is>
      </c>
      <c r="K25" t="inlineStr">
        <is>
          <t>Z09</t>
        </is>
      </c>
      <c r="L25" t="inlineStr">
        <is>
          <t>(AP) 90 Dias</t>
        </is>
      </c>
      <c r="M25" t="n">
        <v>10000829</v>
      </c>
      <c r="N25" t="inlineStr">
        <is>
          <t>Arena Triturada Basalto  Malla 5</t>
        </is>
      </c>
      <c r="O25" t="inlineStr">
        <is>
          <t>D865</t>
        </is>
      </c>
      <c r="P25" t="inlineStr">
        <is>
          <t>MX-CED. MORELOS</t>
        </is>
      </c>
      <c r="Q25" t="n">
        <v>20211122</v>
      </c>
      <c r="R25" t="n">
        <v>20281231</v>
      </c>
      <c r="S25" t="n">
        <v>20240604</v>
      </c>
      <c r="T25" t="n">
        <v>20291231</v>
      </c>
      <c r="U25" t="n">
        <v>130</v>
      </c>
      <c r="V25" t="inlineStr">
        <is>
          <t>MXN</t>
        </is>
      </c>
      <c r="W25" t="inlineStr">
        <is>
          <t>M3</t>
        </is>
      </c>
      <c r="X25" t="n">
        <v>0</v>
      </c>
      <c r="Y25" t="inlineStr">
        <is>
          <t>MXN</t>
        </is>
      </c>
      <c r="Z25" t="inlineStr">
        <is>
          <t>M3</t>
        </is>
      </c>
      <c r="AC25" t="n">
        <v>56103638</v>
      </c>
      <c r="AD25" t="n">
        <v>6622551540</v>
      </c>
      <c r="AE25" t="n">
        <v>1</v>
      </c>
      <c r="AF25" t="inlineStr">
        <is>
          <t>ENTREGADO</t>
        </is>
      </c>
      <c r="AG25" t="n">
        <v>1.43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20240610</v>
      </c>
      <c r="AM25" t="inlineStr">
        <is>
          <t>D865-900005655-10000829</t>
        </is>
      </c>
    </row>
    <row r="26">
      <c r="A26" t="inlineStr">
        <is>
          <t>900004224D86510000857</t>
        </is>
      </c>
      <c r="B26" t="inlineStr">
        <is>
          <t>4600031364-30</t>
        </is>
      </c>
      <c r="C26" t="n">
        <v>4600031364</v>
      </c>
      <c r="D26" t="n">
        <v>30</v>
      </c>
      <c r="E26" t="inlineStr">
        <is>
          <t>MXPO</t>
        </is>
      </c>
      <c r="F26" t="inlineStr">
        <is>
          <t>MXL</t>
        </is>
      </c>
      <c r="G26" t="n">
        <v>900004224</v>
      </c>
      <c r="H26" t="inlineStr">
        <is>
          <t>TP-EL PAPAYO</t>
        </is>
      </c>
      <c r="I26" t="n">
        <v>5055683</v>
      </c>
      <c r="J26" t="inlineStr">
        <is>
          <t>ROSA ELOISA TORRES</t>
        </is>
      </c>
      <c r="K26" t="inlineStr">
        <is>
          <t>Z07</t>
        </is>
      </c>
      <c r="L26" t="inlineStr">
        <is>
          <t>(AP) 60 Dias</t>
        </is>
      </c>
      <c r="M26" t="n">
        <v>10000857</v>
      </c>
      <c r="N26" t="inlineStr">
        <is>
          <t>Arena Triturada Basalto  Malla 4</t>
        </is>
      </c>
      <c r="O26" t="inlineStr">
        <is>
          <t>D865</t>
        </is>
      </c>
      <c r="P26" t="inlineStr">
        <is>
          <t>MX-CED. MORELOS</t>
        </is>
      </c>
      <c r="Q26" t="n">
        <v>20150701</v>
      </c>
      <c r="R26" t="n">
        <v>20241231</v>
      </c>
      <c r="S26" t="n">
        <v>20180206</v>
      </c>
      <c r="T26" t="n">
        <v>20241231</v>
      </c>
      <c r="U26" t="n">
        <v>130</v>
      </c>
      <c r="V26" t="inlineStr">
        <is>
          <t>MXN</t>
        </is>
      </c>
      <c r="W26" t="inlineStr">
        <is>
          <t>M3</t>
        </is>
      </c>
      <c r="X26" t="n">
        <v>0</v>
      </c>
      <c r="Y26" t="inlineStr">
        <is>
          <t>MXN</t>
        </is>
      </c>
      <c r="Z26" t="inlineStr">
        <is>
          <t>M3</t>
        </is>
      </c>
      <c r="AC26" t="n">
        <v>56103638</v>
      </c>
      <c r="AD26" t="n">
        <v>6622551540</v>
      </c>
      <c r="AE26" t="n">
        <v>1</v>
      </c>
      <c r="AF26" t="inlineStr">
        <is>
          <t>ENTREGADO</t>
        </is>
      </c>
      <c r="AG26" t="n">
        <v>1.51</v>
      </c>
      <c r="AH26" t="inlineStr">
        <is>
          <t>M3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D865-900004224-10000857</t>
        </is>
      </c>
    </row>
    <row r="27">
      <c r="A27" t="inlineStr">
        <is>
          <t>900004224D86510000229</t>
        </is>
      </c>
      <c r="B27" t="inlineStr">
        <is>
          <t>4600031364-20</t>
        </is>
      </c>
      <c r="C27" t="n">
        <v>4600031364</v>
      </c>
      <c r="D27" t="n">
        <v>20</v>
      </c>
      <c r="E27" t="inlineStr">
        <is>
          <t>MXPO</t>
        </is>
      </c>
      <c r="F27" t="inlineStr">
        <is>
          <t>MXL</t>
        </is>
      </c>
      <c r="G27" t="n">
        <v>900004224</v>
      </c>
      <c r="H27" t="inlineStr">
        <is>
          <t>TP-EL PAPAYO</t>
        </is>
      </c>
      <c r="I27" t="n">
        <v>5055683</v>
      </c>
      <c r="J27" t="inlineStr">
        <is>
          <t>ROSA ELOISA TORRES</t>
        </is>
      </c>
      <c r="K27" t="inlineStr">
        <is>
          <t>Z07</t>
        </is>
      </c>
      <c r="L27" t="inlineStr">
        <is>
          <t>(AP) 60 Dias</t>
        </is>
      </c>
      <c r="M27" t="n">
        <v>10000229</v>
      </c>
      <c r="N27" t="inlineStr">
        <is>
          <t>Grava Triturada Basalto  10 mm - 3/8"</t>
        </is>
      </c>
      <c r="O27" t="inlineStr">
        <is>
          <t>D865</t>
        </is>
      </c>
      <c r="P27" t="inlineStr">
        <is>
          <t>MX-CED. MORELOS</t>
        </is>
      </c>
      <c r="Q27" t="n">
        <v>20150701</v>
      </c>
      <c r="R27" t="n">
        <v>20241231</v>
      </c>
      <c r="S27" t="n">
        <v>20180206</v>
      </c>
      <c r="T27" t="n">
        <v>20241231</v>
      </c>
      <c r="U27" t="n">
        <v>220</v>
      </c>
      <c r="V27" t="inlineStr">
        <is>
          <t>MXN</t>
        </is>
      </c>
      <c r="W27" t="inlineStr">
        <is>
          <t>M3</t>
        </is>
      </c>
      <c r="X27" t="n">
        <v>0</v>
      </c>
      <c r="Y27" t="inlineStr">
        <is>
          <t>MXN</t>
        </is>
      </c>
      <c r="Z27" t="inlineStr">
        <is>
          <t>M3</t>
        </is>
      </c>
      <c r="AC27" t="n">
        <v>56103637</v>
      </c>
      <c r="AD27" t="n">
        <v>6622551540</v>
      </c>
      <c r="AE27" t="n">
        <v>1</v>
      </c>
      <c r="AF27" t="inlineStr">
        <is>
          <t>ENTREGADO</t>
        </is>
      </c>
      <c r="AG27" t="n">
        <v>1.522</v>
      </c>
      <c r="AH27" t="inlineStr">
        <is>
          <t>M3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D865-900004224-10000229</t>
        </is>
      </c>
    </row>
    <row r="28">
      <c r="A28" t="inlineStr">
        <is>
          <t>900003877D86510000735</t>
        </is>
      </c>
      <c r="B28" t="inlineStr">
        <is>
          <t>4600032991-20</t>
        </is>
      </c>
      <c r="C28" t="n">
        <v>4600032991</v>
      </c>
      <c r="D28" t="n">
        <v>20</v>
      </c>
      <c r="E28" t="inlineStr">
        <is>
          <t>MXPO</t>
        </is>
      </c>
      <c r="F28" t="inlineStr">
        <is>
          <t>MXL</t>
        </is>
      </c>
      <c r="G28" t="n">
        <v>900003877</v>
      </c>
      <c r="H28" t="inlineStr">
        <is>
          <t>TP-MAT Y FORRAJES</t>
        </is>
      </c>
      <c r="I28" t="n">
        <v>5054376</v>
      </c>
      <c r="J28" t="inlineStr">
        <is>
          <t>DISTRIBUIDORA DE MATERIALES Y FORRA</t>
        </is>
      </c>
      <c r="K28" t="inlineStr">
        <is>
          <t>N15</t>
        </is>
      </c>
      <c r="L28" t="inlineStr">
        <is>
          <t>(AP) NAFIN 15 Dias</t>
        </is>
      </c>
      <c r="M28" t="n">
        <v>10000735</v>
      </c>
      <c r="N28" t="inlineStr">
        <is>
          <t>Grava Triturada Caliza 10 mm - 3/8"</t>
        </is>
      </c>
      <c r="O28" t="inlineStr">
        <is>
          <t>D865</t>
        </is>
      </c>
      <c r="P28" t="inlineStr">
        <is>
          <t>MX-CED. MORELOS</t>
        </is>
      </c>
      <c r="Q28" t="n">
        <v>20160201</v>
      </c>
      <c r="R28" t="n">
        <v>20281231</v>
      </c>
      <c r="S28" t="n">
        <v>20230505</v>
      </c>
      <c r="T28" t="n">
        <v>20281231</v>
      </c>
      <c r="U28" t="n">
        <v>340</v>
      </c>
      <c r="V28" t="inlineStr">
        <is>
          <t>MXN</t>
        </is>
      </c>
      <c r="W28" t="inlineStr">
        <is>
          <t>M3</t>
        </is>
      </c>
      <c r="X28" t="n">
        <v>0</v>
      </c>
      <c r="Y28" t="inlineStr">
        <is>
          <t>MXN</t>
        </is>
      </c>
      <c r="Z28" t="inlineStr">
        <is>
          <t>M3</t>
        </is>
      </c>
      <c r="AC28" t="n">
        <v>56103637</v>
      </c>
      <c r="AD28" t="n">
        <v>6622551540</v>
      </c>
      <c r="AE28" t="n">
        <v>1</v>
      </c>
      <c r="AF28" t="inlineStr">
        <is>
          <t>ENTREGADO</t>
        </is>
      </c>
      <c r="AG28" t="n">
        <v>1.41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D865-900003877-10000735</t>
        </is>
      </c>
    </row>
    <row r="29">
      <c r="A29" t="inlineStr">
        <is>
          <t>900005655D86510000284</t>
        </is>
      </c>
      <c r="B29" t="inlineStr">
        <is>
          <t>4600055816-10</t>
        </is>
      </c>
      <c r="C29" t="n">
        <v>4600055816</v>
      </c>
      <c r="D29" t="n">
        <v>10</v>
      </c>
      <c r="E29" t="inlineStr">
        <is>
          <t>MXPO</t>
        </is>
      </c>
      <c r="F29" t="inlineStr">
        <is>
          <t>MXL</t>
        </is>
      </c>
      <c r="G29" t="n">
        <v>900005655</v>
      </c>
      <c r="H29" t="inlineStr">
        <is>
          <t>TP-TISCAREÑO</t>
        </is>
      </c>
      <c r="I29" t="n">
        <v>5071793</v>
      </c>
      <c r="J29" t="inlineStr">
        <is>
          <t>TISCAREÑO MALDONADO SAUL</t>
        </is>
      </c>
      <c r="K29" t="inlineStr">
        <is>
          <t>Z09</t>
        </is>
      </c>
      <c r="L29" t="inlineStr">
        <is>
          <t>(AP) 90 Dias</t>
        </is>
      </c>
      <c r="M29" t="n">
        <v>10000284</v>
      </c>
      <c r="N29" t="inlineStr">
        <is>
          <t>Grava Triturada Basalto  20 mm - 3/4"</t>
        </is>
      </c>
      <c r="O29" t="inlineStr">
        <is>
          <t>D865</t>
        </is>
      </c>
      <c r="P29" t="inlineStr">
        <is>
          <t>MX-CED. MORELOS</t>
        </is>
      </c>
      <c r="Q29" t="n">
        <v>20211122</v>
      </c>
      <c r="R29" t="n">
        <v>20281231</v>
      </c>
      <c r="S29" t="n">
        <v>20211122</v>
      </c>
      <c r="T29" t="n">
        <v>20271231</v>
      </c>
      <c r="U29" t="n">
        <v>250</v>
      </c>
      <c r="V29" t="inlineStr">
        <is>
          <t>MXN</t>
        </is>
      </c>
      <c r="W29" t="inlineStr">
        <is>
          <t>M3</t>
        </is>
      </c>
      <c r="X29" t="n">
        <v>0</v>
      </c>
      <c r="Y29" t="inlineStr">
        <is>
          <t>MXN</t>
        </is>
      </c>
      <c r="Z29" t="inlineStr">
        <is>
          <t>M3</t>
        </is>
      </c>
      <c r="AC29" t="n">
        <v>56103637</v>
      </c>
      <c r="AD29" t="n">
        <v>6622551540</v>
      </c>
      <c r="AE29" t="n">
        <v>1</v>
      </c>
      <c r="AF29" t="inlineStr">
        <is>
          <t>ENTREGADO</t>
        </is>
      </c>
      <c r="AG29" t="n">
        <v>1.429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D865-900005655-10000284</t>
        </is>
      </c>
    </row>
    <row r="30">
      <c r="A30" t="inlineStr">
        <is>
          <t>900005655D86510000229</t>
        </is>
      </c>
      <c r="B30" t="inlineStr">
        <is>
          <t>4600055816-20</t>
        </is>
      </c>
      <c r="C30" t="n">
        <v>4600055816</v>
      </c>
      <c r="D30" t="n">
        <v>20</v>
      </c>
      <c r="E30" t="inlineStr">
        <is>
          <t>MXPO</t>
        </is>
      </c>
      <c r="F30" t="inlineStr">
        <is>
          <t>MXL</t>
        </is>
      </c>
      <c r="G30" t="n">
        <v>900005655</v>
      </c>
      <c r="H30" t="inlineStr">
        <is>
          <t>TP-TISCAREÑO</t>
        </is>
      </c>
      <c r="I30" t="n">
        <v>5071793</v>
      </c>
      <c r="J30" t="inlineStr">
        <is>
          <t>TISCAREÑO MALDONADO SAUL</t>
        </is>
      </c>
      <c r="K30" t="inlineStr">
        <is>
          <t>Z09</t>
        </is>
      </c>
      <c r="L30" t="inlineStr">
        <is>
          <t>(AP) 90 Dias</t>
        </is>
      </c>
      <c r="M30" t="n">
        <v>10000229</v>
      </c>
      <c r="N30" t="inlineStr">
        <is>
          <t>Grava Triturada Basalto  10 mm - 3/8"</t>
        </is>
      </c>
      <c r="O30" t="inlineStr">
        <is>
          <t>D865</t>
        </is>
      </c>
      <c r="P30" t="inlineStr">
        <is>
          <t>MX-CED. MORELOS</t>
        </is>
      </c>
      <c r="Q30" t="n">
        <v>20211122</v>
      </c>
      <c r="R30" t="n">
        <v>20281231</v>
      </c>
      <c r="S30" t="n">
        <v>20211122</v>
      </c>
      <c r="T30" t="n">
        <v>20271231</v>
      </c>
      <c r="U30" t="n">
        <v>330</v>
      </c>
      <c r="V30" t="inlineStr">
        <is>
          <t>MXN</t>
        </is>
      </c>
      <c r="W30" t="inlineStr">
        <is>
          <t>M3</t>
        </is>
      </c>
      <c r="X30" t="n">
        <v>0</v>
      </c>
      <c r="Y30" t="inlineStr">
        <is>
          <t>MXN</t>
        </is>
      </c>
      <c r="Z30" t="inlineStr">
        <is>
          <t>M3</t>
        </is>
      </c>
      <c r="AC30" t="n">
        <v>56103637</v>
      </c>
      <c r="AD30" t="n">
        <v>6622551540</v>
      </c>
      <c r="AE30" t="n">
        <v>1</v>
      </c>
      <c r="AF30" t="inlineStr">
        <is>
          <t>ENTREGADO</t>
        </is>
      </c>
      <c r="AG30" t="n">
        <v>1.522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D865-900005655-10000229</t>
        </is>
      </c>
    </row>
    <row r="31">
      <c r="A31" t="inlineStr">
        <is>
          <t>900005792D8656656917410000284</t>
        </is>
      </c>
      <c r="B31" t="inlineStr">
        <is>
          <t>4600042867-10</t>
        </is>
      </c>
      <c r="C31" t="n">
        <v>4600042867</v>
      </c>
      <c r="D31" t="n">
        <v>10</v>
      </c>
      <c r="E31" t="inlineStr">
        <is>
          <t>MXPO</t>
        </is>
      </c>
      <c r="F31" t="inlineStr">
        <is>
          <t>MXL</t>
        </is>
      </c>
      <c r="G31" t="n">
        <v>900005792</v>
      </c>
      <c r="H31" t="inlineStr">
        <is>
          <t>SF TP-ED-EL PAPAYO</t>
        </is>
      </c>
      <c r="I31" t="n">
        <v>5055683</v>
      </c>
      <c r="J31" t="inlineStr">
        <is>
          <t>ROSA ELOISA TORRES</t>
        </is>
      </c>
      <c r="K31" t="inlineStr">
        <is>
          <t>Z07</t>
        </is>
      </c>
      <c r="L31" t="inlineStr">
        <is>
          <t>(AP) 60 Dias</t>
        </is>
      </c>
      <c r="M31" t="n">
        <v>10000284</v>
      </c>
      <c r="N31" t="inlineStr">
        <is>
          <t>Grava Triturada Basalto  20 mm - 3/4"</t>
        </is>
      </c>
      <c r="O31" t="inlineStr">
        <is>
          <t>D865</t>
        </is>
      </c>
      <c r="P31" t="inlineStr">
        <is>
          <t>MX-CED. MORELOS</t>
        </is>
      </c>
      <c r="Q31" t="n">
        <v>20180830</v>
      </c>
      <c r="R31" t="n">
        <v>20241231</v>
      </c>
      <c r="S31" t="n">
        <v>20180830</v>
      </c>
      <c r="T31" t="n">
        <v>20241231</v>
      </c>
      <c r="U31" t="n">
        <v>220</v>
      </c>
      <c r="V31" t="inlineStr">
        <is>
          <t>MXN</t>
        </is>
      </c>
      <c r="W31" t="inlineStr">
        <is>
          <t>M3</t>
        </is>
      </c>
      <c r="X31" t="n">
        <v>40</v>
      </c>
      <c r="Y31" t="inlineStr">
        <is>
          <t>MXN</t>
        </is>
      </c>
      <c r="Z31" t="inlineStr">
        <is>
          <t>M3</t>
        </is>
      </c>
      <c r="AA31" t="inlineStr">
        <is>
          <t>66569174</t>
        </is>
      </c>
      <c r="AB31" t="inlineStr">
        <is>
          <t>HOSPITAL GENERAL CUAUTLA (LAAJ)</t>
        </is>
      </c>
      <c r="AC31" t="n">
        <v>56103637</v>
      </c>
      <c r="AD31" t="n">
        <v>6622551540</v>
      </c>
      <c r="AE31" t="n">
        <v>4</v>
      </c>
      <c r="AF31" t="inlineStr">
        <is>
          <t>ENTREGA DIRECTA</t>
        </is>
      </c>
      <c r="AG31" t="n">
        <v>1.429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D865-900005792-66569174-10000284-4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2026-09-14T14:20:40Z</dcterms:created>
  <dcterms:modified xsi:type="dcterms:W3CDTF">2026-09-14T14:20:40Z</dcterms:modified>
</cp:coreProperties>
</file>