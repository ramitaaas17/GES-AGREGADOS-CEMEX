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900000540</v>
      </c>
      <c r="D3" s="7">
        <f>IFERROR(VLOOKUP(C3,TRAOPE!$G:$H,2,0),"")</f>
        <v/>
      </c>
      <c r="E3" s="8" t="inlineStr">
        <is>
          <t>D865</t>
        </is>
      </c>
      <c r="F3" s="8" t="inlineStr">
        <is>
          <t>65014664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10000829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20190426</t>
        </is>
      </c>
      <c r="M3" s="8" t="inlineStr">
        <is>
          <t>20250127</t>
        </is>
      </c>
      <c r="N3" s="10" t="n">
        <v>51.84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900003877</v>
      </c>
      <c r="D4" s="7">
        <f>IFERROR(VLOOKUP(C4,TRAOPE!$G:$H,2,0),"")</f>
        <v/>
      </c>
      <c r="E4" s="8" t="inlineStr">
        <is>
          <t>D865</t>
        </is>
      </c>
      <c r="F4" s="8" t="inlineStr">
        <is>
          <t>65944468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10000360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20190426</t>
        </is>
      </c>
      <c r="M4" s="8" t="inlineStr">
        <is>
          <t>20250127</t>
        </is>
      </c>
      <c r="N4" s="10" t="n">
        <v>153.7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900003877</v>
      </c>
      <c r="D5" s="7">
        <f>IFERROR(VLOOKUP(C5,TRAOPE!$G:$H,2,0),"")</f>
        <v/>
      </c>
      <c r="E5" s="8" t="inlineStr">
        <is>
          <t>D865</t>
        </is>
      </c>
      <c r="F5" s="8" t="inlineStr">
        <is>
          <t>65944468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10000632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20190426</t>
        </is>
      </c>
      <c r="M5" s="8" t="inlineStr">
        <is>
          <t>20250127</t>
        </is>
      </c>
      <c r="N5" s="10" t="n">
        <v>163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900003877</v>
      </c>
      <c r="D6" s="7">
        <f>IFERROR(VLOOKUP(C6,TRAOPE!$G:$H,2,0),"")</f>
        <v/>
      </c>
      <c r="E6" s="8" t="inlineStr">
        <is>
          <t>D865</t>
        </is>
      </c>
      <c r="F6" s="8" t="inlineStr">
        <is>
          <t>65944468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10000735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20190426</t>
        </is>
      </c>
      <c r="M6" s="8" t="inlineStr">
        <is>
          <t>20250127</t>
        </is>
      </c>
      <c r="N6" s="10" t="n">
        <v>148.35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900003877</v>
      </c>
      <c r="D7" s="7">
        <f>IFERROR(VLOOKUP(C7,TRAOPE!$G:$H,2,0),"")</f>
        <v/>
      </c>
      <c r="E7" s="8" t="inlineStr">
        <is>
          <t>D865</t>
        </is>
      </c>
      <c r="F7" s="8" t="inlineStr">
        <is>
          <t>65944468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10047573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20190426</t>
        </is>
      </c>
      <c r="M7" s="8" t="inlineStr">
        <is>
          <t>20250127</t>
        </is>
      </c>
      <c r="N7" s="10" t="n">
        <v>81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900003877</v>
      </c>
      <c r="D8" s="7">
        <f>IFERROR(VLOOKUP(C8,TRAOPE!$G:$H,2,0),"")</f>
        <v/>
      </c>
      <c r="E8" s="8" t="inlineStr">
        <is>
          <t>D865</t>
        </is>
      </c>
      <c r="F8" s="8" t="inlineStr">
        <is>
          <t>66542531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10000829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20190426</t>
        </is>
      </c>
      <c r="M8" s="8" t="inlineStr">
        <is>
          <t>20250127</t>
        </is>
      </c>
      <c r="N8" s="10" t="n">
        <v>49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900003877</v>
      </c>
      <c r="D9" s="7">
        <f>IFERROR(VLOOKUP(C9,TRAOPE!$G:$H,2,0),"")</f>
        <v/>
      </c>
      <c r="E9" s="8" t="inlineStr">
        <is>
          <t>D865</t>
        </is>
      </c>
      <c r="F9" s="8" t="inlineStr">
        <is>
          <t>66566504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10000632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20190426</t>
        </is>
      </c>
      <c r="M9" s="8" t="inlineStr">
        <is>
          <t>20250127</t>
        </is>
      </c>
      <c r="N9" s="10" t="n">
        <v>147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900003877</v>
      </c>
      <c r="D10" s="7">
        <f>IFERROR(VLOOKUP(C10,TRAOPE!$G:$H,2,0),"")</f>
        <v/>
      </c>
      <c r="E10" s="8" t="inlineStr">
        <is>
          <t>D865</t>
        </is>
      </c>
      <c r="F10" s="8" t="inlineStr">
        <is>
          <t>66604125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10000829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20190426</t>
        </is>
      </c>
      <c r="M10" s="8" t="inlineStr">
        <is>
          <t>20250127</t>
        </is>
      </c>
      <c r="N10" s="10" t="n">
        <v>49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900003877</v>
      </c>
      <c r="D11" s="7">
        <f>IFERROR(VLOOKUP(C11,TRAOPE!$G:$H,2,0),"")</f>
        <v/>
      </c>
      <c r="E11" s="8" t="inlineStr">
        <is>
          <t>D865</t>
        </is>
      </c>
      <c r="F11" s="8" t="inlineStr">
        <is>
          <t>67098138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10000735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20190426</t>
        </is>
      </c>
      <c r="M11" s="8" t="inlineStr">
        <is>
          <t>20250127</t>
        </is>
      </c>
      <c r="N11" s="10" t="n">
        <v>350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900003877</v>
      </c>
      <c r="D12" s="7">
        <f>IFERROR(VLOOKUP(C12,TRAOPE!$G:$H,2,0),"")</f>
        <v/>
      </c>
      <c r="E12" s="8" t="inlineStr">
        <is>
          <t>D865</t>
        </is>
      </c>
      <c r="F12" s="8" t="inlineStr">
        <is>
          <t>67098138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10047573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20190426</t>
        </is>
      </c>
      <c r="M12" s="8" t="inlineStr">
        <is>
          <t>20250127</t>
        </is>
      </c>
      <c r="N12" s="10" t="n">
        <v>100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900003877</v>
      </c>
      <c r="D13" s="7">
        <f>IFERROR(VLOOKUP(C13,TRAOPE!$G:$H,2,0),"")</f>
        <v/>
      </c>
      <c r="E13" s="8" t="inlineStr">
        <is>
          <t>D865</t>
        </is>
      </c>
      <c r="F13" s="8" t="inlineStr">
        <is>
          <t>67159573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10000632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20190426</t>
        </is>
      </c>
      <c r="M13" s="8" t="inlineStr">
        <is>
          <t>20250127</t>
        </is>
      </c>
      <c r="N13" s="10" t="n">
        <v>291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900003877</v>
      </c>
      <c r="D14" s="7">
        <f>IFERROR(VLOOKUP(C14,TRAOPE!$G:$H,2,0),"")</f>
        <v/>
      </c>
      <c r="E14" s="8" t="inlineStr">
        <is>
          <t>D865</t>
        </is>
      </c>
      <c r="F14" s="8" t="inlineStr">
        <is>
          <t>67159573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10000735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20190426</t>
        </is>
      </c>
      <c r="M14" s="8" t="inlineStr">
        <is>
          <t>20250127</t>
        </is>
      </c>
      <c r="N14" s="10" t="n">
        <v>341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900003877</v>
      </c>
      <c r="D15" s="7">
        <f>IFERROR(VLOOKUP(C15,TRAOPE!$G:$H,2,0),"")</f>
        <v/>
      </c>
      <c r="E15" s="8" t="inlineStr">
        <is>
          <t>D865</t>
        </is>
      </c>
      <c r="F15" s="8" t="inlineStr">
        <is>
          <t>67159573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10047573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20190426</t>
        </is>
      </c>
      <c r="M15" s="8" t="inlineStr">
        <is>
          <t>20250127</t>
        </is>
      </c>
      <c r="N15" s="10" t="n">
        <v>91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900003999</v>
      </c>
      <c r="D16" s="7">
        <f>IFERROR(VLOOKUP(C16,TRAOPE!$G:$H,2,0),"")</f>
        <v/>
      </c>
      <c r="E16" s="8" t="inlineStr">
        <is>
          <t>D865</t>
        </is>
      </c>
      <c r="F16" s="8" t="inlineStr">
        <is>
          <t>65944468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10000394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20190426</t>
        </is>
      </c>
      <c r="M16" s="8" t="inlineStr">
        <is>
          <t>20250127</t>
        </is>
      </c>
      <c r="N16" s="10" t="n">
        <v>145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900003999</v>
      </c>
      <c r="D17" s="7">
        <f>IFERROR(VLOOKUP(C17,TRAOPE!$G:$H,2,0),"")</f>
        <v/>
      </c>
      <c r="E17" s="8" t="inlineStr">
        <is>
          <t>D865</t>
        </is>
      </c>
      <c r="F17" s="8" t="inlineStr">
        <is>
          <t>65944468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10000430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20190426</t>
        </is>
      </c>
      <c r="M17" s="8" t="inlineStr">
        <is>
          <t>20250127</t>
        </is>
      </c>
      <c r="N17" s="10" t="n">
        <v>165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900003999</v>
      </c>
      <c r="D18" s="7">
        <f>IFERROR(VLOOKUP(C18,TRAOPE!$G:$H,2,0),"")</f>
        <v/>
      </c>
      <c r="E18" s="8" t="inlineStr">
        <is>
          <t>D865</t>
        </is>
      </c>
      <c r="F18" s="8" t="inlineStr">
        <is>
          <t>65944468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10000632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20190426</t>
        </is>
      </c>
      <c r="M18" s="8" t="inlineStr">
        <is>
          <t>20250127</t>
        </is>
      </c>
      <c r="N18" s="10" t="n">
        <v>143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900003999</v>
      </c>
      <c r="D19" s="7">
        <f>IFERROR(VLOOKUP(C19,TRAOPE!$G:$H,2,0),"")</f>
        <v/>
      </c>
      <c r="E19" s="8" t="inlineStr">
        <is>
          <t>D865</t>
        </is>
      </c>
      <c r="F19" s="8" t="inlineStr">
        <is>
          <t>65944468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10000735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20190426</t>
        </is>
      </c>
      <c r="M19" s="8" t="inlineStr">
        <is>
          <t>20250127</t>
        </is>
      </c>
      <c r="N19" s="10" t="n">
        <v>176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900004224</v>
      </c>
      <c r="D20" s="7">
        <f>IFERROR(VLOOKUP(C20,TRAOPE!$G:$H,2,0),"")</f>
        <v/>
      </c>
      <c r="E20" s="8" t="inlineStr">
        <is>
          <t>D865</t>
        </is>
      </c>
      <c r="F20" s="8" t="inlineStr">
        <is>
          <t>66189620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10000229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20190426</t>
        </is>
      </c>
      <c r="M20" s="8" t="inlineStr">
        <is>
          <t>20250127</t>
        </is>
      </c>
      <c r="N20" s="10" t="n">
        <v>200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900004224</v>
      </c>
      <c r="D21" s="7">
        <f>IFERROR(VLOOKUP(C21,TRAOPE!$G:$H,2,0),"")</f>
        <v/>
      </c>
      <c r="E21" s="8" t="inlineStr">
        <is>
          <t>D865</t>
        </is>
      </c>
      <c r="F21" s="8" t="inlineStr">
        <is>
          <t>66189620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10000284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20190426</t>
        </is>
      </c>
      <c r="M21" s="8" t="inlineStr">
        <is>
          <t>20250127</t>
        </is>
      </c>
      <c r="N21" s="10" t="n">
        <v>165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900004224</v>
      </c>
      <c r="D22" s="7">
        <f>IFERROR(VLOOKUP(C22,TRAOPE!$G:$H,2,0),"")</f>
        <v/>
      </c>
      <c r="E22" s="8" t="inlineStr">
        <is>
          <t>D865</t>
        </is>
      </c>
      <c r="F22" s="8" t="inlineStr">
        <is>
          <t>66569174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10000284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20190426</t>
        </is>
      </c>
      <c r="M22" s="8" t="inlineStr">
        <is>
          <t>20250127</t>
        </is>
      </c>
      <c r="N22" s="10" t="n">
        <v>195.5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900004240</v>
      </c>
      <c r="D23" s="7">
        <f>IFERROR(VLOOKUP(C23,TRAOPE!$G:$H,2,0),"")</f>
        <v/>
      </c>
      <c r="E23" s="8" t="inlineStr">
        <is>
          <t>D865</t>
        </is>
      </c>
      <c r="F23" s="8" t="inlineStr">
        <is>
          <t>66569174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10000394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20190426</t>
        </is>
      </c>
      <c r="M23" s="8" t="inlineStr">
        <is>
          <t>20250127</t>
        </is>
      </c>
      <c r="N23" s="10" t="n">
        <v>60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900004240</v>
      </c>
      <c r="D24" s="7">
        <f>IFERROR(VLOOKUP(C24,TRAOPE!$G:$H,2,0),"")</f>
        <v/>
      </c>
      <c r="E24" s="8" t="inlineStr">
        <is>
          <t>D865</t>
        </is>
      </c>
      <c r="F24" s="8" t="inlineStr">
        <is>
          <t>67160581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10000394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20190426</t>
        </is>
      </c>
      <c r="M24" s="8" t="inlineStr">
        <is>
          <t>20250127</t>
        </is>
      </c>
      <c r="N24" s="10" t="n">
        <v>70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900004240</v>
      </c>
      <c r="D25" s="7">
        <f>IFERROR(VLOOKUP(C25,TRAOPE!$G:$H,2,0),"")</f>
        <v/>
      </c>
      <c r="E25" s="8" t="inlineStr">
        <is>
          <t>D865</t>
        </is>
      </c>
      <c r="F25" s="8" t="inlineStr">
        <is>
          <t>67161848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10000394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20190426</t>
        </is>
      </c>
      <c r="M25" s="8" t="inlineStr">
        <is>
          <t>20250127</t>
        </is>
      </c>
      <c r="N25" s="10" t="n">
        <v>70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900004447</v>
      </c>
      <c r="D26" s="7">
        <f>IFERROR(VLOOKUP(C26,TRAOPE!$G:$H,2,0),"")</f>
        <v/>
      </c>
      <c r="E26" s="8" t="inlineStr">
        <is>
          <t>D865</t>
        </is>
      </c>
      <c r="F26" s="8" t="inlineStr">
        <is>
          <t>65014664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10000160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20190426</t>
        </is>
      </c>
      <c r="M26" s="8" t="inlineStr">
        <is>
          <t>20250127</t>
        </is>
      </c>
      <c r="N26" s="10" t="n">
        <v>44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900004447</v>
      </c>
      <c r="D27" s="7">
        <f>IFERROR(VLOOKUP(C27,TRAOPE!$G:$H,2,0),"")</f>
        <v/>
      </c>
      <c r="E27" s="8" t="inlineStr">
        <is>
          <t>D865</t>
        </is>
      </c>
      <c r="F27" s="8" t="inlineStr">
        <is>
          <t>65014664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10000829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20190426</t>
        </is>
      </c>
      <c r="M27" s="8" t="inlineStr">
        <is>
          <t>20250127</t>
        </is>
      </c>
      <c r="N27" s="10" t="n">
        <v>44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900004447</v>
      </c>
      <c r="D28" s="7">
        <f>IFERROR(VLOOKUP(C28,TRAOPE!$G:$H,2,0),"")</f>
        <v/>
      </c>
      <c r="E28" s="8" t="inlineStr">
        <is>
          <t>D865</t>
        </is>
      </c>
      <c r="F28" s="8" t="inlineStr">
        <is>
          <t>65944468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10000829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20190426</t>
        </is>
      </c>
      <c r="M28" s="8" t="inlineStr">
        <is>
          <t>20250127</t>
        </is>
      </c>
      <c r="N28" s="10" t="n">
        <v>51.5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900004447</v>
      </c>
      <c r="D29" s="7">
        <f>IFERROR(VLOOKUP(C29,TRAOPE!$G:$H,2,0),"")</f>
        <v/>
      </c>
      <c r="E29" s="8" t="inlineStr">
        <is>
          <t>D865</t>
        </is>
      </c>
      <c r="F29" s="8" t="inlineStr">
        <is>
          <t>66416982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10000829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20190426</t>
        </is>
      </c>
      <c r="M29" s="8" t="inlineStr">
        <is>
          <t>20250127</t>
        </is>
      </c>
      <c r="N29" s="10" t="n">
        <v>54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900004447</v>
      </c>
      <c r="D30" s="7">
        <f>IFERROR(VLOOKUP(C30,TRAOPE!$G:$H,2,0),"")</f>
        <v/>
      </c>
      <c r="E30" s="8" t="inlineStr">
        <is>
          <t>D865</t>
        </is>
      </c>
      <c r="F30" s="8" t="inlineStr">
        <is>
          <t>66529377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10000829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20190426</t>
        </is>
      </c>
      <c r="M30" s="8" t="inlineStr">
        <is>
          <t>20250127</t>
        </is>
      </c>
      <c r="N30" s="10" t="n">
        <v>55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900005087</v>
      </c>
      <c r="D31" s="7">
        <f>IFERROR(VLOOKUP(C31,TRAOPE!$G:$H,2,0),"")</f>
        <v/>
      </c>
      <c r="E31" s="8" t="inlineStr">
        <is>
          <t>D865</t>
        </is>
      </c>
      <c r="F31" s="8" t="inlineStr">
        <is>
          <t>65944468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10000632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20190426</t>
        </is>
      </c>
      <c r="M31" s="8" t="inlineStr">
        <is>
          <t>20250127</t>
        </is>
      </c>
      <c r="N31" s="10" t="n">
        <v>110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900005087</v>
      </c>
      <c r="D32" s="7">
        <f>IFERROR(VLOOKUP(C32,TRAOPE!$G:$H,2,0),"")</f>
        <v/>
      </c>
      <c r="E32" s="8" t="inlineStr">
        <is>
          <t>D865</t>
        </is>
      </c>
      <c r="F32" s="8" t="inlineStr">
        <is>
          <t>65944468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10139788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20190426</t>
        </is>
      </c>
      <c r="M32" s="8" t="inlineStr">
        <is>
          <t>20250127</t>
        </is>
      </c>
      <c r="N32" s="10" t="n">
        <v>110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900005087</v>
      </c>
      <c r="D33" s="7">
        <f>IFERROR(VLOOKUP(C33,TRAOPE!$G:$H,2,0),"")</f>
        <v/>
      </c>
      <c r="E33" s="8" t="inlineStr">
        <is>
          <t>D865</t>
        </is>
      </c>
      <c r="F33" s="8" t="inlineStr">
        <is>
          <t>65944468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10140399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20190426</t>
        </is>
      </c>
      <c r="M33" s="8" t="inlineStr">
        <is>
          <t>20250127</t>
        </is>
      </c>
      <c r="N33" s="10" t="n">
        <v>88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900005655</v>
      </c>
      <c r="D34" s="7">
        <f>IFERROR(VLOOKUP(C34,TRAOPE!$G:$H,2,0),"")</f>
        <v/>
      </c>
      <c r="E34" s="8" t="inlineStr">
        <is>
          <t>D865</t>
        </is>
      </c>
      <c r="F34" s="8" t="inlineStr">
        <is>
          <t>67098138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10000229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20190426</t>
        </is>
      </c>
      <c r="M34" s="8" t="inlineStr">
        <is>
          <t>20250127</t>
        </is>
      </c>
      <c r="N34" s="10" t="n">
        <v>350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900005655</v>
      </c>
      <c r="D35" s="7">
        <f>IFERROR(VLOOKUP(C35,TRAOPE!$G:$H,2,0),"")</f>
        <v/>
      </c>
      <c r="E35" s="8" t="inlineStr">
        <is>
          <t>D865</t>
        </is>
      </c>
      <c r="F35" s="8" t="inlineStr">
        <is>
          <t>67098138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10000284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20190426</t>
        </is>
      </c>
      <c r="M35" s="8" t="inlineStr">
        <is>
          <t>20250127</t>
        </is>
      </c>
      <c r="N35" s="10" t="n">
        <v>270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900005655</v>
      </c>
      <c r="D36" s="7">
        <f>IFERROR(VLOOKUP(C36,TRAOPE!$G:$H,2,0),"")</f>
        <v/>
      </c>
      <c r="E36" s="8" t="inlineStr">
        <is>
          <t>D865</t>
        </is>
      </c>
      <c r="F36" s="8" t="inlineStr">
        <is>
          <t>67098138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10000287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20190426</t>
        </is>
      </c>
      <c r="M36" s="8" t="inlineStr">
        <is>
          <t>20250127</t>
        </is>
      </c>
      <c r="N36" s="10" t="n">
        <v>250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900005785</v>
      </c>
      <c r="D37" s="7">
        <f>IFERROR(VLOOKUP(C37,TRAOPE!$G:$H,2,0),"")</f>
        <v/>
      </c>
      <c r="E37" s="8" t="inlineStr">
        <is>
          <t>D865</t>
        </is>
      </c>
      <c r="F37" s="8" t="inlineStr">
        <is>
          <t>66569174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10000394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20190426</t>
        </is>
      </c>
      <c r="M37" s="8" t="inlineStr">
        <is>
          <t>20250127</t>
        </is>
      </c>
      <c r="N37" s="10" t="n">
        <v>60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900005792</v>
      </c>
      <c r="D38" s="7">
        <f>IFERROR(VLOOKUP(C38,TRAOPE!$G:$H,2,0),"")</f>
        <v/>
      </c>
      <c r="E38" s="8" t="inlineStr">
        <is>
          <t>D865</t>
        </is>
      </c>
      <c r="F38" s="8" t="inlineStr">
        <is>
          <t>66569174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10000284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20190426</t>
        </is>
      </c>
      <c r="M38" s="8" t="inlineStr">
        <is>
          <t>20250127</t>
        </is>
      </c>
      <c r="N38" s="10" t="n">
        <v>195.5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900006123</v>
      </c>
      <c r="D39" s="7">
        <f>IFERROR(VLOOKUP(C39,TRAOPE!$G:$H,2,0),"")</f>
        <v/>
      </c>
      <c r="E39" s="8" t="inlineStr">
        <is>
          <t>D865</t>
        </is>
      </c>
      <c r="F39" s="8" t="inlineStr">
        <is>
          <t>DE12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10000651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20190517</t>
        </is>
      </c>
      <c r="M39" s="8" t="inlineStr">
        <is>
          <t>20250127</t>
        </is>
      </c>
      <c r="N39" s="10" t="n">
        <v>70.18000000000001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900006123</v>
      </c>
      <c r="D40" s="7">
        <f>IFERROR(VLOOKUP(C40,TRAOPE!$G:$H,2,0),"")</f>
        <v/>
      </c>
      <c r="E40" s="8" t="inlineStr">
        <is>
          <t>D865</t>
        </is>
      </c>
      <c r="F40" s="8" t="inlineStr">
        <is>
          <t>DE13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10000651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20190517</t>
        </is>
      </c>
      <c r="M40" s="8" t="inlineStr">
        <is>
          <t>20250127</t>
        </is>
      </c>
      <c r="N40" s="10" t="n">
        <v>70.18000000000001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900006123</v>
      </c>
      <c r="D41" s="7">
        <f>IFERROR(VLOOKUP(C41,TRAOPE!$G:$H,2,0),"")</f>
        <v/>
      </c>
      <c r="E41" s="8" t="inlineStr">
        <is>
          <t>D865</t>
        </is>
      </c>
      <c r="F41" s="8" t="inlineStr">
        <is>
          <t>DE73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10000651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20190517</t>
        </is>
      </c>
      <c r="M41" s="8" t="inlineStr">
        <is>
          <t>20250127</t>
        </is>
      </c>
      <c r="N41" s="10" t="n">
        <v>70.18000000000001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900006255</v>
      </c>
      <c r="D42" s="7">
        <f>IFERROR(VLOOKUP(C42,TRAOPE!$G:$H,2,0),"")</f>
        <v/>
      </c>
      <c r="E42" s="8" t="inlineStr">
        <is>
          <t>D865</t>
        </is>
      </c>
      <c r="F42" s="8" t="inlineStr">
        <is>
          <t>67098138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10000621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20190426</t>
        </is>
      </c>
      <c r="M42" s="8" t="inlineStr">
        <is>
          <t>20250127</t>
        </is>
      </c>
      <c r="N42" s="10" t="n">
        <v>290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900006255</v>
      </c>
      <c r="D43" s="7">
        <f>IFERROR(VLOOKUP(C43,TRAOPE!$G:$H,2,0),"")</f>
        <v/>
      </c>
      <c r="E43" s="8" t="inlineStr">
        <is>
          <t>D865</t>
        </is>
      </c>
      <c r="F43" s="8" t="inlineStr">
        <is>
          <t>67098138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10047573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20190426</t>
        </is>
      </c>
      <c r="M43" s="8" t="inlineStr">
        <is>
          <t>20250127</t>
        </is>
      </c>
      <c r="N43" s="10" t="n">
        <v>100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900006255</v>
      </c>
      <c r="D44" s="7">
        <f>IFERROR(VLOOKUP(C44,TRAOPE!$G:$H,2,0),"")</f>
        <v/>
      </c>
      <c r="E44" s="8" t="inlineStr">
        <is>
          <t>D865</t>
        </is>
      </c>
      <c r="F44" s="8" t="inlineStr">
        <is>
          <t>67159573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10000621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20190426</t>
        </is>
      </c>
      <c r="M44" s="8" t="inlineStr">
        <is>
          <t>20250127</t>
        </is>
      </c>
      <c r="N44" s="10" t="n">
        <v>291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900006255</v>
      </c>
      <c r="D45" s="7">
        <f>IFERROR(VLOOKUP(C45,TRAOPE!$G:$H,2,0),"")</f>
        <v/>
      </c>
      <c r="E45" s="8" t="inlineStr">
        <is>
          <t>D865</t>
        </is>
      </c>
      <c r="F45" s="8" t="inlineStr">
        <is>
          <t>67159573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10006150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20190426</t>
        </is>
      </c>
      <c r="M45" s="8" t="inlineStr">
        <is>
          <t>20250127</t>
        </is>
      </c>
      <c r="N45" s="10" t="n">
        <v>291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900006255</v>
      </c>
      <c r="D46" s="7">
        <f>IFERROR(VLOOKUP(C46,TRAOPE!$G:$H,2,0),"")</f>
        <v/>
      </c>
      <c r="E46" s="8" t="inlineStr">
        <is>
          <t>D865</t>
        </is>
      </c>
      <c r="F46" s="8" t="inlineStr">
        <is>
          <t>67159573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10047573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20190426</t>
        </is>
      </c>
      <c r="M46" s="8" t="inlineStr">
        <is>
          <t>20250127</t>
        </is>
      </c>
      <c r="N46" s="10" t="n">
        <v>91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900006766</v>
      </c>
      <c r="D47" s="7">
        <f>IFERROR(VLOOKUP(C47,TRAOPE!$G:$H,2,0),"")</f>
        <v/>
      </c>
      <c r="E47" s="8" t="inlineStr">
        <is>
          <t>D865</t>
        </is>
      </c>
      <c r="F47" s="8" t="inlineStr">
        <is>
          <t>66533688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10000829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20190426</t>
        </is>
      </c>
      <c r="M47" s="8" t="inlineStr">
        <is>
          <t>20250127</t>
        </is>
      </c>
      <c r="N47" s="10" t="n">
        <v>72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900006766</v>
      </c>
      <c r="D48" s="7">
        <f>IFERROR(VLOOKUP(C48,TRAOPE!$G:$H,2,0),"")</f>
        <v/>
      </c>
      <c r="E48" s="8" t="inlineStr">
        <is>
          <t>D865</t>
        </is>
      </c>
      <c r="F48" s="8" t="inlineStr">
        <is>
          <t>66586197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10000829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20190426</t>
        </is>
      </c>
      <c r="M48" s="8" t="inlineStr">
        <is>
          <t>20250127</t>
        </is>
      </c>
      <c r="N48" s="10" t="n">
        <v>72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900006766</v>
      </c>
      <c r="D49" s="7">
        <f>IFERROR(VLOOKUP(C49,TRAOPE!$G:$H,2,0),"")</f>
        <v/>
      </c>
      <c r="E49" s="8" t="inlineStr">
        <is>
          <t>D865</t>
        </is>
      </c>
      <c r="F49" s="8" t="inlineStr">
        <is>
          <t>67098138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10000829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20190426</t>
        </is>
      </c>
      <c r="M49" s="8" t="inlineStr">
        <is>
          <t>20250127</t>
        </is>
      </c>
      <c r="N49" s="10" t="n">
        <v>70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900007185</v>
      </c>
      <c r="D50" s="7">
        <f>IFERROR(VLOOKUP(C50,TRAOPE!$G:$H,2,0),"")</f>
        <v/>
      </c>
      <c r="E50" s="8" t="inlineStr">
        <is>
          <t>D865</t>
        </is>
      </c>
      <c r="F50" s="8" t="inlineStr">
        <is>
          <t>67098138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10000651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20190426</t>
        </is>
      </c>
      <c r="M50" s="8" t="inlineStr">
        <is>
          <t>20250127</t>
        </is>
      </c>
      <c r="N50" s="10" t="n">
        <v>110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900003877</v>
      </c>
      <c r="D51" s="7">
        <f>IFERROR(VLOOKUP(C51,TRAOPE!$G:$H,2,0),"")</f>
        <v/>
      </c>
      <c r="E51" s="8" t="inlineStr">
        <is>
          <t>D865</t>
        </is>
      </c>
      <c r="F51" s="8" t="inlineStr">
        <is>
          <t>67200025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10000632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20240619</t>
        </is>
      </c>
      <c r="M51" s="8" t="inlineStr">
        <is>
          <t>20251031</t>
        </is>
      </c>
      <c r="N51" s="10" t="n">
        <v>291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900003877</v>
      </c>
      <c r="D52" s="7">
        <f>IFERROR(VLOOKUP(C52,TRAOPE!$G:$H,2,0),"")</f>
        <v/>
      </c>
      <c r="E52" s="8" t="inlineStr">
        <is>
          <t>D865</t>
        </is>
      </c>
      <c r="F52" s="8" t="inlineStr">
        <is>
          <t>67200025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10000735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20240619</t>
        </is>
      </c>
      <c r="M52" s="8" t="inlineStr">
        <is>
          <t>20251031</t>
        </is>
      </c>
      <c r="N52" s="10" t="n">
        <v>341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900003877</v>
      </c>
      <c r="D53" s="7">
        <f>IFERROR(VLOOKUP(C53,TRAOPE!$G:$H,2,0),"")</f>
        <v/>
      </c>
      <c r="E53" s="8" t="inlineStr">
        <is>
          <t>D865</t>
        </is>
      </c>
      <c r="F53" s="8" t="inlineStr">
        <is>
          <t>67200025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10047573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20240619</t>
        </is>
      </c>
      <c r="M53" s="8" t="inlineStr">
        <is>
          <t>20251031</t>
        </is>
      </c>
      <c r="N53" s="10" t="n">
        <v>91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900004240</v>
      </c>
      <c r="D54" s="7">
        <f>IFERROR(VLOOKUP(C54,TRAOPE!$G:$H,2,0),"")</f>
        <v/>
      </c>
      <c r="E54" s="8" t="inlineStr">
        <is>
          <t>D865</t>
        </is>
      </c>
      <c r="F54" s="8" t="inlineStr">
        <is>
          <t>67098138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10000394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20240619</t>
        </is>
      </c>
      <c r="M54" s="8" t="inlineStr">
        <is>
          <t>20251031</t>
        </is>
      </c>
      <c r="N54" s="10" t="n">
        <v>74.90000000000001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900004240</v>
      </c>
      <c r="D55" s="7">
        <f>IFERROR(VLOOKUP(C55,TRAOPE!$G:$H,2,0),"")</f>
        <v/>
      </c>
      <c r="E55" s="8" t="inlineStr">
        <is>
          <t>D865</t>
        </is>
      </c>
      <c r="F55" s="8" t="inlineStr">
        <is>
          <t>67240729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10000394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20240619</t>
        </is>
      </c>
      <c r="M55" s="8" t="inlineStr">
        <is>
          <t>20251031</t>
        </is>
      </c>
      <c r="N55" s="10" t="n">
        <v>84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900004240</v>
      </c>
      <c r="D56" s="7">
        <f>IFERROR(VLOOKUP(C56,TRAOPE!$G:$H,2,0),"")</f>
        <v/>
      </c>
      <c r="E56" s="8" t="inlineStr">
        <is>
          <t>D865</t>
        </is>
      </c>
      <c r="F56" s="8" t="inlineStr">
        <is>
          <t>67242385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10000394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20240619</t>
        </is>
      </c>
      <c r="M56" s="8" t="inlineStr">
        <is>
          <t>20251031</t>
        </is>
      </c>
      <c r="N56" s="10" t="n">
        <v>84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900005655</v>
      </c>
      <c r="D57" s="7">
        <f>IFERROR(VLOOKUP(C57,TRAOPE!$G:$H,2,0),"")</f>
        <v/>
      </c>
      <c r="E57" s="8" t="inlineStr">
        <is>
          <t>D865</t>
        </is>
      </c>
      <c r="F57" s="8" t="inlineStr">
        <is>
          <t>67098138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10000829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20240619</t>
        </is>
      </c>
      <c r="M57" s="8" t="inlineStr">
        <is>
          <t>20251031</t>
        </is>
      </c>
      <c r="N57" s="10" t="n">
        <v>140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900006255</v>
      </c>
      <c r="D58" s="7">
        <f>IFERROR(VLOOKUP(C58,TRAOPE!$G:$H,2,0),"")</f>
        <v/>
      </c>
      <c r="E58" s="8" t="inlineStr">
        <is>
          <t>D865</t>
        </is>
      </c>
      <c r="F58" s="8" t="inlineStr">
        <is>
          <t>67200025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10000621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20240619</t>
        </is>
      </c>
      <c r="M58" s="8" t="inlineStr">
        <is>
          <t>20251031</t>
        </is>
      </c>
      <c r="N58" s="10" t="n">
        <v>291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900006255</v>
      </c>
      <c r="D59" s="7">
        <f>IFERROR(VLOOKUP(C59,TRAOPE!$G:$H,2,0),"")</f>
        <v/>
      </c>
      <c r="E59" s="8" t="inlineStr">
        <is>
          <t>D865</t>
        </is>
      </c>
      <c r="F59" s="8" t="inlineStr">
        <is>
          <t>67200025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10006150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20240619</t>
        </is>
      </c>
      <c r="M59" s="8" t="inlineStr">
        <is>
          <t>20251031</t>
        </is>
      </c>
      <c r="N59" s="10" t="n">
        <v>291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900006255</v>
      </c>
      <c r="D60" s="7">
        <f>IFERROR(VLOOKUP(C60,TRAOPE!$G:$H,2,0),"")</f>
        <v/>
      </c>
      <c r="E60" s="8" t="inlineStr">
        <is>
          <t>D865</t>
        </is>
      </c>
      <c r="F60" s="8" t="inlineStr">
        <is>
          <t>67200025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10047573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20240619</t>
        </is>
      </c>
      <c r="M60" s="8" t="inlineStr">
        <is>
          <t>20251031</t>
        </is>
      </c>
      <c r="N60" s="10" t="n">
        <v>91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900008869</v>
      </c>
      <c r="D61" s="7">
        <f>IFERROR(VLOOKUP(C61,TRAOPE!$G:$H,2,0),"")</f>
        <v/>
      </c>
      <c r="E61" s="8" t="inlineStr">
        <is>
          <t>D865</t>
        </is>
      </c>
      <c r="F61" s="8" t="inlineStr">
        <is>
          <t>67242382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10000623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20240619</t>
        </is>
      </c>
      <c r="M61" s="8" t="inlineStr">
        <is>
          <t>20251031</t>
        </is>
      </c>
      <c r="N61" s="10" t="n">
        <v>203.39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900003877</v>
      </c>
      <c r="D62" s="7">
        <f>IFERROR(VLOOKUP(C62,TRAOPE!$G:$H,2,0),"")</f>
        <v/>
      </c>
      <c r="E62" s="8" t="inlineStr">
        <is>
          <t>D865</t>
        </is>
      </c>
      <c r="F62" s="8" t="inlineStr">
        <is>
          <t>67198083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10000632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20251105</t>
        </is>
      </c>
      <c r="M62" s="8" t="inlineStr">
        <is>
          <t>99991231</t>
        </is>
      </c>
      <c r="N62" s="10" t="n">
        <v>320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900004240</v>
      </c>
      <c r="D63" s="7">
        <f>IFERROR(VLOOKUP(C63,TRAOPE!$G:$H,2,0),"")</f>
        <v/>
      </c>
      <c r="E63" s="8" t="inlineStr">
        <is>
          <t>D865</t>
        </is>
      </c>
      <c r="F63" s="8" t="inlineStr">
        <is>
          <t>67198083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10000394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20240925</t>
        </is>
      </c>
      <c r="M63" s="8" t="inlineStr">
        <is>
          <t>99991231</t>
        </is>
      </c>
      <c r="N63" s="10" t="n">
        <v>75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900004598</v>
      </c>
      <c r="D64" s="7">
        <f>IFERROR(VLOOKUP(C64,TRAOPE!$G:$H,2,0),"")</f>
        <v/>
      </c>
      <c r="E64" s="8" t="inlineStr">
        <is>
          <t>D865</t>
        </is>
      </c>
      <c r="F64" s="8" t="inlineStr">
        <is>
          <t>67098138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10006150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20241022</t>
        </is>
      </c>
      <c r="M64" s="8" t="inlineStr">
        <is>
          <t>99991231</t>
        </is>
      </c>
      <c r="N64" s="10" t="n">
        <v>310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900004598</v>
      </c>
      <c r="D65" s="7">
        <f>IFERROR(VLOOKUP(C65,TRAOPE!$G:$H,2,0),"")</f>
        <v/>
      </c>
      <c r="E65" s="8" t="inlineStr">
        <is>
          <t>D865</t>
        </is>
      </c>
      <c r="F65" s="8" t="inlineStr">
        <is>
          <t>67098138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10047573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20241022</t>
        </is>
      </c>
      <c r="M65" s="8" t="inlineStr">
        <is>
          <t>99991231</t>
        </is>
      </c>
      <c r="N65" s="10" t="n">
        <v>58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900006255</v>
      </c>
      <c r="D66" s="7">
        <f>IFERROR(VLOOKUP(C66,TRAOPE!$G:$H,2,0),"")</f>
        <v/>
      </c>
      <c r="E66" s="8" t="inlineStr">
        <is>
          <t>D865</t>
        </is>
      </c>
      <c r="F66" s="8" t="inlineStr">
        <is>
          <t>67098138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10006150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20240619</t>
        </is>
      </c>
      <c r="M66" s="8" t="inlineStr">
        <is>
          <t>99991231</t>
        </is>
      </c>
      <c r="N66" s="10" t="n">
        <v>290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900008869</v>
      </c>
      <c r="D67" s="7">
        <f>IFERROR(VLOOKUP(C67,TRAOPE!$G:$H,2,0),"")</f>
        <v/>
      </c>
      <c r="E67" s="8" t="inlineStr">
        <is>
          <t>D865</t>
        </is>
      </c>
      <c r="F67" s="8" t="inlineStr">
        <is>
          <t>67240729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10000623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20240619</t>
        </is>
      </c>
      <c r="M67" s="8" t="inlineStr">
        <is>
          <t>99991231</t>
        </is>
      </c>
      <c r="N67" s="10" t="n">
        <v>142.49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900008869</v>
      </c>
      <c r="D68" s="7">
        <f>IFERROR(VLOOKUP(C68,TRAOPE!$G:$H,2,0),"")</f>
        <v/>
      </c>
      <c r="E68" s="8" t="inlineStr">
        <is>
          <t>D865</t>
        </is>
      </c>
      <c r="F68" s="8" t="inlineStr">
        <is>
          <t>67242385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10000623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20240619</t>
        </is>
      </c>
      <c r="M68" s="8" t="inlineStr">
        <is>
          <t>99991231</t>
        </is>
      </c>
      <c r="N68" s="10" t="n">
        <v>184.86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900008869</v>
      </c>
      <c r="D69" s="7">
        <f>IFERROR(VLOOKUP(C69,TRAOPE!$G:$H,2,0),"")</f>
        <v/>
      </c>
      <c r="E69" s="8" t="inlineStr">
        <is>
          <t>D865</t>
        </is>
      </c>
      <c r="F69" s="8" t="inlineStr">
        <is>
          <t>67283503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10000623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20250219</t>
        </is>
      </c>
      <c r="M69" s="8" t="inlineStr">
        <is>
          <t>99991231</t>
        </is>
      </c>
      <c r="N69" s="10" t="n">
        <v>203.39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900009140</v>
      </c>
      <c r="D70" s="7">
        <f>IFERROR(VLOOKUP(C70,TRAOPE!$G:$H,2,0),"")</f>
        <v/>
      </c>
      <c r="E70" s="8" t="inlineStr">
        <is>
          <t>D865</t>
        </is>
      </c>
      <c r="F70" s="8" t="inlineStr">
        <is>
          <t>67240729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10000623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20250627</t>
        </is>
      </c>
      <c r="M70" s="8" t="inlineStr">
        <is>
          <t>99991231</t>
        </is>
      </c>
      <c r="N70" s="10" t="n">
        <v>142.49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900009140</v>
      </c>
      <c r="D71" s="7">
        <f>IFERROR(VLOOKUP(C71,TRAOPE!$G:$H,2,0),"")</f>
        <v/>
      </c>
      <c r="E71" s="8" t="inlineStr">
        <is>
          <t>D865</t>
        </is>
      </c>
      <c r="F71" s="8" t="inlineStr">
        <is>
          <t>67242385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10000623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20251104</t>
        </is>
      </c>
      <c r="M71" s="8" t="inlineStr">
        <is>
          <t>99991231</t>
        </is>
      </c>
      <c r="N71" s="10" t="n">
        <v>184.86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900009140</v>
      </c>
      <c r="D72" s="7">
        <f>IFERROR(VLOOKUP(C72,TRAOPE!$G:$H,2,0),"")</f>
        <v/>
      </c>
      <c r="E72" s="8" t="inlineStr">
        <is>
          <t>D865</t>
        </is>
      </c>
      <c r="F72" s="8" t="inlineStr">
        <is>
          <t>67283503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10000623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20250708</t>
        </is>
      </c>
      <c r="M72" s="8" t="inlineStr">
        <is>
          <t>99991231</t>
        </is>
      </c>
      <c r="N72" s="10" t="n">
        <v>203.39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900009140</v>
      </c>
      <c r="D73" s="7">
        <f>IFERROR(VLOOKUP(C73,TRAOPE!$G:$H,2,0),"")</f>
        <v/>
      </c>
      <c r="E73" s="8" t="inlineStr">
        <is>
          <t>D865</t>
        </is>
      </c>
      <c r="F73" s="8" t="inlineStr">
        <is>
          <t>67376830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10000623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20260901</t>
        </is>
      </c>
      <c r="M73" s="8" t="inlineStr">
        <is>
          <t>99991231</t>
        </is>
      </c>
      <c r="N73" s="10" t="n">
        <v>217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900004240</v>
      </c>
      <c r="D74" s="7">
        <f>IFERROR(VLOOKUP(C74,TRAOPE!$G:$H,2,0),"")</f>
        <v/>
      </c>
      <c r="E74" s="8" t="inlineStr">
        <is>
          <t>D865</t>
        </is>
      </c>
      <c r="F74" s="8" t="inlineStr">
        <is>
          <t>67098138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10000394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20250505</t>
        </is>
      </c>
      <c r="M74" s="8" t="inlineStr">
        <is>
          <t>20250507</t>
        </is>
      </c>
      <c r="N74" s="10" t="n">
        <v>74.90000000000001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900004240</v>
      </c>
      <c r="D75" s="7">
        <f>IFERROR(VLOOKUP(C75,TRAOPE!$G:$H,2,0),"")</f>
        <v/>
      </c>
      <c r="E75" s="8" t="inlineStr">
        <is>
          <t>D865</t>
        </is>
      </c>
      <c r="F75" s="8" t="inlineStr">
        <is>
          <t>67198083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10000394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20240813</t>
        </is>
      </c>
      <c r="M75" s="8" t="inlineStr">
        <is>
          <t>20241108</t>
        </is>
      </c>
      <c r="N75" s="10" t="n">
        <v>75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900004598</v>
      </c>
      <c r="D76" s="7">
        <f>IFERROR(VLOOKUP(C76,TRAOPE!$G:$H,2,0),"")</f>
        <v/>
      </c>
      <c r="E76" s="8" t="inlineStr">
        <is>
          <t>D865</t>
        </is>
      </c>
      <c r="F76" s="8" t="inlineStr">
        <is>
          <t>67098138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10006150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20240813</t>
        </is>
      </c>
      <c r="M76" s="8" t="inlineStr">
        <is>
          <t>20241108</t>
        </is>
      </c>
      <c r="N76" s="10" t="n">
        <v>310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900004598</v>
      </c>
      <c r="D77" s="7">
        <f>IFERROR(VLOOKUP(C77,TRAOPE!$G:$H,2,0),"")</f>
        <v/>
      </c>
      <c r="E77" s="8" t="inlineStr">
        <is>
          <t>D865</t>
        </is>
      </c>
      <c r="F77" s="8" t="inlineStr">
        <is>
          <t>67098138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10047573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20240813</t>
        </is>
      </c>
      <c r="M77" s="8" t="inlineStr">
        <is>
          <t>20241108</t>
        </is>
      </c>
      <c r="N77" s="10" t="n">
        <v>58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900005655</v>
      </c>
      <c r="D78" s="7">
        <f>IFERROR(VLOOKUP(C78,TRAOPE!$G:$H,2,0),"")</f>
        <v/>
      </c>
      <c r="E78" s="8" t="inlineStr">
        <is>
          <t>D865</t>
        </is>
      </c>
      <c r="F78" s="8" t="inlineStr">
        <is>
          <t>67098138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10000829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20240425</t>
        </is>
      </c>
      <c r="M78" s="8" t="inlineStr">
        <is>
          <t>20240814</t>
        </is>
      </c>
      <c r="N78" s="10" t="n">
        <v>140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900008869</v>
      </c>
      <c r="D79" s="7">
        <f>IFERROR(VLOOKUP(C79,TRAOPE!$G:$H,2,0),"")</f>
        <v/>
      </c>
      <c r="E79" s="8" t="inlineStr">
        <is>
          <t>D865</t>
        </is>
      </c>
      <c r="F79" s="8" t="inlineStr">
        <is>
          <t>67242382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10000623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20240813</t>
        </is>
      </c>
      <c r="M79" s="8" t="inlineStr">
        <is>
          <t>20241108</t>
        </is>
      </c>
      <c r="N79" s="10" t="n">
        <v>171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900008869</v>
      </c>
      <c r="D80" s="7">
        <f>IFERROR(VLOOKUP(C80,TRAOPE!$G:$H,2,0),"")</f>
        <v/>
      </c>
      <c r="E80" s="8" t="inlineStr">
        <is>
          <t>D865</t>
        </is>
      </c>
      <c r="F80" s="8" t="inlineStr">
        <is>
          <t>67242385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10000623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20240813</t>
        </is>
      </c>
      <c r="M80" s="8" t="inlineStr">
        <is>
          <t>20241108</t>
        </is>
      </c>
      <c r="N80" s="10" t="n">
        <v>154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900008869</v>
      </c>
      <c r="D81" s="7">
        <f>IFERROR(VLOOKUP(C81,TRAOPE!$G:$H,2,0),"")</f>
        <v/>
      </c>
      <c r="E81" s="8" t="inlineStr">
        <is>
          <t>D865</t>
        </is>
      </c>
      <c r="F81" s="8" t="inlineStr">
        <is>
          <t>67283503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10000623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20240813</t>
        </is>
      </c>
      <c r="M81" s="8" t="inlineStr">
        <is>
          <t>20241108</t>
        </is>
      </c>
      <c r="N81" s="10" t="n">
        <v>171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900000540</t>
        </is>
      </c>
      <c r="B2" t="inlineStr">
        <is>
          <t>D865</t>
        </is>
      </c>
      <c r="C2" t="inlineStr">
        <is>
          <t>65014664</t>
        </is>
      </c>
      <c r="D2" t="inlineStr">
        <is>
          <t>10000829</t>
        </is>
      </c>
      <c r="E2" t="inlineStr"/>
      <c r="F2" s="11" t="n">
        <v>51.84</v>
      </c>
      <c r="G2" t="inlineStr"/>
      <c r="I2" t="inlineStr">
        <is>
          <t>M3</t>
        </is>
      </c>
      <c r="J2" t="inlineStr"/>
      <c r="K2" t="inlineStr">
        <is>
          <t>20190426</t>
        </is>
      </c>
      <c r="L2" t="inlineStr">
        <is>
          <t>20250127</t>
        </is>
      </c>
    </row>
    <row r="3">
      <c r="A3" t="inlineStr">
        <is>
          <t>900003877</t>
        </is>
      </c>
      <c r="B3" t="inlineStr">
        <is>
          <t>D865</t>
        </is>
      </c>
      <c r="C3" t="inlineStr">
        <is>
          <t>65944468</t>
        </is>
      </c>
      <c r="D3" t="inlineStr">
        <is>
          <t>10000360</t>
        </is>
      </c>
      <c r="E3" t="inlineStr"/>
      <c r="F3" s="11" t="n">
        <v>153.7</v>
      </c>
      <c r="G3" t="inlineStr"/>
      <c r="I3" t="inlineStr">
        <is>
          <t>M3</t>
        </is>
      </c>
      <c r="J3" t="inlineStr"/>
      <c r="K3" t="inlineStr">
        <is>
          <t>20190426</t>
        </is>
      </c>
      <c r="L3" t="inlineStr">
        <is>
          <t>20250127</t>
        </is>
      </c>
    </row>
    <row r="4">
      <c r="A4" t="inlineStr">
        <is>
          <t>900003877</t>
        </is>
      </c>
      <c r="B4" t="inlineStr">
        <is>
          <t>D865</t>
        </is>
      </c>
      <c r="C4" t="inlineStr">
        <is>
          <t>65944468</t>
        </is>
      </c>
      <c r="D4" t="inlineStr">
        <is>
          <t>10000632</t>
        </is>
      </c>
      <c r="E4" t="inlineStr"/>
      <c r="F4" s="11" t="n">
        <v>163</v>
      </c>
      <c r="G4" t="inlineStr"/>
      <c r="I4" t="inlineStr">
        <is>
          <t>M3</t>
        </is>
      </c>
      <c r="J4" t="inlineStr"/>
      <c r="K4" t="inlineStr">
        <is>
          <t>20190426</t>
        </is>
      </c>
      <c r="L4" t="inlineStr">
        <is>
          <t>20250127</t>
        </is>
      </c>
    </row>
    <row r="5">
      <c r="A5" t="inlineStr">
        <is>
          <t>900003877</t>
        </is>
      </c>
      <c r="B5" t="inlineStr">
        <is>
          <t>D865</t>
        </is>
      </c>
      <c r="C5" t="inlineStr">
        <is>
          <t>65944468</t>
        </is>
      </c>
      <c r="D5" t="inlineStr">
        <is>
          <t>10000735</t>
        </is>
      </c>
      <c r="E5" t="inlineStr"/>
      <c r="F5" s="11" t="n">
        <v>148.35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900003877</t>
        </is>
      </c>
      <c r="B6" t="inlineStr">
        <is>
          <t>D865</t>
        </is>
      </c>
      <c r="C6" t="inlineStr">
        <is>
          <t>65944468</t>
        </is>
      </c>
      <c r="D6" t="inlineStr">
        <is>
          <t>10047573</t>
        </is>
      </c>
      <c r="E6" t="inlineStr"/>
      <c r="F6" s="11" t="n">
        <v>81</v>
      </c>
      <c r="G6" t="inlineStr"/>
      <c r="I6" t="inlineStr">
        <is>
          <t>M3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900003877</t>
        </is>
      </c>
      <c r="B7" t="inlineStr">
        <is>
          <t>D865</t>
        </is>
      </c>
      <c r="C7" t="inlineStr">
        <is>
          <t>66542531</t>
        </is>
      </c>
      <c r="D7" t="inlineStr">
        <is>
          <t>10000829</t>
        </is>
      </c>
      <c r="E7" t="inlineStr"/>
      <c r="F7" s="11" t="n">
        <v>49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900003877</t>
        </is>
      </c>
      <c r="B8" t="inlineStr">
        <is>
          <t>D865</t>
        </is>
      </c>
      <c r="C8" t="inlineStr">
        <is>
          <t>66566504</t>
        </is>
      </c>
      <c r="D8" t="inlineStr">
        <is>
          <t>10000632</t>
        </is>
      </c>
      <c r="E8" t="inlineStr"/>
      <c r="F8" s="11" t="n">
        <v>147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900003877</t>
        </is>
      </c>
      <c r="B9" t="inlineStr">
        <is>
          <t>D865</t>
        </is>
      </c>
      <c r="C9" t="inlineStr">
        <is>
          <t>66604125</t>
        </is>
      </c>
      <c r="D9" t="inlineStr">
        <is>
          <t>10000829</t>
        </is>
      </c>
      <c r="E9" t="inlineStr"/>
      <c r="F9" s="11" t="n">
        <v>49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900003877</t>
        </is>
      </c>
      <c r="B10" t="inlineStr">
        <is>
          <t>D865</t>
        </is>
      </c>
      <c r="C10" t="inlineStr">
        <is>
          <t>67098138</t>
        </is>
      </c>
      <c r="D10" t="inlineStr">
        <is>
          <t>10000735</t>
        </is>
      </c>
      <c r="E10" t="inlineStr"/>
      <c r="F10" s="11" t="n">
        <v>350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900003877</t>
        </is>
      </c>
      <c r="B11" t="inlineStr">
        <is>
          <t>D865</t>
        </is>
      </c>
      <c r="C11" t="inlineStr">
        <is>
          <t>67098138</t>
        </is>
      </c>
      <c r="D11" t="inlineStr">
        <is>
          <t>10047573</t>
        </is>
      </c>
      <c r="E11" t="inlineStr"/>
      <c r="F11" s="11" t="n">
        <v>100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900003877</t>
        </is>
      </c>
      <c r="B12" t="inlineStr">
        <is>
          <t>D865</t>
        </is>
      </c>
      <c r="C12" t="inlineStr">
        <is>
          <t>67159573</t>
        </is>
      </c>
      <c r="D12" t="inlineStr">
        <is>
          <t>10000632</t>
        </is>
      </c>
      <c r="E12" t="inlineStr"/>
      <c r="F12" s="11" t="n">
        <v>291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900003877</t>
        </is>
      </c>
      <c r="B13" t="inlineStr">
        <is>
          <t>D865</t>
        </is>
      </c>
      <c r="C13" t="inlineStr">
        <is>
          <t>67159573</t>
        </is>
      </c>
      <c r="D13" t="inlineStr">
        <is>
          <t>10000735</t>
        </is>
      </c>
      <c r="E13" t="inlineStr"/>
      <c r="F13" s="11" t="n">
        <v>341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900003877</t>
        </is>
      </c>
      <c r="B14" t="inlineStr">
        <is>
          <t>D865</t>
        </is>
      </c>
      <c r="C14" t="inlineStr">
        <is>
          <t>67159573</t>
        </is>
      </c>
      <c r="D14" t="inlineStr">
        <is>
          <t>10047573</t>
        </is>
      </c>
      <c r="E14" t="inlineStr"/>
      <c r="F14" s="11" t="n">
        <v>91</v>
      </c>
      <c r="G14" t="inlineStr"/>
      <c r="I14" t="inlineStr">
        <is>
          <t>M3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900003999</t>
        </is>
      </c>
      <c r="B15" t="inlineStr">
        <is>
          <t>D865</t>
        </is>
      </c>
      <c r="C15" t="inlineStr">
        <is>
          <t>65944468</t>
        </is>
      </c>
      <c r="D15" t="inlineStr">
        <is>
          <t>10000394</t>
        </is>
      </c>
      <c r="E15" t="inlineStr"/>
      <c r="F15" s="11" t="n">
        <v>145</v>
      </c>
      <c r="G15" t="inlineStr"/>
      <c r="I15" t="inlineStr">
        <is>
          <t>M3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900003999</t>
        </is>
      </c>
      <c r="B16" t="inlineStr">
        <is>
          <t>D865</t>
        </is>
      </c>
      <c r="C16" t="inlineStr">
        <is>
          <t>65944468</t>
        </is>
      </c>
      <c r="D16" t="inlineStr">
        <is>
          <t>10000430</t>
        </is>
      </c>
      <c r="E16" t="inlineStr"/>
      <c r="F16" s="11" t="n">
        <v>165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900003999</t>
        </is>
      </c>
      <c r="B17" t="inlineStr">
        <is>
          <t>D865</t>
        </is>
      </c>
      <c r="C17" t="inlineStr">
        <is>
          <t>65944468</t>
        </is>
      </c>
      <c r="D17" t="inlineStr">
        <is>
          <t>10000632</t>
        </is>
      </c>
      <c r="E17" t="inlineStr"/>
      <c r="F17" s="11" t="n">
        <v>143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900003999</t>
        </is>
      </c>
      <c r="B18" t="inlineStr">
        <is>
          <t>D865</t>
        </is>
      </c>
      <c r="C18" t="inlineStr">
        <is>
          <t>65944468</t>
        </is>
      </c>
      <c r="D18" t="inlineStr">
        <is>
          <t>10000735</t>
        </is>
      </c>
      <c r="E18" t="inlineStr"/>
      <c r="F18" s="11" t="n">
        <v>176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900004224</t>
        </is>
      </c>
      <c r="B19" t="inlineStr">
        <is>
          <t>D865</t>
        </is>
      </c>
      <c r="C19" t="inlineStr">
        <is>
          <t>66189620</t>
        </is>
      </c>
      <c r="D19" t="inlineStr">
        <is>
          <t>10000229</t>
        </is>
      </c>
      <c r="E19" t="inlineStr"/>
      <c r="F19" s="11" t="n">
        <v>200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900004224</t>
        </is>
      </c>
      <c r="B20" t="inlineStr">
        <is>
          <t>D865</t>
        </is>
      </c>
      <c r="C20" t="inlineStr">
        <is>
          <t>66189620</t>
        </is>
      </c>
      <c r="D20" t="inlineStr">
        <is>
          <t>10000284</t>
        </is>
      </c>
      <c r="E20" t="inlineStr"/>
      <c r="F20" s="11" t="n">
        <v>165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900004224</t>
        </is>
      </c>
      <c r="B21" t="inlineStr">
        <is>
          <t>D865</t>
        </is>
      </c>
      <c r="C21" t="inlineStr">
        <is>
          <t>66569174</t>
        </is>
      </c>
      <c r="D21" t="inlineStr">
        <is>
          <t>10000284</t>
        </is>
      </c>
      <c r="E21" t="inlineStr"/>
      <c r="F21" s="11" t="n">
        <v>195.5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900004240</t>
        </is>
      </c>
      <c r="B22" t="inlineStr">
        <is>
          <t>D865</t>
        </is>
      </c>
      <c r="C22" t="inlineStr">
        <is>
          <t>66569174</t>
        </is>
      </c>
      <c r="D22" t="inlineStr">
        <is>
          <t>10000394</t>
        </is>
      </c>
      <c r="E22" t="inlineStr"/>
      <c r="F22" s="11" t="n">
        <v>60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900004240</t>
        </is>
      </c>
      <c r="B23" t="inlineStr">
        <is>
          <t>D865</t>
        </is>
      </c>
      <c r="C23" t="inlineStr">
        <is>
          <t>67160581</t>
        </is>
      </c>
      <c r="D23" t="inlineStr">
        <is>
          <t>10000394</t>
        </is>
      </c>
      <c r="E23" t="inlineStr"/>
      <c r="F23" s="11" t="n">
        <v>70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900004240</t>
        </is>
      </c>
      <c r="B24" t="inlineStr">
        <is>
          <t>D865</t>
        </is>
      </c>
      <c r="C24" t="inlineStr">
        <is>
          <t>67161848</t>
        </is>
      </c>
      <c r="D24" t="inlineStr">
        <is>
          <t>10000394</t>
        </is>
      </c>
      <c r="E24" t="inlineStr"/>
      <c r="F24" s="11" t="n">
        <v>70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900004447</t>
        </is>
      </c>
      <c r="B25" t="inlineStr">
        <is>
          <t>D865</t>
        </is>
      </c>
      <c r="C25" t="inlineStr">
        <is>
          <t>65014664</t>
        </is>
      </c>
      <c r="D25" t="inlineStr">
        <is>
          <t>10000160</t>
        </is>
      </c>
      <c r="E25" t="inlineStr"/>
      <c r="F25" s="11" t="n">
        <v>44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900004447</t>
        </is>
      </c>
      <c r="B26" t="inlineStr">
        <is>
          <t>D865</t>
        </is>
      </c>
      <c r="C26" t="inlineStr">
        <is>
          <t>65014664</t>
        </is>
      </c>
      <c r="D26" t="inlineStr">
        <is>
          <t>10000829</t>
        </is>
      </c>
      <c r="E26" t="inlineStr"/>
      <c r="F26" s="11" t="n">
        <v>44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900004447</t>
        </is>
      </c>
      <c r="B27" t="inlineStr">
        <is>
          <t>D865</t>
        </is>
      </c>
      <c r="C27" t="inlineStr">
        <is>
          <t>65944468</t>
        </is>
      </c>
      <c r="D27" t="inlineStr">
        <is>
          <t>10000829</t>
        </is>
      </c>
      <c r="E27" t="inlineStr"/>
      <c r="F27" s="11" t="n">
        <v>51.5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900004447</t>
        </is>
      </c>
      <c r="B28" t="inlineStr">
        <is>
          <t>D865</t>
        </is>
      </c>
      <c r="C28" t="inlineStr">
        <is>
          <t>66416982</t>
        </is>
      </c>
      <c r="D28" t="inlineStr">
        <is>
          <t>10000829</t>
        </is>
      </c>
      <c r="E28" t="inlineStr"/>
      <c r="F28" s="11" t="n">
        <v>54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900004447</t>
        </is>
      </c>
      <c r="B29" t="inlineStr">
        <is>
          <t>D865</t>
        </is>
      </c>
      <c r="C29" t="inlineStr">
        <is>
          <t>66529377</t>
        </is>
      </c>
      <c r="D29" t="inlineStr">
        <is>
          <t>10000829</t>
        </is>
      </c>
      <c r="E29" t="inlineStr"/>
      <c r="F29" s="11" t="n">
        <v>55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900005087</t>
        </is>
      </c>
      <c r="B30" t="inlineStr">
        <is>
          <t>D865</t>
        </is>
      </c>
      <c r="C30" t="inlineStr">
        <is>
          <t>65944468</t>
        </is>
      </c>
      <c r="D30" t="inlineStr">
        <is>
          <t>10000632</t>
        </is>
      </c>
      <c r="E30" t="inlineStr"/>
      <c r="F30" s="11" t="n">
        <v>110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900005087</t>
        </is>
      </c>
      <c r="B31" t="inlineStr">
        <is>
          <t>D865</t>
        </is>
      </c>
      <c r="C31" t="inlineStr">
        <is>
          <t>65944468</t>
        </is>
      </c>
      <c r="D31" t="inlineStr">
        <is>
          <t>10139788</t>
        </is>
      </c>
      <c r="E31" t="inlineStr"/>
      <c r="F31" s="11" t="n">
        <v>110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900005087</t>
        </is>
      </c>
      <c r="B32" t="inlineStr">
        <is>
          <t>D865</t>
        </is>
      </c>
      <c r="C32" t="inlineStr">
        <is>
          <t>65944468</t>
        </is>
      </c>
      <c r="D32" t="inlineStr">
        <is>
          <t>10140399</t>
        </is>
      </c>
      <c r="E32" t="inlineStr"/>
      <c r="F32" s="11" t="n">
        <v>88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900005655</t>
        </is>
      </c>
      <c r="B33" t="inlineStr">
        <is>
          <t>D865</t>
        </is>
      </c>
      <c r="C33" t="inlineStr">
        <is>
          <t>67098138</t>
        </is>
      </c>
      <c r="D33" t="inlineStr">
        <is>
          <t>10000229</t>
        </is>
      </c>
      <c r="E33" t="inlineStr"/>
      <c r="F33" s="11" t="n">
        <v>350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900005655</t>
        </is>
      </c>
      <c r="B34" t="inlineStr">
        <is>
          <t>D865</t>
        </is>
      </c>
      <c r="C34" t="inlineStr">
        <is>
          <t>67098138</t>
        </is>
      </c>
      <c r="D34" t="inlineStr">
        <is>
          <t>10000284</t>
        </is>
      </c>
      <c r="E34" t="inlineStr"/>
      <c r="F34" s="11" t="n">
        <v>270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900005655</t>
        </is>
      </c>
      <c r="B35" t="inlineStr">
        <is>
          <t>D865</t>
        </is>
      </c>
      <c r="C35" t="inlineStr">
        <is>
          <t>67098138</t>
        </is>
      </c>
      <c r="D35" t="inlineStr">
        <is>
          <t>10000287</t>
        </is>
      </c>
      <c r="E35" t="inlineStr"/>
      <c r="F35" s="11" t="n">
        <v>250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900005785</t>
        </is>
      </c>
      <c r="B36" t="inlineStr">
        <is>
          <t>D865</t>
        </is>
      </c>
      <c r="C36" t="inlineStr">
        <is>
          <t>66569174</t>
        </is>
      </c>
      <c r="D36" t="inlineStr">
        <is>
          <t>10000394</t>
        </is>
      </c>
      <c r="E36" t="inlineStr"/>
      <c r="F36" s="11" t="n">
        <v>60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900005792</t>
        </is>
      </c>
      <c r="B37" t="inlineStr">
        <is>
          <t>D865</t>
        </is>
      </c>
      <c r="C37" t="inlineStr">
        <is>
          <t>66569174</t>
        </is>
      </c>
      <c r="D37" t="inlineStr">
        <is>
          <t>10000284</t>
        </is>
      </c>
      <c r="E37" t="inlineStr"/>
      <c r="F37" s="11" t="n">
        <v>195.5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900006123</t>
        </is>
      </c>
      <c r="B38" t="inlineStr">
        <is>
          <t>D865</t>
        </is>
      </c>
      <c r="C38" t="inlineStr">
        <is>
          <t>DE12</t>
        </is>
      </c>
      <c r="D38" t="inlineStr">
        <is>
          <t>10000651</t>
        </is>
      </c>
      <c r="E38" t="inlineStr"/>
      <c r="F38" s="11" t="n">
        <v>70.18000000000001</v>
      </c>
      <c r="G38" t="inlineStr"/>
      <c r="I38" t="inlineStr">
        <is>
          <t>TN</t>
        </is>
      </c>
      <c r="J38" t="inlineStr"/>
      <c r="K38" t="inlineStr">
        <is>
          <t>20190517</t>
        </is>
      </c>
      <c r="L38" t="inlineStr">
        <is>
          <t>20250127</t>
        </is>
      </c>
    </row>
    <row r="39">
      <c r="A39" t="inlineStr">
        <is>
          <t>900006123</t>
        </is>
      </c>
      <c r="B39" t="inlineStr">
        <is>
          <t>D865</t>
        </is>
      </c>
      <c r="C39" t="inlineStr">
        <is>
          <t>DE13</t>
        </is>
      </c>
      <c r="D39" t="inlineStr">
        <is>
          <t>10000651</t>
        </is>
      </c>
      <c r="E39" t="inlineStr"/>
      <c r="F39" s="11" t="n">
        <v>70.18000000000001</v>
      </c>
      <c r="G39" t="inlineStr"/>
      <c r="I39" t="inlineStr">
        <is>
          <t>TN</t>
        </is>
      </c>
      <c r="J39" t="inlineStr"/>
      <c r="K39" t="inlineStr">
        <is>
          <t>20190517</t>
        </is>
      </c>
      <c r="L39" t="inlineStr">
        <is>
          <t>20250127</t>
        </is>
      </c>
    </row>
    <row r="40">
      <c r="A40" t="inlineStr">
        <is>
          <t>900006123</t>
        </is>
      </c>
      <c r="B40" t="inlineStr">
        <is>
          <t>D865</t>
        </is>
      </c>
      <c r="C40" t="inlineStr">
        <is>
          <t>DE73</t>
        </is>
      </c>
      <c r="D40" t="inlineStr">
        <is>
          <t>10000651</t>
        </is>
      </c>
      <c r="E40" t="inlineStr"/>
      <c r="F40" s="11" t="n">
        <v>70.18000000000001</v>
      </c>
      <c r="G40" t="inlineStr"/>
      <c r="I40" t="inlineStr">
        <is>
          <t>TN</t>
        </is>
      </c>
      <c r="J40" t="inlineStr"/>
      <c r="K40" t="inlineStr">
        <is>
          <t>20190517</t>
        </is>
      </c>
      <c r="L40" t="inlineStr">
        <is>
          <t>20250127</t>
        </is>
      </c>
    </row>
    <row r="41">
      <c r="A41" t="inlineStr">
        <is>
          <t>900006255</t>
        </is>
      </c>
      <c r="B41" t="inlineStr">
        <is>
          <t>D865</t>
        </is>
      </c>
      <c r="C41" t="inlineStr">
        <is>
          <t>67098138</t>
        </is>
      </c>
      <c r="D41" t="inlineStr">
        <is>
          <t>10000621</t>
        </is>
      </c>
      <c r="E41" t="inlineStr"/>
      <c r="F41" s="11" t="n">
        <v>290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900006255</t>
        </is>
      </c>
      <c r="B42" t="inlineStr">
        <is>
          <t>D865</t>
        </is>
      </c>
      <c r="C42" t="inlineStr">
        <is>
          <t>67098138</t>
        </is>
      </c>
      <c r="D42" t="inlineStr">
        <is>
          <t>10047573</t>
        </is>
      </c>
      <c r="E42" t="inlineStr"/>
      <c r="F42" s="11" t="n">
        <v>100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900006255</t>
        </is>
      </c>
      <c r="B43" t="inlineStr">
        <is>
          <t>D865</t>
        </is>
      </c>
      <c r="C43" t="inlineStr">
        <is>
          <t>67159573</t>
        </is>
      </c>
      <c r="D43" t="inlineStr">
        <is>
          <t>10000621</t>
        </is>
      </c>
      <c r="E43" t="inlineStr"/>
      <c r="F43" s="11" t="n">
        <v>291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900006255</t>
        </is>
      </c>
      <c r="B44" t="inlineStr">
        <is>
          <t>D865</t>
        </is>
      </c>
      <c r="C44" t="inlineStr">
        <is>
          <t>67159573</t>
        </is>
      </c>
      <c r="D44" t="inlineStr">
        <is>
          <t>10006150</t>
        </is>
      </c>
      <c r="E44" t="inlineStr"/>
      <c r="F44" s="11" t="n">
        <v>291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900006255</t>
        </is>
      </c>
      <c r="B45" t="inlineStr">
        <is>
          <t>D865</t>
        </is>
      </c>
      <c r="C45" t="inlineStr">
        <is>
          <t>67159573</t>
        </is>
      </c>
      <c r="D45" t="inlineStr">
        <is>
          <t>10047573</t>
        </is>
      </c>
      <c r="E45" t="inlineStr"/>
      <c r="F45" s="11" t="n">
        <v>91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900006766</t>
        </is>
      </c>
      <c r="B46" t="inlineStr">
        <is>
          <t>D865</t>
        </is>
      </c>
      <c r="C46" t="inlineStr">
        <is>
          <t>66533688</t>
        </is>
      </c>
      <c r="D46" t="inlineStr">
        <is>
          <t>10000829</t>
        </is>
      </c>
      <c r="E46" t="inlineStr"/>
      <c r="F46" s="11" t="n">
        <v>72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900006766</t>
        </is>
      </c>
      <c r="B47" t="inlineStr">
        <is>
          <t>D865</t>
        </is>
      </c>
      <c r="C47" t="inlineStr">
        <is>
          <t>66586197</t>
        </is>
      </c>
      <c r="D47" t="inlineStr">
        <is>
          <t>10000829</t>
        </is>
      </c>
      <c r="E47" t="inlineStr"/>
      <c r="F47" s="11" t="n">
        <v>72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900006766</t>
        </is>
      </c>
      <c r="B48" t="inlineStr">
        <is>
          <t>D865</t>
        </is>
      </c>
      <c r="C48" t="inlineStr">
        <is>
          <t>67098138</t>
        </is>
      </c>
      <c r="D48" t="inlineStr">
        <is>
          <t>10000829</t>
        </is>
      </c>
      <c r="E48" t="inlineStr"/>
      <c r="F48" s="11" t="n">
        <v>70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900007185</t>
        </is>
      </c>
      <c r="B49" t="inlineStr">
        <is>
          <t>D865</t>
        </is>
      </c>
      <c r="C49" t="inlineStr">
        <is>
          <t>67098138</t>
        </is>
      </c>
      <c r="D49" t="inlineStr">
        <is>
          <t>10000651</t>
        </is>
      </c>
      <c r="E49" t="inlineStr"/>
      <c r="F49" s="11" t="n">
        <v>110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900003877</t>
        </is>
      </c>
      <c r="B50" t="inlineStr">
        <is>
          <t>D865</t>
        </is>
      </c>
      <c r="C50" t="inlineStr">
        <is>
          <t>67200025</t>
        </is>
      </c>
      <c r="D50" t="inlineStr">
        <is>
          <t>10000632</t>
        </is>
      </c>
      <c r="E50" t="inlineStr"/>
      <c r="F50" s="11" t="n">
        <v>291</v>
      </c>
      <c r="G50" t="inlineStr"/>
      <c r="I50" t="inlineStr">
        <is>
          <t>M3</t>
        </is>
      </c>
      <c r="J50" t="inlineStr"/>
      <c r="K50" t="inlineStr">
        <is>
          <t>20240619</t>
        </is>
      </c>
      <c r="L50" t="inlineStr">
        <is>
          <t>20251031</t>
        </is>
      </c>
    </row>
    <row r="51">
      <c r="A51" t="inlineStr">
        <is>
          <t>900003877</t>
        </is>
      </c>
      <c r="B51" t="inlineStr">
        <is>
          <t>D865</t>
        </is>
      </c>
      <c r="C51" t="inlineStr">
        <is>
          <t>67200025</t>
        </is>
      </c>
      <c r="D51" t="inlineStr">
        <is>
          <t>10000735</t>
        </is>
      </c>
      <c r="E51" t="inlineStr"/>
      <c r="F51" s="11" t="n">
        <v>341</v>
      </c>
      <c r="G51" t="inlineStr"/>
      <c r="I51" t="inlineStr">
        <is>
          <t>M3</t>
        </is>
      </c>
      <c r="J51" t="inlineStr"/>
      <c r="K51" t="inlineStr">
        <is>
          <t>20240619</t>
        </is>
      </c>
      <c r="L51" t="inlineStr">
        <is>
          <t>20251031</t>
        </is>
      </c>
    </row>
    <row r="52">
      <c r="A52" t="inlineStr">
        <is>
          <t>900003877</t>
        </is>
      </c>
      <c r="B52" t="inlineStr">
        <is>
          <t>D865</t>
        </is>
      </c>
      <c r="C52" t="inlineStr">
        <is>
          <t>67200025</t>
        </is>
      </c>
      <c r="D52" t="inlineStr">
        <is>
          <t>10047573</t>
        </is>
      </c>
      <c r="E52" t="inlineStr"/>
      <c r="F52" s="11" t="n">
        <v>91</v>
      </c>
      <c r="G52" t="inlineStr"/>
      <c r="I52" t="inlineStr">
        <is>
          <t>M3</t>
        </is>
      </c>
      <c r="J52" t="inlineStr"/>
      <c r="K52" t="inlineStr">
        <is>
          <t>20240619</t>
        </is>
      </c>
      <c r="L52" t="inlineStr">
        <is>
          <t>20251031</t>
        </is>
      </c>
    </row>
    <row r="53">
      <c r="A53" t="inlineStr">
        <is>
          <t>900004240</t>
        </is>
      </c>
      <c r="B53" t="inlineStr">
        <is>
          <t>D865</t>
        </is>
      </c>
      <c r="C53" t="inlineStr">
        <is>
          <t>67098138</t>
        </is>
      </c>
      <c r="D53" t="inlineStr">
        <is>
          <t>10000394</t>
        </is>
      </c>
      <c r="E53" t="inlineStr"/>
      <c r="F53" s="11" t="n">
        <v>74.90000000000001</v>
      </c>
      <c r="G53" t="inlineStr"/>
      <c r="I53" t="inlineStr">
        <is>
          <t>M3</t>
        </is>
      </c>
      <c r="J53" t="inlineStr"/>
      <c r="K53" t="inlineStr">
        <is>
          <t>20240619</t>
        </is>
      </c>
      <c r="L53" t="inlineStr">
        <is>
          <t>20251031</t>
        </is>
      </c>
    </row>
    <row r="54">
      <c r="A54" t="inlineStr">
        <is>
          <t>900004240</t>
        </is>
      </c>
      <c r="B54" t="inlineStr">
        <is>
          <t>D865</t>
        </is>
      </c>
      <c r="C54" t="inlineStr">
        <is>
          <t>67240729</t>
        </is>
      </c>
      <c r="D54" t="inlineStr">
        <is>
          <t>10000394</t>
        </is>
      </c>
      <c r="E54" t="inlineStr"/>
      <c r="F54" s="11" t="n">
        <v>84</v>
      </c>
      <c r="G54" t="inlineStr"/>
      <c r="I54" t="inlineStr">
        <is>
          <t>M3</t>
        </is>
      </c>
      <c r="J54" t="inlineStr"/>
      <c r="K54" t="inlineStr">
        <is>
          <t>20240619</t>
        </is>
      </c>
      <c r="L54" t="inlineStr">
        <is>
          <t>20251031</t>
        </is>
      </c>
    </row>
    <row r="55">
      <c r="A55" t="inlineStr">
        <is>
          <t>900004240</t>
        </is>
      </c>
      <c r="B55" t="inlineStr">
        <is>
          <t>D865</t>
        </is>
      </c>
      <c r="C55" t="inlineStr">
        <is>
          <t>67242385</t>
        </is>
      </c>
      <c r="D55" t="inlineStr">
        <is>
          <t>10000394</t>
        </is>
      </c>
      <c r="E55" t="inlineStr"/>
      <c r="F55" s="11" t="n">
        <v>84</v>
      </c>
      <c r="G55" t="inlineStr"/>
      <c r="I55" t="inlineStr">
        <is>
          <t>M3</t>
        </is>
      </c>
      <c r="J55" t="inlineStr"/>
      <c r="K55" t="inlineStr">
        <is>
          <t>20240619</t>
        </is>
      </c>
      <c r="L55" t="inlineStr">
        <is>
          <t>20251031</t>
        </is>
      </c>
    </row>
    <row r="56">
      <c r="A56" t="inlineStr">
        <is>
          <t>900005655</t>
        </is>
      </c>
      <c r="B56" t="inlineStr">
        <is>
          <t>D865</t>
        </is>
      </c>
      <c r="C56" t="inlineStr">
        <is>
          <t>67098138</t>
        </is>
      </c>
      <c r="D56" t="inlineStr">
        <is>
          <t>10000829</t>
        </is>
      </c>
      <c r="E56" t="inlineStr"/>
      <c r="F56" s="11" t="n">
        <v>140</v>
      </c>
      <c r="G56" t="inlineStr"/>
      <c r="I56" t="inlineStr">
        <is>
          <t>M3</t>
        </is>
      </c>
      <c r="J56" t="inlineStr"/>
      <c r="K56" t="inlineStr">
        <is>
          <t>20240619</t>
        </is>
      </c>
      <c r="L56" t="inlineStr">
        <is>
          <t>20251031</t>
        </is>
      </c>
    </row>
    <row r="57">
      <c r="A57" t="inlineStr">
        <is>
          <t>900006255</t>
        </is>
      </c>
      <c r="B57" t="inlineStr">
        <is>
          <t>D865</t>
        </is>
      </c>
      <c r="C57" t="inlineStr">
        <is>
          <t>67200025</t>
        </is>
      </c>
      <c r="D57" t="inlineStr">
        <is>
          <t>10000621</t>
        </is>
      </c>
      <c r="E57" t="inlineStr"/>
      <c r="F57" s="11" t="n">
        <v>291</v>
      </c>
      <c r="G57" t="inlineStr"/>
      <c r="I57" t="inlineStr">
        <is>
          <t>M3</t>
        </is>
      </c>
      <c r="J57" t="inlineStr"/>
      <c r="K57" t="inlineStr">
        <is>
          <t>20240619</t>
        </is>
      </c>
      <c r="L57" t="inlineStr">
        <is>
          <t>20251031</t>
        </is>
      </c>
    </row>
    <row r="58">
      <c r="A58" t="inlineStr">
        <is>
          <t>900006255</t>
        </is>
      </c>
      <c r="B58" t="inlineStr">
        <is>
          <t>D865</t>
        </is>
      </c>
      <c r="C58" t="inlineStr">
        <is>
          <t>67200025</t>
        </is>
      </c>
      <c r="D58" t="inlineStr">
        <is>
          <t>10006150</t>
        </is>
      </c>
      <c r="E58" t="inlineStr"/>
      <c r="F58" s="11" t="n">
        <v>291</v>
      </c>
      <c r="G58" t="inlineStr"/>
      <c r="I58" t="inlineStr">
        <is>
          <t>M3</t>
        </is>
      </c>
      <c r="J58" t="inlineStr"/>
      <c r="K58" t="inlineStr">
        <is>
          <t>20240619</t>
        </is>
      </c>
      <c r="L58" t="inlineStr">
        <is>
          <t>20251031</t>
        </is>
      </c>
    </row>
    <row r="59">
      <c r="A59" t="inlineStr">
        <is>
          <t>900006255</t>
        </is>
      </c>
      <c r="B59" t="inlineStr">
        <is>
          <t>D865</t>
        </is>
      </c>
      <c r="C59" t="inlineStr">
        <is>
          <t>67200025</t>
        </is>
      </c>
      <c r="D59" t="inlineStr">
        <is>
          <t>10047573</t>
        </is>
      </c>
      <c r="E59" t="inlineStr"/>
      <c r="F59" s="11" t="n">
        <v>91</v>
      </c>
      <c r="G59" t="inlineStr"/>
      <c r="I59" t="inlineStr">
        <is>
          <t>M3</t>
        </is>
      </c>
      <c r="J59" t="inlineStr"/>
      <c r="K59" t="inlineStr">
        <is>
          <t>20240619</t>
        </is>
      </c>
      <c r="L59" t="inlineStr">
        <is>
          <t>20251031</t>
        </is>
      </c>
    </row>
    <row r="60">
      <c r="A60" t="inlineStr">
        <is>
          <t>900008869</t>
        </is>
      </c>
      <c r="B60" t="inlineStr">
        <is>
          <t>D865</t>
        </is>
      </c>
      <c r="C60" t="inlineStr">
        <is>
          <t>67242382</t>
        </is>
      </c>
      <c r="D60" t="inlineStr">
        <is>
          <t>10000623</t>
        </is>
      </c>
      <c r="E60" t="inlineStr"/>
      <c r="F60" s="11" t="n">
        <v>203.39</v>
      </c>
      <c r="G60" t="inlineStr"/>
      <c r="I60" t="inlineStr">
        <is>
          <t>TN</t>
        </is>
      </c>
      <c r="J60" t="inlineStr"/>
      <c r="K60" t="inlineStr">
        <is>
          <t>20240619</t>
        </is>
      </c>
      <c r="L60" t="inlineStr">
        <is>
          <t>20251031</t>
        </is>
      </c>
    </row>
    <row r="61">
      <c r="A61" t="inlineStr">
        <is>
          <t>900003877</t>
        </is>
      </c>
      <c r="B61" t="inlineStr">
        <is>
          <t>D865</t>
        </is>
      </c>
      <c r="C61" t="inlineStr">
        <is>
          <t>67198083</t>
        </is>
      </c>
      <c r="D61" t="inlineStr">
        <is>
          <t>10000632</t>
        </is>
      </c>
      <c r="E61" t="inlineStr"/>
      <c r="F61" s="11" t="n">
        <v>320</v>
      </c>
      <c r="G61" t="inlineStr"/>
      <c r="I61" t="inlineStr">
        <is>
          <t>M3</t>
        </is>
      </c>
      <c r="J61" t="inlineStr"/>
      <c r="K61" t="inlineStr">
        <is>
          <t>20251105</t>
        </is>
      </c>
      <c r="L61" t="inlineStr">
        <is>
          <t>99991231</t>
        </is>
      </c>
    </row>
    <row r="62">
      <c r="A62" t="inlineStr">
        <is>
          <t>900004240</t>
        </is>
      </c>
      <c r="B62" t="inlineStr">
        <is>
          <t>D865</t>
        </is>
      </c>
      <c r="C62" t="inlineStr">
        <is>
          <t>67198083</t>
        </is>
      </c>
      <c r="D62" t="inlineStr">
        <is>
          <t>10000394</t>
        </is>
      </c>
      <c r="E62" t="inlineStr"/>
      <c r="F62" s="11" t="n">
        <v>75</v>
      </c>
      <c r="G62" t="inlineStr"/>
      <c r="I62" t="inlineStr">
        <is>
          <t>M3</t>
        </is>
      </c>
      <c r="J62" t="inlineStr"/>
      <c r="K62" t="inlineStr">
        <is>
          <t>20240925</t>
        </is>
      </c>
      <c r="L62" t="inlineStr">
        <is>
          <t>99991231</t>
        </is>
      </c>
    </row>
    <row r="63">
      <c r="A63" t="inlineStr">
        <is>
          <t>900004598</t>
        </is>
      </c>
      <c r="B63" t="inlineStr">
        <is>
          <t>D865</t>
        </is>
      </c>
      <c r="C63" t="inlineStr">
        <is>
          <t>67098138</t>
        </is>
      </c>
      <c r="D63" t="inlineStr">
        <is>
          <t>10006150</t>
        </is>
      </c>
      <c r="E63" t="inlineStr"/>
      <c r="F63" s="11" t="n">
        <v>310</v>
      </c>
      <c r="G63" t="inlineStr"/>
      <c r="I63" t="inlineStr">
        <is>
          <t>M3</t>
        </is>
      </c>
      <c r="J63" t="inlineStr"/>
      <c r="K63" t="inlineStr">
        <is>
          <t>20241022</t>
        </is>
      </c>
      <c r="L63" t="inlineStr">
        <is>
          <t>99991231</t>
        </is>
      </c>
    </row>
    <row r="64">
      <c r="A64" t="inlineStr">
        <is>
          <t>900004598</t>
        </is>
      </c>
      <c r="B64" t="inlineStr">
        <is>
          <t>D865</t>
        </is>
      </c>
      <c r="C64" t="inlineStr">
        <is>
          <t>67098138</t>
        </is>
      </c>
      <c r="D64" t="inlineStr">
        <is>
          <t>10047573</t>
        </is>
      </c>
      <c r="E64" t="inlineStr"/>
      <c r="F64" s="11" t="n">
        <v>58</v>
      </c>
      <c r="G64" t="inlineStr"/>
      <c r="I64" t="inlineStr">
        <is>
          <t>M3</t>
        </is>
      </c>
      <c r="J64" t="inlineStr"/>
      <c r="K64" t="inlineStr">
        <is>
          <t>20241022</t>
        </is>
      </c>
      <c r="L64" t="inlineStr">
        <is>
          <t>99991231</t>
        </is>
      </c>
    </row>
    <row r="65">
      <c r="A65" t="inlineStr">
        <is>
          <t>900006255</t>
        </is>
      </c>
      <c r="B65" t="inlineStr">
        <is>
          <t>D865</t>
        </is>
      </c>
      <c r="C65" t="inlineStr">
        <is>
          <t>67098138</t>
        </is>
      </c>
      <c r="D65" t="inlineStr">
        <is>
          <t>10006150</t>
        </is>
      </c>
      <c r="E65" t="inlineStr"/>
      <c r="F65" s="11" t="n">
        <v>290</v>
      </c>
      <c r="G65" t="inlineStr"/>
      <c r="I65" t="inlineStr">
        <is>
          <t>M3</t>
        </is>
      </c>
      <c r="J65" t="inlineStr"/>
      <c r="K65" t="inlineStr">
        <is>
          <t>20240619</t>
        </is>
      </c>
      <c r="L65" t="inlineStr">
        <is>
          <t>99991231</t>
        </is>
      </c>
    </row>
    <row r="66">
      <c r="A66" t="inlineStr">
        <is>
          <t>900008869</t>
        </is>
      </c>
      <c r="B66" t="inlineStr">
        <is>
          <t>D865</t>
        </is>
      </c>
      <c r="C66" t="inlineStr">
        <is>
          <t>67240729</t>
        </is>
      </c>
      <c r="D66" t="inlineStr">
        <is>
          <t>10000623</t>
        </is>
      </c>
      <c r="E66" t="inlineStr"/>
      <c r="F66" s="11" t="n">
        <v>142.49</v>
      </c>
      <c r="G66" t="inlineStr"/>
      <c r="I66" t="inlineStr">
        <is>
          <t>TN</t>
        </is>
      </c>
      <c r="J66" t="inlineStr"/>
      <c r="K66" t="inlineStr">
        <is>
          <t>20240619</t>
        </is>
      </c>
      <c r="L66" t="inlineStr">
        <is>
          <t>99991231</t>
        </is>
      </c>
    </row>
    <row r="67">
      <c r="A67" t="inlineStr">
        <is>
          <t>900008869</t>
        </is>
      </c>
      <c r="B67" t="inlineStr">
        <is>
          <t>D865</t>
        </is>
      </c>
      <c r="C67" t="inlineStr">
        <is>
          <t>67242385</t>
        </is>
      </c>
      <c r="D67" t="inlineStr">
        <is>
          <t>10000623</t>
        </is>
      </c>
      <c r="E67" t="inlineStr"/>
      <c r="F67" s="11" t="n">
        <v>184.86</v>
      </c>
      <c r="G67" t="inlineStr"/>
      <c r="I67" t="inlineStr">
        <is>
          <t>TN</t>
        </is>
      </c>
      <c r="J67" t="inlineStr"/>
      <c r="K67" t="inlineStr">
        <is>
          <t>20240619</t>
        </is>
      </c>
      <c r="L67" t="inlineStr">
        <is>
          <t>99991231</t>
        </is>
      </c>
    </row>
    <row r="68">
      <c r="A68" t="inlineStr">
        <is>
          <t>900008869</t>
        </is>
      </c>
      <c r="B68" t="inlineStr">
        <is>
          <t>D865</t>
        </is>
      </c>
      <c r="C68" t="inlineStr">
        <is>
          <t>67283503</t>
        </is>
      </c>
      <c r="D68" t="inlineStr">
        <is>
          <t>10000623</t>
        </is>
      </c>
      <c r="E68" t="inlineStr"/>
      <c r="F68" s="11" t="n">
        <v>203.39</v>
      </c>
      <c r="G68" t="inlineStr"/>
      <c r="I68" t="inlineStr">
        <is>
          <t>TN</t>
        </is>
      </c>
      <c r="J68" t="inlineStr"/>
      <c r="K68" t="inlineStr">
        <is>
          <t>20250219</t>
        </is>
      </c>
      <c r="L68" t="inlineStr">
        <is>
          <t>99991231</t>
        </is>
      </c>
    </row>
    <row r="69">
      <c r="A69" t="inlineStr">
        <is>
          <t>900009140</t>
        </is>
      </c>
      <c r="B69" t="inlineStr">
        <is>
          <t>D865</t>
        </is>
      </c>
      <c r="C69" t="inlineStr">
        <is>
          <t>67240729</t>
        </is>
      </c>
      <c r="D69" t="inlineStr">
        <is>
          <t>10000623</t>
        </is>
      </c>
      <c r="E69" t="inlineStr"/>
      <c r="F69" s="11" t="n">
        <v>142.49</v>
      </c>
      <c r="G69" t="inlineStr"/>
      <c r="I69" t="inlineStr">
        <is>
          <t>TN</t>
        </is>
      </c>
      <c r="J69" t="inlineStr"/>
      <c r="K69" t="inlineStr">
        <is>
          <t>20250627</t>
        </is>
      </c>
      <c r="L69" t="inlineStr">
        <is>
          <t>99991231</t>
        </is>
      </c>
    </row>
    <row r="70">
      <c r="A70" t="inlineStr">
        <is>
          <t>900009140</t>
        </is>
      </c>
      <c r="B70" t="inlineStr">
        <is>
          <t>D865</t>
        </is>
      </c>
      <c r="C70" t="inlineStr">
        <is>
          <t>67242385</t>
        </is>
      </c>
      <c r="D70" t="inlineStr">
        <is>
          <t>10000623</t>
        </is>
      </c>
      <c r="E70" t="inlineStr"/>
      <c r="F70" s="11" t="n">
        <v>184.86</v>
      </c>
      <c r="G70" t="inlineStr"/>
      <c r="I70" t="inlineStr">
        <is>
          <t>TN</t>
        </is>
      </c>
      <c r="J70" t="inlineStr"/>
      <c r="K70" t="inlineStr">
        <is>
          <t>20251104</t>
        </is>
      </c>
      <c r="L70" t="inlineStr">
        <is>
          <t>99991231</t>
        </is>
      </c>
    </row>
    <row r="71">
      <c r="A71" t="inlineStr">
        <is>
          <t>900009140</t>
        </is>
      </c>
      <c r="B71" t="inlineStr">
        <is>
          <t>D865</t>
        </is>
      </c>
      <c r="C71" t="inlineStr">
        <is>
          <t>67283503</t>
        </is>
      </c>
      <c r="D71" t="inlineStr">
        <is>
          <t>10000623</t>
        </is>
      </c>
      <c r="E71" t="inlineStr"/>
      <c r="F71" s="11" t="n">
        <v>203.39</v>
      </c>
      <c r="G71" t="inlineStr"/>
      <c r="I71" t="inlineStr">
        <is>
          <t>TN</t>
        </is>
      </c>
      <c r="J71" t="inlineStr"/>
      <c r="K71" t="inlineStr">
        <is>
          <t>20250708</t>
        </is>
      </c>
      <c r="L71" t="inlineStr">
        <is>
          <t>99991231</t>
        </is>
      </c>
    </row>
    <row r="72">
      <c r="A72" t="inlineStr">
        <is>
          <t>900009140</t>
        </is>
      </c>
      <c r="B72" t="inlineStr">
        <is>
          <t>D865</t>
        </is>
      </c>
      <c r="C72" t="inlineStr">
        <is>
          <t>67376830</t>
        </is>
      </c>
      <c r="D72" t="inlineStr">
        <is>
          <t>10000623</t>
        </is>
      </c>
      <c r="E72" t="inlineStr"/>
      <c r="F72" s="11" t="n">
        <v>217</v>
      </c>
      <c r="G72" t="inlineStr"/>
      <c r="I72" t="inlineStr">
        <is>
          <t>TN</t>
        </is>
      </c>
      <c r="J72" t="inlineStr"/>
      <c r="K72" t="inlineStr">
        <is>
          <t>20260901</t>
        </is>
      </c>
      <c r="L72" t="inlineStr">
        <is>
          <t>99991231</t>
        </is>
      </c>
    </row>
    <row r="73">
      <c r="A73" t="inlineStr">
        <is>
          <t>900004240</t>
        </is>
      </c>
      <c r="B73" t="inlineStr">
        <is>
          <t>D865</t>
        </is>
      </c>
      <c r="C73" t="inlineStr">
        <is>
          <t>67098138</t>
        </is>
      </c>
      <c r="D73" t="inlineStr">
        <is>
          <t>10000394</t>
        </is>
      </c>
      <c r="E73" t="inlineStr"/>
      <c r="F73" s="11" t="n">
        <v>74.90000000000001</v>
      </c>
      <c r="G73" t="inlineStr"/>
      <c r="I73" t="inlineStr">
        <is>
          <t>M3</t>
        </is>
      </c>
      <c r="J73" t="inlineStr"/>
      <c r="K73" t="inlineStr">
        <is>
          <t>20250505</t>
        </is>
      </c>
      <c r="L73" t="inlineStr">
        <is>
          <t>20250507</t>
        </is>
      </c>
    </row>
    <row r="74">
      <c r="A74" t="inlineStr">
        <is>
          <t>900004240</t>
        </is>
      </c>
      <c r="B74" t="inlineStr">
        <is>
          <t>D865</t>
        </is>
      </c>
      <c r="C74" t="inlineStr">
        <is>
          <t>67198083</t>
        </is>
      </c>
      <c r="D74" t="inlineStr">
        <is>
          <t>10000394</t>
        </is>
      </c>
      <c r="E74" t="inlineStr"/>
      <c r="F74" s="11" t="n">
        <v>75</v>
      </c>
      <c r="G74" t="inlineStr"/>
      <c r="I74" t="inlineStr">
        <is>
          <t>M3</t>
        </is>
      </c>
      <c r="J74" t="inlineStr"/>
      <c r="K74" t="inlineStr">
        <is>
          <t>20240813</t>
        </is>
      </c>
      <c r="L74" t="inlineStr">
        <is>
          <t>20241108</t>
        </is>
      </c>
    </row>
    <row r="75">
      <c r="A75" t="inlineStr">
        <is>
          <t>900004598</t>
        </is>
      </c>
      <c r="B75" t="inlineStr">
        <is>
          <t>D865</t>
        </is>
      </c>
      <c r="C75" t="inlineStr">
        <is>
          <t>67098138</t>
        </is>
      </c>
      <c r="D75" t="inlineStr">
        <is>
          <t>10006150</t>
        </is>
      </c>
      <c r="E75" t="inlineStr"/>
      <c r="F75" s="11" t="n">
        <v>310</v>
      </c>
      <c r="G75" t="inlineStr"/>
      <c r="I75" t="inlineStr">
        <is>
          <t>M3</t>
        </is>
      </c>
      <c r="J75" t="inlineStr"/>
      <c r="K75" t="inlineStr">
        <is>
          <t>20240813</t>
        </is>
      </c>
      <c r="L75" t="inlineStr">
        <is>
          <t>20241108</t>
        </is>
      </c>
    </row>
    <row r="76">
      <c r="A76" t="inlineStr">
        <is>
          <t>900004598</t>
        </is>
      </c>
      <c r="B76" t="inlineStr">
        <is>
          <t>D865</t>
        </is>
      </c>
      <c r="C76" t="inlineStr">
        <is>
          <t>67098138</t>
        </is>
      </c>
      <c r="D76" t="inlineStr">
        <is>
          <t>10047573</t>
        </is>
      </c>
      <c r="E76" t="inlineStr"/>
      <c r="F76" s="11" t="n">
        <v>58</v>
      </c>
      <c r="G76" t="inlineStr"/>
      <c r="I76" t="inlineStr">
        <is>
          <t>M3</t>
        </is>
      </c>
      <c r="J76" t="inlineStr"/>
      <c r="K76" t="inlineStr">
        <is>
          <t>20240813</t>
        </is>
      </c>
      <c r="L76" t="inlineStr">
        <is>
          <t>20241108</t>
        </is>
      </c>
    </row>
    <row r="77">
      <c r="A77" t="inlineStr">
        <is>
          <t>900005655</t>
        </is>
      </c>
      <c r="B77" t="inlineStr">
        <is>
          <t>D865</t>
        </is>
      </c>
      <c r="C77" t="inlineStr">
        <is>
          <t>67098138</t>
        </is>
      </c>
      <c r="D77" t="inlineStr">
        <is>
          <t>10000829</t>
        </is>
      </c>
      <c r="E77" t="inlineStr"/>
      <c r="F77" s="11" t="n">
        <v>140</v>
      </c>
      <c r="G77" t="inlineStr"/>
      <c r="I77" t="inlineStr">
        <is>
          <t>M3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900008869</t>
        </is>
      </c>
      <c r="B78" t="inlineStr">
        <is>
          <t>D865</t>
        </is>
      </c>
      <c r="C78" t="inlineStr">
        <is>
          <t>67242382</t>
        </is>
      </c>
      <c r="D78" t="inlineStr">
        <is>
          <t>10000623</t>
        </is>
      </c>
      <c r="E78" t="inlineStr"/>
      <c r="F78" s="11" t="n">
        <v>171</v>
      </c>
      <c r="G78" t="inlineStr"/>
      <c r="I78" t="inlineStr">
        <is>
          <t>TN</t>
        </is>
      </c>
      <c r="J78" t="inlineStr"/>
      <c r="K78" t="inlineStr">
        <is>
          <t>20240813</t>
        </is>
      </c>
      <c r="L78" t="inlineStr">
        <is>
          <t>20241108</t>
        </is>
      </c>
    </row>
    <row r="79">
      <c r="A79" t="inlineStr">
        <is>
          <t>900008869</t>
        </is>
      </c>
      <c r="B79" t="inlineStr">
        <is>
          <t>D865</t>
        </is>
      </c>
      <c r="C79" t="inlineStr">
        <is>
          <t>67242385</t>
        </is>
      </c>
      <c r="D79" t="inlineStr">
        <is>
          <t>10000623</t>
        </is>
      </c>
      <c r="E79" t="inlineStr"/>
      <c r="F79" s="11" t="n">
        <v>154</v>
      </c>
      <c r="G79" t="inlineStr"/>
      <c r="I79" t="inlineStr">
        <is>
          <t>TN</t>
        </is>
      </c>
      <c r="J79" t="inlineStr"/>
      <c r="K79" t="inlineStr">
        <is>
          <t>20240813</t>
        </is>
      </c>
      <c r="L79" t="inlineStr">
        <is>
          <t>20241108</t>
        </is>
      </c>
    </row>
    <row r="80">
      <c r="A80" t="inlineStr">
        <is>
          <t>900008869</t>
        </is>
      </c>
      <c r="B80" t="inlineStr">
        <is>
          <t>D865</t>
        </is>
      </c>
      <c r="C80" t="inlineStr">
        <is>
          <t>67283503</t>
        </is>
      </c>
      <c r="D80" t="inlineStr">
        <is>
          <t>10000623</t>
        </is>
      </c>
      <c r="E80" t="inlineStr"/>
      <c r="F80" s="11" t="n">
        <v>171</v>
      </c>
      <c r="G80" t="inlineStr"/>
      <c r="I80" t="inlineStr">
        <is>
          <t>TN</t>
        </is>
      </c>
      <c r="J80" t="inlineStr"/>
      <c r="K80" t="inlineStr">
        <is>
          <t>20240813</t>
        </is>
      </c>
      <c r="L80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900000540D8656501466410000829</t>
        </is>
      </c>
      <c r="B2" t="inlineStr">
        <is>
          <t>900000540</t>
        </is>
      </c>
      <c r="C2" t="inlineStr">
        <is>
          <t>D865</t>
        </is>
      </c>
      <c r="D2" t="inlineStr">
        <is>
          <t>65014664</t>
        </is>
      </c>
      <c r="E2" t="inlineStr">
        <is>
          <t>1</t>
        </is>
      </c>
      <c r="F2" t="inlineStr">
        <is>
          <t>10000829</t>
        </is>
      </c>
      <c r="H2" t="inlineStr"/>
      <c r="J2" t="n">
        <v>211.09</v>
      </c>
      <c r="K2" t="inlineStr"/>
      <c r="M2" t="inlineStr">
        <is>
          <t>M3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900003877D8656594446810000360</t>
        </is>
      </c>
      <c r="B3" t="inlineStr">
        <is>
          <t>900003877</t>
        </is>
      </c>
      <c r="C3" t="inlineStr">
        <is>
          <t>D865</t>
        </is>
      </c>
      <c r="D3" t="inlineStr">
        <is>
          <t>65944468</t>
        </is>
      </c>
      <c r="E3" t="inlineStr">
        <is>
          <t>1</t>
        </is>
      </c>
      <c r="F3" t="inlineStr">
        <is>
          <t>10000360</t>
        </is>
      </c>
      <c r="H3" t="inlineStr"/>
      <c r="J3" t="n">
        <v>70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900003877D8656594446810000632</t>
        </is>
      </c>
      <c r="B4" t="inlineStr">
        <is>
          <t>900003877</t>
        </is>
      </c>
      <c r="C4" t="inlineStr">
        <is>
          <t>D865</t>
        </is>
      </c>
      <c r="D4" t="inlineStr">
        <is>
          <t>65944468</t>
        </is>
      </c>
      <c r="E4" t="inlineStr">
        <is>
          <t>1</t>
        </is>
      </c>
      <c r="F4" t="inlineStr">
        <is>
          <t>10000632</t>
        </is>
      </c>
      <c r="H4" t="inlineStr"/>
      <c r="J4" t="n">
        <v>70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900003877D8656594446810047573</t>
        </is>
      </c>
      <c r="B5" t="inlineStr">
        <is>
          <t>900003877</t>
        </is>
      </c>
      <c r="C5" t="inlineStr">
        <is>
          <t>D865</t>
        </is>
      </c>
      <c r="D5" t="inlineStr">
        <is>
          <t>65944468</t>
        </is>
      </c>
      <c r="E5" t="inlineStr">
        <is>
          <t>1</t>
        </is>
      </c>
      <c r="F5" t="inlineStr">
        <is>
          <t>10047573</t>
        </is>
      </c>
      <c r="H5" t="inlineStr"/>
      <c r="J5" t="n">
        <v>70</v>
      </c>
      <c r="K5" t="inlineStr"/>
      <c r="M5" t="inlineStr">
        <is>
          <t>M3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900004446D8656594446810000829</t>
        </is>
      </c>
      <c r="B6" t="inlineStr">
        <is>
          <t>900004446</t>
        </is>
      </c>
      <c r="C6" t="inlineStr">
        <is>
          <t>D865</t>
        </is>
      </c>
      <c r="D6" t="inlineStr">
        <is>
          <t>65944468</t>
        </is>
      </c>
      <c r="E6" t="inlineStr">
        <is>
          <t>1</t>
        </is>
      </c>
      <c r="F6" t="inlineStr">
        <is>
          <t>10000829</t>
        </is>
      </c>
      <c r="H6" t="inlineStr"/>
      <c r="J6" t="n">
        <v>115</v>
      </c>
      <c r="K6" t="inlineStr"/>
      <c r="M6" t="inlineStr">
        <is>
          <t>M3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900004447D8656501466410000160</t>
        </is>
      </c>
      <c r="B7" t="inlineStr">
        <is>
          <t>900004447</t>
        </is>
      </c>
      <c r="C7" t="inlineStr">
        <is>
          <t>D865</t>
        </is>
      </c>
      <c r="D7" t="inlineStr">
        <is>
          <t>65014664</t>
        </is>
      </c>
      <c r="E7" t="inlineStr">
        <is>
          <t>1</t>
        </is>
      </c>
      <c r="F7" t="inlineStr">
        <is>
          <t>10000160</t>
        </is>
      </c>
      <c r="H7" t="inlineStr"/>
      <c r="J7" t="n">
        <v>237.18</v>
      </c>
      <c r="K7" t="inlineStr"/>
      <c r="M7" t="inlineStr">
        <is>
          <t>M3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900004447D8656501466410000829</t>
        </is>
      </c>
      <c r="B8" t="inlineStr">
        <is>
          <t>900004447</t>
        </is>
      </c>
      <c r="C8" t="inlineStr">
        <is>
          <t>D865</t>
        </is>
      </c>
      <c r="D8" t="inlineStr">
        <is>
          <t>65014664</t>
        </is>
      </c>
      <c r="E8" t="inlineStr">
        <is>
          <t>1</t>
        </is>
      </c>
      <c r="F8" t="inlineStr">
        <is>
          <t>10000829</t>
        </is>
      </c>
      <c r="H8" t="inlineStr"/>
      <c r="J8" t="n">
        <v>237.18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900005785D8656656917410000394</t>
        </is>
      </c>
      <c r="B9" t="inlineStr">
        <is>
          <t>900005785</t>
        </is>
      </c>
      <c r="C9" t="inlineStr">
        <is>
          <t>D865</t>
        </is>
      </c>
      <c r="D9" t="inlineStr">
        <is>
          <t>66569174</t>
        </is>
      </c>
      <c r="E9" t="inlineStr">
        <is>
          <t>4</t>
        </is>
      </c>
      <c r="F9" t="inlineStr">
        <is>
          <t>10000394</t>
        </is>
      </c>
      <c r="H9" t="inlineStr"/>
      <c r="J9" t="n">
        <v>119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900005792D8656656917410000284</t>
        </is>
      </c>
      <c r="B10" t="inlineStr">
        <is>
          <t>900005792</t>
        </is>
      </c>
      <c r="C10" t="inlineStr">
        <is>
          <t>D865</t>
        </is>
      </c>
      <c r="D10" t="inlineStr">
        <is>
          <t>66569174</t>
        </is>
      </c>
      <c r="E10" t="inlineStr">
        <is>
          <t>4</t>
        </is>
      </c>
      <c r="F10" t="inlineStr">
        <is>
          <t>10000284</t>
        </is>
      </c>
      <c r="H10" t="inlineStr"/>
      <c r="J10" t="n">
        <v>44.5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900006123D865DE1210000651</t>
        </is>
      </c>
      <c r="B11" t="inlineStr">
        <is>
          <t>900006123</t>
        </is>
      </c>
      <c r="C11" t="inlineStr">
        <is>
          <t>D865</t>
        </is>
      </c>
      <c r="D11" t="inlineStr">
        <is>
          <t>DE12</t>
        </is>
      </c>
      <c r="E11" t="inlineStr">
        <is>
          <t>1</t>
        </is>
      </c>
      <c r="F11" t="inlineStr">
        <is>
          <t>10000651</t>
        </is>
      </c>
      <c r="H11" t="inlineStr"/>
      <c r="J11" t="n">
        <v>63.6</v>
      </c>
      <c r="K11" t="inlineStr"/>
      <c r="M11" t="inlineStr">
        <is>
          <t>TN</t>
        </is>
      </c>
      <c r="N11" t="inlineStr"/>
      <c r="P11" t="inlineStr">
        <is>
          <t>20190517</t>
        </is>
      </c>
      <c r="Q11" t="inlineStr">
        <is>
          <t>20240710</t>
        </is>
      </c>
    </row>
    <row r="12">
      <c r="A12" t="inlineStr">
        <is>
          <t>900006123D865DE1310000651</t>
        </is>
      </c>
      <c r="B12" t="inlineStr">
        <is>
          <t>900006123</t>
        </is>
      </c>
      <c r="C12" t="inlineStr">
        <is>
          <t>D865</t>
        </is>
      </c>
      <c r="D12" t="inlineStr">
        <is>
          <t>DE13</t>
        </is>
      </c>
      <c r="E12" t="inlineStr">
        <is>
          <t>1</t>
        </is>
      </c>
      <c r="F12" t="inlineStr">
        <is>
          <t>10000651</t>
        </is>
      </c>
      <c r="H12" t="inlineStr"/>
      <c r="J12" t="n">
        <v>71.08</v>
      </c>
      <c r="K12" t="inlineStr"/>
      <c r="M12" t="inlineStr">
        <is>
          <t>TN</t>
        </is>
      </c>
      <c r="N12" t="inlineStr"/>
      <c r="P12" t="inlineStr">
        <is>
          <t>20190517</t>
        </is>
      </c>
      <c r="Q12" t="inlineStr">
        <is>
          <t>20240710</t>
        </is>
      </c>
    </row>
    <row r="13">
      <c r="A13" t="inlineStr">
        <is>
          <t>900006123D865DE7310000651</t>
        </is>
      </c>
      <c r="B13" t="inlineStr">
        <is>
          <t>900006123</t>
        </is>
      </c>
      <c r="C13" t="inlineStr">
        <is>
          <t>D865</t>
        </is>
      </c>
      <c r="D13" t="inlineStr">
        <is>
          <t>DE73</t>
        </is>
      </c>
      <c r="E13" t="inlineStr">
        <is>
          <t>1</t>
        </is>
      </c>
      <c r="F13" t="inlineStr">
        <is>
          <t>10000651</t>
        </is>
      </c>
      <c r="H13" t="inlineStr"/>
      <c r="J13" t="n">
        <v>118.41</v>
      </c>
      <c r="K13" t="inlineStr"/>
      <c r="M13" t="inlineStr">
        <is>
          <t>TN</t>
        </is>
      </c>
      <c r="N13" t="inlineStr"/>
      <c r="P13" t="inlineStr">
        <is>
          <t>20190517</t>
        </is>
      </c>
      <c r="Q13" t="inlineStr">
        <is>
          <t>20240710</t>
        </is>
      </c>
    </row>
    <row r="14">
      <c r="A14" t="inlineStr">
        <is>
          <t>900008869D8656724072910000623</t>
        </is>
      </c>
      <c r="B14" t="inlineStr">
        <is>
          <t>900008869</t>
        </is>
      </c>
      <c r="C14" t="inlineStr">
        <is>
          <t>D865</t>
        </is>
      </c>
      <c r="D14" t="inlineStr">
        <is>
          <t>67240729</t>
        </is>
      </c>
      <c r="E14" t="inlineStr">
        <is>
          <t>4</t>
        </is>
      </c>
      <c r="F14" t="inlineStr">
        <is>
          <t>10000623</t>
        </is>
      </c>
      <c r="H14" t="inlineStr"/>
      <c r="J14" t="n">
        <v>360</v>
      </c>
      <c r="K14" t="inlineStr"/>
      <c r="M14" t="inlineStr">
        <is>
          <t>TN</t>
        </is>
      </c>
      <c r="N14" t="inlineStr"/>
      <c r="P14" t="inlineStr">
        <is>
          <t>20250219</t>
        </is>
      </c>
      <c r="Q14" t="inlineStr">
        <is>
          <t>99991231</t>
        </is>
      </c>
    </row>
    <row r="15">
      <c r="A15" t="inlineStr">
        <is>
          <t>900008869D8656724238210000623</t>
        </is>
      </c>
      <c r="B15" t="inlineStr">
        <is>
          <t>900008869</t>
        </is>
      </c>
      <c r="C15" t="inlineStr">
        <is>
          <t>D865</t>
        </is>
      </c>
      <c r="D15" t="inlineStr">
        <is>
          <t>67242382</t>
        </is>
      </c>
      <c r="E15" t="inlineStr">
        <is>
          <t>4</t>
        </is>
      </c>
      <c r="F15" t="inlineStr">
        <is>
          <t>10000623</t>
        </is>
      </c>
      <c r="H15" t="inlineStr"/>
      <c r="J15" t="n">
        <v>310</v>
      </c>
      <c r="K15" t="inlineStr"/>
      <c r="M15" t="inlineStr">
        <is>
          <t>TN</t>
        </is>
      </c>
      <c r="N15" t="inlineStr"/>
      <c r="P15" t="inlineStr">
        <is>
          <t>20230301</t>
        </is>
      </c>
      <c r="Q15" t="inlineStr">
        <is>
          <t>20251031</t>
        </is>
      </c>
    </row>
    <row r="16">
      <c r="A16" t="inlineStr">
        <is>
          <t>900008869D8656724238510000623</t>
        </is>
      </c>
      <c r="B16" t="inlineStr">
        <is>
          <t>900008869</t>
        </is>
      </c>
      <c r="C16" t="inlineStr">
        <is>
          <t>D865</t>
        </is>
      </c>
      <c r="D16" t="inlineStr">
        <is>
          <t>67242385</t>
        </is>
      </c>
      <c r="E16" t="inlineStr">
        <is>
          <t>4</t>
        </is>
      </c>
      <c r="F16" t="inlineStr">
        <is>
          <t>10000623</t>
        </is>
      </c>
      <c r="H16" t="inlineStr"/>
      <c r="J16" t="n">
        <v>310</v>
      </c>
      <c r="K16" t="inlineStr"/>
      <c r="M16" t="inlineStr">
        <is>
          <t>TN</t>
        </is>
      </c>
      <c r="N16" t="inlineStr"/>
      <c r="P16" t="inlineStr">
        <is>
          <t>20250219</t>
        </is>
      </c>
      <c r="Q16" t="inlineStr">
        <is>
          <t>99991231</t>
        </is>
      </c>
    </row>
    <row r="17">
      <c r="A17" t="inlineStr">
        <is>
          <t>900008869D8656728350310000623</t>
        </is>
      </c>
      <c r="B17" t="inlineStr">
        <is>
          <t>900008869</t>
        </is>
      </c>
      <c r="C17" t="inlineStr">
        <is>
          <t>D865</t>
        </is>
      </c>
      <c r="D17" t="inlineStr">
        <is>
          <t>67283503</t>
        </is>
      </c>
      <c r="E17" t="inlineStr">
        <is>
          <t>4</t>
        </is>
      </c>
      <c r="F17" t="inlineStr">
        <is>
          <t>10000623</t>
        </is>
      </c>
      <c r="H17" t="inlineStr"/>
      <c r="J17" t="n">
        <v>310</v>
      </c>
      <c r="K17" t="inlineStr"/>
      <c r="M17" t="inlineStr">
        <is>
          <t>TN</t>
        </is>
      </c>
      <c r="N17" t="inlineStr"/>
      <c r="P17" t="inlineStr">
        <is>
          <t>20250219</t>
        </is>
      </c>
      <c r="Q17" t="inlineStr">
        <is>
          <t>99991231</t>
        </is>
      </c>
    </row>
    <row r="18">
      <c r="A18" t="inlineStr">
        <is>
          <t>900009140D8656724072910000623</t>
        </is>
      </c>
      <c r="B18" t="inlineStr">
        <is>
          <t>900009140</t>
        </is>
      </c>
      <c r="C18" t="inlineStr">
        <is>
          <t>D865</t>
        </is>
      </c>
      <c r="D18" t="inlineStr">
        <is>
          <t>67240729</t>
        </is>
      </c>
      <c r="E18" t="inlineStr">
        <is>
          <t>4</t>
        </is>
      </c>
      <c r="F18" t="inlineStr">
        <is>
          <t>10000623</t>
        </is>
      </c>
      <c r="H18" t="inlineStr"/>
      <c r="J18" t="n">
        <v>360</v>
      </c>
      <c r="K18" t="inlineStr"/>
      <c r="M18" t="inlineStr">
        <is>
          <t>TN</t>
        </is>
      </c>
      <c r="N18" t="inlineStr"/>
      <c r="P18" t="inlineStr">
        <is>
          <t>20250627</t>
        </is>
      </c>
      <c r="Q18" t="inlineStr">
        <is>
          <t>99991231</t>
        </is>
      </c>
    </row>
    <row r="19">
      <c r="A19" t="inlineStr">
        <is>
          <t>900009140D8656724238510000623</t>
        </is>
      </c>
      <c r="B19" t="inlineStr">
        <is>
          <t>900009140</t>
        </is>
      </c>
      <c r="C19" t="inlineStr">
        <is>
          <t>D865</t>
        </is>
      </c>
      <c r="D19" t="inlineStr">
        <is>
          <t>67242385</t>
        </is>
      </c>
      <c r="E19" t="inlineStr">
        <is>
          <t>4</t>
        </is>
      </c>
      <c r="F19" t="inlineStr">
        <is>
          <t>10000623</t>
        </is>
      </c>
      <c r="H19" t="inlineStr"/>
      <c r="J19" t="n">
        <v>310</v>
      </c>
      <c r="K19" t="inlineStr"/>
      <c r="M19" t="inlineStr">
        <is>
          <t>TN</t>
        </is>
      </c>
      <c r="N19" t="inlineStr"/>
      <c r="P19" t="inlineStr">
        <is>
          <t>20251104</t>
        </is>
      </c>
      <c r="Q19" t="inlineStr">
        <is>
          <t>99991231</t>
        </is>
      </c>
    </row>
    <row r="20">
      <c r="A20" t="inlineStr">
        <is>
          <t>900009140D8656728350310000623</t>
        </is>
      </c>
      <c r="B20" t="inlineStr">
        <is>
          <t>900009140</t>
        </is>
      </c>
      <c r="C20" t="inlineStr">
        <is>
          <t>D865</t>
        </is>
      </c>
      <c r="D20" t="inlineStr">
        <is>
          <t>67283503</t>
        </is>
      </c>
      <c r="E20" t="inlineStr">
        <is>
          <t>4</t>
        </is>
      </c>
      <c r="F20" t="inlineStr">
        <is>
          <t>10000623</t>
        </is>
      </c>
      <c r="H20" t="inlineStr"/>
      <c r="J20" t="n">
        <v>310</v>
      </c>
      <c r="K20" t="inlineStr"/>
      <c r="M20" t="inlineStr">
        <is>
          <t>TN</t>
        </is>
      </c>
      <c r="N20" t="inlineStr"/>
      <c r="P20" t="inlineStr">
        <is>
          <t>20250708</t>
        </is>
      </c>
      <c r="Q20" t="inlineStr">
        <is>
          <t>99991231</t>
        </is>
      </c>
    </row>
    <row r="21">
      <c r="A21" t="inlineStr">
        <is>
          <t>900008869D8656724238210000623</t>
        </is>
      </c>
      <c r="B21" t="inlineStr">
        <is>
          <t>900008869</t>
        </is>
      </c>
      <c r="C21" t="inlineStr">
        <is>
          <t>D865</t>
        </is>
      </c>
      <c r="D21" t="inlineStr">
        <is>
          <t>67242382</t>
        </is>
      </c>
      <c r="E21" t="inlineStr">
        <is>
          <t>4</t>
        </is>
      </c>
      <c r="F21" t="inlineStr">
        <is>
          <t>10000623</t>
        </is>
      </c>
      <c r="H21" t="inlineStr"/>
      <c r="J21" t="n">
        <v>300</v>
      </c>
      <c r="K21" t="inlineStr"/>
      <c r="M21" t="inlineStr">
        <is>
          <t>TN</t>
        </is>
      </c>
      <c r="N21" t="inlineStr"/>
      <c r="P21" t="inlineStr">
        <is>
          <t>20240921</t>
        </is>
      </c>
      <c r="Q21" t="inlineStr">
        <is>
          <t>99991231</t>
        </is>
      </c>
    </row>
    <row r="22">
      <c r="A22" t="inlineStr">
        <is>
          <t>900008869D8656724238510000623</t>
        </is>
      </c>
      <c r="B22" t="inlineStr">
        <is>
          <t>900008869</t>
        </is>
      </c>
      <c r="C22" t="inlineStr">
        <is>
          <t>D865</t>
        </is>
      </c>
      <c r="D22" t="inlineStr">
        <is>
          <t>67242385</t>
        </is>
      </c>
      <c r="E22" t="inlineStr">
        <is>
          <t>4</t>
        </is>
      </c>
      <c r="F22" t="inlineStr">
        <is>
          <t>10000623</t>
        </is>
      </c>
      <c r="H22" t="inlineStr"/>
      <c r="J22" t="n">
        <v>300</v>
      </c>
      <c r="K22" t="inlineStr"/>
      <c r="M22" t="inlineStr">
        <is>
          <t>TN</t>
        </is>
      </c>
      <c r="N22" t="inlineStr"/>
      <c r="P22" t="inlineStr">
        <is>
          <t>20240921</t>
        </is>
      </c>
      <c r="Q22" t="inlineStr">
        <is>
          <t>99991231</t>
        </is>
      </c>
    </row>
    <row r="23">
      <c r="A23" t="inlineStr">
        <is>
          <t>900008869D8656728350310000623</t>
        </is>
      </c>
      <c r="B23" t="inlineStr">
        <is>
          <t>900008869</t>
        </is>
      </c>
      <c r="C23" t="inlineStr">
        <is>
          <t>D865</t>
        </is>
      </c>
      <c r="D23" t="inlineStr">
        <is>
          <t>67283503</t>
        </is>
      </c>
      <c r="E23" t="inlineStr">
        <is>
          <t>4</t>
        </is>
      </c>
      <c r="F23" t="inlineStr">
        <is>
          <t>10000623</t>
        </is>
      </c>
      <c r="H23" t="inlineStr"/>
      <c r="J23" t="n">
        <v>300</v>
      </c>
      <c r="K23" t="inlineStr"/>
      <c r="M23" t="inlineStr">
        <is>
          <t>TN</t>
        </is>
      </c>
      <c r="N23" t="inlineStr"/>
      <c r="P23" t="inlineStr">
        <is>
          <t>20240921</t>
        </is>
      </c>
      <c r="Q2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900009140D8656737683010000623</t>
        </is>
      </c>
      <c r="B2" t="inlineStr">
        <is>
          <t>4600071388-40</t>
        </is>
      </c>
      <c r="C2" t="n">
        <v>4600071388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900009140</v>
      </c>
      <c r="H2" t="inlineStr">
        <is>
          <t>SF TP-ED CONCRETOS Y PAVIMENTOS</t>
        </is>
      </c>
      <c r="I2" t="n">
        <v>5089601</v>
      </c>
      <c r="J2" t="inlineStr">
        <is>
          <t>CONCRETOS Y PAVIMENTOS EXTERIORES S</t>
        </is>
      </c>
      <c r="K2" t="inlineStr">
        <is>
          <t>N90</t>
        </is>
      </c>
      <c r="L2" t="inlineStr">
        <is>
          <t>(AP) NAFIN 90 Dias</t>
        </is>
      </c>
      <c r="M2" t="n">
        <v>10000623</v>
      </c>
      <c r="N2" t="inlineStr">
        <is>
          <t>Grava Triturada Caliza 10 mm - 3/8"</t>
        </is>
      </c>
      <c r="O2" t="inlineStr">
        <is>
          <t>D865</t>
        </is>
      </c>
      <c r="P2" t="inlineStr">
        <is>
          <t>MX-CED. MORELOS</t>
        </is>
      </c>
      <c r="Q2" t="n">
        <v>20250627</v>
      </c>
      <c r="R2" t="n">
        <v>20301231</v>
      </c>
      <c r="S2" t="n">
        <v>20260727</v>
      </c>
      <c r="T2" t="n">
        <v>20301231</v>
      </c>
      <c r="U2" t="n">
        <v>627</v>
      </c>
      <c r="V2" t="inlineStr">
        <is>
          <t>MXN</t>
        </is>
      </c>
      <c r="W2" t="inlineStr">
        <is>
          <t>TN</t>
        </is>
      </c>
      <c r="X2" t="n">
        <v>440</v>
      </c>
      <c r="Y2" t="inlineStr">
        <is>
          <t>MXN</t>
        </is>
      </c>
      <c r="Z2" t="inlineStr">
        <is>
          <t>TN</t>
        </is>
      </c>
      <c r="AA2" t="inlineStr">
        <is>
          <t>67376830</t>
        </is>
      </c>
      <c r="AB2" t="inlineStr">
        <is>
          <t>HOLCIM XOCHITEPEC</t>
        </is>
      </c>
      <c r="AC2" t="n">
        <v>56103637</v>
      </c>
      <c r="AD2" t="n">
        <v>6622551540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D865-900009140-67376830-10000623-4</t>
        </is>
      </c>
    </row>
    <row r="3">
      <c r="A3" t="inlineStr">
        <is>
          <t>900003877D86510047573</t>
        </is>
      </c>
      <c r="B3" t="inlineStr">
        <is>
          <t>4600032991-10</t>
        </is>
      </c>
      <c r="C3" t="n">
        <v>4600032991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900003877</v>
      </c>
      <c r="H3" t="inlineStr">
        <is>
          <t>TP-MAT Y FORRAJES</t>
        </is>
      </c>
      <c r="I3" t="n">
        <v>5054376</v>
      </c>
      <c r="J3" t="inlineStr">
        <is>
          <t>DISTRIBUIDORA DE MATERIALES Y FORRA</t>
        </is>
      </c>
      <c r="K3" t="inlineStr">
        <is>
          <t>N15</t>
        </is>
      </c>
      <c r="L3" t="inlineStr">
        <is>
          <t>(AP) NAFIN 15 Dias</t>
        </is>
      </c>
      <c r="M3" t="n">
        <v>10047573</v>
      </c>
      <c r="N3" t="inlineStr">
        <is>
          <t>Arena Triturada Caliza Malla 4</t>
        </is>
      </c>
      <c r="O3" t="inlineStr">
        <is>
          <t>D865</t>
        </is>
      </c>
      <c r="P3" t="inlineStr">
        <is>
          <t>MX-CED. MORELOS</t>
        </is>
      </c>
      <c r="Q3" t="n">
        <v>20160201</v>
      </c>
      <c r="R3" t="n">
        <v>20281231</v>
      </c>
      <c r="S3" t="n">
        <v>20230825</v>
      </c>
      <c r="T3" t="n">
        <v>20281231</v>
      </c>
      <c r="U3" t="n">
        <v>90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6622551540</v>
      </c>
      <c r="AE3" t="n">
        <v>1</v>
      </c>
      <c r="AF3" t="inlineStr">
        <is>
          <t>ENTREGADO</t>
        </is>
      </c>
      <c r="AG3" t="n">
        <v>1.607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D865-900003877-10047573</t>
        </is>
      </c>
    </row>
    <row r="4">
      <c r="A4" t="inlineStr">
        <is>
          <t>900009140D8656724072910000623</t>
        </is>
      </c>
      <c r="B4" t="inlineStr">
        <is>
          <t>4600071388-20</t>
        </is>
      </c>
      <c r="C4" t="n">
        <v>4600071388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900009140</v>
      </c>
      <c r="H4" t="inlineStr">
        <is>
          <t>SF TP-ED CONCRETOS Y PAVIMENTOS</t>
        </is>
      </c>
      <c r="I4" t="n">
        <v>5089601</v>
      </c>
      <c r="J4" t="inlineStr">
        <is>
          <t>CONCRETOS Y PAVIMENTOS EXTERIORES S</t>
        </is>
      </c>
      <c r="K4" t="inlineStr">
        <is>
          <t>N90</t>
        </is>
      </c>
      <c r="L4" t="inlineStr">
        <is>
          <t>(AP) NAFIN 90 Dias</t>
        </is>
      </c>
      <c r="M4" t="n">
        <v>10000623</v>
      </c>
      <c r="N4" t="inlineStr">
        <is>
          <t>Grava Triturada Caliza 10 mm - 3/8"</t>
        </is>
      </c>
      <c r="O4" t="inlineStr">
        <is>
          <t>D865</t>
        </is>
      </c>
      <c r="P4" t="inlineStr">
        <is>
          <t>MX-CED. MORELOS</t>
        </is>
      </c>
      <c r="Q4" t="n">
        <v>20250627</v>
      </c>
      <c r="R4" t="n">
        <v>20301231</v>
      </c>
      <c r="S4" t="n">
        <v>20250627</v>
      </c>
      <c r="T4" t="n">
        <v>20301231</v>
      </c>
      <c r="U4" t="n">
        <v>475</v>
      </c>
      <c r="V4" t="inlineStr">
        <is>
          <t>MXN</t>
        </is>
      </c>
      <c r="W4" t="inlineStr">
        <is>
          <t>TN</t>
        </is>
      </c>
      <c r="X4" t="n">
        <v>360</v>
      </c>
      <c r="Y4" t="inlineStr">
        <is>
          <t>MXN</t>
        </is>
      </c>
      <c r="Z4" t="inlineStr">
        <is>
          <t>TN</t>
        </is>
      </c>
      <c r="AA4" t="inlineStr">
        <is>
          <t>67240729</t>
        </is>
      </c>
      <c r="AB4" t="inlineStr">
        <is>
          <t>COMOSA / SEPSA</t>
        </is>
      </c>
      <c r="AC4" t="n">
        <v>56103637</v>
      </c>
      <c r="AD4" t="n">
        <v>6622551540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20250716</v>
      </c>
      <c r="AM4" t="inlineStr">
        <is>
          <t>D865-900009140-67240729-10000623-4</t>
        </is>
      </c>
    </row>
    <row r="5">
      <c r="A5" t="inlineStr">
        <is>
          <t>900004447D86510000829</t>
        </is>
      </c>
      <c r="B5" t="inlineStr">
        <is>
          <t>4600040010-10</t>
        </is>
      </c>
      <c r="C5" t="n">
        <v>4600040010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900004447</v>
      </c>
      <c r="H5" t="inlineStr">
        <is>
          <t>TP-CEKUR</t>
        </is>
      </c>
      <c r="I5" t="n">
        <v>5058788</v>
      </c>
      <c r="J5" t="inlineStr">
        <is>
          <t>INMOBILIARIA CEKUR S.A. DE C.V.</t>
        </is>
      </c>
      <c r="K5" t="inlineStr">
        <is>
          <t>Z06</t>
        </is>
      </c>
      <c r="L5" t="inlineStr">
        <is>
          <t>(AP) 45 Dias</t>
        </is>
      </c>
      <c r="M5" t="n">
        <v>10000829</v>
      </c>
      <c r="N5" t="inlineStr">
        <is>
          <t>Arena Triturada Basalto  Malla 5</t>
        </is>
      </c>
      <c r="O5" t="inlineStr">
        <is>
          <t>D865</t>
        </is>
      </c>
      <c r="P5" t="inlineStr">
        <is>
          <t>MX-CED. MORELOS</t>
        </is>
      </c>
      <c r="Q5" t="n">
        <v>20171010</v>
      </c>
      <c r="R5" t="n">
        <v>20241231</v>
      </c>
      <c r="S5" t="n">
        <v>20180209</v>
      </c>
      <c r="T5" t="n">
        <v>20241231</v>
      </c>
      <c r="U5" t="n">
        <v>50.68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6622551540</v>
      </c>
      <c r="AE5" t="n">
        <v>2</v>
      </c>
      <c r="AF5" t="inlineStr">
        <is>
          <t>RECOGIDO</t>
        </is>
      </c>
      <c r="AG5" t="n">
        <v>1.43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D865-900004447-10000829</t>
        </is>
      </c>
    </row>
    <row r="6">
      <c r="A6" t="inlineStr">
        <is>
          <t>900003877D86510000829</t>
        </is>
      </c>
      <c r="B6" t="inlineStr">
        <is>
          <t>4600032991-60</t>
        </is>
      </c>
      <c r="C6" t="n">
        <v>4600032991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900003877</v>
      </c>
      <c r="H6" t="inlineStr">
        <is>
          <t>TP-MAT Y FORRAJES</t>
        </is>
      </c>
      <c r="I6" t="n">
        <v>5054376</v>
      </c>
      <c r="J6" t="inlineStr">
        <is>
          <t>DISTRIBUIDORA DE MATERIALES Y FORRA</t>
        </is>
      </c>
      <c r="K6" t="inlineStr">
        <is>
          <t>N15</t>
        </is>
      </c>
      <c r="L6" t="inlineStr">
        <is>
          <t>(AP) NAFIN 15 Dias</t>
        </is>
      </c>
      <c r="M6" t="n">
        <v>10000829</v>
      </c>
      <c r="N6" t="inlineStr">
        <is>
          <t>Arena Triturada Basalto  Malla 5</t>
        </is>
      </c>
      <c r="O6" t="inlineStr">
        <is>
          <t>D865</t>
        </is>
      </c>
      <c r="P6" t="inlineStr">
        <is>
          <t>MX-CED. MORELOS</t>
        </is>
      </c>
      <c r="Q6" t="n">
        <v>20160201</v>
      </c>
      <c r="R6" t="n">
        <v>20281231</v>
      </c>
      <c r="S6" t="n">
        <v>20190307</v>
      </c>
      <c r="T6" t="n">
        <v>20241231</v>
      </c>
      <c r="U6" t="n">
        <v>46.67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6622551540</v>
      </c>
      <c r="AE6" t="n">
        <v>1</v>
      </c>
      <c r="AF6" t="inlineStr">
        <is>
          <t>ENTREGADO</t>
        </is>
      </c>
      <c r="AG6" t="n">
        <v>1.43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D865-900003877-10000829</t>
        </is>
      </c>
    </row>
    <row r="7">
      <c r="A7" t="inlineStr">
        <is>
          <t>900006766D86510000829</t>
        </is>
      </c>
      <c r="B7" t="inlineStr">
        <is>
          <t>4600053924-10</t>
        </is>
      </c>
      <c r="C7" t="n">
        <v>4600053924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900006766</v>
      </c>
      <c r="H7" t="inlineStr">
        <is>
          <t>SF TP-AGREGADOS DEL SUR</t>
        </is>
      </c>
      <c r="I7" t="n">
        <v>5078934</v>
      </c>
      <c r="J7" t="inlineStr">
        <is>
          <t>GARCIA CONCHA JANET</t>
        </is>
      </c>
      <c r="K7" t="inlineStr">
        <is>
          <t>Z09</t>
        </is>
      </c>
      <c r="L7" t="inlineStr">
        <is>
          <t>(AP) 90 Dias</t>
        </is>
      </c>
      <c r="M7" t="n">
        <v>10000829</v>
      </c>
      <c r="N7" t="inlineStr">
        <is>
          <t>Arena Triturada Basalto  Malla 5</t>
        </is>
      </c>
      <c r="O7" t="inlineStr">
        <is>
          <t>D865</t>
        </is>
      </c>
      <c r="P7" t="inlineStr">
        <is>
          <t>MX-CED. MORELOS</t>
        </is>
      </c>
      <c r="Q7" t="n">
        <v>20220516</v>
      </c>
      <c r="R7" t="n">
        <v>20271231</v>
      </c>
      <c r="S7" t="n">
        <v>20220513</v>
      </c>
      <c r="T7" t="n">
        <v>20271231</v>
      </c>
      <c r="U7" t="n">
        <v>65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6622551540</v>
      </c>
      <c r="AE7" t="n">
        <v>1</v>
      </c>
      <c r="AF7" t="inlineStr">
        <is>
          <t>ENTREGADO</t>
        </is>
      </c>
      <c r="AG7" t="n">
        <v>1.43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D865-900006766-10000829</t>
        </is>
      </c>
    </row>
    <row r="8">
      <c r="A8" t="inlineStr">
        <is>
          <t>900005785D8656656917410000394</t>
        </is>
      </c>
      <c r="B8" t="inlineStr">
        <is>
          <t>4600042858-10</t>
        </is>
      </c>
      <c r="C8" t="n">
        <v>4600042858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900005785</v>
      </c>
      <c r="H8" t="inlineStr">
        <is>
          <t>SF TP-ED-ACAMILPA (SOTELO)</t>
        </is>
      </c>
      <c r="I8" t="n">
        <v>5058988</v>
      </c>
      <c r="J8" t="inlineStr">
        <is>
          <t>RAMIREZ CARIÑO MARIA DOLORES</t>
        </is>
      </c>
      <c r="K8" t="inlineStr">
        <is>
          <t>Z06</t>
        </is>
      </c>
      <c r="L8" t="inlineStr">
        <is>
          <t>(AP) 45 Dias</t>
        </is>
      </c>
      <c r="M8" t="n">
        <v>10000394</v>
      </c>
      <c r="N8" t="inlineStr">
        <is>
          <t>Arena Triturada Andesita Malla 4</t>
        </is>
      </c>
      <c r="O8" t="inlineStr">
        <is>
          <t>D865</t>
        </is>
      </c>
      <c r="P8" t="inlineStr">
        <is>
          <t>MX-CED. MORELOS</t>
        </is>
      </c>
      <c r="Q8" t="n">
        <v>20180829</v>
      </c>
      <c r="R8" t="n">
        <v>20241231</v>
      </c>
      <c r="S8" t="n">
        <v>20180829</v>
      </c>
      <c r="T8" t="n">
        <v>20241231</v>
      </c>
      <c r="U8" t="n">
        <v>164.29</v>
      </c>
      <c r="V8" t="inlineStr">
        <is>
          <t>MXN</t>
        </is>
      </c>
      <c r="W8" t="inlineStr">
        <is>
          <t>M3</t>
        </is>
      </c>
      <c r="X8" t="n">
        <v>119</v>
      </c>
      <c r="Y8" t="inlineStr">
        <is>
          <t>MXN</t>
        </is>
      </c>
      <c r="Z8" t="inlineStr">
        <is>
          <t>M3</t>
        </is>
      </c>
      <c r="AA8" t="inlineStr">
        <is>
          <t>66569174</t>
        </is>
      </c>
      <c r="AB8" t="inlineStr">
        <is>
          <t>HOSPITAL GENERAL CUAUTLA (LAAJ)</t>
        </is>
      </c>
      <c r="AC8" t="n">
        <v>56103638</v>
      </c>
      <c r="AD8" t="n">
        <v>6622551540</v>
      </c>
      <c r="AE8" t="n">
        <v>4</v>
      </c>
      <c r="AF8" t="inlineStr">
        <is>
          <t>ENTREGA DIRECTA</t>
        </is>
      </c>
      <c r="AG8" t="n">
        <v>1.41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D865-900005785-66569174-10000394-4</t>
        </is>
      </c>
    </row>
    <row r="9">
      <c r="A9" t="inlineStr">
        <is>
          <t>900009140D8656724238510000623</t>
        </is>
      </c>
      <c r="B9" t="inlineStr">
        <is>
          <t>4600071388-30</t>
        </is>
      </c>
      <c r="C9" t="n">
        <v>4600071388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900009140</v>
      </c>
      <c r="H9" t="inlineStr">
        <is>
          <t>SF TP-ED CONCRETOS Y PAVIMENTOS</t>
        </is>
      </c>
      <c r="I9" t="n">
        <v>5089601</v>
      </c>
      <c r="J9" t="inlineStr">
        <is>
          <t>CONCRETOS Y PAVIMENTOS EXTERIORES S</t>
        </is>
      </c>
      <c r="K9" t="inlineStr">
        <is>
          <t>N90</t>
        </is>
      </c>
      <c r="L9" t="inlineStr">
        <is>
          <t>(AP) NAFIN 90 Dias</t>
        </is>
      </c>
      <c r="M9" t="n">
        <v>10000623</v>
      </c>
      <c r="N9" t="inlineStr">
        <is>
          <t>Grava Triturada Caliza 10 mm - 3/8"</t>
        </is>
      </c>
      <c r="O9" t="inlineStr">
        <is>
          <t>D865</t>
        </is>
      </c>
      <c r="P9" t="inlineStr">
        <is>
          <t>MX-CED. MORELOS</t>
        </is>
      </c>
      <c r="Q9" t="n">
        <v>20250627</v>
      </c>
      <c r="R9" t="n">
        <v>20301231</v>
      </c>
      <c r="S9" t="n">
        <v>20251029</v>
      </c>
      <c r="T9" t="n">
        <v>20301231</v>
      </c>
      <c r="U9" t="n">
        <v>400</v>
      </c>
      <c r="V9" t="inlineStr">
        <is>
          <t>MXN</t>
        </is>
      </c>
      <c r="W9" t="inlineStr">
        <is>
          <t>TN</t>
        </is>
      </c>
      <c r="X9" t="n">
        <v>310</v>
      </c>
      <c r="Y9" t="inlineStr">
        <is>
          <t>MXN</t>
        </is>
      </c>
      <c r="Z9" t="inlineStr">
        <is>
          <t>TN</t>
        </is>
      </c>
      <c r="AA9" t="inlineStr">
        <is>
          <t>67242385</t>
        </is>
      </c>
      <c r="AB9" t="inlineStr">
        <is>
          <t>COMOSA /  CUERNAVACA</t>
        </is>
      </c>
      <c r="AC9" t="n">
        <v>56103637</v>
      </c>
      <c r="AD9" t="n">
        <v>6622551540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20251204</v>
      </c>
      <c r="AM9" t="inlineStr">
        <is>
          <t>D865-900009140-67242385-10000623-4</t>
        </is>
      </c>
    </row>
    <row r="10">
      <c r="A10" t="inlineStr">
        <is>
          <t>900006255D86510047573</t>
        </is>
      </c>
      <c r="B10" t="inlineStr">
        <is>
          <t>4600055817-30</t>
        </is>
      </c>
      <c r="C10" t="n">
        <v>4600055817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900006255</v>
      </c>
      <c r="H10" t="inlineStr">
        <is>
          <t>SF TP-MAT Y FORRAJES YAUTEPEC</t>
        </is>
      </c>
      <c r="I10" t="n">
        <v>5054376</v>
      </c>
      <c r="J10" t="inlineStr">
        <is>
          <t>DISTRIBUIDORA DE MATERIALES Y FORRA</t>
        </is>
      </c>
      <c r="K10" t="inlineStr">
        <is>
          <t>N15</t>
        </is>
      </c>
      <c r="L10" t="inlineStr">
        <is>
          <t>(AP) NAFIN 15 Dias</t>
        </is>
      </c>
      <c r="M10" t="n">
        <v>10047573</v>
      </c>
      <c r="N10" t="inlineStr">
        <is>
          <t>Arena Triturada Caliza Malla 4</t>
        </is>
      </c>
      <c r="O10" t="inlineStr">
        <is>
          <t>D865</t>
        </is>
      </c>
      <c r="P10" t="inlineStr">
        <is>
          <t>MX-CED. MORELOS</t>
        </is>
      </c>
      <c r="Q10" t="n">
        <v>20211122</v>
      </c>
      <c r="R10" t="n">
        <v>20281231</v>
      </c>
      <c r="S10" t="n">
        <v>20230825</v>
      </c>
      <c r="T10" t="n">
        <v>20281231</v>
      </c>
      <c r="U10" t="n">
        <v>90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6622551540</v>
      </c>
      <c r="AE10" t="n">
        <v>1</v>
      </c>
      <c r="AF10" t="inlineStr">
        <is>
          <t>ENTREGADO</t>
        </is>
      </c>
      <c r="AG10" t="n">
        <v>1.607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D865-900006255-10047573</t>
        </is>
      </c>
    </row>
    <row r="11">
      <c r="A11" t="inlineStr">
        <is>
          <t>900004598D86510006150</t>
        </is>
      </c>
      <c r="B11" t="inlineStr">
        <is>
          <t>4600070492-20</t>
        </is>
      </c>
      <c r="C11" t="n">
        <v>4600070492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900004598</v>
      </c>
      <c r="H11" t="inlineStr">
        <is>
          <t>TP-GALEANA</t>
        </is>
      </c>
      <c r="I11" t="n">
        <v>5062433</v>
      </c>
      <c r="J11" t="inlineStr">
        <is>
          <t>CAMINOS Y PAVIMENTOS DEL</t>
        </is>
      </c>
      <c r="K11" t="inlineStr">
        <is>
          <t>Z06</t>
        </is>
      </c>
      <c r="L11" t="inlineStr">
        <is>
          <t>(AP) 45 Dias</t>
        </is>
      </c>
      <c r="M11" t="n">
        <v>10006150</v>
      </c>
      <c r="N11" t="inlineStr">
        <is>
          <t>Grava Triturada Caliza 20 mm - 3/4"</t>
        </is>
      </c>
      <c r="O11" t="inlineStr">
        <is>
          <t>D865</t>
        </is>
      </c>
      <c r="P11" t="inlineStr">
        <is>
          <t>MX-CED. MORELOS</t>
        </is>
      </c>
      <c r="Q11" t="n">
        <v>20241022</v>
      </c>
      <c r="R11" t="n">
        <v>20291231</v>
      </c>
      <c r="S11" t="n">
        <v>20241022</v>
      </c>
      <c r="T11" t="n">
        <v>20291231</v>
      </c>
      <c r="U11" t="n">
        <v>300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6622551540</v>
      </c>
      <c r="AE11" t="n">
        <v>1</v>
      </c>
      <c r="AF11" t="inlineStr">
        <is>
          <t>ENTREGADO</t>
        </is>
      </c>
      <c r="AG11" t="n">
        <v>1.387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20241104</v>
      </c>
      <c r="AM11" t="inlineStr">
        <is>
          <t>D865-900004598-10006150</t>
        </is>
      </c>
    </row>
    <row r="12">
      <c r="A12" t="inlineStr">
        <is>
          <t>900004598D86510047573</t>
        </is>
      </c>
      <c r="B12" t="inlineStr">
        <is>
          <t>4600070492-10</t>
        </is>
      </c>
      <c r="C12" t="n">
        <v>4600070492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900004598</v>
      </c>
      <c r="H12" t="inlineStr">
        <is>
          <t>TP-GALEANA</t>
        </is>
      </c>
      <c r="I12" t="n">
        <v>5062433</v>
      </c>
      <c r="J12" t="inlineStr">
        <is>
          <t>CAMINOS Y PAVIMENTOS DEL</t>
        </is>
      </c>
      <c r="K12" t="inlineStr">
        <is>
          <t>Z06</t>
        </is>
      </c>
      <c r="L12" t="inlineStr">
        <is>
          <t>(AP) 45 Dias</t>
        </is>
      </c>
      <c r="M12" t="n">
        <v>10047573</v>
      </c>
      <c r="N12" t="inlineStr">
        <is>
          <t>Arena Triturada Caliza Malla 4</t>
        </is>
      </c>
      <c r="O12" t="inlineStr">
        <is>
          <t>D865</t>
        </is>
      </c>
      <c r="P12" t="inlineStr">
        <is>
          <t>MX-CED. MORELOS</t>
        </is>
      </c>
      <c r="Q12" t="n">
        <v>20241022</v>
      </c>
      <c r="R12" t="n">
        <v>20291231</v>
      </c>
      <c r="S12" t="n">
        <v>20241022</v>
      </c>
      <c r="T12" t="n">
        <v>20291231</v>
      </c>
      <c r="U12" t="n">
        <v>55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6622551540</v>
      </c>
      <c r="AE12" t="n">
        <v>1</v>
      </c>
      <c r="AF12" t="inlineStr">
        <is>
          <t>ENTREGADO</t>
        </is>
      </c>
      <c r="AG12" t="n">
        <v>1.607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20241104</v>
      </c>
      <c r="AM12" t="inlineStr">
        <is>
          <t>D865-900004598-10047573</t>
        </is>
      </c>
    </row>
    <row r="13">
      <c r="A13" t="inlineStr">
        <is>
          <t>900008869D8656724238510000623</t>
        </is>
      </c>
      <c r="B13" t="inlineStr">
        <is>
          <t>4600069828-30</t>
        </is>
      </c>
      <c r="C13" t="n">
        <v>4600069828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900008869</v>
      </c>
      <c r="H13" t="inlineStr">
        <is>
          <t>SF TP-ED CONTROL Y MANEJO OBRAS</t>
        </is>
      </c>
      <c r="I13" t="n">
        <v>5092110</v>
      </c>
      <c r="J13" t="inlineStr">
        <is>
          <t>CONTROL Y MANEJO DE OBRAS SA DE CV</t>
        </is>
      </c>
      <c r="K13" t="inlineStr">
        <is>
          <t>Z04</t>
        </is>
      </c>
      <c r="L13" t="inlineStr">
        <is>
          <t>(AP) 30 Dias</t>
        </is>
      </c>
      <c r="M13" t="n">
        <v>10000623</v>
      </c>
      <c r="N13" t="inlineStr">
        <is>
          <t>Grava Triturada Caliza 10 mm - 3/8"</t>
        </is>
      </c>
      <c r="O13" t="inlineStr">
        <is>
          <t>D865</t>
        </is>
      </c>
      <c r="P13" t="inlineStr">
        <is>
          <t>MX-CED. MORELOS</t>
        </is>
      </c>
      <c r="Q13" t="n">
        <v>20240701</v>
      </c>
      <c r="R13" t="n">
        <v>20291231</v>
      </c>
      <c r="S13" t="n">
        <v>20250219</v>
      </c>
      <c r="T13" t="n">
        <v>20301231</v>
      </c>
      <c r="U13" t="n">
        <v>445</v>
      </c>
      <c r="V13" t="inlineStr">
        <is>
          <t>MXN</t>
        </is>
      </c>
      <c r="W13" t="inlineStr">
        <is>
          <t>TN</t>
        </is>
      </c>
      <c r="X13" t="n">
        <v>310</v>
      </c>
      <c r="Y13" t="inlineStr">
        <is>
          <t>MXN</t>
        </is>
      </c>
      <c r="Z13" t="inlineStr">
        <is>
          <t>TN</t>
        </is>
      </c>
      <c r="AA13" t="inlineStr">
        <is>
          <t>67242385</t>
        </is>
      </c>
      <c r="AB13" t="inlineStr">
        <is>
          <t>COMOSA /  CUERNAVACA</t>
        </is>
      </c>
      <c r="AC13" t="n">
        <v>56103637</v>
      </c>
      <c r="AD13" t="n">
        <v>6622551540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20250224</v>
      </c>
      <c r="AM13" t="inlineStr">
        <is>
          <t>D865-900008869-67242385-10000623-4</t>
        </is>
      </c>
    </row>
    <row r="14">
      <c r="A14" t="inlineStr">
        <is>
          <t>900008869D8656728350310000623</t>
        </is>
      </c>
      <c r="B14" t="inlineStr">
        <is>
          <t>4600069828-40</t>
        </is>
      </c>
      <c r="C14" t="n">
        <v>4600069828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900008869</v>
      </c>
      <c r="H14" t="inlineStr">
        <is>
          <t>SF TP-ED CONTROL Y MANEJO OBRAS</t>
        </is>
      </c>
      <c r="I14" t="n">
        <v>5092110</v>
      </c>
      <c r="J14" t="inlineStr">
        <is>
          <t>CONTROL Y MANEJO DE OBRAS SA DE CV</t>
        </is>
      </c>
      <c r="K14" t="inlineStr">
        <is>
          <t>Z04</t>
        </is>
      </c>
      <c r="L14" t="inlineStr">
        <is>
          <t>(AP) 30 Dias</t>
        </is>
      </c>
      <c r="M14" t="n">
        <v>10000623</v>
      </c>
      <c r="N14" t="inlineStr">
        <is>
          <t>Grava Triturada Caliza 10 mm - 3/8"</t>
        </is>
      </c>
      <c r="O14" t="inlineStr">
        <is>
          <t>D865</t>
        </is>
      </c>
      <c r="P14" t="inlineStr">
        <is>
          <t>MX-CED. MORELOS</t>
        </is>
      </c>
      <c r="Q14" t="n">
        <v>20240701</v>
      </c>
      <c r="R14" t="n">
        <v>20291231</v>
      </c>
      <c r="S14" t="n">
        <v>20250219</v>
      </c>
      <c r="T14" t="n">
        <v>20301231</v>
      </c>
      <c r="U14" t="n">
        <v>470</v>
      </c>
      <c r="V14" t="inlineStr">
        <is>
          <t>MXN</t>
        </is>
      </c>
      <c r="W14" t="inlineStr">
        <is>
          <t>TN</t>
        </is>
      </c>
      <c r="X14" t="n">
        <v>310</v>
      </c>
      <c r="Y14" t="inlineStr">
        <is>
          <t>MXN</t>
        </is>
      </c>
      <c r="Z14" t="inlineStr">
        <is>
          <t>TN</t>
        </is>
      </c>
      <c r="AA14" t="inlineStr">
        <is>
          <t>67283503</t>
        </is>
      </c>
      <c r="AB14" t="inlineStr">
        <is>
          <t>COMOSA /  CUAUTLA</t>
        </is>
      </c>
      <c r="AC14" t="n">
        <v>56103637</v>
      </c>
      <c r="AD14" t="n">
        <v>6622551540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20250224</v>
      </c>
      <c r="AM14" t="inlineStr">
        <is>
          <t>D865-900008869-67283503-10000623-4</t>
        </is>
      </c>
    </row>
    <row r="15">
      <c r="A15" t="inlineStr">
        <is>
          <t>900008869D8656724238210000623</t>
        </is>
      </c>
      <c r="B15" t="inlineStr">
        <is>
          <t>4600069828-20</t>
        </is>
      </c>
      <c r="C15" t="n">
        <v>4600069828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900008869</v>
      </c>
      <c r="H15" t="inlineStr">
        <is>
          <t>SF TP-ED CONTROL Y MANEJO OBRAS</t>
        </is>
      </c>
      <c r="I15" t="n">
        <v>5092110</v>
      </c>
      <c r="J15" t="inlineStr">
        <is>
          <t>CONTROL Y MANEJO DE OBRAS SA DE CV</t>
        </is>
      </c>
      <c r="K15" t="inlineStr">
        <is>
          <t>Z04</t>
        </is>
      </c>
      <c r="L15" t="inlineStr">
        <is>
          <t>(AP) 30 Dias</t>
        </is>
      </c>
      <c r="M15" t="n">
        <v>10000623</v>
      </c>
      <c r="N15" t="inlineStr">
        <is>
          <t>Grava Triturada Caliza 10 mm - 3/8"</t>
        </is>
      </c>
      <c r="O15" t="inlineStr">
        <is>
          <t>D865</t>
        </is>
      </c>
      <c r="P15" t="inlineStr">
        <is>
          <t>MX-CED. MORELOS</t>
        </is>
      </c>
      <c r="Q15" t="n">
        <v>20240701</v>
      </c>
      <c r="R15" t="n">
        <v>20291231</v>
      </c>
      <c r="S15" t="n">
        <v>20250219</v>
      </c>
      <c r="T15" t="n">
        <v>20301231</v>
      </c>
      <c r="U15" t="n">
        <v>470</v>
      </c>
      <c r="V15" t="inlineStr">
        <is>
          <t>MXN</t>
        </is>
      </c>
      <c r="W15" t="inlineStr">
        <is>
          <t>TN</t>
        </is>
      </c>
      <c r="X15" t="n">
        <v>310</v>
      </c>
      <c r="Y15" t="inlineStr">
        <is>
          <t>MXN</t>
        </is>
      </c>
      <c r="Z15" t="inlineStr">
        <is>
          <t>TN</t>
        </is>
      </c>
      <c r="AA15" t="inlineStr">
        <is>
          <t>67242382</t>
        </is>
      </c>
      <c r="AB15" t="inlineStr">
        <is>
          <t>COMOSA /  TEZOYUCA</t>
        </is>
      </c>
      <c r="AC15" t="n">
        <v>56103637</v>
      </c>
      <c r="AD15" t="n">
        <v>6622551540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20250224</v>
      </c>
      <c r="AM15" t="inlineStr">
        <is>
          <t>D865-900008869-67242382-10000623-4</t>
        </is>
      </c>
    </row>
    <row r="16">
      <c r="A16" t="inlineStr">
        <is>
          <t>900008869D8656724072910000623</t>
        </is>
      </c>
      <c r="B16" t="inlineStr">
        <is>
          <t>4600069828-10</t>
        </is>
      </c>
      <c r="C16" t="n">
        <v>4600069828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900008869</v>
      </c>
      <c r="H16" t="inlineStr">
        <is>
          <t>SF TP-ED CONTROL Y MANEJO OBRAS</t>
        </is>
      </c>
      <c r="I16" t="n">
        <v>5092110</v>
      </c>
      <c r="J16" t="inlineStr">
        <is>
          <t>CONTROL Y MANEJO DE OBRAS SA DE CV</t>
        </is>
      </c>
      <c r="K16" t="inlineStr">
        <is>
          <t>Z04</t>
        </is>
      </c>
      <c r="L16" t="inlineStr">
        <is>
          <t>(AP) 30 Dias</t>
        </is>
      </c>
      <c r="M16" t="n">
        <v>10000623</v>
      </c>
      <c r="N16" t="inlineStr">
        <is>
          <t>Grava Triturada Caliza 10 mm - 3/8"</t>
        </is>
      </c>
      <c r="O16" t="inlineStr">
        <is>
          <t>D865</t>
        </is>
      </c>
      <c r="P16" t="inlineStr">
        <is>
          <t>MX-CED. MORELOS</t>
        </is>
      </c>
      <c r="Q16" t="n">
        <v>20240701</v>
      </c>
      <c r="R16" t="n">
        <v>20291231</v>
      </c>
      <c r="S16" t="n">
        <v>20250219</v>
      </c>
      <c r="T16" t="n">
        <v>20301231</v>
      </c>
      <c r="U16" t="n">
        <v>480</v>
      </c>
      <c r="V16" t="inlineStr">
        <is>
          <t>MXN</t>
        </is>
      </c>
      <c r="W16" t="inlineStr">
        <is>
          <t>TN</t>
        </is>
      </c>
      <c r="X16" t="n">
        <v>360</v>
      </c>
      <c r="Y16" t="inlineStr">
        <is>
          <t>MXN</t>
        </is>
      </c>
      <c r="Z16" t="inlineStr">
        <is>
          <t>TN</t>
        </is>
      </c>
      <c r="AA16" t="inlineStr">
        <is>
          <t>67240729</t>
        </is>
      </c>
      <c r="AB16" t="inlineStr">
        <is>
          <t>COMOSA / SEPSA</t>
        </is>
      </c>
      <c r="AC16" t="n">
        <v>56103637</v>
      </c>
      <c r="AD16" t="n">
        <v>6622551540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20250224</v>
      </c>
      <c r="AM16" t="inlineStr">
        <is>
          <t>D865-900008869-67240729-10000623-4</t>
        </is>
      </c>
    </row>
    <row r="17">
      <c r="A17" t="inlineStr">
        <is>
          <t>900009140D8656728350310000623</t>
        </is>
      </c>
      <c r="B17" t="inlineStr">
        <is>
          <t>4600071388-10</t>
        </is>
      </c>
      <c r="C17" t="n">
        <v>4600071388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900009140</v>
      </c>
      <c r="H17" t="inlineStr">
        <is>
          <t>SF TP-ED CONCRETOS Y PAVIMENTOS</t>
        </is>
      </c>
      <c r="I17" t="n">
        <v>5089601</v>
      </c>
      <c r="J17" t="inlineStr">
        <is>
          <t>CONCRETOS Y PAVIMENTOS EXTERIORES S</t>
        </is>
      </c>
      <c r="K17" t="inlineStr">
        <is>
          <t>N90</t>
        </is>
      </c>
      <c r="L17" t="inlineStr">
        <is>
          <t>(AP) NAFIN 90 Dias</t>
        </is>
      </c>
      <c r="M17" t="n">
        <v>10000623</v>
      </c>
      <c r="N17" t="inlineStr">
        <is>
          <t>Grava Triturada Caliza 10 mm - 3/8"</t>
        </is>
      </c>
      <c r="O17" t="inlineStr">
        <is>
          <t>D865</t>
        </is>
      </c>
      <c r="P17" t="inlineStr">
        <is>
          <t>MX-CED. MORELOS</t>
        </is>
      </c>
      <c r="Q17" t="n">
        <v>20250627</v>
      </c>
      <c r="R17" t="n">
        <v>20301231</v>
      </c>
      <c r="S17" t="n">
        <v>20250708</v>
      </c>
      <c r="T17" t="n">
        <v>20301231</v>
      </c>
      <c r="U17" t="n">
        <v>460</v>
      </c>
      <c r="V17" t="inlineStr">
        <is>
          <t>MXN</t>
        </is>
      </c>
      <c r="W17" t="inlineStr">
        <is>
          <t>TN</t>
        </is>
      </c>
      <c r="X17" t="n">
        <v>310</v>
      </c>
      <c r="Y17" t="inlineStr">
        <is>
          <t>MXN</t>
        </is>
      </c>
      <c r="Z17" t="inlineStr">
        <is>
          <t>TN</t>
        </is>
      </c>
      <c r="AA17" t="inlineStr">
        <is>
          <t>67283503</t>
        </is>
      </c>
      <c r="AB17" t="inlineStr">
        <is>
          <t>COMOSA /  CUAUTLA</t>
        </is>
      </c>
      <c r="AC17" t="n">
        <v>56103637</v>
      </c>
      <c r="AD17" t="n">
        <v>6622551540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20250711</v>
      </c>
      <c r="AM17" t="inlineStr">
        <is>
          <t>D865-900009140-67283503-10000623-4</t>
        </is>
      </c>
    </row>
    <row r="18">
      <c r="A18" t="inlineStr">
        <is>
          <t>900007422D865EB3810000432</t>
        </is>
      </c>
      <c r="B18" t="inlineStr">
        <is>
          <t>4600057091-10</t>
        </is>
      </c>
      <c r="C18" t="n">
        <v>4600057091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900007422</v>
      </c>
      <c r="H18" t="inlineStr">
        <is>
          <t>SF TC-ED-TISCAREÑO</t>
        </is>
      </c>
      <c r="I18" t="n">
        <v>5071793</v>
      </c>
      <c r="J18" t="inlineStr">
        <is>
          <t>TISCAREÑO MALDONADO SAUL</t>
        </is>
      </c>
      <c r="K18" t="inlineStr">
        <is>
          <t>Z09</t>
        </is>
      </c>
      <c r="L18" t="inlineStr">
        <is>
          <t>(AP) 90 Dias</t>
        </is>
      </c>
      <c r="M18" t="n">
        <v>10000432</v>
      </c>
      <c r="N18" t="inlineStr">
        <is>
          <t>Base H Triturada Basalto  1 1/2" a Finos</t>
        </is>
      </c>
      <c r="O18" t="inlineStr">
        <is>
          <t>D865</t>
        </is>
      </c>
      <c r="P18" t="inlineStr">
        <is>
          <t>MX-CED. MORELOS</t>
        </is>
      </c>
      <c r="Q18" t="n">
        <v>20230329</v>
      </c>
      <c r="R18" t="n">
        <v>20281231</v>
      </c>
      <c r="S18" t="n">
        <v>20230329</v>
      </c>
      <c r="T18" t="n">
        <v>20281231</v>
      </c>
      <c r="U18" t="n">
        <v>185.71</v>
      </c>
      <c r="V18" t="inlineStr">
        <is>
          <t>MXN</t>
        </is>
      </c>
      <c r="W18" t="inlineStr">
        <is>
          <t>M3</t>
        </is>
      </c>
      <c r="X18" t="n">
        <v>35.71</v>
      </c>
      <c r="Y18" t="inlineStr">
        <is>
          <t>MXN</t>
        </is>
      </c>
      <c r="Z18" t="inlineStr">
        <is>
          <t>M3</t>
        </is>
      </c>
      <c r="AA18" t="inlineStr">
        <is>
          <t>EB38</t>
        </is>
      </c>
      <c r="AB18" t="inlineStr">
        <is>
          <t>DEPOSITO CUAUTLA</t>
        </is>
      </c>
      <c r="AC18" t="n">
        <v>56103590</v>
      </c>
      <c r="AD18" t="n">
        <v>6622551540</v>
      </c>
      <c r="AE18" t="n">
        <v>4</v>
      </c>
      <c r="AF18" t="inlineStr">
        <is>
          <t>ENTREGA DIRECTA</t>
        </is>
      </c>
      <c r="AG18" t="n">
        <v>1.6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D865-900007422-EB38-10000432-4</t>
        </is>
      </c>
    </row>
    <row r="19">
      <c r="A19" t="inlineStr">
        <is>
          <t>900006255D86510000621</t>
        </is>
      </c>
      <c r="B19" t="inlineStr">
        <is>
          <t>4600055817-20</t>
        </is>
      </c>
      <c r="C19" t="n">
        <v>4600055817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900006255</v>
      </c>
      <c r="H19" t="inlineStr">
        <is>
          <t>SF TP-MAT Y FORRAJES YAUTEPEC</t>
        </is>
      </c>
      <c r="I19" t="n">
        <v>5054376</v>
      </c>
      <c r="J19" t="inlineStr">
        <is>
          <t>DISTRIBUIDORA DE MATERIALES Y FORRA</t>
        </is>
      </c>
      <c r="K19" t="inlineStr">
        <is>
          <t>N15</t>
        </is>
      </c>
      <c r="L19" t="inlineStr">
        <is>
          <t>(AP) NAFIN 15 Dias</t>
        </is>
      </c>
      <c r="M19" t="n">
        <v>10000621</v>
      </c>
      <c r="N19" t="inlineStr">
        <is>
          <t>Grava Triturada Caliza 40 mm - 1 1/2"</t>
        </is>
      </c>
      <c r="O19" t="inlineStr">
        <is>
          <t>D865</t>
        </is>
      </c>
      <c r="P19" t="inlineStr">
        <is>
          <t>MX-CED. MORELOS</t>
        </is>
      </c>
      <c r="Q19" t="n">
        <v>20211122</v>
      </c>
      <c r="R19" t="n">
        <v>20281231</v>
      </c>
      <c r="S19" t="n">
        <v>20230825</v>
      </c>
      <c r="T19" t="n">
        <v>20281231</v>
      </c>
      <c r="U19" t="n">
        <v>290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6622551540</v>
      </c>
      <c r="AE19" t="n">
        <v>1</v>
      </c>
      <c r="AF19" t="inlineStr">
        <is>
          <t>ENTREGADO</t>
        </is>
      </c>
      <c r="AG19" t="n">
        <v>1.49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D865-900006255-10000621</t>
        </is>
      </c>
    </row>
    <row r="20">
      <c r="A20" t="inlineStr">
        <is>
          <t>900006255D86510006150</t>
        </is>
      </c>
      <c r="B20" t="inlineStr">
        <is>
          <t>4600055817-10</t>
        </is>
      </c>
      <c r="C20" t="n">
        <v>4600055817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900006255</v>
      </c>
      <c r="H20" t="inlineStr">
        <is>
          <t>SF TP-MAT Y FORRAJES YAUTEPEC</t>
        </is>
      </c>
      <c r="I20" t="n">
        <v>5054376</v>
      </c>
      <c r="J20" t="inlineStr">
        <is>
          <t>DISTRIBUIDORA DE MATERIALES Y FORRA</t>
        </is>
      </c>
      <c r="K20" t="inlineStr">
        <is>
          <t>N15</t>
        </is>
      </c>
      <c r="L20" t="inlineStr">
        <is>
          <t>(AP) NAFIN 15 Dias</t>
        </is>
      </c>
      <c r="M20" t="n">
        <v>10006150</v>
      </c>
      <c r="N20" t="inlineStr">
        <is>
          <t>Grava Triturada Caliza 20 mm - 3/4"</t>
        </is>
      </c>
      <c r="O20" t="inlineStr">
        <is>
          <t>D865</t>
        </is>
      </c>
      <c r="P20" t="inlineStr">
        <is>
          <t>MX-CED. MORELOS</t>
        </is>
      </c>
      <c r="Q20" t="n">
        <v>20211122</v>
      </c>
      <c r="R20" t="n">
        <v>20281231</v>
      </c>
      <c r="S20" t="n">
        <v>20230825</v>
      </c>
      <c r="T20" t="n">
        <v>20281231</v>
      </c>
      <c r="U20" t="n">
        <v>290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6622551540</v>
      </c>
      <c r="AE20" t="n">
        <v>1</v>
      </c>
      <c r="AF20" t="inlineStr">
        <is>
          <t>ENTREGADO</t>
        </is>
      </c>
      <c r="AG20" t="n">
        <v>1.387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D865-900006255-10006150</t>
        </is>
      </c>
    </row>
    <row r="21">
      <c r="A21" t="inlineStr">
        <is>
          <t>900003877D86510000632</t>
        </is>
      </c>
      <c r="B21" t="inlineStr">
        <is>
          <t>4600032991-30</t>
        </is>
      </c>
      <c r="C21" t="n">
        <v>4600032991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900003877</v>
      </c>
      <c r="H21" t="inlineStr">
        <is>
          <t>TP-MAT Y FORRAJES</t>
        </is>
      </c>
      <c r="I21" t="n">
        <v>5054376</v>
      </c>
      <c r="J21" t="inlineStr">
        <is>
          <t>DISTRIBUIDORA DE MATERIALES Y FORRA</t>
        </is>
      </c>
      <c r="K21" t="inlineStr">
        <is>
          <t>N15</t>
        </is>
      </c>
      <c r="L21" t="inlineStr">
        <is>
          <t>(AP) NAFIN 15 Dias</t>
        </is>
      </c>
      <c r="M21" t="n">
        <v>10000632</v>
      </c>
      <c r="N21" t="inlineStr">
        <is>
          <t>Grava Triturada Caliza 20 mm - 3/4"</t>
        </is>
      </c>
      <c r="O21" t="inlineStr">
        <is>
          <t>D865</t>
        </is>
      </c>
      <c r="P21" t="inlineStr">
        <is>
          <t>MX-CED. MORELOS</t>
        </is>
      </c>
      <c r="Q21" t="n">
        <v>20160201</v>
      </c>
      <c r="R21" t="n">
        <v>20281231</v>
      </c>
      <c r="S21" t="n">
        <v>20230825</v>
      </c>
      <c r="T21" t="n">
        <v>20281231</v>
      </c>
      <c r="U21" t="n">
        <v>290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6622551540</v>
      </c>
      <c r="AE21" t="n">
        <v>1</v>
      </c>
      <c r="AF21" t="inlineStr">
        <is>
          <t>ENTREGADO</t>
        </is>
      </c>
      <c r="AG21" t="n">
        <v>1.533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D865-900003877-10000632</t>
        </is>
      </c>
    </row>
    <row r="22">
      <c r="A22" t="inlineStr">
        <is>
          <t>900004240D86510000394</t>
        </is>
      </c>
      <c r="B22" t="inlineStr">
        <is>
          <t>4600031503-10</t>
        </is>
      </c>
      <c r="C22" t="n">
        <v>4600031503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900004240</v>
      </c>
      <c r="H22" t="inlineStr">
        <is>
          <t>TP-ACAMILPA (SOTELO)</t>
        </is>
      </c>
      <c r="I22" t="n">
        <v>5058988</v>
      </c>
      <c r="J22" t="inlineStr">
        <is>
          <t>RAMIREZ CARIÑO MARIA DOLORES</t>
        </is>
      </c>
      <c r="K22" t="inlineStr">
        <is>
          <t>Z06</t>
        </is>
      </c>
      <c r="L22" t="inlineStr">
        <is>
          <t>(AP) 45 Dias</t>
        </is>
      </c>
      <c r="M22" t="n">
        <v>10000394</v>
      </c>
      <c r="N22" t="inlineStr">
        <is>
          <t>Arena Triturada Andesita Malla 4</t>
        </is>
      </c>
      <c r="O22" t="inlineStr">
        <is>
          <t>D865</t>
        </is>
      </c>
      <c r="P22" t="inlineStr">
        <is>
          <t>MX-CED. MORELOS</t>
        </is>
      </c>
      <c r="Q22" t="n">
        <v>20150701</v>
      </c>
      <c r="R22" t="n">
        <v>20281231</v>
      </c>
      <c r="S22" t="n">
        <v>20240221</v>
      </c>
      <c r="T22" t="n">
        <v>20291231</v>
      </c>
      <c r="U22" t="n">
        <v>65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6622551540</v>
      </c>
      <c r="AE22" t="n">
        <v>1</v>
      </c>
      <c r="AF22" t="inlineStr">
        <is>
          <t>ENTREGADO</t>
        </is>
      </c>
      <c r="AG22" t="n">
        <v>1.41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20240226</v>
      </c>
      <c r="AM22" t="inlineStr">
        <is>
          <t>D865-900004240-10000394</t>
        </is>
      </c>
    </row>
    <row r="23">
      <c r="A23" t="inlineStr">
        <is>
          <t>900004224D86510000284</t>
        </is>
      </c>
      <c r="B23" t="inlineStr">
        <is>
          <t>4600031364-10</t>
        </is>
      </c>
      <c r="C23" t="n">
        <v>4600031364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900004224</v>
      </c>
      <c r="H23" t="inlineStr">
        <is>
          <t>TP-EL PAPAYO</t>
        </is>
      </c>
      <c r="I23" t="n">
        <v>5055683</v>
      </c>
      <c r="J23" t="inlineStr">
        <is>
          <t>ROSA ELOISA TORRES</t>
        </is>
      </c>
      <c r="K23" t="inlineStr">
        <is>
          <t>Z07</t>
        </is>
      </c>
      <c r="L23" t="inlineStr">
        <is>
          <t>(AP) 60 Dias</t>
        </is>
      </c>
      <c r="M23" t="n">
        <v>10000284</v>
      </c>
      <c r="N23" t="inlineStr">
        <is>
          <t>Grava Triturada Basalto  20 mm - 3/4"</t>
        </is>
      </c>
      <c r="O23" t="inlineStr">
        <is>
          <t>D865</t>
        </is>
      </c>
      <c r="P23" t="inlineStr">
        <is>
          <t>MX-CED. MORELOS</t>
        </is>
      </c>
      <c r="Q23" t="n">
        <v>20150701</v>
      </c>
      <c r="R23" t="n">
        <v>20241231</v>
      </c>
      <c r="S23" t="n">
        <v>20180206</v>
      </c>
      <c r="T23" t="n">
        <v>20241231</v>
      </c>
      <c r="U23" t="n">
        <v>180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6622551540</v>
      </c>
      <c r="AE23" t="n">
        <v>1</v>
      </c>
      <c r="AF23" t="inlineStr">
        <is>
          <t>ENTREGADO</t>
        </is>
      </c>
      <c r="AG23" t="n">
        <v>1.429</v>
      </c>
      <c r="AH23" t="inlineStr">
        <is>
          <t>M3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D865-900004224-10000284</t>
        </is>
      </c>
    </row>
    <row r="24">
      <c r="A24" t="inlineStr">
        <is>
          <t>900005655D86510000287</t>
        </is>
      </c>
      <c r="B24" t="inlineStr">
        <is>
          <t>4600055816-30</t>
        </is>
      </c>
      <c r="C24" t="n">
        <v>4600055816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900005655</v>
      </c>
      <c r="H24" t="inlineStr">
        <is>
          <t>TP-TISCAREÑO</t>
        </is>
      </c>
      <c r="I24" t="n">
        <v>5071793</v>
      </c>
      <c r="J24" t="inlineStr">
        <is>
          <t>TISCAREÑO MALDONADO SAUL</t>
        </is>
      </c>
      <c r="K24" t="inlineStr">
        <is>
          <t>Z09</t>
        </is>
      </c>
      <c r="L24" t="inlineStr">
        <is>
          <t>(AP) 90 Dias</t>
        </is>
      </c>
      <c r="M24" t="n">
        <v>10000287</v>
      </c>
      <c r="N24" t="inlineStr">
        <is>
          <t>Grava Triturada Basalto  40 mm - 1 1/2"</t>
        </is>
      </c>
      <c r="O24" t="inlineStr">
        <is>
          <t>D865</t>
        </is>
      </c>
      <c r="P24" t="inlineStr">
        <is>
          <t>MX-CED. MORELOS</t>
        </is>
      </c>
      <c r="Q24" t="n">
        <v>20211122</v>
      </c>
      <c r="R24" t="n">
        <v>20281231</v>
      </c>
      <c r="S24" t="n">
        <v>20211122</v>
      </c>
      <c r="T24" t="n">
        <v>20271231</v>
      </c>
      <c r="U24" t="n">
        <v>230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6622551540</v>
      </c>
      <c r="AE24" t="n">
        <v>1</v>
      </c>
      <c r="AF24" t="inlineStr">
        <is>
          <t>ENTREGADO</t>
        </is>
      </c>
      <c r="AG24" t="n">
        <v>1.44</v>
      </c>
      <c r="AH24" t="inlineStr">
        <is>
          <t>M3</t>
        </is>
      </c>
      <c r="AI24" t="inlineStr">
        <is>
          <t>X</t>
        </is>
      </c>
      <c r="AJ24" t="n">
        <v>4</v>
      </c>
      <c r="AL24" t="n">
        <v>20230920</v>
      </c>
      <c r="AM24" t="inlineStr">
        <is>
          <t>D865-900005655-10000287</t>
        </is>
      </c>
    </row>
    <row r="25">
      <c r="A25" t="inlineStr">
        <is>
          <t>900005655D86510000829</t>
        </is>
      </c>
      <c r="B25" t="inlineStr">
        <is>
          <t>4600055816-40</t>
        </is>
      </c>
      <c r="C25" t="n">
        <v>4600055816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900005655</v>
      </c>
      <c r="H25" t="inlineStr">
        <is>
          <t>TP-TISCAREÑO</t>
        </is>
      </c>
      <c r="I25" t="n">
        <v>5071793</v>
      </c>
      <c r="J25" t="inlineStr">
        <is>
          <t>TISCAREÑO MALDONADO SAUL</t>
        </is>
      </c>
      <c r="K25" t="inlineStr">
        <is>
          <t>Z09</t>
        </is>
      </c>
      <c r="L25" t="inlineStr">
        <is>
          <t>(AP) 90 Dias</t>
        </is>
      </c>
      <c r="M25" t="n">
        <v>10000829</v>
      </c>
      <c r="N25" t="inlineStr">
        <is>
          <t>Arena Triturada Basalto  Malla 5</t>
        </is>
      </c>
      <c r="O25" t="inlineStr">
        <is>
          <t>D865</t>
        </is>
      </c>
      <c r="P25" t="inlineStr">
        <is>
          <t>MX-CED. MORELOS</t>
        </is>
      </c>
      <c r="Q25" t="n">
        <v>20211122</v>
      </c>
      <c r="R25" t="n">
        <v>20281231</v>
      </c>
      <c r="S25" t="n">
        <v>20240604</v>
      </c>
      <c r="T25" t="n">
        <v>20291231</v>
      </c>
      <c r="U25" t="n">
        <v>130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6622551540</v>
      </c>
      <c r="AE25" t="n">
        <v>1</v>
      </c>
      <c r="AF25" t="inlineStr">
        <is>
          <t>ENTREGADO</t>
        </is>
      </c>
      <c r="AG25" t="n">
        <v>1.43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20240610</v>
      </c>
      <c r="AM25" t="inlineStr">
        <is>
          <t>D865-900005655-10000829</t>
        </is>
      </c>
    </row>
    <row r="26">
      <c r="A26" t="inlineStr">
        <is>
          <t>900004224D86510000857</t>
        </is>
      </c>
      <c r="B26" t="inlineStr">
        <is>
          <t>4600031364-30</t>
        </is>
      </c>
      <c r="C26" t="n">
        <v>4600031364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900004224</v>
      </c>
      <c r="H26" t="inlineStr">
        <is>
          <t>TP-EL PAPAYO</t>
        </is>
      </c>
      <c r="I26" t="n">
        <v>5055683</v>
      </c>
      <c r="J26" t="inlineStr">
        <is>
          <t>ROSA ELOISA TORRES</t>
        </is>
      </c>
      <c r="K26" t="inlineStr">
        <is>
          <t>Z07</t>
        </is>
      </c>
      <c r="L26" t="inlineStr">
        <is>
          <t>(AP) 60 Dias</t>
        </is>
      </c>
      <c r="M26" t="n">
        <v>10000857</v>
      </c>
      <c r="N26" t="inlineStr">
        <is>
          <t>Arena Triturada Basalto  Malla 4</t>
        </is>
      </c>
      <c r="O26" t="inlineStr">
        <is>
          <t>D865</t>
        </is>
      </c>
      <c r="P26" t="inlineStr">
        <is>
          <t>MX-CED. MORELOS</t>
        </is>
      </c>
      <c r="Q26" t="n">
        <v>20150701</v>
      </c>
      <c r="R26" t="n">
        <v>20241231</v>
      </c>
      <c r="S26" t="n">
        <v>20180206</v>
      </c>
      <c r="T26" t="n">
        <v>20241231</v>
      </c>
      <c r="U26" t="n">
        <v>130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6622551540</v>
      </c>
      <c r="AE26" t="n">
        <v>1</v>
      </c>
      <c r="AF26" t="inlineStr">
        <is>
          <t>ENTREGADO</t>
        </is>
      </c>
      <c r="AG26" t="n">
        <v>1.51</v>
      </c>
      <c r="AH26" t="inlineStr">
        <is>
          <t>M3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D865-900004224-10000857</t>
        </is>
      </c>
    </row>
    <row r="27">
      <c r="A27" t="inlineStr">
        <is>
          <t>900004224D86510000229</t>
        </is>
      </c>
      <c r="B27" t="inlineStr">
        <is>
          <t>4600031364-20</t>
        </is>
      </c>
      <c r="C27" t="n">
        <v>4600031364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900004224</v>
      </c>
      <c r="H27" t="inlineStr">
        <is>
          <t>TP-EL PAPAYO</t>
        </is>
      </c>
      <c r="I27" t="n">
        <v>5055683</v>
      </c>
      <c r="J27" t="inlineStr">
        <is>
          <t>ROSA ELOISA TORRES</t>
        </is>
      </c>
      <c r="K27" t="inlineStr">
        <is>
          <t>Z07</t>
        </is>
      </c>
      <c r="L27" t="inlineStr">
        <is>
          <t>(AP) 60 Dias</t>
        </is>
      </c>
      <c r="M27" t="n">
        <v>10000229</v>
      </c>
      <c r="N27" t="inlineStr">
        <is>
          <t>Grava Triturada Basalto  10 mm - 3/8"</t>
        </is>
      </c>
      <c r="O27" t="inlineStr">
        <is>
          <t>D865</t>
        </is>
      </c>
      <c r="P27" t="inlineStr">
        <is>
          <t>MX-CED. MORELOS</t>
        </is>
      </c>
      <c r="Q27" t="n">
        <v>20150701</v>
      </c>
      <c r="R27" t="n">
        <v>20241231</v>
      </c>
      <c r="S27" t="n">
        <v>20180206</v>
      </c>
      <c r="T27" t="n">
        <v>20241231</v>
      </c>
      <c r="U27" t="n">
        <v>220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6622551540</v>
      </c>
      <c r="AE27" t="n">
        <v>1</v>
      </c>
      <c r="AF27" t="inlineStr">
        <is>
          <t>ENTREGADO</t>
        </is>
      </c>
      <c r="AG27" t="n">
        <v>1.522</v>
      </c>
      <c r="AH27" t="inlineStr">
        <is>
          <t>M3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D865-900004224-10000229</t>
        </is>
      </c>
    </row>
    <row r="28">
      <c r="A28" t="inlineStr">
        <is>
          <t>900003877D86510000735</t>
        </is>
      </c>
      <c r="B28" t="inlineStr">
        <is>
          <t>4600032991-20</t>
        </is>
      </c>
      <c r="C28" t="n">
        <v>4600032991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900003877</v>
      </c>
      <c r="H28" t="inlineStr">
        <is>
          <t>TP-MAT Y FORRAJES</t>
        </is>
      </c>
      <c r="I28" t="n">
        <v>5054376</v>
      </c>
      <c r="J28" t="inlineStr">
        <is>
          <t>DISTRIBUIDORA DE MATERIALES Y FORRA</t>
        </is>
      </c>
      <c r="K28" t="inlineStr">
        <is>
          <t>N15</t>
        </is>
      </c>
      <c r="L28" t="inlineStr">
        <is>
          <t>(AP) NAFIN 15 Dias</t>
        </is>
      </c>
      <c r="M28" t="n">
        <v>10000735</v>
      </c>
      <c r="N28" t="inlineStr">
        <is>
          <t>Grava Triturada Caliza 10 mm - 3/8"</t>
        </is>
      </c>
      <c r="O28" t="inlineStr">
        <is>
          <t>D865</t>
        </is>
      </c>
      <c r="P28" t="inlineStr">
        <is>
          <t>MX-CED. MORELOS</t>
        </is>
      </c>
      <c r="Q28" t="n">
        <v>20160201</v>
      </c>
      <c r="R28" t="n">
        <v>20281231</v>
      </c>
      <c r="S28" t="n">
        <v>20230505</v>
      </c>
      <c r="T28" t="n">
        <v>20281231</v>
      </c>
      <c r="U28" t="n">
        <v>340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6622551540</v>
      </c>
      <c r="AE28" t="n">
        <v>1</v>
      </c>
      <c r="AF28" t="inlineStr">
        <is>
          <t>ENTREGADO</t>
        </is>
      </c>
      <c r="AG28" t="n">
        <v>1.41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D865-900003877-10000735</t>
        </is>
      </c>
    </row>
    <row r="29">
      <c r="A29" t="inlineStr">
        <is>
          <t>900005655D86510000284</t>
        </is>
      </c>
      <c r="B29" t="inlineStr">
        <is>
          <t>4600055816-10</t>
        </is>
      </c>
      <c r="C29" t="n">
        <v>4600055816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900005655</v>
      </c>
      <c r="H29" t="inlineStr">
        <is>
          <t>TP-TISCAREÑO</t>
        </is>
      </c>
      <c r="I29" t="n">
        <v>5071793</v>
      </c>
      <c r="J29" t="inlineStr">
        <is>
          <t>TISCAREÑO MALDONADO SAUL</t>
        </is>
      </c>
      <c r="K29" t="inlineStr">
        <is>
          <t>Z09</t>
        </is>
      </c>
      <c r="L29" t="inlineStr">
        <is>
          <t>(AP) 90 Dias</t>
        </is>
      </c>
      <c r="M29" t="n">
        <v>10000284</v>
      </c>
      <c r="N29" t="inlineStr">
        <is>
          <t>Grava Triturada Basalto  20 mm - 3/4"</t>
        </is>
      </c>
      <c r="O29" t="inlineStr">
        <is>
          <t>D865</t>
        </is>
      </c>
      <c r="P29" t="inlineStr">
        <is>
          <t>MX-CED. MORELOS</t>
        </is>
      </c>
      <c r="Q29" t="n">
        <v>20211122</v>
      </c>
      <c r="R29" t="n">
        <v>20281231</v>
      </c>
      <c r="S29" t="n">
        <v>20211122</v>
      </c>
      <c r="T29" t="n">
        <v>20271231</v>
      </c>
      <c r="U29" t="n">
        <v>250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6622551540</v>
      </c>
      <c r="AE29" t="n">
        <v>1</v>
      </c>
      <c r="AF29" t="inlineStr">
        <is>
          <t>ENTREGADO</t>
        </is>
      </c>
      <c r="AG29" t="n">
        <v>1.429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D865-900005655-10000284</t>
        </is>
      </c>
    </row>
    <row r="30">
      <c r="A30" t="inlineStr">
        <is>
          <t>900005655D86510000229</t>
        </is>
      </c>
      <c r="B30" t="inlineStr">
        <is>
          <t>4600055816-20</t>
        </is>
      </c>
      <c r="C30" t="n">
        <v>4600055816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900005655</v>
      </c>
      <c r="H30" t="inlineStr">
        <is>
          <t>TP-TISCAREÑO</t>
        </is>
      </c>
      <c r="I30" t="n">
        <v>5071793</v>
      </c>
      <c r="J30" t="inlineStr">
        <is>
          <t>TISCAREÑO MALDONADO SAUL</t>
        </is>
      </c>
      <c r="K30" t="inlineStr">
        <is>
          <t>Z09</t>
        </is>
      </c>
      <c r="L30" t="inlineStr">
        <is>
          <t>(AP) 90 Dias</t>
        </is>
      </c>
      <c r="M30" t="n">
        <v>10000229</v>
      </c>
      <c r="N30" t="inlineStr">
        <is>
          <t>Grava Triturada Basalto  10 mm - 3/8"</t>
        </is>
      </c>
      <c r="O30" t="inlineStr">
        <is>
          <t>D865</t>
        </is>
      </c>
      <c r="P30" t="inlineStr">
        <is>
          <t>MX-CED. MORELOS</t>
        </is>
      </c>
      <c r="Q30" t="n">
        <v>20211122</v>
      </c>
      <c r="R30" t="n">
        <v>20281231</v>
      </c>
      <c r="S30" t="n">
        <v>20211122</v>
      </c>
      <c r="T30" t="n">
        <v>20271231</v>
      </c>
      <c r="U30" t="n">
        <v>330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6622551540</v>
      </c>
      <c r="AE30" t="n">
        <v>1</v>
      </c>
      <c r="AF30" t="inlineStr">
        <is>
          <t>ENTREGADO</t>
        </is>
      </c>
      <c r="AG30" t="n">
        <v>1.522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D865-900005655-10000229</t>
        </is>
      </c>
    </row>
    <row r="31">
      <c r="A31" t="inlineStr">
        <is>
          <t>900005792D8656656917410000284</t>
        </is>
      </c>
      <c r="B31" t="inlineStr">
        <is>
          <t>4600042867-10</t>
        </is>
      </c>
      <c r="C31" t="n">
        <v>4600042867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900005792</v>
      </c>
      <c r="H31" t="inlineStr">
        <is>
          <t>SF TP-ED-EL PAPAYO</t>
        </is>
      </c>
      <c r="I31" t="n">
        <v>5055683</v>
      </c>
      <c r="J31" t="inlineStr">
        <is>
          <t>ROSA ELOISA TORRES</t>
        </is>
      </c>
      <c r="K31" t="inlineStr">
        <is>
          <t>Z07</t>
        </is>
      </c>
      <c r="L31" t="inlineStr">
        <is>
          <t>(AP) 60 Dias</t>
        </is>
      </c>
      <c r="M31" t="n">
        <v>10000284</v>
      </c>
      <c r="N31" t="inlineStr">
        <is>
          <t>Grava Triturada Basalto  20 mm - 3/4"</t>
        </is>
      </c>
      <c r="O31" t="inlineStr">
        <is>
          <t>D865</t>
        </is>
      </c>
      <c r="P31" t="inlineStr">
        <is>
          <t>MX-CED. MORELOS</t>
        </is>
      </c>
      <c r="Q31" t="n">
        <v>20180830</v>
      </c>
      <c r="R31" t="n">
        <v>20241231</v>
      </c>
      <c r="S31" t="n">
        <v>20180830</v>
      </c>
      <c r="T31" t="n">
        <v>20241231</v>
      </c>
      <c r="U31" t="n">
        <v>220</v>
      </c>
      <c r="V31" t="inlineStr">
        <is>
          <t>MXN</t>
        </is>
      </c>
      <c r="W31" t="inlineStr">
        <is>
          <t>M3</t>
        </is>
      </c>
      <c r="X31" t="n">
        <v>40</v>
      </c>
      <c r="Y31" t="inlineStr">
        <is>
          <t>MXN</t>
        </is>
      </c>
      <c r="Z31" t="inlineStr">
        <is>
          <t>M3</t>
        </is>
      </c>
      <c r="AA31" t="inlineStr">
        <is>
          <t>66569174</t>
        </is>
      </c>
      <c r="AB31" t="inlineStr">
        <is>
          <t>HOSPITAL GENERAL CUAUTLA (LAAJ)</t>
        </is>
      </c>
      <c r="AC31" t="n">
        <v>56103637</v>
      </c>
      <c r="AD31" t="n">
        <v>6622551540</v>
      </c>
      <c r="AE31" t="n">
        <v>4</v>
      </c>
      <c r="AF31" t="inlineStr">
        <is>
          <t>ENTREGA DIRECTA</t>
        </is>
      </c>
      <c r="AG31" t="n">
        <v>1.429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D865-900005792-66569174-10000284-4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2026-09-14T14:20:39Z</dcterms:created>
  <dcterms:modified xsi:type="dcterms:W3CDTF">2026-09-14T14:20:39Z</dcterms:modified>
</cp:coreProperties>
</file>