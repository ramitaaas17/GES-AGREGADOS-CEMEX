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45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900003571</v>
      </c>
      <c r="D3" s="7">
        <f>IFERROR(VLOOKUP(C3,TRAOPE!$G:$H,2,0),"")</f>
        <v/>
      </c>
      <c r="E3" s="8" t="inlineStr">
        <is>
          <t>D845</t>
        </is>
      </c>
      <c r="F3" s="8" t="inlineStr">
        <is>
          <t>66389450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10000578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20190601</t>
        </is>
      </c>
      <c r="M3" s="8" t="inlineStr">
        <is>
          <t>20230219</t>
        </is>
      </c>
      <c r="N3" s="10" t="n">
        <v>75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900003571</v>
      </c>
      <c r="D4" s="7">
        <f>IFERROR(VLOOKUP(C4,TRAOPE!$G:$H,2,0),"")</f>
        <v/>
      </c>
      <c r="E4" s="8" t="inlineStr">
        <is>
          <t>D845</t>
        </is>
      </c>
      <c r="F4" s="8" t="inlineStr">
        <is>
          <t>66779741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10026100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20190524</t>
        </is>
      </c>
      <c r="M4" s="8" t="inlineStr">
        <is>
          <t>20230219</t>
        </is>
      </c>
      <c r="N4" s="10" t="n">
        <v>66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900003571</v>
      </c>
      <c r="D5" s="7">
        <f>IFERROR(VLOOKUP(C5,TRAOPE!$G:$H,2,0),"")</f>
        <v/>
      </c>
      <c r="E5" s="8" t="inlineStr">
        <is>
          <t>D845</t>
        </is>
      </c>
      <c r="F5" s="8" t="inlineStr">
        <is>
          <t>66827900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10000578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20190601</t>
        </is>
      </c>
      <c r="M5" s="8" t="inlineStr">
        <is>
          <t>20230219</t>
        </is>
      </c>
      <c r="N5" s="10" t="n">
        <v>82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900005260</v>
      </c>
      <c r="D6" s="7">
        <f>IFERROR(VLOOKUP(C6,TRAOPE!$G:$H,2,0),"")</f>
        <v/>
      </c>
      <c r="E6" s="8" t="inlineStr">
        <is>
          <t>D845</t>
        </is>
      </c>
      <c r="F6" s="8" t="inlineStr">
        <is>
          <t>66256509</t>
        </is>
      </c>
      <c r="G6" s="8">
        <f>IFERROR(VLOOKUP(A6,Flete!$A:$E,5,0),"")</f>
        <v/>
      </c>
      <c r="H6" s="7">
        <f>IFERROR(VLOOKUP(F6,TRAOPE!$AA:$AB,2,0),"")</f>
        <v/>
      </c>
      <c r="I6" s="7" t="n">
        <v>10000536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20200918</t>
        </is>
      </c>
      <c r="M6" s="8" t="inlineStr">
        <is>
          <t>20230219</t>
        </is>
      </c>
      <c r="N6" s="10" t="n">
        <v>78.75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900005260</v>
      </c>
      <c r="D7" s="7">
        <f>IFERROR(VLOOKUP(C7,TRAOPE!$G:$H,2,0),"")</f>
        <v/>
      </c>
      <c r="E7" s="8" t="inlineStr">
        <is>
          <t>D845</t>
        </is>
      </c>
      <c r="F7" s="8" t="inlineStr">
        <is>
          <t>66256509</t>
        </is>
      </c>
      <c r="G7" s="8">
        <f>IFERROR(VLOOKUP(A7,Flete!$A:$E,5,0),"")</f>
        <v/>
      </c>
      <c r="H7" s="7">
        <f>IFERROR(VLOOKUP(F7,TRAOPE!$AA:$AB,2,0),"")</f>
        <v/>
      </c>
      <c r="I7" s="7" t="n">
        <v>10000578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20200918</t>
        </is>
      </c>
      <c r="M7" s="8" t="inlineStr">
        <is>
          <t>20230219</t>
        </is>
      </c>
      <c r="N7" s="10" t="n">
        <v>81.8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900005260</v>
      </c>
      <c r="D8" s="7">
        <f>IFERROR(VLOOKUP(C8,TRAOPE!$G:$H,2,0),"")</f>
        <v/>
      </c>
      <c r="E8" s="8" t="inlineStr">
        <is>
          <t>D845</t>
        </is>
      </c>
      <c r="F8" s="8" t="inlineStr">
        <is>
          <t>66256509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10000617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20200918</t>
        </is>
      </c>
      <c r="M8" s="8" t="inlineStr">
        <is>
          <t>20230219</t>
        </is>
      </c>
      <c r="N8" s="10" t="n">
        <v>95.55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900005260</v>
      </c>
      <c r="D9" s="7">
        <f>IFERROR(VLOOKUP(C9,TRAOPE!$G:$H,2,0),"")</f>
        <v/>
      </c>
      <c r="E9" s="8" t="inlineStr">
        <is>
          <t>D845</t>
        </is>
      </c>
      <c r="F9" s="8" t="inlineStr">
        <is>
          <t>66256509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10000656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20200918</t>
        </is>
      </c>
      <c r="M9" s="8" t="inlineStr">
        <is>
          <t>20230219</t>
        </is>
      </c>
      <c r="N9" s="10" t="n">
        <v>75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900005260</v>
      </c>
      <c r="D10" s="7">
        <f>IFERROR(VLOOKUP(C10,TRAOPE!$G:$H,2,0),"")</f>
        <v/>
      </c>
      <c r="E10" s="8" t="inlineStr">
        <is>
          <t>D845</t>
        </is>
      </c>
      <c r="F10" s="8" t="inlineStr">
        <is>
          <t>66389450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10000536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20200817</t>
        </is>
      </c>
      <c r="M10" s="8" t="inlineStr">
        <is>
          <t>20230219</t>
        </is>
      </c>
      <c r="N10" s="10" t="n">
        <v>78.75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900005260</v>
      </c>
      <c r="D11" s="7">
        <f>IFERROR(VLOOKUP(C11,TRAOPE!$G:$H,2,0),"")</f>
        <v/>
      </c>
      <c r="E11" s="8" t="inlineStr">
        <is>
          <t>D845</t>
        </is>
      </c>
      <c r="F11" s="8" t="inlineStr">
        <is>
          <t>66389450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10000578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20200817</t>
        </is>
      </c>
      <c r="M11" s="8" t="inlineStr">
        <is>
          <t>20230219</t>
        </is>
      </c>
      <c r="N11" s="10" t="n">
        <v>81.8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900005260</v>
      </c>
      <c r="D12" s="7">
        <f>IFERROR(VLOOKUP(C12,TRAOPE!$G:$H,2,0),"")</f>
        <v/>
      </c>
      <c r="E12" s="8" t="inlineStr">
        <is>
          <t>D845</t>
        </is>
      </c>
      <c r="F12" s="8" t="inlineStr">
        <is>
          <t>66389450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10000617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20200817</t>
        </is>
      </c>
      <c r="M12" s="8" t="inlineStr">
        <is>
          <t>20230219</t>
        </is>
      </c>
      <c r="N12" s="10" t="n">
        <v>95.55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900005260</v>
      </c>
      <c r="D13" s="7">
        <f>IFERROR(VLOOKUP(C13,TRAOPE!$G:$H,2,0),"")</f>
        <v/>
      </c>
      <c r="E13" s="8" t="inlineStr">
        <is>
          <t>D845</t>
        </is>
      </c>
      <c r="F13" s="8" t="inlineStr">
        <is>
          <t>66389450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10000656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20200817</t>
        </is>
      </c>
      <c r="M13" s="8" t="inlineStr">
        <is>
          <t>20230219</t>
        </is>
      </c>
      <c r="N13" s="10" t="n">
        <v>75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900005260</v>
      </c>
      <c r="D14" s="7">
        <f>IFERROR(VLOOKUP(C14,TRAOPE!$G:$H,2,0),"")</f>
        <v/>
      </c>
      <c r="E14" s="8" t="inlineStr">
        <is>
          <t>D845</t>
        </is>
      </c>
      <c r="F14" s="8" t="inlineStr">
        <is>
          <t>66704967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10000536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20190808</t>
        </is>
      </c>
      <c r="M14" s="8" t="inlineStr">
        <is>
          <t>20230219</t>
        </is>
      </c>
      <c r="N14" s="10" t="n">
        <v>80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900005260</v>
      </c>
      <c r="D15" s="7">
        <f>IFERROR(VLOOKUP(C15,TRAOPE!$G:$H,2,0),"")</f>
        <v/>
      </c>
      <c r="E15" s="8" t="inlineStr">
        <is>
          <t>D845</t>
        </is>
      </c>
      <c r="F15" s="8" t="inlineStr">
        <is>
          <t>66704967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10167749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20201001</t>
        </is>
      </c>
      <c r="M15" s="8" t="inlineStr">
        <is>
          <t>20230219</t>
        </is>
      </c>
      <c r="N15" s="10" t="n">
        <v>80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900005260</v>
      </c>
      <c r="D16" s="7">
        <f>IFERROR(VLOOKUP(C16,TRAOPE!$G:$H,2,0),"")</f>
        <v/>
      </c>
      <c r="E16" s="8" t="inlineStr">
        <is>
          <t>D845</t>
        </is>
      </c>
      <c r="F16" s="8" t="inlineStr">
        <is>
          <t>66779121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10000536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20190716</t>
        </is>
      </c>
      <c r="M16" s="8" t="inlineStr">
        <is>
          <t>20230219</t>
        </is>
      </c>
      <c r="N16" s="10" t="n">
        <v>74.90000000000001</v>
      </c>
      <c r="O16" s="10">
        <f>IFERROR(VLOOKUP(A16,Flete!$A:$J,10,0),"")</f>
        <v/>
      </c>
      <c r="P16" s="8" t="inlineStr">
        <is>
          <t>TN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900005260</v>
      </c>
      <c r="D17" s="7">
        <f>IFERROR(VLOOKUP(C17,TRAOPE!$G:$H,2,0),"")</f>
        <v/>
      </c>
      <c r="E17" s="8" t="inlineStr">
        <is>
          <t>D845</t>
        </is>
      </c>
      <c r="F17" s="8" t="inlineStr">
        <is>
          <t>66779121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10000578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20190716</t>
        </is>
      </c>
      <c r="M17" s="8" t="inlineStr">
        <is>
          <t>20230219</t>
        </is>
      </c>
      <c r="N17" s="10" t="n">
        <v>74.90000000000001</v>
      </c>
      <c r="O17" s="10">
        <f>IFERROR(VLOOKUP(A17,Flete!$A:$J,10,0),"")</f>
        <v/>
      </c>
      <c r="P17" s="8" t="inlineStr">
        <is>
          <t>TN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900005260</v>
      </c>
      <c r="D18" s="7">
        <f>IFERROR(VLOOKUP(C18,TRAOPE!$G:$H,2,0),"")</f>
        <v/>
      </c>
      <c r="E18" s="8" t="inlineStr">
        <is>
          <t>D845</t>
        </is>
      </c>
      <c r="F18" s="8" t="inlineStr">
        <is>
          <t>66779121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10000617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20190716</t>
        </is>
      </c>
      <c r="M18" s="8" t="inlineStr">
        <is>
          <t>20230219</t>
        </is>
      </c>
      <c r="N18" s="10" t="n">
        <v>88.90000000000001</v>
      </c>
      <c r="O18" s="10">
        <f>IFERROR(VLOOKUP(A18,Flete!$A:$J,10,0),"")</f>
        <v/>
      </c>
      <c r="P18" s="8" t="inlineStr">
        <is>
          <t>TN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900005260</v>
      </c>
      <c r="D19" s="7">
        <f>IFERROR(VLOOKUP(C19,TRAOPE!$G:$H,2,0),"")</f>
        <v/>
      </c>
      <c r="E19" s="8" t="inlineStr">
        <is>
          <t>D845</t>
        </is>
      </c>
      <c r="F19" s="8" t="inlineStr">
        <is>
          <t>66795131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10167749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20190701</t>
        </is>
      </c>
      <c r="M19" s="8" t="inlineStr">
        <is>
          <t>20230219</t>
        </is>
      </c>
      <c r="N19" s="10" t="n">
        <v>72</v>
      </c>
      <c r="O19" s="10">
        <f>IFERROR(VLOOKUP(A19,Flete!$A:$J,10,0),"")</f>
        <v/>
      </c>
      <c r="P19" s="8" t="inlineStr">
        <is>
          <t>TN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900005260</v>
      </c>
      <c r="D20" s="7">
        <f>IFERROR(VLOOKUP(C20,TRAOPE!$G:$H,2,0),"")</f>
        <v/>
      </c>
      <c r="E20" s="8" t="inlineStr">
        <is>
          <t>D845</t>
        </is>
      </c>
      <c r="F20" s="8" t="inlineStr">
        <is>
          <t>66827900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10000617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20190601</t>
        </is>
      </c>
      <c r="M20" s="8" t="inlineStr">
        <is>
          <t>20230219</t>
        </is>
      </c>
      <c r="N20" s="10" t="n">
        <v>97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900005260</v>
      </c>
      <c r="D21" s="7">
        <f>IFERROR(VLOOKUP(C21,TRAOPE!$G:$H,2,0),"")</f>
        <v/>
      </c>
      <c r="E21" s="8" t="inlineStr">
        <is>
          <t>D845</t>
        </is>
      </c>
      <c r="F21" s="8" t="inlineStr">
        <is>
          <t>66924118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10167749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20210112</t>
        </is>
      </c>
      <c r="M21" s="8" t="inlineStr">
        <is>
          <t>20230219</t>
        </is>
      </c>
      <c r="N21" s="10" t="n">
        <v>85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900005260</v>
      </c>
      <c r="D22" s="7">
        <f>IFERROR(VLOOKUP(C22,TRAOPE!$G:$H,2,0),"")</f>
        <v/>
      </c>
      <c r="E22" s="8" t="inlineStr">
        <is>
          <t>D845</t>
        </is>
      </c>
      <c r="F22" s="8" t="inlineStr">
        <is>
          <t>66924118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10178270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20210112</t>
        </is>
      </c>
      <c r="M22" s="8" t="inlineStr">
        <is>
          <t>20230219</t>
        </is>
      </c>
      <c r="N22" s="10" t="n">
        <v>68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900005260</v>
      </c>
      <c r="D23" s="7">
        <f>IFERROR(VLOOKUP(C23,TRAOPE!$G:$H,2,0),"")</f>
        <v/>
      </c>
      <c r="E23" s="8" t="inlineStr">
        <is>
          <t>D845</t>
        </is>
      </c>
      <c r="F23" s="8" t="inlineStr">
        <is>
          <t>66998149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10000536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20220201</t>
        </is>
      </c>
      <c r="M23" s="8" t="inlineStr">
        <is>
          <t>20230219</t>
        </is>
      </c>
      <c r="N23" s="10" t="n">
        <v>112.5</v>
      </c>
      <c r="O23" s="10">
        <f>IFERROR(VLOOKUP(A23,Flete!$A:$J,10,0),"")</f>
        <v/>
      </c>
      <c r="P23" s="8" t="inlineStr">
        <is>
          <t>TN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900005260</v>
      </c>
      <c r="D24" s="7">
        <f>IFERROR(VLOOKUP(C24,TRAOPE!$G:$H,2,0),"")</f>
        <v/>
      </c>
      <c r="E24" s="8" t="inlineStr">
        <is>
          <t>D845</t>
        </is>
      </c>
      <c r="F24" s="8" t="inlineStr">
        <is>
          <t>66998149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10000578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20220201</t>
        </is>
      </c>
      <c r="M24" s="8" t="inlineStr">
        <is>
          <t>20230219</t>
        </is>
      </c>
      <c r="N24" s="10" t="n">
        <v>112.5</v>
      </c>
      <c r="O24" s="10">
        <f>IFERROR(VLOOKUP(A24,Flete!$A:$J,10,0),"")</f>
        <v/>
      </c>
      <c r="P24" s="8" t="inlineStr">
        <is>
          <t>TN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900005260</v>
      </c>
      <c r="D25" s="7">
        <f>IFERROR(VLOOKUP(C25,TRAOPE!$G:$H,2,0),"")</f>
        <v/>
      </c>
      <c r="E25" s="8" t="inlineStr">
        <is>
          <t>D845</t>
        </is>
      </c>
      <c r="F25" s="8" t="inlineStr">
        <is>
          <t>66998149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10000617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20220201</t>
        </is>
      </c>
      <c r="M25" s="8" t="inlineStr">
        <is>
          <t>20230219</t>
        </is>
      </c>
      <c r="N25" s="10" t="n">
        <v>123</v>
      </c>
      <c r="O25" s="10">
        <f>IFERROR(VLOOKUP(A25,Flete!$A:$J,10,0),"")</f>
        <v/>
      </c>
      <c r="P25" s="8" t="inlineStr">
        <is>
          <t>TN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900005260</v>
      </c>
      <c r="D26" s="7">
        <f>IFERROR(VLOOKUP(C26,TRAOPE!$G:$H,2,0),"")</f>
        <v/>
      </c>
      <c r="E26" s="8" t="inlineStr">
        <is>
          <t>D845</t>
        </is>
      </c>
      <c r="F26" s="8" t="inlineStr">
        <is>
          <t>66998149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10000656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20220201</t>
        </is>
      </c>
      <c r="M26" s="8" t="inlineStr">
        <is>
          <t>20230219</t>
        </is>
      </c>
      <c r="N26" s="10" t="n">
        <v>121</v>
      </c>
      <c r="O26" s="10">
        <f>IFERROR(VLOOKUP(A26,Flete!$A:$J,10,0),"")</f>
        <v/>
      </c>
      <c r="P26" s="8" t="inlineStr">
        <is>
          <t>TN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900005260</v>
      </c>
      <c r="D27" s="7">
        <f>IFERROR(VLOOKUP(C27,TRAOPE!$G:$H,2,0),"")</f>
        <v/>
      </c>
      <c r="E27" s="8" t="inlineStr">
        <is>
          <t>D845</t>
        </is>
      </c>
      <c r="F27" s="8" t="inlineStr">
        <is>
          <t>66998149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10167749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20220201</t>
        </is>
      </c>
      <c r="M27" s="8" t="inlineStr">
        <is>
          <t>20230219</t>
        </is>
      </c>
      <c r="N27" s="10" t="n">
        <v>115.5</v>
      </c>
      <c r="O27" s="10">
        <f>IFERROR(VLOOKUP(A27,Flete!$A:$J,10,0),"")</f>
        <v/>
      </c>
      <c r="P27" s="8" t="inlineStr">
        <is>
          <t>TN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900005260</v>
      </c>
      <c r="D28" s="7">
        <f>IFERROR(VLOOKUP(C28,TRAOPE!$G:$H,2,0),"")</f>
        <v/>
      </c>
      <c r="E28" s="8" t="inlineStr">
        <is>
          <t>D845</t>
        </is>
      </c>
      <c r="F28" s="8" t="inlineStr">
        <is>
          <t>66998149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10178270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20220201</t>
        </is>
      </c>
      <c r="M28" s="8" t="inlineStr">
        <is>
          <t>20230219</t>
        </is>
      </c>
      <c r="N28" s="10" t="n">
        <v>95</v>
      </c>
      <c r="O28" s="10">
        <f>IFERROR(VLOOKUP(A28,Flete!$A:$J,10,0),"")</f>
        <v/>
      </c>
      <c r="P28" s="8" t="inlineStr">
        <is>
          <t>TN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900005260</v>
      </c>
      <c r="D29" s="7">
        <f>IFERROR(VLOOKUP(C29,TRAOPE!$G:$H,2,0),"")</f>
        <v/>
      </c>
      <c r="E29" s="8" t="inlineStr">
        <is>
          <t>D845</t>
        </is>
      </c>
      <c r="F29" s="8" t="inlineStr">
        <is>
          <t>65005139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10000536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20191211</t>
        </is>
      </c>
      <c r="M29" s="8" t="inlineStr">
        <is>
          <t>20251031</t>
        </is>
      </c>
      <c r="N29" s="10" t="n">
        <v>190</v>
      </c>
      <c r="O29" s="10">
        <f>IFERROR(VLOOKUP(A29,Flete!$A:$J,10,0),"")</f>
        <v/>
      </c>
      <c r="P29" s="8" t="inlineStr">
        <is>
          <t>TN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900005260</v>
      </c>
      <c r="D30" s="7">
        <f>IFERROR(VLOOKUP(C30,TRAOPE!$G:$H,2,0),"")</f>
        <v/>
      </c>
      <c r="E30" s="8" t="inlineStr">
        <is>
          <t>D845</t>
        </is>
      </c>
      <c r="F30" s="8" t="inlineStr">
        <is>
          <t>65005139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10000578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20191211</t>
        </is>
      </c>
      <c r="M30" s="8" t="inlineStr">
        <is>
          <t>20251031</t>
        </is>
      </c>
      <c r="N30" s="10" t="n">
        <v>190</v>
      </c>
      <c r="O30" s="10">
        <f>IFERROR(VLOOKUP(A30,Flete!$A:$J,10,0),"")</f>
        <v/>
      </c>
      <c r="P30" s="8" t="inlineStr">
        <is>
          <t>TN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900005260</v>
      </c>
      <c r="D31" s="7">
        <f>IFERROR(VLOOKUP(C31,TRAOPE!$G:$H,2,0),"")</f>
        <v/>
      </c>
      <c r="E31" s="8" t="inlineStr">
        <is>
          <t>D845</t>
        </is>
      </c>
      <c r="F31" s="8" t="inlineStr">
        <is>
          <t>65005139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10000617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20191211</t>
        </is>
      </c>
      <c r="M31" s="8" t="inlineStr">
        <is>
          <t>20251031</t>
        </is>
      </c>
      <c r="N31" s="10" t="n">
        <v>200</v>
      </c>
      <c r="O31" s="10">
        <f>IFERROR(VLOOKUP(A31,Flete!$A:$J,10,0),"")</f>
        <v/>
      </c>
      <c r="P31" s="8" t="inlineStr">
        <is>
          <t>TN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900005260</v>
      </c>
      <c r="D32" s="7">
        <f>IFERROR(VLOOKUP(C32,TRAOPE!$G:$H,2,0),"")</f>
        <v/>
      </c>
      <c r="E32" s="8" t="inlineStr">
        <is>
          <t>D845</t>
        </is>
      </c>
      <c r="F32" s="8" t="inlineStr">
        <is>
          <t>65005139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10000656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20191211</t>
        </is>
      </c>
      <c r="M32" s="8" t="inlineStr">
        <is>
          <t>20251031</t>
        </is>
      </c>
      <c r="N32" s="10" t="n">
        <v>200</v>
      </c>
      <c r="O32" s="10">
        <f>IFERROR(VLOOKUP(A32,Flete!$A:$J,10,0),"")</f>
        <v/>
      </c>
      <c r="P32" s="8" t="inlineStr">
        <is>
          <t>TN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900005260</v>
      </c>
      <c r="D33" s="7">
        <f>IFERROR(VLOOKUP(C33,TRAOPE!$G:$H,2,0),"")</f>
        <v/>
      </c>
      <c r="E33" s="8" t="inlineStr">
        <is>
          <t>D845</t>
        </is>
      </c>
      <c r="F33" s="8" t="inlineStr">
        <is>
          <t>65005139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10169508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20191211</t>
        </is>
      </c>
      <c r="M33" s="8" t="inlineStr">
        <is>
          <t>20251031</t>
        </is>
      </c>
      <c r="N33" s="10" t="n">
        <v>205</v>
      </c>
      <c r="O33" s="10">
        <f>IFERROR(VLOOKUP(A33,Flete!$A:$J,10,0),"")</f>
        <v/>
      </c>
      <c r="P33" s="8" t="inlineStr">
        <is>
          <t>TN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900005260</v>
      </c>
      <c r="D34" s="7">
        <f>IFERROR(VLOOKUP(C34,TRAOPE!$G:$H,2,0),"")</f>
        <v/>
      </c>
      <c r="E34" s="8" t="inlineStr">
        <is>
          <t>D845</t>
        </is>
      </c>
      <c r="F34" s="8" t="inlineStr">
        <is>
          <t>65784713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10000536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20191211</t>
        </is>
      </c>
      <c r="M34" s="8" t="inlineStr">
        <is>
          <t>20251031</t>
        </is>
      </c>
      <c r="N34" s="10" t="n">
        <v>130</v>
      </c>
      <c r="O34" s="10">
        <f>IFERROR(VLOOKUP(A34,Flete!$A:$J,10,0),"")</f>
        <v/>
      </c>
      <c r="P34" s="8" t="inlineStr">
        <is>
          <t>TN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900005260</v>
      </c>
      <c r="D35" s="7">
        <f>IFERROR(VLOOKUP(C35,TRAOPE!$G:$H,2,0),"")</f>
        <v/>
      </c>
      <c r="E35" s="8" t="inlineStr">
        <is>
          <t>D845</t>
        </is>
      </c>
      <c r="F35" s="8" t="inlineStr">
        <is>
          <t>65784713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10000578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20191211</t>
        </is>
      </c>
      <c r="M35" s="8" t="inlineStr">
        <is>
          <t>20251031</t>
        </is>
      </c>
      <c r="N35" s="10" t="n">
        <v>158</v>
      </c>
      <c r="O35" s="10">
        <f>IFERROR(VLOOKUP(A35,Flete!$A:$J,10,0),"")</f>
        <v/>
      </c>
      <c r="P35" s="8" t="inlineStr">
        <is>
          <t>TN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900005260</v>
      </c>
      <c r="D36" s="7">
        <f>IFERROR(VLOOKUP(C36,TRAOPE!$G:$H,2,0),"")</f>
        <v/>
      </c>
      <c r="E36" s="8" t="inlineStr">
        <is>
          <t>D845</t>
        </is>
      </c>
      <c r="F36" s="8" t="inlineStr">
        <is>
          <t>65784713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10000656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20191211</t>
        </is>
      </c>
      <c r="M36" s="8" t="inlineStr">
        <is>
          <t>20251031</t>
        </is>
      </c>
      <c r="N36" s="10" t="n">
        <v>165.9</v>
      </c>
      <c r="O36" s="10">
        <f>IFERROR(VLOOKUP(A36,Flete!$A:$J,10,0),"")</f>
        <v/>
      </c>
      <c r="P36" s="8" t="inlineStr">
        <is>
          <t>TN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900005260</v>
      </c>
      <c r="D37" s="7">
        <f>IFERROR(VLOOKUP(C37,TRAOPE!$G:$H,2,0),"")</f>
        <v/>
      </c>
      <c r="E37" s="8" t="inlineStr">
        <is>
          <t>D845</t>
        </is>
      </c>
      <c r="F37" s="8" t="inlineStr">
        <is>
          <t>65784713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10169508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20191211</t>
        </is>
      </c>
      <c r="M37" s="8" t="inlineStr">
        <is>
          <t>20251031</t>
        </is>
      </c>
      <c r="N37" s="10" t="n">
        <v>171</v>
      </c>
      <c r="O37" s="10">
        <f>IFERROR(VLOOKUP(A37,Flete!$A:$J,10,0),"")</f>
        <v/>
      </c>
      <c r="P37" s="8" t="inlineStr">
        <is>
          <t>TN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900005260</v>
      </c>
      <c r="D38" s="7">
        <f>IFERROR(VLOOKUP(C38,TRAOPE!$G:$H,2,0),"")</f>
        <v/>
      </c>
      <c r="E38" s="8" t="inlineStr">
        <is>
          <t>D845</t>
        </is>
      </c>
      <c r="F38" s="8" t="inlineStr">
        <is>
          <t>66436427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10000578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20191211</t>
        </is>
      </c>
      <c r="M38" s="8" t="inlineStr">
        <is>
          <t>20251031</t>
        </is>
      </c>
      <c r="N38" s="10" t="n">
        <v>190</v>
      </c>
      <c r="O38" s="10">
        <f>IFERROR(VLOOKUP(A38,Flete!$A:$J,10,0),"")</f>
        <v/>
      </c>
      <c r="P38" s="8" t="inlineStr">
        <is>
          <t>TN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900005260</v>
      </c>
      <c r="D39" s="7">
        <f>IFERROR(VLOOKUP(C39,TRAOPE!$G:$H,2,0),"")</f>
        <v/>
      </c>
      <c r="E39" s="8" t="inlineStr">
        <is>
          <t>D845</t>
        </is>
      </c>
      <c r="F39" s="8" t="inlineStr">
        <is>
          <t>66436427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10000656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20191211</t>
        </is>
      </c>
      <c r="M39" s="8" t="inlineStr">
        <is>
          <t>20251031</t>
        </is>
      </c>
      <c r="N39" s="10" t="n">
        <v>200</v>
      </c>
      <c r="O39" s="10">
        <f>IFERROR(VLOOKUP(A39,Flete!$A:$J,10,0),"")</f>
        <v/>
      </c>
      <c r="P39" s="8" t="inlineStr">
        <is>
          <t>TN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900005260</v>
      </c>
      <c r="D40" s="7">
        <f>IFERROR(VLOOKUP(C40,TRAOPE!$G:$H,2,0),"")</f>
        <v/>
      </c>
      <c r="E40" s="8" t="inlineStr">
        <is>
          <t>D845</t>
        </is>
      </c>
      <c r="F40" s="8" t="inlineStr">
        <is>
          <t>67133076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10058501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20191211</t>
        </is>
      </c>
      <c r="M40" s="8" t="inlineStr">
        <is>
          <t>20251031</t>
        </is>
      </c>
      <c r="N40" s="10" t="n">
        <v>124</v>
      </c>
      <c r="O40" s="10">
        <f>IFERROR(VLOOKUP(A40,Flete!$A:$J,10,0),"")</f>
        <v/>
      </c>
      <c r="P40" s="8" t="inlineStr">
        <is>
          <t>TN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900005260</v>
      </c>
      <c r="D41" s="7">
        <f>IFERROR(VLOOKUP(C41,TRAOPE!$G:$H,2,0),"")</f>
        <v/>
      </c>
      <c r="E41" s="8" t="inlineStr">
        <is>
          <t>D845</t>
        </is>
      </c>
      <c r="F41" s="8" t="inlineStr">
        <is>
          <t>67136572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10000536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20191211</t>
        </is>
      </c>
      <c r="M41" s="8" t="inlineStr">
        <is>
          <t>20251031</t>
        </is>
      </c>
      <c r="N41" s="10" t="n">
        <v>130</v>
      </c>
      <c r="O41" s="10">
        <f>IFERROR(VLOOKUP(A41,Flete!$A:$J,10,0),"")</f>
        <v/>
      </c>
      <c r="P41" s="8" t="inlineStr">
        <is>
          <t>TN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900005260</v>
      </c>
      <c r="D42" s="7">
        <f>IFERROR(VLOOKUP(C42,TRAOPE!$G:$H,2,0),"")</f>
        <v/>
      </c>
      <c r="E42" s="8" t="inlineStr">
        <is>
          <t>D845</t>
        </is>
      </c>
      <c r="F42" s="8" t="inlineStr">
        <is>
          <t>67136572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10000578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20191211</t>
        </is>
      </c>
      <c r="M42" s="8" t="inlineStr">
        <is>
          <t>20251031</t>
        </is>
      </c>
      <c r="N42" s="10" t="n">
        <v>130</v>
      </c>
      <c r="O42" s="10">
        <f>IFERROR(VLOOKUP(A42,Flete!$A:$J,10,0),"")</f>
        <v/>
      </c>
      <c r="P42" s="8" t="inlineStr">
        <is>
          <t>TN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900005260</v>
      </c>
      <c r="D43" s="7">
        <f>IFERROR(VLOOKUP(C43,TRAOPE!$G:$H,2,0),"")</f>
        <v/>
      </c>
      <c r="E43" s="8" t="inlineStr">
        <is>
          <t>D845</t>
        </is>
      </c>
      <c r="F43" s="8" t="inlineStr">
        <is>
          <t>67136572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10000617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20191211</t>
        </is>
      </c>
      <c r="M43" s="8" t="inlineStr">
        <is>
          <t>20251031</t>
        </is>
      </c>
      <c r="N43" s="10" t="n">
        <v>168</v>
      </c>
      <c r="O43" s="10">
        <f>IFERROR(VLOOKUP(A43,Flete!$A:$J,10,0),"")</f>
        <v/>
      </c>
      <c r="P43" s="8" t="inlineStr">
        <is>
          <t>TN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900005260</v>
      </c>
      <c r="D44" s="7">
        <f>IFERROR(VLOOKUP(C44,TRAOPE!$G:$H,2,0),"")</f>
        <v/>
      </c>
      <c r="E44" s="8" t="inlineStr">
        <is>
          <t>D845</t>
        </is>
      </c>
      <c r="F44" s="8" t="inlineStr">
        <is>
          <t>67136572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10000656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20191211</t>
        </is>
      </c>
      <c r="M44" s="8" t="inlineStr">
        <is>
          <t>20251031</t>
        </is>
      </c>
      <c r="N44" s="10" t="n">
        <v>138</v>
      </c>
      <c r="O44" s="10">
        <f>IFERROR(VLOOKUP(A44,Flete!$A:$J,10,0),"")</f>
        <v/>
      </c>
      <c r="P44" s="8" t="inlineStr">
        <is>
          <t>TN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900005260</v>
      </c>
      <c r="D45" s="7">
        <f>IFERROR(VLOOKUP(C45,TRAOPE!$G:$H,2,0),"")</f>
        <v/>
      </c>
      <c r="E45" s="8" t="inlineStr">
        <is>
          <t>D845</t>
        </is>
      </c>
      <c r="F45" s="8" t="inlineStr">
        <is>
          <t>67136572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10058501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20191211</t>
        </is>
      </c>
      <c r="M45" s="8" t="inlineStr">
        <is>
          <t>20251031</t>
        </is>
      </c>
      <c r="N45" s="10" t="n">
        <v>124</v>
      </c>
      <c r="O45" s="10">
        <f>IFERROR(VLOOKUP(A45,Flete!$A:$J,10,0),"")</f>
        <v/>
      </c>
      <c r="P45" s="8" t="inlineStr">
        <is>
          <t>TN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900005260</v>
      </c>
      <c r="D46" s="7">
        <f>IFERROR(VLOOKUP(C46,TRAOPE!$G:$H,2,0),"")</f>
        <v/>
      </c>
      <c r="E46" s="8" t="inlineStr">
        <is>
          <t>D845</t>
        </is>
      </c>
      <c r="F46" s="8" t="inlineStr">
        <is>
          <t>67136572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10167749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20191211</t>
        </is>
      </c>
      <c r="M46" s="8" t="inlineStr">
        <is>
          <t>20251031</t>
        </is>
      </c>
      <c r="N46" s="10" t="n">
        <v>134</v>
      </c>
      <c r="O46" s="10">
        <f>IFERROR(VLOOKUP(A46,Flete!$A:$J,10,0),"")</f>
        <v/>
      </c>
      <c r="P46" s="8" t="inlineStr">
        <is>
          <t>TN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900005260</v>
      </c>
      <c r="D47" s="7">
        <f>IFERROR(VLOOKUP(C47,TRAOPE!$G:$H,2,0),"")</f>
        <v/>
      </c>
      <c r="E47" s="8" t="inlineStr">
        <is>
          <t>D845</t>
        </is>
      </c>
      <c r="F47" s="8" t="inlineStr">
        <is>
          <t>67138524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10000536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20191211</t>
        </is>
      </c>
      <c r="M47" s="8" t="inlineStr">
        <is>
          <t>20251031</t>
        </is>
      </c>
      <c r="N47" s="10" t="n">
        <v>158</v>
      </c>
      <c r="O47" s="10">
        <f>IFERROR(VLOOKUP(A47,Flete!$A:$J,10,0),"")</f>
        <v/>
      </c>
      <c r="P47" s="8" t="inlineStr">
        <is>
          <t>TN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900005260</v>
      </c>
      <c r="D48" s="7">
        <f>IFERROR(VLOOKUP(C48,TRAOPE!$G:$H,2,0),"")</f>
        <v/>
      </c>
      <c r="E48" s="8" t="inlineStr">
        <is>
          <t>D845</t>
        </is>
      </c>
      <c r="F48" s="8" t="inlineStr">
        <is>
          <t>67138524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10000656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20191211</t>
        </is>
      </c>
      <c r="M48" s="8" t="inlineStr">
        <is>
          <t>20251031</t>
        </is>
      </c>
      <c r="N48" s="10" t="n">
        <v>166</v>
      </c>
      <c r="O48" s="10">
        <f>IFERROR(VLOOKUP(A48,Flete!$A:$J,10,0),"")</f>
        <v/>
      </c>
      <c r="P48" s="8" t="inlineStr">
        <is>
          <t>TN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900005260</v>
      </c>
      <c r="D49" s="7">
        <f>IFERROR(VLOOKUP(C49,TRAOPE!$G:$H,2,0),"")</f>
        <v/>
      </c>
      <c r="E49" s="8" t="inlineStr">
        <is>
          <t>D845</t>
        </is>
      </c>
      <c r="F49" s="8" t="inlineStr">
        <is>
          <t>67169574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10000578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20191211</t>
        </is>
      </c>
      <c r="M49" s="8" t="inlineStr">
        <is>
          <t>20251031</t>
        </is>
      </c>
      <c r="N49" s="10" t="n">
        <v>190</v>
      </c>
      <c r="O49" s="10">
        <f>IFERROR(VLOOKUP(A49,Flete!$A:$J,10,0),"")</f>
        <v/>
      </c>
      <c r="P49" s="8" t="inlineStr">
        <is>
          <t>TN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900005260</v>
      </c>
      <c r="D50" s="7">
        <f>IFERROR(VLOOKUP(C50,TRAOPE!$G:$H,2,0),"")</f>
        <v/>
      </c>
      <c r="E50" s="8" t="inlineStr">
        <is>
          <t>D845</t>
        </is>
      </c>
      <c r="F50" s="8" t="inlineStr">
        <is>
          <t>67169574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10000617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20191211</t>
        </is>
      </c>
      <c r="M50" s="8" t="inlineStr">
        <is>
          <t>20251031</t>
        </is>
      </c>
      <c r="N50" s="10" t="n">
        <v>200</v>
      </c>
      <c r="O50" s="10">
        <f>IFERROR(VLOOKUP(A50,Flete!$A:$J,10,0),"")</f>
        <v/>
      </c>
      <c r="P50" s="8" t="inlineStr">
        <is>
          <t>TN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900005260</v>
      </c>
      <c r="D51" s="7">
        <f>IFERROR(VLOOKUP(C51,TRAOPE!$G:$H,2,0),"")</f>
        <v/>
      </c>
      <c r="E51" s="8" t="inlineStr">
        <is>
          <t>D845</t>
        </is>
      </c>
      <c r="F51" s="8" t="inlineStr">
        <is>
          <t>67169574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10000656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20191211</t>
        </is>
      </c>
      <c r="M51" s="8" t="inlineStr">
        <is>
          <t>20251031</t>
        </is>
      </c>
      <c r="N51" s="10" t="n">
        <v>200</v>
      </c>
      <c r="O51" s="10">
        <f>IFERROR(VLOOKUP(A51,Flete!$A:$J,10,0),"")</f>
        <v/>
      </c>
      <c r="P51" s="8" t="inlineStr">
        <is>
          <t>TN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900005260</v>
      </c>
      <c r="D52" s="7">
        <f>IFERROR(VLOOKUP(C52,TRAOPE!$G:$H,2,0),"")</f>
        <v/>
      </c>
      <c r="E52" s="8" t="inlineStr">
        <is>
          <t>D845</t>
        </is>
      </c>
      <c r="F52" s="8" t="inlineStr">
        <is>
          <t>67169574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10058501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20191211</t>
        </is>
      </c>
      <c r="M52" s="8" t="inlineStr">
        <is>
          <t>20251031</t>
        </is>
      </c>
      <c r="N52" s="10" t="n">
        <v>151</v>
      </c>
      <c r="O52" s="10">
        <f>IFERROR(VLOOKUP(A52,Flete!$A:$J,10,0),"")</f>
        <v/>
      </c>
      <c r="P52" s="8" t="inlineStr">
        <is>
          <t>TN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900005260</v>
      </c>
      <c r="D53" s="7">
        <f>IFERROR(VLOOKUP(C53,TRAOPE!$G:$H,2,0),"")</f>
        <v/>
      </c>
      <c r="E53" s="8" t="inlineStr">
        <is>
          <t>D845</t>
        </is>
      </c>
      <c r="F53" s="8" t="inlineStr">
        <is>
          <t>67169574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10169508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20191211</t>
        </is>
      </c>
      <c r="M53" s="8" t="inlineStr">
        <is>
          <t>20251031</t>
        </is>
      </c>
      <c r="N53" s="10" t="n">
        <v>205</v>
      </c>
      <c r="O53" s="10">
        <f>IFERROR(VLOOKUP(A53,Flete!$A:$J,10,0),"")</f>
        <v/>
      </c>
      <c r="P53" s="8" t="inlineStr">
        <is>
          <t>TN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900005260</v>
      </c>
      <c r="D54" s="7">
        <f>IFERROR(VLOOKUP(C54,TRAOPE!$G:$H,2,0),"")</f>
        <v/>
      </c>
      <c r="E54" s="8" t="inlineStr">
        <is>
          <t>D845</t>
        </is>
      </c>
      <c r="F54" s="8" t="inlineStr">
        <is>
          <t>67197543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10167749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20191211</t>
        </is>
      </c>
      <c r="M54" s="8" t="inlineStr">
        <is>
          <t>20251031</t>
        </is>
      </c>
      <c r="N54" s="10" t="n">
        <v>165</v>
      </c>
      <c r="O54" s="10">
        <f>IFERROR(VLOOKUP(A54,Flete!$A:$J,10,0),"")</f>
        <v/>
      </c>
      <c r="P54" s="8" t="inlineStr">
        <is>
          <t>TN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900005260</v>
      </c>
      <c r="D55" s="7">
        <f>IFERROR(VLOOKUP(C55,TRAOPE!$G:$H,2,0),"")</f>
        <v/>
      </c>
      <c r="E55" s="8" t="inlineStr">
        <is>
          <t>D845</t>
        </is>
      </c>
      <c r="F55" s="8" t="inlineStr">
        <is>
          <t>67199273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10167749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20191211</t>
        </is>
      </c>
      <c r="M55" s="8" t="inlineStr">
        <is>
          <t>20251031</t>
        </is>
      </c>
      <c r="N55" s="10" t="n">
        <v>140</v>
      </c>
      <c r="O55" s="10">
        <f>IFERROR(VLOOKUP(A55,Flete!$A:$J,10,0),"")</f>
        <v/>
      </c>
      <c r="P55" s="8" t="inlineStr">
        <is>
          <t>TN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900005260</v>
      </c>
      <c r="D56" s="7">
        <f>IFERROR(VLOOKUP(C56,TRAOPE!$G:$H,2,0),"")</f>
        <v/>
      </c>
      <c r="E56" s="8" t="inlineStr">
        <is>
          <t>D845</t>
        </is>
      </c>
      <c r="F56" s="8" t="inlineStr">
        <is>
          <t>67200086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10000536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20191211</t>
        </is>
      </c>
      <c r="M56" s="8" t="inlineStr">
        <is>
          <t>20251031</t>
        </is>
      </c>
      <c r="N56" s="10" t="n">
        <v>161</v>
      </c>
      <c r="O56" s="10">
        <f>IFERROR(VLOOKUP(A56,Flete!$A:$J,10,0),"")</f>
        <v/>
      </c>
      <c r="P56" s="8" t="inlineStr">
        <is>
          <t>TN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900005260</v>
      </c>
      <c r="D57" s="7">
        <f>IFERROR(VLOOKUP(C57,TRAOPE!$G:$H,2,0),"")</f>
        <v/>
      </c>
      <c r="E57" s="8" t="inlineStr">
        <is>
          <t>D845</t>
        </is>
      </c>
      <c r="F57" s="8" t="inlineStr">
        <is>
          <t>67200086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10000578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20191211</t>
        </is>
      </c>
      <c r="M57" s="8" t="inlineStr">
        <is>
          <t>20251031</t>
        </is>
      </c>
      <c r="N57" s="10" t="n">
        <v>161</v>
      </c>
      <c r="O57" s="10">
        <f>IFERROR(VLOOKUP(A57,Flete!$A:$J,10,0),"")</f>
        <v/>
      </c>
      <c r="P57" s="8" t="inlineStr">
        <is>
          <t>TN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900005260</v>
      </c>
      <c r="D58" s="7">
        <f>IFERROR(VLOOKUP(C58,TRAOPE!$G:$H,2,0),"")</f>
        <v/>
      </c>
      <c r="E58" s="8" t="inlineStr">
        <is>
          <t>D845</t>
        </is>
      </c>
      <c r="F58" s="8" t="inlineStr">
        <is>
          <t>67200086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10000617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20191211</t>
        </is>
      </c>
      <c r="M58" s="8" t="inlineStr">
        <is>
          <t>20251031</t>
        </is>
      </c>
      <c r="N58" s="10" t="n">
        <v>171</v>
      </c>
      <c r="O58" s="10">
        <f>IFERROR(VLOOKUP(A58,Flete!$A:$J,10,0),"")</f>
        <v/>
      </c>
      <c r="P58" s="8" t="inlineStr">
        <is>
          <t>TN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900005260</v>
      </c>
      <c r="D59" s="7">
        <f>IFERROR(VLOOKUP(C59,TRAOPE!$G:$H,2,0),"")</f>
        <v/>
      </c>
      <c r="E59" s="8" t="inlineStr">
        <is>
          <t>D845</t>
        </is>
      </c>
      <c r="F59" s="8" t="inlineStr">
        <is>
          <t>67200086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10000656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20191211</t>
        </is>
      </c>
      <c r="M59" s="8" t="inlineStr">
        <is>
          <t>20251031</t>
        </is>
      </c>
      <c r="N59" s="10" t="n">
        <v>169</v>
      </c>
      <c r="O59" s="10">
        <f>IFERROR(VLOOKUP(A59,Flete!$A:$J,10,0),"")</f>
        <v/>
      </c>
      <c r="P59" s="8" t="inlineStr">
        <is>
          <t>TN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900005260</v>
      </c>
      <c r="D60" s="7">
        <f>IFERROR(VLOOKUP(C60,TRAOPE!$G:$H,2,0),"")</f>
        <v/>
      </c>
      <c r="E60" s="8" t="inlineStr">
        <is>
          <t>D845</t>
        </is>
      </c>
      <c r="F60" s="8" t="inlineStr">
        <is>
          <t>67200086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10058501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20191211</t>
        </is>
      </c>
      <c r="M60" s="8" t="inlineStr">
        <is>
          <t>20251031</t>
        </is>
      </c>
      <c r="N60" s="10" t="n">
        <v>153</v>
      </c>
      <c r="O60" s="10">
        <f>IFERROR(VLOOKUP(A60,Flete!$A:$J,10,0),"")</f>
        <v/>
      </c>
      <c r="P60" s="8" t="inlineStr">
        <is>
          <t>TN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900005260</v>
      </c>
      <c r="D61" s="7">
        <f>IFERROR(VLOOKUP(C61,TRAOPE!$G:$H,2,0),"")</f>
        <v/>
      </c>
      <c r="E61" s="8" t="inlineStr">
        <is>
          <t>D845</t>
        </is>
      </c>
      <c r="F61" s="8" t="inlineStr">
        <is>
          <t>67200086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10167749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20191211</t>
        </is>
      </c>
      <c r="M61" s="8" t="inlineStr">
        <is>
          <t>20251031</t>
        </is>
      </c>
      <c r="N61" s="10" t="n">
        <v>164</v>
      </c>
      <c r="O61" s="10">
        <f>IFERROR(VLOOKUP(A61,Flete!$A:$J,10,0),"")</f>
        <v/>
      </c>
      <c r="P61" s="8" t="inlineStr">
        <is>
          <t>TN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900005260</v>
      </c>
      <c r="D62" s="7">
        <f>IFERROR(VLOOKUP(C62,TRAOPE!$G:$H,2,0),"")</f>
        <v/>
      </c>
      <c r="E62" s="8" t="inlineStr">
        <is>
          <t>D845</t>
        </is>
      </c>
      <c r="F62" s="8" t="inlineStr">
        <is>
          <t>67200086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10169508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20191211</t>
        </is>
      </c>
      <c r="M62" s="8" t="inlineStr">
        <is>
          <t>20251031</t>
        </is>
      </c>
      <c r="N62" s="10" t="n">
        <v>174</v>
      </c>
      <c r="O62" s="10">
        <f>IFERROR(VLOOKUP(A62,Flete!$A:$J,10,0),"")</f>
        <v/>
      </c>
      <c r="P62" s="8" t="inlineStr">
        <is>
          <t>TN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900005260</v>
      </c>
      <c r="D63" s="7">
        <f>IFERROR(VLOOKUP(C63,TRAOPE!$G:$H,2,0),"")</f>
        <v/>
      </c>
      <c r="E63" s="8" t="inlineStr">
        <is>
          <t>D845</t>
        </is>
      </c>
      <c r="F63" s="8" t="inlineStr">
        <is>
          <t>67222069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10000578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20191211</t>
        </is>
      </c>
      <c r="M63" s="8" t="inlineStr">
        <is>
          <t>20251031</t>
        </is>
      </c>
      <c r="N63" s="10" t="n">
        <v>158</v>
      </c>
      <c r="O63" s="10">
        <f>IFERROR(VLOOKUP(A63,Flete!$A:$J,10,0),"")</f>
        <v/>
      </c>
      <c r="P63" s="8" t="inlineStr">
        <is>
          <t>TN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900005260</v>
      </c>
      <c r="D64" s="7">
        <f>IFERROR(VLOOKUP(C64,TRAOPE!$G:$H,2,0),"")</f>
        <v/>
      </c>
      <c r="E64" s="8" t="inlineStr">
        <is>
          <t>D845</t>
        </is>
      </c>
      <c r="F64" s="8" t="inlineStr">
        <is>
          <t>67222069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10000617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20191211</t>
        </is>
      </c>
      <c r="M64" s="8" t="inlineStr">
        <is>
          <t>20251031</t>
        </is>
      </c>
      <c r="N64" s="10" t="n">
        <v>168</v>
      </c>
      <c r="O64" s="10">
        <f>IFERROR(VLOOKUP(A64,Flete!$A:$J,10,0),"")</f>
        <v/>
      </c>
      <c r="P64" s="8" t="inlineStr">
        <is>
          <t>TN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900005260</v>
      </c>
      <c r="D65" s="7">
        <f>IFERROR(VLOOKUP(C65,TRAOPE!$G:$H,2,0),"")</f>
        <v/>
      </c>
      <c r="E65" s="8" t="inlineStr">
        <is>
          <t>D845</t>
        </is>
      </c>
      <c r="F65" s="8" t="inlineStr">
        <is>
          <t>67222069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10000656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20191211</t>
        </is>
      </c>
      <c r="M65" s="8" t="inlineStr">
        <is>
          <t>20251031</t>
        </is>
      </c>
      <c r="N65" s="10" t="n">
        <v>166</v>
      </c>
      <c r="O65" s="10">
        <f>IFERROR(VLOOKUP(A65,Flete!$A:$J,10,0),"")</f>
        <v/>
      </c>
      <c r="P65" s="8" t="inlineStr">
        <is>
          <t>TN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900005260</v>
      </c>
      <c r="D66" s="7">
        <f>IFERROR(VLOOKUP(C66,TRAOPE!$G:$H,2,0),"")</f>
        <v/>
      </c>
      <c r="E66" s="8" t="inlineStr">
        <is>
          <t>D845</t>
        </is>
      </c>
      <c r="F66" s="8" t="inlineStr">
        <is>
          <t>67222069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10169508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20191211</t>
        </is>
      </c>
      <c r="M66" s="8" t="inlineStr">
        <is>
          <t>20251031</t>
        </is>
      </c>
      <c r="N66" s="10" t="n">
        <v>171</v>
      </c>
      <c r="O66" s="10">
        <f>IFERROR(VLOOKUP(A66,Flete!$A:$J,10,0),"")</f>
        <v/>
      </c>
      <c r="P66" s="8" t="inlineStr">
        <is>
          <t>TN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900005260</v>
      </c>
      <c r="D67" s="7">
        <f>IFERROR(VLOOKUP(C67,TRAOPE!$G:$H,2,0),"")</f>
        <v/>
      </c>
      <c r="E67" s="8" t="inlineStr">
        <is>
          <t>D845</t>
        </is>
      </c>
      <c r="F67" s="8" t="inlineStr">
        <is>
          <t>67230766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10000536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20191211</t>
        </is>
      </c>
      <c r="M67" s="8" t="inlineStr">
        <is>
          <t>20251031</t>
        </is>
      </c>
      <c r="N67" s="10" t="n">
        <v>158</v>
      </c>
      <c r="O67" s="10">
        <f>IFERROR(VLOOKUP(A67,Flete!$A:$J,10,0),"")</f>
        <v/>
      </c>
      <c r="P67" s="8" t="inlineStr">
        <is>
          <t>TN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900005260</v>
      </c>
      <c r="D68" s="7">
        <f>IFERROR(VLOOKUP(C68,TRAOPE!$G:$H,2,0),"")</f>
        <v/>
      </c>
      <c r="E68" s="8" t="inlineStr">
        <is>
          <t>D845</t>
        </is>
      </c>
      <c r="F68" s="8" t="inlineStr">
        <is>
          <t>67230766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10000578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20191211</t>
        </is>
      </c>
      <c r="M68" s="8" t="inlineStr">
        <is>
          <t>20251031</t>
        </is>
      </c>
      <c r="N68" s="10" t="n">
        <v>158</v>
      </c>
      <c r="O68" s="10">
        <f>IFERROR(VLOOKUP(A68,Flete!$A:$J,10,0),"")</f>
        <v/>
      </c>
      <c r="P68" s="8" t="inlineStr">
        <is>
          <t>TN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900005260</v>
      </c>
      <c r="D69" s="7">
        <f>IFERROR(VLOOKUP(C69,TRAOPE!$G:$H,2,0),"")</f>
        <v/>
      </c>
      <c r="E69" s="8" t="inlineStr">
        <is>
          <t>D845</t>
        </is>
      </c>
      <c r="F69" s="8" t="inlineStr">
        <is>
          <t>67230766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10000617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20191211</t>
        </is>
      </c>
      <c r="M69" s="8" t="inlineStr">
        <is>
          <t>20251031</t>
        </is>
      </c>
      <c r="N69" s="10" t="n">
        <v>168</v>
      </c>
      <c r="O69" s="10">
        <f>IFERROR(VLOOKUP(A69,Flete!$A:$J,10,0),"")</f>
        <v/>
      </c>
      <c r="P69" s="8" t="inlineStr">
        <is>
          <t>TN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900005260</v>
      </c>
      <c r="D70" s="7">
        <f>IFERROR(VLOOKUP(C70,TRAOPE!$G:$H,2,0),"")</f>
        <v/>
      </c>
      <c r="E70" s="8" t="inlineStr">
        <is>
          <t>D845</t>
        </is>
      </c>
      <c r="F70" s="8" t="inlineStr">
        <is>
          <t>67230766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10000656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20191211</t>
        </is>
      </c>
      <c r="M70" s="8" t="inlineStr">
        <is>
          <t>20251031</t>
        </is>
      </c>
      <c r="N70" s="10" t="n">
        <v>166</v>
      </c>
      <c r="O70" s="10">
        <f>IFERROR(VLOOKUP(A70,Flete!$A:$J,10,0),"")</f>
        <v/>
      </c>
      <c r="P70" s="8" t="inlineStr">
        <is>
          <t>TN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900005260</v>
      </c>
      <c r="D71" s="7">
        <f>IFERROR(VLOOKUP(C71,TRAOPE!$G:$H,2,0),"")</f>
        <v/>
      </c>
      <c r="E71" s="8" t="inlineStr">
        <is>
          <t>D845</t>
        </is>
      </c>
      <c r="F71" s="8" t="inlineStr">
        <is>
          <t>67230766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10058501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20191211</t>
        </is>
      </c>
      <c r="M71" s="8" t="inlineStr">
        <is>
          <t>20251031</t>
        </is>
      </c>
      <c r="N71" s="10" t="n">
        <v>151</v>
      </c>
      <c r="O71" s="10">
        <f>IFERROR(VLOOKUP(A71,Flete!$A:$J,10,0),"")</f>
        <v/>
      </c>
      <c r="P71" s="8" t="inlineStr">
        <is>
          <t>TN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900005260</v>
      </c>
      <c r="D72" s="7">
        <f>IFERROR(VLOOKUP(C72,TRAOPE!$G:$H,2,0),"")</f>
        <v/>
      </c>
      <c r="E72" s="8" t="inlineStr">
        <is>
          <t>D845</t>
        </is>
      </c>
      <c r="F72" s="8" t="inlineStr">
        <is>
          <t>67231138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10000578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20191211</t>
        </is>
      </c>
      <c r="M72" s="8" t="inlineStr">
        <is>
          <t>20251031</t>
        </is>
      </c>
      <c r="N72" s="10" t="n">
        <v>190</v>
      </c>
      <c r="O72" s="10">
        <f>IFERROR(VLOOKUP(A72,Flete!$A:$J,10,0),"")</f>
        <v/>
      </c>
      <c r="P72" s="8" t="inlineStr">
        <is>
          <t>TN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900005260</v>
      </c>
      <c r="D73" s="7">
        <f>IFERROR(VLOOKUP(C73,TRAOPE!$G:$H,2,0),"")</f>
        <v/>
      </c>
      <c r="E73" s="8" t="inlineStr">
        <is>
          <t>D845</t>
        </is>
      </c>
      <c r="F73" s="8" t="inlineStr">
        <is>
          <t>67231138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10000656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20191211</t>
        </is>
      </c>
      <c r="M73" s="8" t="inlineStr">
        <is>
          <t>20251031</t>
        </is>
      </c>
      <c r="N73" s="10" t="n">
        <v>200</v>
      </c>
      <c r="O73" s="10">
        <f>IFERROR(VLOOKUP(A73,Flete!$A:$J,10,0),"")</f>
        <v/>
      </c>
      <c r="P73" s="8" t="inlineStr">
        <is>
          <t>TN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900005260</v>
      </c>
      <c r="D74" s="7">
        <f>IFERROR(VLOOKUP(C74,TRAOPE!$G:$H,2,0),"")</f>
        <v/>
      </c>
      <c r="E74" s="8" t="inlineStr">
        <is>
          <t>D845</t>
        </is>
      </c>
      <c r="F74" s="8" t="inlineStr">
        <is>
          <t>67231138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10058501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20191211</t>
        </is>
      </c>
      <c r="M74" s="8" t="inlineStr">
        <is>
          <t>20251031</t>
        </is>
      </c>
      <c r="N74" s="10" t="n">
        <v>200</v>
      </c>
      <c r="O74" s="10">
        <f>IFERROR(VLOOKUP(A74,Flete!$A:$J,10,0),"")</f>
        <v/>
      </c>
      <c r="P74" s="8" t="inlineStr">
        <is>
          <t>TN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900005260</v>
      </c>
      <c r="D75" s="7">
        <f>IFERROR(VLOOKUP(C75,TRAOPE!$G:$H,2,0),"")</f>
        <v/>
      </c>
      <c r="E75" s="8" t="inlineStr">
        <is>
          <t>D845</t>
        </is>
      </c>
      <c r="F75" s="8" t="inlineStr">
        <is>
          <t>67231528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10000536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20191211</t>
        </is>
      </c>
      <c r="M75" s="8" t="inlineStr">
        <is>
          <t>20251031</t>
        </is>
      </c>
      <c r="N75" s="10" t="n">
        <v>158</v>
      </c>
      <c r="O75" s="10">
        <f>IFERROR(VLOOKUP(A75,Flete!$A:$J,10,0),"")</f>
        <v/>
      </c>
      <c r="P75" s="8" t="inlineStr">
        <is>
          <t>TN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900005260</v>
      </c>
      <c r="D76" s="7">
        <f>IFERROR(VLOOKUP(C76,TRAOPE!$G:$H,2,0),"")</f>
        <v/>
      </c>
      <c r="E76" s="8" t="inlineStr">
        <is>
          <t>D845</t>
        </is>
      </c>
      <c r="F76" s="8" t="inlineStr">
        <is>
          <t>67231528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10000578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20191211</t>
        </is>
      </c>
      <c r="M76" s="8" t="inlineStr">
        <is>
          <t>20251031</t>
        </is>
      </c>
      <c r="N76" s="10" t="n">
        <v>158</v>
      </c>
      <c r="O76" s="10">
        <f>IFERROR(VLOOKUP(A76,Flete!$A:$J,10,0),"")</f>
        <v/>
      </c>
      <c r="P76" s="8" t="inlineStr">
        <is>
          <t>TN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900005260</v>
      </c>
      <c r="D77" s="7">
        <f>IFERROR(VLOOKUP(C77,TRAOPE!$G:$H,2,0),"")</f>
        <v/>
      </c>
      <c r="E77" s="8" t="inlineStr">
        <is>
          <t>D845</t>
        </is>
      </c>
      <c r="F77" s="8" t="inlineStr">
        <is>
          <t>67231528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10000617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20191211</t>
        </is>
      </c>
      <c r="M77" s="8" t="inlineStr">
        <is>
          <t>20251031</t>
        </is>
      </c>
      <c r="N77" s="10" t="n">
        <v>168</v>
      </c>
      <c r="O77" s="10">
        <f>IFERROR(VLOOKUP(A77,Flete!$A:$J,10,0),"")</f>
        <v/>
      </c>
      <c r="P77" s="8" t="inlineStr">
        <is>
          <t>TN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900005260</v>
      </c>
      <c r="D78" s="7">
        <f>IFERROR(VLOOKUP(C78,TRAOPE!$G:$H,2,0),"")</f>
        <v/>
      </c>
      <c r="E78" s="8" t="inlineStr">
        <is>
          <t>D845</t>
        </is>
      </c>
      <c r="F78" s="8" t="inlineStr">
        <is>
          <t>67231528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10000656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20191211</t>
        </is>
      </c>
      <c r="M78" s="8" t="inlineStr">
        <is>
          <t>20251031</t>
        </is>
      </c>
      <c r="N78" s="10" t="n">
        <v>166</v>
      </c>
      <c r="O78" s="10">
        <f>IFERROR(VLOOKUP(A78,Flete!$A:$J,10,0),"")</f>
        <v/>
      </c>
      <c r="P78" s="8" t="inlineStr">
        <is>
          <t>TN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900005260</v>
      </c>
      <c r="D79" s="7">
        <f>IFERROR(VLOOKUP(C79,TRAOPE!$G:$H,2,0),"")</f>
        <v/>
      </c>
      <c r="E79" s="8" t="inlineStr">
        <is>
          <t>D845</t>
        </is>
      </c>
      <c r="F79" s="8" t="inlineStr">
        <is>
          <t>67231528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10058501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20191211</t>
        </is>
      </c>
      <c r="M79" s="8" t="inlineStr">
        <is>
          <t>20251031</t>
        </is>
      </c>
      <c r="N79" s="10" t="n">
        <v>151</v>
      </c>
      <c r="O79" s="10">
        <f>IFERROR(VLOOKUP(A79,Flete!$A:$J,10,0),"")</f>
        <v/>
      </c>
      <c r="P79" s="8" t="inlineStr">
        <is>
          <t>TN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900005260</v>
      </c>
      <c r="D80" s="7">
        <f>IFERROR(VLOOKUP(C80,TRAOPE!$G:$H,2,0),"")</f>
        <v/>
      </c>
      <c r="E80" s="8" t="inlineStr">
        <is>
          <t>D845</t>
        </is>
      </c>
      <c r="F80" s="8" t="inlineStr">
        <is>
          <t>67231528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10167749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20191211</t>
        </is>
      </c>
      <c r="M80" s="8" t="inlineStr">
        <is>
          <t>20251031</t>
        </is>
      </c>
      <c r="N80" s="10" t="n">
        <v>161</v>
      </c>
      <c r="O80" s="10">
        <f>IFERROR(VLOOKUP(A80,Flete!$A:$J,10,0),"")</f>
        <v/>
      </c>
      <c r="P80" s="8" t="inlineStr">
        <is>
          <t>TN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900005260</v>
      </c>
      <c r="D81" s="7">
        <f>IFERROR(VLOOKUP(C81,TRAOPE!$G:$H,2,0),"")</f>
        <v/>
      </c>
      <c r="E81" s="8" t="inlineStr">
        <is>
          <t>D845</t>
        </is>
      </c>
      <c r="F81" s="8" t="inlineStr">
        <is>
          <t>67241390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10217514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20191211</t>
        </is>
      </c>
      <c r="M81" s="8" t="inlineStr">
        <is>
          <t>20251031</t>
        </is>
      </c>
      <c r="N81" s="10" t="n">
        <v>80</v>
      </c>
      <c r="O81" s="10">
        <f>IFERROR(VLOOKUP(A81,Flete!$A:$J,10,0),"")</f>
        <v/>
      </c>
      <c r="P81" s="8" t="inlineStr">
        <is>
          <t>M3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900005260</v>
      </c>
      <c r="D82" s="7">
        <f>IFERROR(VLOOKUP(C82,TRAOPE!$G:$H,2,0),"")</f>
        <v/>
      </c>
      <c r="E82" s="8" t="inlineStr">
        <is>
          <t>D845</t>
        </is>
      </c>
      <c r="F82" s="8" t="inlineStr">
        <is>
          <t>67250991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10000578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20191211</t>
        </is>
      </c>
      <c r="M82" s="8" t="inlineStr">
        <is>
          <t>20251031</t>
        </is>
      </c>
      <c r="N82" s="10" t="n">
        <v>190</v>
      </c>
      <c r="O82" s="10">
        <f>IFERROR(VLOOKUP(A82,Flete!$A:$J,10,0),"")</f>
        <v/>
      </c>
      <c r="P82" s="8" t="inlineStr">
        <is>
          <t>TN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900005260</v>
      </c>
      <c r="D83" s="7">
        <f>IFERROR(VLOOKUP(C83,TRAOPE!$G:$H,2,0),"")</f>
        <v/>
      </c>
      <c r="E83" s="8" t="inlineStr">
        <is>
          <t>D845</t>
        </is>
      </c>
      <c r="F83" s="8" t="inlineStr">
        <is>
          <t>67250991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10000617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20191211</t>
        </is>
      </c>
      <c r="M83" s="8" t="inlineStr">
        <is>
          <t>20251031</t>
        </is>
      </c>
      <c r="N83" s="10" t="n">
        <v>200</v>
      </c>
      <c r="O83" s="10">
        <f>IFERROR(VLOOKUP(A83,Flete!$A:$J,10,0),"")</f>
        <v/>
      </c>
      <c r="P83" s="8" t="inlineStr">
        <is>
          <t>TN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  <row r="84">
      <c r="A84" s="7">
        <f>CONCATENATE(C84,E84,F84,I84)</f>
        <v/>
      </c>
      <c r="B84" s="7">
        <f>CONCATENATE(C84,E84,I84)</f>
        <v/>
      </c>
      <c r="C84" s="8" t="n">
        <v>900005260</v>
      </c>
      <c r="D84" s="7">
        <f>IFERROR(VLOOKUP(C84,TRAOPE!$G:$H,2,0),"")</f>
        <v/>
      </c>
      <c r="E84" s="8" t="inlineStr">
        <is>
          <t>D845</t>
        </is>
      </c>
      <c r="F84" s="8" t="inlineStr">
        <is>
          <t>67250991</t>
        </is>
      </c>
      <c r="G84" s="8">
        <f>IFERROR(VLOOKUP(A84,Flete!$A:$E,5,0),"")</f>
        <v/>
      </c>
      <c r="H84" s="7">
        <f>IFERROR(VLOOKUP(F84,TRAOPE!$AA:$AB,2,0),"")</f>
        <v/>
      </c>
      <c r="I84" s="7" t="n">
        <v>10000656</v>
      </c>
      <c r="J84" s="7">
        <f>IFERROR(VLOOKUP(I84,Materiales!$A:$H,8,0),"")</f>
        <v/>
      </c>
      <c r="K84" s="9">
        <f>IFERROR(VLOOKUP(I84,Materiales!$A:$G,7,0),"")</f>
        <v/>
      </c>
      <c r="L84" s="8" t="inlineStr">
        <is>
          <t>20191211</t>
        </is>
      </c>
      <c r="M84" s="8" t="inlineStr">
        <is>
          <t>20251031</t>
        </is>
      </c>
      <c r="N84" s="10" t="n">
        <v>200</v>
      </c>
      <c r="O84" s="10">
        <f>IFERROR(VLOOKUP(A84,Flete!$A:$J,10,0),"")</f>
        <v/>
      </c>
      <c r="P84" s="8" t="inlineStr">
        <is>
          <t>TN</t>
        </is>
      </c>
      <c r="Q84" s="10">
        <f>IFERROR(IFERROR(VLOOKUP(A84,TRAOPE!$A:$U,21,0),VLOOKUP(B84,TRAOPE!$A:$U,21,0)),"")</f>
        <v/>
      </c>
      <c r="R84" s="8">
        <f>IFERROR(IFERROR(VLOOKUP(A84,TRAOPE!$A:$W,23,0),VLOOKUP(B84,TRAOPE!$A:$W,23,0)),"")</f>
        <v/>
      </c>
      <c r="S84" s="10">
        <f>IF(AND(P84="TN",R84="TN"),N84+N(O84),IF(G84&amp;""="1",N(K84)*N84,(N84+N(O84))*N(K84)))</f>
        <v/>
      </c>
      <c r="T84" s="10">
        <f>IF(Q84="","",Q84-S84)</f>
        <v/>
      </c>
    </row>
    <row r="85">
      <c r="A85" s="7">
        <f>CONCATENATE(C85,E85,F85,I85)</f>
        <v/>
      </c>
      <c r="B85" s="7">
        <f>CONCATENATE(C85,E85,I85)</f>
        <v/>
      </c>
      <c r="C85" s="8" t="n">
        <v>900005260</v>
      </c>
      <c r="D85" s="7">
        <f>IFERROR(VLOOKUP(C85,TRAOPE!$G:$H,2,0),"")</f>
        <v/>
      </c>
      <c r="E85" s="8" t="inlineStr">
        <is>
          <t>D845</t>
        </is>
      </c>
      <c r="F85" s="8" t="inlineStr">
        <is>
          <t>67250991</t>
        </is>
      </c>
      <c r="G85" s="8">
        <f>IFERROR(VLOOKUP(A85,Flete!$A:$E,5,0),"")</f>
        <v/>
      </c>
      <c r="H85" s="7">
        <f>IFERROR(VLOOKUP(F85,TRAOPE!$AA:$AB,2,0),"")</f>
        <v/>
      </c>
      <c r="I85" s="7" t="n">
        <v>10167749</v>
      </c>
      <c r="J85" s="7">
        <f>IFERROR(VLOOKUP(I85,Materiales!$A:$H,8,0),"")</f>
        <v/>
      </c>
      <c r="K85" s="9">
        <f>IFERROR(VLOOKUP(I85,Materiales!$A:$G,7,0),"")</f>
        <v/>
      </c>
      <c r="L85" s="8" t="inlineStr">
        <is>
          <t>20191211</t>
        </is>
      </c>
      <c r="M85" s="8" t="inlineStr">
        <is>
          <t>20251031</t>
        </is>
      </c>
      <c r="N85" s="10" t="n">
        <v>193</v>
      </c>
      <c r="O85" s="10">
        <f>IFERROR(VLOOKUP(A85,Flete!$A:$J,10,0),"")</f>
        <v/>
      </c>
      <c r="P85" s="8" t="inlineStr">
        <is>
          <t>TN</t>
        </is>
      </c>
      <c r="Q85" s="10">
        <f>IFERROR(IFERROR(VLOOKUP(A85,TRAOPE!$A:$U,21,0),VLOOKUP(B85,TRAOPE!$A:$U,21,0)),"")</f>
        <v/>
      </c>
      <c r="R85" s="8">
        <f>IFERROR(IFERROR(VLOOKUP(A85,TRAOPE!$A:$W,23,0),VLOOKUP(B85,TRAOPE!$A:$W,23,0)),"")</f>
        <v/>
      </c>
      <c r="S85" s="10">
        <f>IF(AND(P85="TN",R85="TN"),N85+N(O85),IF(G85&amp;""="1",N(K85)*N85,(N85+N(O85))*N(K85)))</f>
        <v/>
      </c>
      <c r="T85" s="10">
        <f>IF(Q85="","",Q85-S85)</f>
        <v/>
      </c>
    </row>
    <row r="86">
      <c r="A86" s="7">
        <f>CONCATENATE(C86,E86,F86,I86)</f>
        <v/>
      </c>
      <c r="B86" s="7">
        <f>CONCATENATE(C86,E86,I86)</f>
        <v/>
      </c>
      <c r="C86" s="8" t="n">
        <v>900005260</v>
      </c>
      <c r="D86" s="7">
        <f>IFERROR(VLOOKUP(C86,TRAOPE!$G:$H,2,0),"")</f>
        <v/>
      </c>
      <c r="E86" s="8" t="inlineStr">
        <is>
          <t>D845</t>
        </is>
      </c>
      <c r="F86" s="8" t="inlineStr">
        <is>
          <t>67250991</t>
        </is>
      </c>
      <c r="G86" s="8">
        <f>IFERROR(VLOOKUP(A86,Flete!$A:$E,5,0),"")</f>
        <v/>
      </c>
      <c r="H86" s="7">
        <f>IFERROR(VLOOKUP(F86,TRAOPE!$AA:$AB,2,0),"")</f>
        <v/>
      </c>
      <c r="I86" s="7" t="n">
        <v>10169508</v>
      </c>
      <c r="J86" s="7">
        <f>IFERROR(VLOOKUP(I86,Materiales!$A:$H,8,0),"")</f>
        <v/>
      </c>
      <c r="K86" s="9">
        <f>IFERROR(VLOOKUP(I86,Materiales!$A:$G,7,0),"")</f>
        <v/>
      </c>
      <c r="L86" s="8" t="inlineStr">
        <is>
          <t>20191211</t>
        </is>
      </c>
      <c r="M86" s="8" t="inlineStr">
        <is>
          <t>20251031</t>
        </is>
      </c>
      <c r="N86" s="10" t="n">
        <v>205</v>
      </c>
      <c r="O86" s="10">
        <f>IFERROR(VLOOKUP(A86,Flete!$A:$J,10,0),"")</f>
        <v/>
      </c>
      <c r="P86" s="8" t="inlineStr">
        <is>
          <t>TN</t>
        </is>
      </c>
      <c r="Q86" s="10">
        <f>IFERROR(IFERROR(VLOOKUP(A86,TRAOPE!$A:$U,21,0),VLOOKUP(B86,TRAOPE!$A:$U,21,0)),"")</f>
        <v/>
      </c>
      <c r="R86" s="8">
        <f>IFERROR(IFERROR(VLOOKUP(A86,TRAOPE!$A:$W,23,0),VLOOKUP(B86,TRAOPE!$A:$W,23,0)),"")</f>
        <v/>
      </c>
      <c r="S86" s="10">
        <f>IF(AND(P86="TN",R86="TN"),N86+N(O86),IF(G86&amp;""="1",N(K86)*N86,(N86+N(O86))*N(K86)))</f>
        <v/>
      </c>
      <c r="T86" s="10">
        <f>IF(Q86="","",Q86-S86)</f>
        <v/>
      </c>
    </row>
    <row r="87">
      <c r="A87" s="7">
        <f>CONCATENATE(C87,E87,F87,I87)</f>
        <v/>
      </c>
      <c r="B87" s="7">
        <f>CONCATENATE(C87,E87,I87)</f>
        <v/>
      </c>
      <c r="C87" s="8" t="n">
        <v>900005260</v>
      </c>
      <c r="D87" s="7">
        <f>IFERROR(VLOOKUP(C87,TRAOPE!$G:$H,2,0),"")</f>
        <v/>
      </c>
      <c r="E87" s="8" t="inlineStr">
        <is>
          <t>D845</t>
        </is>
      </c>
      <c r="F87" s="8" t="inlineStr">
        <is>
          <t>67293767</t>
        </is>
      </c>
      <c r="G87" s="8">
        <f>IFERROR(VLOOKUP(A87,Flete!$A:$E,5,0),"")</f>
        <v/>
      </c>
      <c r="H87" s="7">
        <f>IFERROR(VLOOKUP(F87,TRAOPE!$AA:$AB,2,0),"")</f>
        <v/>
      </c>
      <c r="I87" s="7" t="n">
        <v>10217514</v>
      </c>
      <c r="J87" s="7">
        <f>IFERROR(VLOOKUP(I87,Materiales!$A:$H,8,0),"")</f>
        <v/>
      </c>
      <c r="K87" s="9">
        <f>IFERROR(VLOOKUP(I87,Materiales!$A:$G,7,0),"")</f>
        <v/>
      </c>
      <c r="L87" s="8" t="inlineStr">
        <is>
          <t>20191211</t>
        </is>
      </c>
      <c r="M87" s="8" t="inlineStr">
        <is>
          <t>20251031</t>
        </is>
      </c>
      <c r="N87" s="10" t="n">
        <v>100</v>
      </c>
      <c r="O87" s="10">
        <f>IFERROR(VLOOKUP(A87,Flete!$A:$J,10,0),"")</f>
        <v/>
      </c>
      <c r="P87" s="8" t="inlineStr">
        <is>
          <t>M3</t>
        </is>
      </c>
      <c r="Q87" s="10">
        <f>IFERROR(IFERROR(VLOOKUP(A87,TRAOPE!$A:$U,21,0),VLOOKUP(B87,TRAOPE!$A:$U,21,0)),"")</f>
        <v/>
      </c>
      <c r="R87" s="8">
        <f>IFERROR(IFERROR(VLOOKUP(A87,TRAOPE!$A:$W,23,0),VLOOKUP(B87,TRAOPE!$A:$W,23,0)),"")</f>
        <v/>
      </c>
      <c r="S87" s="10">
        <f>IF(AND(P87="TN",R87="TN"),N87+N(O87),IF(G87&amp;""="1",N(K87)*N87,(N87+N(O87))*N(K87)))</f>
        <v/>
      </c>
      <c r="T87" s="10">
        <f>IF(Q87="","",Q87-S87)</f>
        <v/>
      </c>
    </row>
    <row r="88">
      <c r="A88" s="7">
        <f>CONCATENATE(C88,E88,F88,I88)</f>
        <v/>
      </c>
      <c r="B88" s="7">
        <f>CONCATENATE(C88,E88,I88)</f>
        <v/>
      </c>
      <c r="C88" s="8" t="n">
        <v>900005260</v>
      </c>
      <c r="D88" s="7">
        <f>IFERROR(VLOOKUP(C88,TRAOPE!$G:$H,2,0),"")</f>
        <v/>
      </c>
      <c r="E88" s="8" t="inlineStr">
        <is>
          <t>D845</t>
        </is>
      </c>
      <c r="F88" s="8" t="inlineStr">
        <is>
          <t>67302210</t>
        </is>
      </c>
      <c r="G88" s="8">
        <f>IFERROR(VLOOKUP(A88,Flete!$A:$E,5,0),"")</f>
        <v/>
      </c>
      <c r="H88" s="7">
        <f>IFERROR(VLOOKUP(F88,TRAOPE!$AA:$AB,2,0),"")</f>
        <v/>
      </c>
      <c r="I88" s="7" t="n">
        <v>10217514</v>
      </c>
      <c r="J88" s="7">
        <f>IFERROR(VLOOKUP(I88,Materiales!$A:$H,8,0),"")</f>
        <v/>
      </c>
      <c r="K88" s="9">
        <f>IFERROR(VLOOKUP(I88,Materiales!$A:$G,7,0),"")</f>
        <v/>
      </c>
      <c r="L88" s="8" t="inlineStr">
        <is>
          <t>20191211</t>
        </is>
      </c>
      <c r="M88" s="8" t="inlineStr">
        <is>
          <t>20251031</t>
        </is>
      </c>
      <c r="N88" s="10" t="n">
        <v>80</v>
      </c>
      <c r="O88" s="10">
        <f>IFERROR(VLOOKUP(A88,Flete!$A:$J,10,0),"")</f>
        <v/>
      </c>
      <c r="P88" s="8" t="inlineStr">
        <is>
          <t>M3</t>
        </is>
      </c>
      <c r="Q88" s="10">
        <f>IFERROR(IFERROR(VLOOKUP(A88,TRAOPE!$A:$U,21,0),VLOOKUP(B88,TRAOPE!$A:$U,21,0)),"")</f>
        <v/>
      </c>
      <c r="R88" s="8">
        <f>IFERROR(IFERROR(VLOOKUP(A88,TRAOPE!$A:$W,23,0),VLOOKUP(B88,TRAOPE!$A:$W,23,0)),"")</f>
        <v/>
      </c>
      <c r="S88" s="10">
        <f>IF(AND(P88="TN",R88="TN"),N88+N(O88),IF(G88&amp;""="1",N(K88)*N88,(N88+N(O88))*N(K88)))</f>
        <v/>
      </c>
      <c r="T88" s="10">
        <f>IF(Q88="","",Q88-S88)</f>
        <v/>
      </c>
    </row>
    <row r="89">
      <c r="A89" s="7">
        <f>CONCATENATE(C89,E89,F89,I89)</f>
        <v/>
      </c>
      <c r="B89" s="7">
        <f>CONCATENATE(C89,E89,I89)</f>
        <v/>
      </c>
      <c r="C89" s="8" t="n">
        <v>900005260</v>
      </c>
      <c r="D89" s="7">
        <f>IFERROR(VLOOKUP(C89,TRAOPE!$G:$H,2,0),"")</f>
        <v/>
      </c>
      <c r="E89" s="8" t="inlineStr">
        <is>
          <t>D845</t>
        </is>
      </c>
      <c r="F89" s="8" t="inlineStr">
        <is>
          <t>67307402</t>
        </is>
      </c>
      <c r="G89" s="8">
        <f>IFERROR(VLOOKUP(A89,Flete!$A:$E,5,0),"")</f>
        <v/>
      </c>
      <c r="H89" s="7">
        <f>IFERROR(VLOOKUP(F89,TRAOPE!$AA:$AB,2,0),"")</f>
        <v/>
      </c>
      <c r="I89" s="7" t="n">
        <v>10000536</v>
      </c>
      <c r="J89" s="7">
        <f>IFERROR(VLOOKUP(I89,Materiales!$A:$H,8,0),"")</f>
        <v/>
      </c>
      <c r="K89" s="9">
        <f>IFERROR(VLOOKUP(I89,Materiales!$A:$G,7,0),"")</f>
        <v/>
      </c>
      <c r="L89" s="8" t="inlineStr">
        <is>
          <t>20191211</t>
        </is>
      </c>
      <c r="M89" s="8" t="inlineStr">
        <is>
          <t>20251031</t>
        </is>
      </c>
      <c r="N89" s="10" t="n">
        <v>190</v>
      </c>
      <c r="O89" s="10">
        <f>IFERROR(VLOOKUP(A89,Flete!$A:$J,10,0),"")</f>
        <v/>
      </c>
      <c r="P89" s="8" t="inlineStr">
        <is>
          <t>TN</t>
        </is>
      </c>
      <c r="Q89" s="10">
        <f>IFERROR(IFERROR(VLOOKUP(A89,TRAOPE!$A:$U,21,0),VLOOKUP(B89,TRAOPE!$A:$U,21,0)),"")</f>
        <v/>
      </c>
      <c r="R89" s="8">
        <f>IFERROR(IFERROR(VLOOKUP(A89,TRAOPE!$A:$W,23,0),VLOOKUP(B89,TRAOPE!$A:$W,23,0)),"")</f>
        <v/>
      </c>
      <c r="S89" s="10">
        <f>IF(AND(P89="TN",R89="TN"),N89+N(O89),IF(G89&amp;""="1",N(K89)*N89,(N89+N(O89))*N(K89)))</f>
        <v/>
      </c>
      <c r="T89" s="10">
        <f>IF(Q89="","",Q89-S89)</f>
        <v/>
      </c>
    </row>
    <row r="90">
      <c r="A90" s="7">
        <f>CONCATENATE(C90,E90,F90,I90)</f>
        <v/>
      </c>
      <c r="B90" s="7">
        <f>CONCATENATE(C90,E90,I90)</f>
        <v/>
      </c>
      <c r="C90" s="8" t="n">
        <v>900005260</v>
      </c>
      <c r="D90" s="7">
        <f>IFERROR(VLOOKUP(C90,TRAOPE!$G:$H,2,0),"")</f>
        <v/>
      </c>
      <c r="E90" s="8" t="inlineStr">
        <is>
          <t>D845</t>
        </is>
      </c>
      <c r="F90" s="8" t="inlineStr">
        <is>
          <t>67307402</t>
        </is>
      </c>
      <c r="G90" s="8">
        <f>IFERROR(VLOOKUP(A90,Flete!$A:$E,5,0),"")</f>
        <v/>
      </c>
      <c r="H90" s="7">
        <f>IFERROR(VLOOKUP(F90,TRAOPE!$AA:$AB,2,0),"")</f>
        <v/>
      </c>
      <c r="I90" s="7" t="n">
        <v>10000578</v>
      </c>
      <c r="J90" s="7">
        <f>IFERROR(VLOOKUP(I90,Materiales!$A:$H,8,0),"")</f>
        <v/>
      </c>
      <c r="K90" s="9">
        <f>IFERROR(VLOOKUP(I90,Materiales!$A:$G,7,0),"")</f>
        <v/>
      </c>
      <c r="L90" s="8" t="inlineStr">
        <is>
          <t>20191211</t>
        </is>
      </c>
      <c r="M90" s="8" t="inlineStr">
        <is>
          <t>20251031</t>
        </is>
      </c>
      <c r="N90" s="10" t="n">
        <v>190</v>
      </c>
      <c r="O90" s="10">
        <f>IFERROR(VLOOKUP(A90,Flete!$A:$J,10,0),"")</f>
        <v/>
      </c>
      <c r="P90" s="8" t="inlineStr">
        <is>
          <t>TN</t>
        </is>
      </c>
      <c r="Q90" s="10">
        <f>IFERROR(IFERROR(VLOOKUP(A90,TRAOPE!$A:$U,21,0),VLOOKUP(B90,TRAOPE!$A:$U,21,0)),"")</f>
        <v/>
      </c>
      <c r="R90" s="8">
        <f>IFERROR(IFERROR(VLOOKUP(A90,TRAOPE!$A:$W,23,0),VLOOKUP(B90,TRAOPE!$A:$W,23,0)),"")</f>
        <v/>
      </c>
      <c r="S90" s="10">
        <f>IF(AND(P90="TN",R90="TN"),N90+N(O90),IF(G90&amp;""="1",N(K90)*N90,(N90+N(O90))*N(K90)))</f>
        <v/>
      </c>
      <c r="T90" s="10">
        <f>IF(Q90="","",Q90-S90)</f>
        <v/>
      </c>
    </row>
    <row r="91">
      <c r="A91" s="7">
        <f>CONCATENATE(C91,E91,F91,I91)</f>
        <v/>
      </c>
      <c r="B91" s="7">
        <f>CONCATENATE(C91,E91,I91)</f>
        <v/>
      </c>
      <c r="C91" s="8" t="n">
        <v>900005260</v>
      </c>
      <c r="D91" s="7">
        <f>IFERROR(VLOOKUP(C91,TRAOPE!$G:$H,2,0),"")</f>
        <v/>
      </c>
      <c r="E91" s="8" t="inlineStr">
        <is>
          <t>D845</t>
        </is>
      </c>
      <c r="F91" s="8" t="inlineStr">
        <is>
          <t>67307402</t>
        </is>
      </c>
      <c r="G91" s="8">
        <f>IFERROR(VLOOKUP(A91,Flete!$A:$E,5,0),"")</f>
        <v/>
      </c>
      <c r="H91" s="7">
        <f>IFERROR(VLOOKUP(F91,TRAOPE!$AA:$AB,2,0),"")</f>
        <v/>
      </c>
      <c r="I91" s="7" t="n">
        <v>10000617</v>
      </c>
      <c r="J91" s="7">
        <f>IFERROR(VLOOKUP(I91,Materiales!$A:$H,8,0),"")</f>
        <v/>
      </c>
      <c r="K91" s="9">
        <f>IFERROR(VLOOKUP(I91,Materiales!$A:$G,7,0),"")</f>
        <v/>
      </c>
      <c r="L91" s="8" t="inlineStr">
        <is>
          <t>20191211</t>
        </is>
      </c>
      <c r="M91" s="8" t="inlineStr">
        <is>
          <t>20251031</t>
        </is>
      </c>
      <c r="N91" s="10" t="n">
        <v>200</v>
      </c>
      <c r="O91" s="10">
        <f>IFERROR(VLOOKUP(A91,Flete!$A:$J,10,0),"")</f>
        <v/>
      </c>
      <c r="P91" s="8" t="inlineStr">
        <is>
          <t>TN</t>
        </is>
      </c>
      <c r="Q91" s="10">
        <f>IFERROR(IFERROR(VLOOKUP(A91,TRAOPE!$A:$U,21,0),VLOOKUP(B91,TRAOPE!$A:$U,21,0)),"")</f>
        <v/>
      </c>
      <c r="R91" s="8">
        <f>IFERROR(IFERROR(VLOOKUP(A91,TRAOPE!$A:$W,23,0),VLOOKUP(B91,TRAOPE!$A:$W,23,0)),"")</f>
        <v/>
      </c>
      <c r="S91" s="10">
        <f>IF(AND(P91="TN",R91="TN"),N91+N(O91),IF(G91&amp;""="1",N(K91)*N91,(N91+N(O91))*N(K91)))</f>
        <v/>
      </c>
      <c r="T91" s="10">
        <f>IF(Q91="","",Q91-S91)</f>
        <v/>
      </c>
    </row>
    <row r="92">
      <c r="A92" s="7">
        <f>CONCATENATE(C92,E92,F92,I92)</f>
        <v/>
      </c>
      <c r="B92" s="7">
        <f>CONCATENATE(C92,E92,I92)</f>
        <v/>
      </c>
      <c r="C92" s="8" t="n">
        <v>900005260</v>
      </c>
      <c r="D92" s="7">
        <f>IFERROR(VLOOKUP(C92,TRAOPE!$G:$H,2,0),"")</f>
        <v/>
      </c>
      <c r="E92" s="8" t="inlineStr">
        <is>
          <t>D845</t>
        </is>
      </c>
      <c r="F92" s="8" t="inlineStr">
        <is>
          <t>67307402</t>
        </is>
      </c>
      <c r="G92" s="8">
        <f>IFERROR(VLOOKUP(A92,Flete!$A:$E,5,0),"")</f>
        <v/>
      </c>
      <c r="H92" s="7">
        <f>IFERROR(VLOOKUP(F92,TRAOPE!$AA:$AB,2,0),"")</f>
        <v/>
      </c>
      <c r="I92" s="7" t="n">
        <v>10167749</v>
      </c>
      <c r="J92" s="7">
        <f>IFERROR(VLOOKUP(I92,Materiales!$A:$H,8,0),"")</f>
        <v/>
      </c>
      <c r="K92" s="9">
        <f>IFERROR(VLOOKUP(I92,Materiales!$A:$G,7,0),"")</f>
        <v/>
      </c>
      <c r="L92" s="8" t="inlineStr">
        <is>
          <t>20191211</t>
        </is>
      </c>
      <c r="M92" s="8" t="inlineStr">
        <is>
          <t>20251031</t>
        </is>
      </c>
      <c r="N92" s="10" t="n">
        <v>193</v>
      </c>
      <c r="O92" s="10">
        <f>IFERROR(VLOOKUP(A92,Flete!$A:$J,10,0),"")</f>
        <v/>
      </c>
      <c r="P92" s="8" t="inlineStr">
        <is>
          <t>TN</t>
        </is>
      </c>
      <c r="Q92" s="10">
        <f>IFERROR(IFERROR(VLOOKUP(A92,TRAOPE!$A:$U,21,0),VLOOKUP(B92,TRAOPE!$A:$U,21,0)),"")</f>
        <v/>
      </c>
      <c r="R92" s="8">
        <f>IFERROR(IFERROR(VLOOKUP(A92,TRAOPE!$A:$W,23,0),VLOOKUP(B92,TRAOPE!$A:$W,23,0)),"")</f>
        <v/>
      </c>
      <c r="S92" s="10">
        <f>IF(AND(P92="TN",R92="TN"),N92+N(O92),IF(G92&amp;""="1",N(K92)*N92,(N92+N(O92))*N(K92)))</f>
        <v/>
      </c>
      <c r="T92" s="10">
        <f>IF(Q92="","",Q92-S92)</f>
        <v/>
      </c>
    </row>
    <row r="93">
      <c r="A93" s="7">
        <f>CONCATENATE(C93,E93,F93,I93)</f>
        <v/>
      </c>
      <c r="B93" s="7">
        <f>CONCATENATE(C93,E93,I93)</f>
        <v/>
      </c>
      <c r="C93" s="8" t="n">
        <v>900005260</v>
      </c>
      <c r="D93" s="7">
        <f>IFERROR(VLOOKUP(C93,TRAOPE!$G:$H,2,0),"")</f>
        <v/>
      </c>
      <c r="E93" s="8" t="inlineStr">
        <is>
          <t>D845</t>
        </is>
      </c>
      <c r="F93" s="8" t="inlineStr">
        <is>
          <t>67318363</t>
        </is>
      </c>
      <c r="G93" s="8">
        <f>IFERROR(VLOOKUP(A93,Flete!$A:$E,5,0),"")</f>
        <v/>
      </c>
      <c r="H93" s="7">
        <f>IFERROR(VLOOKUP(F93,TRAOPE!$AA:$AB,2,0),"")</f>
        <v/>
      </c>
      <c r="I93" s="7" t="n">
        <v>10167749</v>
      </c>
      <c r="J93" s="7">
        <f>IFERROR(VLOOKUP(I93,Materiales!$A:$H,8,0),"")</f>
        <v/>
      </c>
      <c r="K93" s="9">
        <f>IFERROR(VLOOKUP(I93,Materiales!$A:$G,7,0),"")</f>
        <v/>
      </c>
      <c r="L93" s="8" t="inlineStr">
        <is>
          <t>20191211</t>
        </is>
      </c>
      <c r="M93" s="8" t="inlineStr">
        <is>
          <t>20251031</t>
        </is>
      </c>
      <c r="N93" s="10" t="n">
        <v>200</v>
      </c>
      <c r="O93" s="10">
        <f>IFERROR(VLOOKUP(A93,Flete!$A:$J,10,0),"")</f>
        <v/>
      </c>
      <c r="P93" s="8" t="inlineStr">
        <is>
          <t>TN</t>
        </is>
      </c>
      <c r="Q93" s="10">
        <f>IFERROR(IFERROR(VLOOKUP(A93,TRAOPE!$A:$U,21,0),VLOOKUP(B93,TRAOPE!$A:$U,21,0)),"")</f>
        <v/>
      </c>
      <c r="R93" s="8">
        <f>IFERROR(IFERROR(VLOOKUP(A93,TRAOPE!$A:$W,23,0),VLOOKUP(B93,TRAOPE!$A:$W,23,0)),"")</f>
        <v/>
      </c>
      <c r="S93" s="10">
        <f>IF(AND(P93="TN",R93="TN"),N93+N(O93),IF(G93&amp;""="1",N(K93)*N93,(N93+N(O93))*N(K93)))</f>
        <v/>
      </c>
      <c r="T93" s="10">
        <f>IF(Q93="","",Q93-S93)</f>
        <v/>
      </c>
    </row>
    <row r="94">
      <c r="A94" s="7">
        <f>CONCATENATE(C94,E94,F94,I94)</f>
        <v/>
      </c>
      <c r="B94" s="7">
        <f>CONCATENATE(C94,E94,I94)</f>
        <v/>
      </c>
      <c r="C94" s="8" t="n">
        <v>900005260</v>
      </c>
      <c r="D94" s="7">
        <f>IFERROR(VLOOKUP(C94,TRAOPE!$G:$H,2,0),"")</f>
        <v/>
      </c>
      <c r="E94" s="8" t="inlineStr">
        <is>
          <t>D845</t>
        </is>
      </c>
      <c r="F94" s="8" t="inlineStr">
        <is>
          <t>67326642</t>
        </is>
      </c>
      <c r="G94" s="8">
        <f>IFERROR(VLOOKUP(A94,Flete!$A:$E,5,0),"")</f>
        <v/>
      </c>
      <c r="H94" s="7">
        <f>IFERROR(VLOOKUP(F94,TRAOPE!$AA:$AB,2,0),"")</f>
        <v/>
      </c>
      <c r="I94" s="7" t="n">
        <v>10167749</v>
      </c>
      <c r="J94" s="7">
        <f>IFERROR(VLOOKUP(I94,Materiales!$A:$H,8,0),"")</f>
        <v/>
      </c>
      <c r="K94" s="9">
        <f>IFERROR(VLOOKUP(I94,Materiales!$A:$G,7,0),"")</f>
        <v/>
      </c>
      <c r="L94" s="8" t="inlineStr">
        <is>
          <t>20191211</t>
        </is>
      </c>
      <c r="M94" s="8" t="inlineStr">
        <is>
          <t>20251031</t>
        </is>
      </c>
      <c r="N94" s="10" t="n">
        <v>193</v>
      </c>
      <c r="O94" s="10">
        <f>IFERROR(VLOOKUP(A94,Flete!$A:$J,10,0),"")</f>
        <v/>
      </c>
      <c r="P94" s="8" t="inlineStr">
        <is>
          <t>TN</t>
        </is>
      </c>
      <c r="Q94" s="10">
        <f>IFERROR(IFERROR(VLOOKUP(A94,TRAOPE!$A:$U,21,0),VLOOKUP(B94,TRAOPE!$A:$U,21,0)),"")</f>
        <v/>
      </c>
      <c r="R94" s="8">
        <f>IFERROR(IFERROR(VLOOKUP(A94,TRAOPE!$A:$W,23,0),VLOOKUP(B94,TRAOPE!$A:$W,23,0)),"")</f>
        <v/>
      </c>
      <c r="S94" s="10">
        <f>IF(AND(P94="TN",R94="TN"),N94+N(O94),IF(G94&amp;""="1",N(K94)*N94,(N94+N(O94))*N(K94)))</f>
        <v/>
      </c>
      <c r="T94" s="10">
        <f>IF(Q94="","",Q94-S94)</f>
        <v/>
      </c>
    </row>
    <row r="95">
      <c r="A95" s="7">
        <f>CONCATENATE(C95,E95,F95,I95)</f>
        <v/>
      </c>
      <c r="B95" s="7">
        <f>CONCATENATE(C95,E95,I95)</f>
        <v/>
      </c>
      <c r="C95" s="8" t="n">
        <v>900006074</v>
      </c>
      <c r="D95" s="7">
        <f>IFERROR(VLOOKUP(C95,TRAOPE!$G:$H,2,0),"")</f>
        <v/>
      </c>
      <c r="E95" s="8" t="inlineStr">
        <is>
          <t>D845</t>
        </is>
      </c>
      <c r="F95" s="8" t="inlineStr">
        <is>
          <t>65005139</t>
        </is>
      </c>
      <c r="G95" s="8">
        <f>IFERROR(VLOOKUP(A95,Flete!$A:$E,5,0),"")</f>
        <v/>
      </c>
      <c r="H95" s="7">
        <f>IFERROR(VLOOKUP(F95,TRAOPE!$AA:$AB,2,0),"")</f>
        <v/>
      </c>
      <c r="I95" s="7" t="n">
        <v>10058501</v>
      </c>
      <c r="J95" s="7">
        <f>IFERROR(VLOOKUP(I95,Materiales!$A:$H,8,0),"")</f>
        <v/>
      </c>
      <c r="K95" s="9">
        <f>IFERROR(VLOOKUP(I95,Materiales!$A:$G,7,0),"")</f>
        <v/>
      </c>
      <c r="L95" s="8" t="inlineStr">
        <is>
          <t>20191211</t>
        </is>
      </c>
      <c r="M95" s="8" t="inlineStr">
        <is>
          <t>20251031</t>
        </is>
      </c>
      <c r="N95" s="10" t="n">
        <v>151</v>
      </c>
      <c r="O95" s="10">
        <f>IFERROR(VLOOKUP(A95,Flete!$A:$J,10,0),"")</f>
        <v/>
      </c>
      <c r="P95" s="8" t="inlineStr">
        <is>
          <t>TN</t>
        </is>
      </c>
      <c r="Q95" s="10">
        <f>IFERROR(IFERROR(VLOOKUP(A95,TRAOPE!$A:$U,21,0),VLOOKUP(B95,TRAOPE!$A:$U,21,0)),"")</f>
        <v/>
      </c>
      <c r="R95" s="8">
        <f>IFERROR(IFERROR(VLOOKUP(A95,TRAOPE!$A:$W,23,0),VLOOKUP(B95,TRAOPE!$A:$W,23,0)),"")</f>
        <v/>
      </c>
      <c r="S95" s="10">
        <f>IF(AND(P95="TN",R95="TN"),N95+N(O95),IF(G95&amp;""="1",N(K95)*N95,(N95+N(O95))*N(K95)))</f>
        <v/>
      </c>
      <c r="T95" s="10">
        <f>IF(Q95="","",Q95-S95)</f>
        <v/>
      </c>
    </row>
    <row r="96">
      <c r="A96" s="7">
        <f>CONCATENATE(C96,E96,F96,I96)</f>
        <v/>
      </c>
      <c r="B96" s="7">
        <f>CONCATENATE(C96,E96,I96)</f>
        <v/>
      </c>
      <c r="C96" s="8" t="n">
        <v>900006074</v>
      </c>
      <c r="D96" s="7">
        <f>IFERROR(VLOOKUP(C96,TRAOPE!$G:$H,2,0),"")</f>
        <v/>
      </c>
      <c r="E96" s="8" t="inlineStr">
        <is>
          <t>D845</t>
        </is>
      </c>
      <c r="F96" s="8" t="inlineStr">
        <is>
          <t>65658362</t>
        </is>
      </c>
      <c r="G96" s="8">
        <f>IFERROR(VLOOKUP(A96,Flete!$A:$E,5,0),"")</f>
        <v/>
      </c>
      <c r="H96" s="7">
        <f>IFERROR(VLOOKUP(F96,TRAOPE!$AA:$AB,2,0),"")</f>
        <v/>
      </c>
      <c r="I96" s="7" t="n">
        <v>10000536</v>
      </c>
      <c r="J96" s="7">
        <f>IFERROR(VLOOKUP(I96,Materiales!$A:$H,8,0),"")</f>
        <v/>
      </c>
      <c r="K96" s="9">
        <f>IFERROR(VLOOKUP(I96,Materiales!$A:$G,7,0),"")</f>
        <v/>
      </c>
      <c r="L96" s="8" t="inlineStr">
        <is>
          <t>20191211</t>
        </is>
      </c>
      <c r="M96" s="8" t="inlineStr">
        <is>
          <t>20251031</t>
        </is>
      </c>
      <c r="N96" s="10" t="n">
        <v>132</v>
      </c>
      <c r="O96" s="10">
        <f>IFERROR(VLOOKUP(A96,Flete!$A:$J,10,0),"")</f>
        <v/>
      </c>
      <c r="P96" s="8" t="inlineStr">
        <is>
          <t>TN</t>
        </is>
      </c>
      <c r="Q96" s="10">
        <f>IFERROR(IFERROR(VLOOKUP(A96,TRAOPE!$A:$U,21,0),VLOOKUP(B96,TRAOPE!$A:$U,21,0)),"")</f>
        <v/>
      </c>
      <c r="R96" s="8">
        <f>IFERROR(IFERROR(VLOOKUP(A96,TRAOPE!$A:$W,23,0),VLOOKUP(B96,TRAOPE!$A:$W,23,0)),"")</f>
        <v/>
      </c>
      <c r="S96" s="10">
        <f>IF(AND(P96="TN",R96="TN"),N96+N(O96),IF(G96&amp;""="1",N(K96)*N96,(N96+N(O96))*N(K96)))</f>
        <v/>
      </c>
      <c r="T96" s="10">
        <f>IF(Q96="","",Q96-S96)</f>
        <v/>
      </c>
    </row>
    <row r="97">
      <c r="A97" s="7">
        <f>CONCATENATE(C97,E97,F97,I97)</f>
        <v/>
      </c>
      <c r="B97" s="7">
        <f>CONCATENATE(C97,E97,I97)</f>
        <v/>
      </c>
      <c r="C97" s="8" t="n">
        <v>900006074</v>
      </c>
      <c r="D97" s="7">
        <f>IFERROR(VLOOKUP(C97,TRAOPE!$G:$H,2,0),"")</f>
        <v/>
      </c>
      <c r="E97" s="8" t="inlineStr">
        <is>
          <t>D845</t>
        </is>
      </c>
      <c r="F97" s="8" t="inlineStr">
        <is>
          <t>65658362</t>
        </is>
      </c>
      <c r="G97" s="8">
        <f>IFERROR(VLOOKUP(A97,Flete!$A:$E,5,0),"")</f>
        <v/>
      </c>
      <c r="H97" s="7">
        <f>IFERROR(VLOOKUP(F97,TRAOPE!$AA:$AB,2,0),"")</f>
        <v/>
      </c>
      <c r="I97" s="7" t="n">
        <v>10000578</v>
      </c>
      <c r="J97" s="7">
        <f>IFERROR(VLOOKUP(I97,Materiales!$A:$H,8,0),"")</f>
        <v/>
      </c>
      <c r="K97" s="9">
        <f>IFERROR(VLOOKUP(I97,Materiales!$A:$G,7,0),"")</f>
        <v/>
      </c>
      <c r="L97" s="8" t="inlineStr">
        <is>
          <t>20191211</t>
        </is>
      </c>
      <c r="M97" s="8" t="inlineStr">
        <is>
          <t>20251031</t>
        </is>
      </c>
      <c r="N97" s="10" t="n">
        <v>132</v>
      </c>
      <c r="O97" s="10">
        <f>IFERROR(VLOOKUP(A97,Flete!$A:$J,10,0),"")</f>
        <v/>
      </c>
      <c r="P97" s="8" t="inlineStr">
        <is>
          <t>TN</t>
        </is>
      </c>
      <c r="Q97" s="10">
        <f>IFERROR(IFERROR(VLOOKUP(A97,TRAOPE!$A:$U,21,0),VLOOKUP(B97,TRAOPE!$A:$U,21,0)),"")</f>
        <v/>
      </c>
      <c r="R97" s="8">
        <f>IFERROR(IFERROR(VLOOKUP(A97,TRAOPE!$A:$W,23,0),VLOOKUP(B97,TRAOPE!$A:$W,23,0)),"")</f>
        <v/>
      </c>
      <c r="S97" s="10">
        <f>IF(AND(P97="TN",R97="TN"),N97+N(O97),IF(G97&amp;""="1",N(K97)*N97,(N97+N(O97))*N(K97)))</f>
        <v/>
      </c>
      <c r="T97" s="10">
        <f>IF(Q97="","",Q97-S97)</f>
        <v/>
      </c>
    </row>
    <row r="98">
      <c r="A98" s="7">
        <f>CONCATENATE(C98,E98,F98,I98)</f>
        <v/>
      </c>
      <c r="B98" s="7">
        <f>CONCATENATE(C98,E98,I98)</f>
        <v/>
      </c>
      <c r="C98" s="8" t="n">
        <v>900006074</v>
      </c>
      <c r="D98" s="7">
        <f>IFERROR(VLOOKUP(C98,TRAOPE!$G:$H,2,0),"")</f>
        <v/>
      </c>
      <c r="E98" s="8" t="inlineStr">
        <is>
          <t>D845</t>
        </is>
      </c>
      <c r="F98" s="8" t="inlineStr">
        <is>
          <t>65658362</t>
        </is>
      </c>
      <c r="G98" s="8">
        <f>IFERROR(VLOOKUP(A98,Flete!$A:$E,5,0),"")</f>
        <v/>
      </c>
      <c r="H98" s="7">
        <f>IFERROR(VLOOKUP(F98,TRAOPE!$AA:$AB,2,0),"")</f>
        <v/>
      </c>
      <c r="I98" s="7" t="n">
        <v>10000617</v>
      </c>
      <c r="J98" s="7">
        <f>IFERROR(VLOOKUP(I98,Materiales!$A:$H,8,0),"")</f>
        <v/>
      </c>
      <c r="K98" s="9">
        <f>IFERROR(VLOOKUP(I98,Materiales!$A:$G,7,0),"")</f>
        <v/>
      </c>
      <c r="L98" s="8" t="inlineStr">
        <is>
          <t>20191211</t>
        </is>
      </c>
      <c r="M98" s="8" t="inlineStr">
        <is>
          <t>20251031</t>
        </is>
      </c>
      <c r="N98" s="10" t="n">
        <v>142</v>
      </c>
      <c r="O98" s="10">
        <f>IFERROR(VLOOKUP(A98,Flete!$A:$J,10,0),"")</f>
        <v/>
      </c>
      <c r="P98" s="8" t="inlineStr">
        <is>
          <t>TN</t>
        </is>
      </c>
      <c r="Q98" s="10">
        <f>IFERROR(IFERROR(VLOOKUP(A98,TRAOPE!$A:$U,21,0),VLOOKUP(B98,TRAOPE!$A:$U,21,0)),"")</f>
        <v/>
      </c>
      <c r="R98" s="8">
        <f>IFERROR(IFERROR(VLOOKUP(A98,TRAOPE!$A:$W,23,0),VLOOKUP(B98,TRAOPE!$A:$W,23,0)),"")</f>
        <v/>
      </c>
      <c r="S98" s="10">
        <f>IF(AND(P98="TN",R98="TN"),N98+N(O98),IF(G98&amp;""="1",N(K98)*N98,(N98+N(O98))*N(K98)))</f>
        <v/>
      </c>
      <c r="T98" s="10">
        <f>IF(Q98="","",Q98-S98)</f>
        <v/>
      </c>
    </row>
    <row r="99">
      <c r="A99" s="7">
        <f>CONCATENATE(C99,E99,F99,I99)</f>
        <v/>
      </c>
      <c r="B99" s="7">
        <f>CONCATENATE(C99,E99,I99)</f>
        <v/>
      </c>
      <c r="C99" s="8" t="n">
        <v>900006074</v>
      </c>
      <c r="D99" s="7">
        <f>IFERROR(VLOOKUP(C99,TRAOPE!$G:$H,2,0),"")</f>
        <v/>
      </c>
      <c r="E99" s="8" t="inlineStr">
        <is>
          <t>D845</t>
        </is>
      </c>
      <c r="F99" s="8" t="inlineStr">
        <is>
          <t>65658362</t>
        </is>
      </c>
      <c r="G99" s="8">
        <f>IFERROR(VLOOKUP(A99,Flete!$A:$E,5,0),"")</f>
        <v/>
      </c>
      <c r="H99" s="7">
        <f>IFERROR(VLOOKUP(F99,TRAOPE!$AA:$AB,2,0),"")</f>
        <v/>
      </c>
      <c r="I99" s="7" t="n">
        <v>10000656</v>
      </c>
      <c r="J99" s="7">
        <f>IFERROR(VLOOKUP(I99,Materiales!$A:$H,8,0),"")</f>
        <v/>
      </c>
      <c r="K99" s="9">
        <f>IFERROR(VLOOKUP(I99,Materiales!$A:$G,7,0),"")</f>
        <v/>
      </c>
      <c r="L99" s="8" t="inlineStr">
        <is>
          <t>20191211</t>
        </is>
      </c>
      <c r="M99" s="8" t="inlineStr">
        <is>
          <t>20251031</t>
        </is>
      </c>
      <c r="N99" s="10" t="n">
        <v>140</v>
      </c>
      <c r="O99" s="10">
        <f>IFERROR(VLOOKUP(A99,Flete!$A:$J,10,0),"")</f>
        <v/>
      </c>
      <c r="P99" s="8" t="inlineStr">
        <is>
          <t>TN</t>
        </is>
      </c>
      <c r="Q99" s="10">
        <f>IFERROR(IFERROR(VLOOKUP(A99,TRAOPE!$A:$U,21,0),VLOOKUP(B99,TRAOPE!$A:$U,21,0)),"")</f>
        <v/>
      </c>
      <c r="R99" s="8">
        <f>IFERROR(IFERROR(VLOOKUP(A99,TRAOPE!$A:$W,23,0),VLOOKUP(B99,TRAOPE!$A:$W,23,0)),"")</f>
        <v/>
      </c>
      <c r="S99" s="10">
        <f>IF(AND(P99="TN",R99="TN"),N99+N(O99),IF(G99&amp;""="1",N(K99)*N99,(N99+N(O99))*N(K99)))</f>
        <v/>
      </c>
      <c r="T99" s="10">
        <f>IF(Q99="","",Q99-S99)</f>
        <v/>
      </c>
    </row>
    <row r="100">
      <c r="A100" s="7">
        <f>CONCATENATE(C100,E100,F100,I100)</f>
        <v/>
      </c>
      <c r="B100" s="7">
        <f>CONCATENATE(C100,E100,I100)</f>
        <v/>
      </c>
      <c r="C100" s="8" t="n">
        <v>900006074</v>
      </c>
      <c r="D100" s="7">
        <f>IFERROR(VLOOKUP(C100,TRAOPE!$G:$H,2,0),"")</f>
        <v/>
      </c>
      <c r="E100" s="8" t="inlineStr">
        <is>
          <t>D845</t>
        </is>
      </c>
      <c r="F100" s="8" t="inlineStr">
        <is>
          <t>66779121</t>
        </is>
      </c>
      <c r="G100" s="8">
        <f>IFERROR(VLOOKUP(A100,Flete!$A:$E,5,0),"")</f>
        <v/>
      </c>
      <c r="H100" s="7">
        <f>IFERROR(VLOOKUP(F100,TRAOPE!$AA:$AB,2,0),"")</f>
        <v/>
      </c>
      <c r="I100" s="7" t="n">
        <v>10000536</v>
      </c>
      <c r="J100" s="7">
        <f>IFERROR(VLOOKUP(I100,Materiales!$A:$H,8,0),"")</f>
        <v/>
      </c>
      <c r="K100" s="9">
        <f>IFERROR(VLOOKUP(I100,Materiales!$A:$G,7,0),"")</f>
        <v/>
      </c>
      <c r="L100" s="8" t="inlineStr">
        <is>
          <t>20191211</t>
        </is>
      </c>
      <c r="M100" s="8" t="inlineStr">
        <is>
          <t>20251031</t>
        </is>
      </c>
      <c r="N100" s="10" t="n">
        <v>74.90000000000001</v>
      </c>
      <c r="O100" s="10">
        <f>IFERROR(VLOOKUP(A100,Flete!$A:$J,10,0),"")</f>
        <v/>
      </c>
      <c r="P100" s="8" t="inlineStr">
        <is>
          <t>TN</t>
        </is>
      </c>
      <c r="Q100" s="10">
        <f>IFERROR(IFERROR(VLOOKUP(A100,TRAOPE!$A:$U,21,0),VLOOKUP(B100,TRAOPE!$A:$U,21,0)),"")</f>
        <v/>
      </c>
      <c r="R100" s="8">
        <f>IFERROR(IFERROR(VLOOKUP(A100,TRAOPE!$A:$W,23,0),VLOOKUP(B100,TRAOPE!$A:$W,23,0)),"")</f>
        <v/>
      </c>
      <c r="S100" s="10">
        <f>IF(AND(P100="TN",R100="TN"),N100+N(O100),IF(G100&amp;""="1",N(K100)*N100,(N100+N(O100))*N(K100)))</f>
        <v/>
      </c>
      <c r="T100" s="10">
        <f>IF(Q100="","",Q100-S100)</f>
        <v/>
      </c>
    </row>
    <row r="101">
      <c r="A101" s="7">
        <f>CONCATENATE(C101,E101,F101,I101)</f>
        <v/>
      </c>
      <c r="B101" s="7">
        <f>CONCATENATE(C101,E101,I101)</f>
        <v/>
      </c>
      <c r="C101" s="8" t="n">
        <v>900006074</v>
      </c>
      <c r="D101" s="7">
        <f>IFERROR(VLOOKUP(C101,TRAOPE!$G:$H,2,0),"")</f>
        <v/>
      </c>
      <c r="E101" s="8" t="inlineStr">
        <is>
          <t>D845</t>
        </is>
      </c>
      <c r="F101" s="8" t="inlineStr">
        <is>
          <t>66779121</t>
        </is>
      </c>
      <c r="G101" s="8">
        <f>IFERROR(VLOOKUP(A101,Flete!$A:$E,5,0),"")</f>
        <v/>
      </c>
      <c r="H101" s="7">
        <f>IFERROR(VLOOKUP(F101,TRAOPE!$AA:$AB,2,0),"")</f>
        <v/>
      </c>
      <c r="I101" s="7" t="n">
        <v>10000578</v>
      </c>
      <c r="J101" s="7">
        <f>IFERROR(VLOOKUP(I101,Materiales!$A:$H,8,0),"")</f>
        <v/>
      </c>
      <c r="K101" s="9">
        <f>IFERROR(VLOOKUP(I101,Materiales!$A:$G,7,0),"")</f>
        <v/>
      </c>
      <c r="L101" s="8" t="inlineStr">
        <is>
          <t>20191211</t>
        </is>
      </c>
      <c r="M101" s="8" t="inlineStr">
        <is>
          <t>20251031</t>
        </is>
      </c>
      <c r="N101" s="10" t="n">
        <v>74.90000000000001</v>
      </c>
      <c r="O101" s="10">
        <f>IFERROR(VLOOKUP(A101,Flete!$A:$J,10,0),"")</f>
        <v/>
      </c>
      <c r="P101" s="8" t="inlineStr">
        <is>
          <t>TN</t>
        </is>
      </c>
      <c r="Q101" s="10">
        <f>IFERROR(IFERROR(VLOOKUP(A101,TRAOPE!$A:$U,21,0),VLOOKUP(B101,TRAOPE!$A:$U,21,0)),"")</f>
        <v/>
      </c>
      <c r="R101" s="8">
        <f>IFERROR(IFERROR(VLOOKUP(A101,TRAOPE!$A:$W,23,0),VLOOKUP(B101,TRAOPE!$A:$W,23,0)),"")</f>
        <v/>
      </c>
      <c r="S101" s="10">
        <f>IF(AND(P101="TN",R101="TN"),N101+N(O101),IF(G101&amp;""="1",N(K101)*N101,(N101+N(O101))*N(K101)))</f>
        <v/>
      </c>
      <c r="T101" s="10">
        <f>IF(Q101="","",Q101-S101)</f>
        <v/>
      </c>
    </row>
    <row r="102">
      <c r="A102" s="7">
        <f>CONCATENATE(C102,E102,F102,I102)</f>
        <v/>
      </c>
      <c r="B102" s="7">
        <f>CONCATENATE(C102,E102,I102)</f>
        <v/>
      </c>
      <c r="C102" s="8" t="n">
        <v>900006074</v>
      </c>
      <c r="D102" s="7">
        <f>IFERROR(VLOOKUP(C102,TRAOPE!$G:$H,2,0),"")</f>
        <v/>
      </c>
      <c r="E102" s="8" t="inlineStr">
        <is>
          <t>D845</t>
        </is>
      </c>
      <c r="F102" s="8" t="inlineStr">
        <is>
          <t>66779121</t>
        </is>
      </c>
      <c r="G102" s="8">
        <f>IFERROR(VLOOKUP(A102,Flete!$A:$E,5,0),"")</f>
        <v/>
      </c>
      <c r="H102" s="7">
        <f>IFERROR(VLOOKUP(F102,TRAOPE!$AA:$AB,2,0),"")</f>
        <v/>
      </c>
      <c r="I102" s="7" t="n">
        <v>10000617</v>
      </c>
      <c r="J102" s="7">
        <f>IFERROR(VLOOKUP(I102,Materiales!$A:$H,8,0),"")</f>
        <v/>
      </c>
      <c r="K102" s="9">
        <f>IFERROR(VLOOKUP(I102,Materiales!$A:$G,7,0),"")</f>
        <v/>
      </c>
      <c r="L102" s="8" t="inlineStr">
        <is>
          <t>20191211</t>
        </is>
      </c>
      <c r="M102" s="8" t="inlineStr">
        <is>
          <t>20251031</t>
        </is>
      </c>
      <c r="N102" s="10" t="n">
        <v>88.90000000000001</v>
      </c>
      <c r="O102" s="10">
        <f>IFERROR(VLOOKUP(A102,Flete!$A:$J,10,0),"")</f>
        <v/>
      </c>
      <c r="P102" s="8" t="inlineStr">
        <is>
          <t>TN</t>
        </is>
      </c>
      <c r="Q102" s="10">
        <f>IFERROR(IFERROR(VLOOKUP(A102,TRAOPE!$A:$U,21,0),VLOOKUP(B102,TRAOPE!$A:$U,21,0)),"")</f>
        <v/>
      </c>
      <c r="R102" s="8">
        <f>IFERROR(IFERROR(VLOOKUP(A102,TRAOPE!$A:$W,23,0),VLOOKUP(B102,TRAOPE!$A:$W,23,0)),"")</f>
        <v/>
      </c>
      <c r="S102" s="10">
        <f>IF(AND(P102="TN",R102="TN"),N102+N(O102),IF(G102&amp;""="1",N(K102)*N102,(N102+N(O102))*N(K102)))</f>
        <v/>
      </c>
      <c r="T102" s="10">
        <f>IF(Q102="","",Q102-S102)</f>
        <v/>
      </c>
    </row>
    <row r="103">
      <c r="A103" s="7">
        <f>CONCATENATE(C103,E103,F103,I103)</f>
        <v/>
      </c>
      <c r="B103" s="7">
        <f>CONCATENATE(C103,E103,I103)</f>
        <v/>
      </c>
      <c r="C103" s="8" t="n">
        <v>900006074</v>
      </c>
      <c r="D103" s="7">
        <f>IFERROR(VLOOKUP(C103,TRAOPE!$G:$H,2,0),"")</f>
        <v/>
      </c>
      <c r="E103" s="8" t="inlineStr">
        <is>
          <t>D845</t>
        </is>
      </c>
      <c r="F103" s="8" t="inlineStr">
        <is>
          <t>66779121</t>
        </is>
      </c>
      <c r="G103" s="8">
        <f>IFERROR(VLOOKUP(A103,Flete!$A:$E,5,0),"")</f>
        <v/>
      </c>
      <c r="H103" s="7">
        <f>IFERROR(VLOOKUP(F103,TRAOPE!$AA:$AB,2,0),"")</f>
        <v/>
      </c>
      <c r="I103" s="7" t="n">
        <v>10000656</v>
      </c>
      <c r="J103" s="7">
        <f>IFERROR(VLOOKUP(I103,Materiales!$A:$H,8,0),"")</f>
        <v/>
      </c>
      <c r="K103" s="9">
        <f>IFERROR(VLOOKUP(I103,Materiales!$A:$G,7,0),"")</f>
        <v/>
      </c>
      <c r="L103" s="8" t="inlineStr">
        <is>
          <t>20191211</t>
        </is>
      </c>
      <c r="M103" s="8" t="inlineStr">
        <is>
          <t>20251031</t>
        </is>
      </c>
      <c r="N103" s="10" t="n">
        <v>74.06999999999999</v>
      </c>
      <c r="O103" s="10">
        <f>IFERROR(VLOOKUP(A103,Flete!$A:$J,10,0),"")</f>
        <v/>
      </c>
      <c r="P103" s="8" t="inlineStr">
        <is>
          <t>TN</t>
        </is>
      </c>
      <c r="Q103" s="10">
        <f>IFERROR(IFERROR(VLOOKUP(A103,TRAOPE!$A:$U,21,0),VLOOKUP(B103,TRAOPE!$A:$U,21,0)),"")</f>
        <v/>
      </c>
      <c r="R103" s="8">
        <f>IFERROR(IFERROR(VLOOKUP(A103,TRAOPE!$A:$W,23,0),VLOOKUP(B103,TRAOPE!$A:$W,23,0)),"")</f>
        <v/>
      </c>
      <c r="S103" s="10">
        <f>IF(AND(P103="TN",R103="TN"),N103+N(O103),IF(G103&amp;""="1",N(K103)*N103,(N103+N(O103))*N(K103)))</f>
        <v/>
      </c>
      <c r="T103" s="10">
        <f>IF(Q103="","",Q103-S103)</f>
        <v/>
      </c>
    </row>
    <row r="104">
      <c r="A104" s="7">
        <f>CONCATENATE(C104,E104,F104,I104)</f>
        <v/>
      </c>
      <c r="B104" s="7">
        <f>CONCATENATE(C104,E104,I104)</f>
        <v/>
      </c>
      <c r="C104" s="8" t="n">
        <v>900006074</v>
      </c>
      <c r="D104" s="7">
        <f>IFERROR(VLOOKUP(C104,TRAOPE!$G:$H,2,0),"")</f>
        <v/>
      </c>
      <c r="E104" s="8" t="inlineStr">
        <is>
          <t>D845</t>
        </is>
      </c>
      <c r="F104" s="8" t="inlineStr">
        <is>
          <t>66891663</t>
        </is>
      </c>
      <c r="G104" s="8">
        <f>IFERROR(VLOOKUP(A104,Flete!$A:$E,5,0),"")</f>
        <v/>
      </c>
      <c r="H104" s="7">
        <f>IFERROR(VLOOKUP(F104,TRAOPE!$AA:$AB,2,0),"")</f>
        <v/>
      </c>
      <c r="I104" s="7" t="n">
        <v>10000578</v>
      </c>
      <c r="J104" s="7">
        <f>IFERROR(VLOOKUP(I104,Materiales!$A:$H,8,0),"")</f>
        <v/>
      </c>
      <c r="K104" s="9">
        <f>IFERROR(VLOOKUP(I104,Materiales!$A:$G,7,0),"")</f>
        <v/>
      </c>
      <c r="L104" s="8" t="inlineStr">
        <is>
          <t>20191211</t>
        </is>
      </c>
      <c r="M104" s="8" t="inlineStr">
        <is>
          <t>20251031</t>
        </is>
      </c>
      <c r="N104" s="10" t="n">
        <v>83</v>
      </c>
      <c r="O104" s="10">
        <f>IFERROR(VLOOKUP(A104,Flete!$A:$J,10,0),"")</f>
        <v/>
      </c>
      <c r="P104" s="8" t="inlineStr">
        <is>
          <t>TN</t>
        </is>
      </c>
      <c r="Q104" s="10">
        <f>IFERROR(IFERROR(VLOOKUP(A104,TRAOPE!$A:$U,21,0),VLOOKUP(B104,TRAOPE!$A:$U,21,0)),"")</f>
        <v/>
      </c>
      <c r="R104" s="8">
        <f>IFERROR(IFERROR(VLOOKUP(A104,TRAOPE!$A:$W,23,0),VLOOKUP(B104,TRAOPE!$A:$W,23,0)),"")</f>
        <v/>
      </c>
      <c r="S104" s="10">
        <f>IF(AND(P104="TN",R104="TN"),N104+N(O104),IF(G104&amp;""="1",N(K104)*N104,(N104+N(O104))*N(K104)))</f>
        <v/>
      </c>
      <c r="T104" s="10">
        <f>IF(Q104="","",Q104-S104)</f>
        <v/>
      </c>
    </row>
    <row r="105">
      <c r="A105" s="7">
        <f>CONCATENATE(C105,E105,F105,I105)</f>
        <v/>
      </c>
      <c r="B105" s="7">
        <f>CONCATENATE(C105,E105,I105)</f>
        <v/>
      </c>
      <c r="C105" s="8" t="n">
        <v>900006074</v>
      </c>
      <c r="D105" s="7">
        <f>IFERROR(VLOOKUP(C105,TRAOPE!$G:$H,2,0),"")</f>
        <v/>
      </c>
      <c r="E105" s="8" t="inlineStr">
        <is>
          <t>D845</t>
        </is>
      </c>
      <c r="F105" s="8" t="inlineStr">
        <is>
          <t>66891663</t>
        </is>
      </c>
      <c r="G105" s="8">
        <f>IFERROR(VLOOKUP(A105,Flete!$A:$E,5,0),"")</f>
        <v/>
      </c>
      <c r="H105" s="7">
        <f>IFERROR(VLOOKUP(F105,TRAOPE!$AA:$AB,2,0),"")</f>
        <v/>
      </c>
      <c r="I105" s="7" t="n">
        <v>10000617</v>
      </c>
      <c r="J105" s="7">
        <f>IFERROR(VLOOKUP(I105,Materiales!$A:$H,8,0),"")</f>
        <v/>
      </c>
      <c r="K105" s="9">
        <f>IFERROR(VLOOKUP(I105,Materiales!$A:$G,7,0),"")</f>
        <v/>
      </c>
      <c r="L105" s="8" t="inlineStr">
        <is>
          <t>20191211</t>
        </is>
      </c>
      <c r="M105" s="8" t="inlineStr">
        <is>
          <t>20251031</t>
        </is>
      </c>
      <c r="N105" s="10" t="n">
        <v>97</v>
      </c>
      <c r="O105" s="10">
        <f>IFERROR(VLOOKUP(A105,Flete!$A:$J,10,0),"")</f>
        <v/>
      </c>
      <c r="P105" s="8" t="inlineStr">
        <is>
          <t>TN</t>
        </is>
      </c>
      <c r="Q105" s="10">
        <f>IFERROR(IFERROR(VLOOKUP(A105,TRAOPE!$A:$U,21,0),VLOOKUP(B105,TRAOPE!$A:$U,21,0)),"")</f>
        <v/>
      </c>
      <c r="R105" s="8">
        <f>IFERROR(IFERROR(VLOOKUP(A105,TRAOPE!$A:$W,23,0),VLOOKUP(B105,TRAOPE!$A:$W,23,0)),"")</f>
        <v/>
      </c>
      <c r="S105" s="10">
        <f>IF(AND(P105="TN",R105="TN"),N105+N(O105),IF(G105&amp;""="1",N(K105)*N105,(N105+N(O105))*N(K105)))</f>
        <v/>
      </c>
      <c r="T105" s="10">
        <f>IF(Q105="","",Q105-S105)</f>
        <v/>
      </c>
    </row>
    <row r="106">
      <c r="A106" s="7">
        <f>CONCATENATE(C106,E106,F106,I106)</f>
        <v/>
      </c>
      <c r="B106" s="7">
        <f>CONCATENATE(C106,E106,I106)</f>
        <v/>
      </c>
      <c r="C106" s="8" t="n">
        <v>900006074</v>
      </c>
      <c r="D106" s="7">
        <f>IFERROR(VLOOKUP(C106,TRAOPE!$G:$H,2,0),"")</f>
        <v/>
      </c>
      <c r="E106" s="8" t="inlineStr">
        <is>
          <t>D845</t>
        </is>
      </c>
      <c r="F106" s="8" t="inlineStr">
        <is>
          <t>66891663</t>
        </is>
      </c>
      <c r="G106" s="8">
        <f>IFERROR(VLOOKUP(A106,Flete!$A:$E,5,0),"")</f>
        <v/>
      </c>
      <c r="H106" s="7">
        <f>IFERROR(VLOOKUP(F106,TRAOPE!$AA:$AB,2,0),"")</f>
        <v/>
      </c>
      <c r="I106" s="7" t="n">
        <v>10000656</v>
      </c>
      <c r="J106" s="7">
        <f>IFERROR(VLOOKUP(I106,Materiales!$A:$H,8,0),"")</f>
        <v/>
      </c>
      <c r="K106" s="9">
        <f>IFERROR(VLOOKUP(I106,Materiales!$A:$G,7,0),"")</f>
        <v/>
      </c>
      <c r="L106" s="8" t="inlineStr">
        <is>
          <t>20191211</t>
        </is>
      </c>
      <c r="M106" s="8" t="inlineStr">
        <is>
          <t>20251031</t>
        </is>
      </c>
      <c r="N106" s="10" t="n">
        <v>74</v>
      </c>
      <c r="O106" s="10">
        <f>IFERROR(VLOOKUP(A106,Flete!$A:$J,10,0),"")</f>
        <v/>
      </c>
      <c r="P106" s="8" t="inlineStr">
        <is>
          <t>TN</t>
        </is>
      </c>
      <c r="Q106" s="10">
        <f>IFERROR(IFERROR(VLOOKUP(A106,TRAOPE!$A:$U,21,0),VLOOKUP(B106,TRAOPE!$A:$U,21,0)),"")</f>
        <v/>
      </c>
      <c r="R106" s="8">
        <f>IFERROR(IFERROR(VLOOKUP(A106,TRAOPE!$A:$W,23,0),VLOOKUP(B106,TRAOPE!$A:$W,23,0)),"")</f>
        <v/>
      </c>
      <c r="S106" s="10">
        <f>IF(AND(P106="TN",R106="TN"),N106+N(O106),IF(G106&amp;""="1",N(K106)*N106,(N106+N(O106))*N(K106)))</f>
        <v/>
      </c>
      <c r="T106" s="10">
        <f>IF(Q106="","",Q106-S106)</f>
        <v/>
      </c>
    </row>
    <row r="107">
      <c r="A107" s="7">
        <f>CONCATENATE(C107,E107,F107,I107)</f>
        <v/>
      </c>
      <c r="B107" s="7">
        <f>CONCATENATE(C107,E107,I107)</f>
        <v/>
      </c>
      <c r="C107" s="8" t="n">
        <v>900006074</v>
      </c>
      <c r="D107" s="7">
        <f>IFERROR(VLOOKUP(C107,TRAOPE!$G:$H,2,0),"")</f>
        <v/>
      </c>
      <c r="E107" s="8" t="inlineStr">
        <is>
          <t>D845</t>
        </is>
      </c>
      <c r="F107" s="8" t="inlineStr">
        <is>
          <t>66891663</t>
        </is>
      </c>
      <c r="G107" s="8">
        <f>IFERROR(VLOOKUP(A107,Flete!$A:$E,5,0),"")</f>
        <v/>
      </c>
      <c r="H107" s="7">
        <f>IFERROR(VLOOKUP(F107,TRAOPE!$AA:$AB,2,0),"")</f>
        <v/>
      </c>
      <c r="I107" s="7" t="n">
        <v>10167749</v>
      </c>
      <c r="J107" s="7">
        <f>IFERROR(VLOOKUP(I107,Materiales!$A:$H,8,0),"")</f>
        <v/>
      </c>
      <c r="K107" s="9">
        <f>IFERROR(VLOOKUP(I107,Materiales!$A:$G,7,0),"")</f>
        <v/>
      </c>
      <c r="L107" s="8" t="inlineStr">
        <is>
          <t>20191211</t>
        </is>
      </c>
      <c r="M107" s="8" t="inlineStr">
        <is>
          <t>20251031</t>
        </is>
      </c>
      <c r="N107" s="10" t="n">
        <v>82</v>
      </c>
      <c r="O107" s="10">
        <f>IFERROR(VLOOKUP(A107,Flete!$A:$J,10,0),"")</f>
        <v/>
      </c>
      <c r="P107" s="8" t="inlineStr">
        <is>
          <t>TN</t>
        </is>
      </c>
      <c r="Q107" s="10">
        <f>IFERROR(IFERROR(VLOOKUP(A107,TRAOPE!$A:$U,21,0),VLOOKUP(B107,TRAOPE!$A:$U,21,0)),"")</f>
        <v/>
      </c>
      <c r="R107" s="8">
        <f>IFERROR(IFERROR(VLOOKUP(A107,TRAOPE!$A:$W,23,0),VLOOKUP(B107,TRAOPE!$A:$W,23,0)),"")</f>
        <v/>
      </c>
      <c r="S107" s="10">
        <f>IF(AND(P107="TN",R107="TN"),N107+N(O107),IF(G107&amp;""="1",N(K107)*N107,(N107+N(O107))*N(K107)))</f>
        <v/>
      </c>
      <c r="T107" s="10">
        <f>IF(Q107="","",Q107-S107)</f>
        <v/>
      </c>
    </row>
    <row r="108">
      <c r="A108" s="7">
        <f>CONCATENATE(C108,E108,F108,I108)</f>
        <v/>
      </c>
      <c r="B108" s="7">
        <f>CONCATENATE(C108,E108,I108)</f>
        <v/>
      </c>
      <c r="C108" s="8" t="n">
        <v>900006074</v>
      </c>
      <c r="D108" s="7">
        <f>IFERROR(VLOOKUP(C108,TRAOPE!$G:$H,2,0),"")</f>
        <v/>
      </c>
      <c r="E108" s="8" t="inlineStr">
        <is>
          <t>D845</t>
        </is>
      </c>
      <c r="F108" s="8" t="inlineStr">
        <is>
          <t>66985190</t>
        </is>
      </c>
      <c r="G108" s="8">
        <f>IFERROR(VLOOKUP(A108,Flete!$A:$E,5,0),"")</f>
        <v/>
      </c>
      <c r="H108" s="7">
        <f>IFERROR(VLOOKUP(F108,TRAOPE!$AA:$AB,2,0),"")</f>
        <v/>
      </c>
      <c r="I108" s="7" t="n">
        <v>10000403</v>
      </c>
      <c r="J108" s="7">
        <f>IFERROR(VLOOKUP(I108,Materiales!$A:$H,8,0),"")</f>
        <v/>
      </c>
      <c r="K108" s="9">
        <f>IFERROR(VLOOKUP(I108,Materiales!$A:$G,7,0),"")</f>
        <v/>
      </c>
      <c r="L108" s="8" t="inlineStr">
        <is>
          <t>20191211</t>
        </is>
      </c>
      <c r="M108" s="8" t="inlineStr">
        <is>
          <t>20251031</t>
        </is>
      </c>
      <c r="N108" s="10" t="n">
        <v>144.5</v>
      </c>
      <c r="O108" s="10">
        <f>IFERROR(VLOOKUP(A108,Flete!$A:$J,10,0),"")</f>
        <v/>
      </c>
      <c r="P108" s="8" t="inlineStr">
        <is>
          <t>TN</t>
        </is>
      </c>
      <c r="Q108" s="10">
        <f>IFERROR(IFERROR(VLOOKUP(A108,TRAOPE!$A:$U,21,0),VLOOKUP(B108,TRAOPE!$A:$U,21,0)),"")</f>
        <v/>
      </c>
      <c r="R108" s="8">
        <f>IFERROR(IFERROR(VLOOKUP(A108,TRAOPE!$A:$W,23,0),VLOOKUP(B108,TRAOPE!$A:$W,23,0)),"")</f>
        <v/>
      </c>
      <c r="S108" s="10">
        <f>IF(AND(P108="TN",R108="TN"),N108+N(O108),IF(G108&amp;""="1",N(K108)*N108,(N108+N(O108))*N(K108)))</f>
        <v/>
      </c>
      <c r="T108" s="10">
        <f>IF(Q108="","",Q108-S108)</f>
        <v/>
      </c>
    </row>
    <row r="109">
      <c r="A109" s="7">
        <f>CONCATENATE(C109,E109,F109,I109)</f>
        <v/>
      </c>
      <c r="B109" s="7">
        <f>CONCATENATE(C109,E109,I109)</f>
        <v/>
      </c>
      <c r="C109" s="8" t="n">
        <v>900006074</v>
      </c>
      <c r="D109" s="7">
        <f>IFERROR(VLOOKUP(C109,TRAOPE!$G:$H,2,0),"")</f>
        <v/>
      </c>
      <c r="E109" s="8" t="inlineStr">
        <is>
          <t>D845</t>
        </is>
      </c>
      <c r="F109" s="8" t="inlineStr">
        <is>
          <t>66985190</t>
        </is>
      </c>
      <c r="G109" s="8">
        <f>IFERROR(VLOOKUP(A109,Flete!$A:$E,5,0),"")</f>
        <v/>
      </c>
      <c r="H109" s="7">
        <f>IFERROR(VLOOKUP(F109,TRAOPE!$AA:$AB,2,0),"")</f>
        <v/>
      </c>
      <c r="I109" s="7" t="n">
        <v>10000536</v>
      </c>
      <c r="J109" s="7">
        <f>IFERROR(VLOOKUP(I109,Materiales!$A:$H,8,0),"")</f>
        <v/>
      </c>
      <c r="K109" s="9">
        <f>IFERROR(VLOOKUP(I109,Materiales!$A:$G,7,0),"")</f>
        <v/>
      </c>
      <c r="L109" s="8" t="inlineStr">
        <is>
          <t>20191211</t>
        </is>
      </c>
      <c r="M109" s="8" t="inlineStr">
        <is>
          <t>20251031</t>
        </is>
      </c>
      <c r="N109" s="10" t="n">
        <v>144.5</v>
      </c>
      <c r="O109" s="10">
        <f>IFERROR(VLOOKUP(A109,Flete!$A:$J,10,0),"")</f>
        <v/>
      </c>
      <c r="P109" s="8" t="inlineStr">
        <is>
          <t>TN</t>
        </is>
      </c>
      <c r="Q109" s="10">
        <f>IFERROR(IFERROR(VLOOKUP(A109,TRAOPE!$A:$U,21,0),VLOOKUP(B109,TRAOPE!$A:$U,21,0)),"")</f>
        <v/>
      </c>
      <c r="R109" s="8">
        <f>IFERROR(IFERROR(VLOOKUP(A109,TRAOPE!$A:$W,23,0),VLOOKUP(B109,TRAOPE!$A:$W,23,0)),"")</f>
        <v/>
      </c>
      <c r="S109" s="10">
        <f>IF(AND(P109="TN",R109="TN"),N109+N(O109),IF(G109&amp;""="1",N(K109)*N109,(N109+N(O109))*N(K109)))</f>
        <v/>
      </c>
      <c r="T109" s="10">
        <f>IF(Q109="","",Q109-S109)</f>
        <v/>
      </c>
    </row>
    <row r="110">
      <c r="A110" s="7">
        <f>CONCATENATE(C110,E110,F110,I110)</f>
        <v/>
      </c>
      <c r="B110" s="7">
        <f>CONCATENATE(C110,E110,I110)</f>
        <v/>
      </c>
      <c r="C110" s="8" t="n">
        <v>900006074</v>
      </c>
      <c r="D110" s="7">
        <f>IFERROR(VLOOKUP(C110,TRAOPE!$G:$H,2,0),"")</f>
        <v/>
      </c>
      <c r="E110" s="8" t="inlineStr">
        <is>
          <t>D845</t>
        </is>
      </c>
      <c r="F110" s="8" t="inlineStr">
        <is>
          <t>66985190</t>
        </is>
      </c>
      <c r="G110" s="8">
        <f>IFERROR(VLOOKUP(A110,Flete!$A:$E,5,0),"")</f>
        <v/>
      </c>
      <c r="H110" s="7">
        <f>IFERROR(VLOOKUP(F110,TRAOPE!$AA:$AB,2,0),"")</f>
        <v/>
      </c>
      <c r="I110" s="7" t="n">
        <v>10000578</v>
      </c>
      <c r="J110" s="7">
        <f>IFERROR(VLOOKUP(I110,Materiales!$A:$H,8,0),"")</f>
        <v/>
      </c>
      <c r="K110" s="9">
        <f>IFERROR(VLOOKUP(I110,Materiales!$A:$G,7,0),"")</f>
        <v/>
      </c>
      <c r="L110" s="8" t="inlineStr">
        <is>
          <t>20191211</t>
        </is>
      </c>
      <c r="M110" s="8" t="inlineStr">
        <is>
          <t>20251031</t>
        </is>
      </c>
      <c r="N110" s="10" t="n">
        <v>144.5</v>
      </c>
      <c r="O110" s="10">
        <f>IFERROR(VLOOKUP(A110,Flete!$A:$J,10,0),"")</f>
        <v/>
      </c>
      <c r="P110" s="8" t="inlineStr">
        <is>
          <t>TN</t>
        </is>
      </c>
      <c r="Q110" s="10">
        <f>IFERROR(IFERROR(VLOOKUP(A110,TRAOPE!$A:$U,21,0),VLOOKUP(B110,TRAOPE!$A:$U,21,0)),"")</f>
        <v/>
      </c>
      <c r="R110" s="8">
        <f>IFERROR(IFERROR(VLOOKUP(A110,TRAOPE!$A:$W,23,0),VLOOKUP(B110,TRAOPE!$A:$W,23,0)),"")</f>
        <v/>
      </c>
      <c r="S110" s="10">
        <f>IF(AND(P110="TN",R110="TN"),N110+N(O110),IF(G110&amp;""="1",N(K110)*N110,(N110+N(O110))*N(K110)))</f>
        <v/>
      </c>
      <c r="T110" s="10">
        <f>IF(Q110="","",Q110-S110)</f>
        <v/>
      </c>
    </row>
    <row r="111">
      <c r="A111" s="7">
        <f>CONCATENATE(C111,E111,F111,I111)</f>
        <v/>
      </c>
      <c r="B111" s="7">
        <f>CONCATENATE(C111,E111,I111)</f>
        <v/>
      </c>
      <c r="C111" s="8" t="n">
        <v>900006074</v>
      </c>
      <c r="D111" s="7">
        <f>IFERROR(VLOOKUP(C111,TRAOPE!$G:$H,2,0),"")</f>
        <v/>
      </c>
      <c r="E111" s="8" t="inlineStr">
        <is>
          <t>D845</t>
        </is>
      </c>
      <c r="F111" s="8" t="inlineStr">
        <is>
          <t>66985190</t>
        </is>
      </c>
      <c r="G111" s="8">
        <f>IFERROR(VLOOKUP(A111,Flete!$A:$E,5,0),"")</f>
        <v/>
      </c>
      <c r="H111" s="7">
        <f>IFERROR(VLOOKUP(F111,TRAOPE!$AA:$AB,2,0),"")</f>
        <v/>
      </c>
      <c r="I111" s="7" t="n">
        <v>10000617</v>
      </c>
      <c r="J111" s="7">
        <f>IFERROR(VLOOKUP(I111,Materiales!$A:$H,8,0),"")</f>
        <v/>
      </c>
      <c r="K111" s="9">
        <f>IFERROR(VLOOKUP(I111,Materiales!$A:$G,7,0),"")</f>
        <v/>
      </c>
      <c r="L111" s="8" t="inlineStr">
        <is>
          <t>20191211</t>
        </is>
      </c>
      <c r="M111" s="8" t="inlineStr">
        <is>
          <t>20251031</t>
        </is>
      </c>
      <c r="N111" s="10" t="n">
        <v>155.5</v>
      </c>
      <c r="O111" s="10">
        <f>IFERROR(VLOOKUP(A111,Flete!$A:$J,10,0),"")</f>
        <v/>
      </c>
      <c r="P111" s="8" t="inlineStr">
        <is>
          <t>TN</t>
        </is>
      </c>
      <c r="Q111" s="10">
        <f>IFERROR(IFERROR(VLOOKUP(A111,TRAOPE!$A:$U,21,0),VLOOKUP(B111,TRAOPE!$A:$U,21,0)),"")</f>
        <v/>
      </c>
      <c r="R111" s="8">
        <f>IFERROR(IFERROR(VLOOKUP(A111,TRAOPE!$A:$W,23,0),VLOOKUP(B111,TRAOPE!$A:$W,23,0)),"")</f>
        <v/>
      </c>
      <c r="S111" s="10">
        <f>IF(AND(P111="TN",R111="TN"),N111+N(O111),IF(G111&amp;""="1",N(K111)*N111,(N111+N(O111))*N(K111)))</f>
        <v/>
      </c>
      <c r="T111" s="10">
        <f>IF(Q111="","",Q111-S111)</f>
        <v/>
      </c>
    </row>
    <row r="112">
      <c r="A112" s="7">
        <f>CONCATENATE(C112,E112,F112,I112)</f>
        <v/>
      </c>
      <c r="B112" s="7">
        <f>CONCATENATE(C112,E112,I112)</f>
        <v/>
      </c>
      <c r="C112" s="8" t="n">
        <v>900006074</v>
      </c>
      <c r="D112" s="7">
        <f>IFERROR(VLOOKUP(C112,TRAOPE!$G:$H,2,0),"")</f>
        <v/>
      </c>
      <c r="E112" s="8" t="inlineStr">
        <is>
          <t>D845</t>
        </is>
      </c>
      <c r="F112" s="8" t="inlineStr">
        <is>
          <t>66985190</t>
        </is>
      </c>
      <c r="G112" s="8">
        <f>IFERROR(VLOOKUP(A112,Flete!$A:$E,5,0),"")</f>
        <v/>
      </c>
      <c r="H112" s="7">
        <f>IFERROR(VLOOKUP(F112,TRAOPE!$AA:$AB,2,0),"")</f>
        <v/>
      </c>
      <c r="I112" s="7" t="n">
        <v>10000656</v>
      </c>
      <c r="J112" s="7">
        <f>IFERROR(VLOOKUP(I112,Materiales!$A:$H,8,0),"")</f>
        <v/>
      </c>
      <c r="K112" s="9">
        <f>IFERROR(VLOOKUP(I112,Materiales!$A:$G,7,0),"")</f>
        <v/>
      </c>
      <c r="L112" s="8" t="inlineStr">
        <is>
          <t>20191211</t>
        </is>
      </c>
      <c r="M112" s="8" t="inlineStr">
        <is>
          <t>20251031</t>
        </is>
      </c>
      <c r="N112" s="10" t="n">
        <v>153.5</v>
      </c>
      <c r="O112" s="10">
        <f>IFERROR(VLOOKUP(A112,Flete!$A:$J,10,0),"")</f>
        <v/>
      </c>
      <c r="P112" s="8" t="inlineStr">
        <is>
          <t>TN</t>
        </is>
      </c>
      <c r="Q112" s="10">
        <f>IFERROR(IFERROR(VLOOKUP(A112,TRAOPE!$A:$U,21,0),VLOOKUP(B112,TRAOPE!$A:$U,21,0)),"")</f>
        <v/>
      </c>
      <c r="R112" s="8">
        <f>IFERROR(IFERROR(VLOOKUP(A112,TRAOPE!$A:$W,23,0),VLOOKUP(B112,TRAOPE!$A:$W,23,0)),"")</f>
        <v/>
      </c>
      <c r="S112" s="10">
        <f>IF(AND(P112="TN",R112="TN"),N112+N(O112),IF(G112&amp;""="1",N(K112)*N112,(N112+N(O112))*N(K112)))</f>
        <v/>
      </c>
      <c r="T112" s="10">
        <f>IF(Q112="","",Q112-S112)</f>
        <v/>
      </c>
    </row>
    <row r="113">
      <c r="A113" s="7">
        <f>CONCATENATE(C113,E113,F113,I113)</f>
        <v/>
      </c>
      <c r="B113" s="7">
        <f>CONCATENATE(C113,E113,I113)</f>
        <v/>
      </c>
      <c r="C113" s="8" t="n">
        <v>900006074</v>
      </c>
      <c r="D113" s="7">
        <f>IFERROR(VLOOKUP(C113,TRAOPE!$G:$H,2,0),"")</f>
        <v/>
      </c>
      <c r="E113" s="8" t="inlineStr">
        <is>
          <t>D845</t>
        </is>
      </c>
      <c r="F113" s="8" t="inlineStr">
        <is>
          <t>66985190</t>
        </is>
      </c>
      <c r="G113" s="8">
        <f>IFERROR(VLOOKUP(A113,Flete!$A:$E,5,0),"")</f>
        <v/>
      </c>
      <c r="H113" s="7">
        <f>IFERROR(VLOOKUP(F113,TRAOPE!$AA:$AB,2,0),"")</f>
        <v/>
      </c>
      <c r="I113" s="7" t="n">
        <v>10167749</v>
      </c>
      <c r="J113" s="7">
        <f>IFERROR(VLOOKUP(I113,Materiales!$A:$H,8,0),"")</f>
        <v/>
      </c>
      <c r="K113" s="9">
        <f>IFERROR(VLOOKUP(I113,Materiales!$A:$G,7,0),"")</f>
        <v/>
      </c>
      <c r="L113" s="8" t="inlineStr">
        <is>
          <t>20191211</t>
        </is>
      </c>
      <c r="M113" s="8" t="inlineStr">
        <is>
          <t>20251031</t>
        </is>
      </c>
      <c r="N113" s="10" t="n">
        <v>148.5</v>
      </c>
      <c r="O113" s="10">
        <f>IFERROR(VLOOKUP(A113,Flete!$A:$J,10,0),"")</f>
        <v/>
      </c>
      <c r="P113" s="8" t="inlineStr">
        <is>
          <t>TN</t>
        </is>
      </c>
      <c r="Q113" s="10">
        <f>IFERROR(IFERROR(VLOOKUP(A113,TRAOPE!$A:$U,21,0),VLOOKUP(B113,TRAOPE!$A:$U,21,0)),"")</f>
        <v/>
      </c>
      <c r="R113" s="8">
        <f>IFERROR(IFERROR(VLOOKUP(A113,TRAOPE!$A:$W,23,0),VLOOKUP(B113,TRAOPE!$A:$W,23,0)),"")</f>
        <v/>
      </c>
      <c r="S113" s="10">
        <f>IF(AND(P113="TN",R113="TN"),N113+N(O113),IF(G113&amp;""="1",N(K113)*N113,(N113+N(O113))*N(K113)))</f>
        <v/>
      </c>
      <c r="T113" s="10">
        <f>IF(Q113="","",Q113-S113)</f>
        <v/>
      </c>
    </row>
    <row r="114">
      <c r="A114" s="7">
        <f>CONCATENATE(C114,E114,F114,I114)</f>
        <v/>
      </c>
      <c r="B114" s="7">
        <f>CONCATENATE(C114,E114,I114)</f>
        <v/>
      </c>
      <c r="C114" s="8" t="n">
        <v>900006074</v>
      </c>
      <c r="D114" s="7">
        <f>IFERROR(VLOOKUP(C114,TRAOPE!$G:$H,2,0),"")</f>
        <v/>
      </c>
      <c r="E114" s="8" t="inlineStr">
        <is>
          <t>D845</t>
        </is>
      </c>
      <c r="F114" s="8" t="inlineStr">
        <is>
          <t>66998149</t>
        </is>
      </c>
      <c r="G114" s="8">
        <f>IFERROR(VLOOKUP(A114,Flete!$A:$E,5,0),"")</f>
        <v/>
      </c>
      <c r="H114" s="7">
        <f>IFERROR(VLOOKUP(F114,TRAOPE!$AA:$AB,2,0),"")</f>
        <v/>
      </c>
      <c r="I114" s="7" t="n">
        <v>10000617</v>
      </c>
      <c r="J114" s="7">
        <f>IFERROR(VLOOKUP(I114,Materiales!$A:$H,8,0),"")</f>
        <v/>
      </c>
      <c r="K114" s="9">
        <f>IFERROR(VLOOKUP(I114,Materiales!$A:$G,7,0),"")</f>
        <v/>
      </c>
      <c r="L114" s="8" t="inlineStr">
        <is>
          <t>20191211</t>
        </is>
      </c>
      <c r="M114" s="8" t="inlineStr">
        <is>
          <t>20251031</t>
        </is>
      </c>
      <c r="N114" s="10" t="n">
        <v>118.84</v>
      </c>
      <c r="O114" s="10">
        <f>IFERROR(VLOOKUP(A114,Flete!$A:$J,10,0),"")</f>
        <v/>
      </c>
      <c r="P114" s="8" t="inlineStr">
        <is>
          <t>TN</t>
        </is>
      </c>
      <c r="Q114" s="10">
        <f>IFERROR(IFERROR(VLOOKUP(A114,TRAOPE!$A:$U,21,0),VLOOKUP(B114,TRAOPE!$A:$U,21,0)),"")</f>
        <v/>
      </c>
      <c r="R114" s="8">
        <f>IFERROR(IFERROR(VLOOKUP(A114,TRAOPE!$A:$W,23,0),VLOOKUP(B114,TRAOPE!$A:$W,23,0)),"")</f>
        <v/>
      </c>
      <c r="S114" s="10">
        <f>IF(AND(P114="TN",R114="TN"),N114+N(O114),IF(G114&amp;""="1",N(K114)*N114,(N114+N(O114))*N(K114)))</f>
        <v/>
      </c>
      <c r="T114" s="10">
        <f>IF(Q114="","",Q114-S114)</f>
        <v/>
      </c>
    </row>
    <row r="115">
      <c r="A115" s="7">
        <f>CONCATENATE(C115,E115,F115,I115)</f>
        <v/>
      </c>
      <c r="B115" s="7">
        <f>CONCATENATE(C115,E115,I115)</f>
        <v/>
      </c>
      <c r="C115" s="8" t="n">
        <v>900006074</v>
      </c>
      <c r="D115" s="7">
        <f>IFERROR(VLOOKUP(C115,TRAOPE!$G:$H,2,0),"")</f>
        <v/>
      </c>
      <c r="E115" s="8" t="inlineStr">
        <is>
          <t>D845</t>
        </is>
      </c>
      <c r="F115" s="8" t="inlineStr">
        <is>
          <t>66998149</t>
        </is>
      </c>
      <c r="G115" s="8">
        <f>IFERROR(VLOOKUP(A115,Flete!$A:$E,5,0),"")</f>
        <v/>
      </c>
      <c r="H115" s="7">
        <f>IFERROR(VLOOKUP(F115,TRAOPE!$AA:$AB,2,0),"")</f>
        <v/>
      </c>
      <c r="I115" s="7" t="n">
        <v>10000656</v>
      </c>
      <c r="J115" s="7">
        <f>IFERROR(VLOOKUP(I115,Materiales!$A:$H,8,0),"")</f>
        <v/>
      </c>
      <c r="K115" s="9">
        <f>IFERROR(VLOOKUP(I115,Materiales!$A:$G,7,0),"")</f>
        <v/>
      </c>
      <c r="L115" s="8" t="inlineStr">
        <is>
          <t>20191211</t>
        </is>
      </c>
      <c r="M115" s="8" t="inlineStr">
        <is>
          <t>20251031</t>
        </is>
      </c>
      <c r="N115" s="10" t="n">
        <v>116.6</v>
      </c>
      <c r="O115" s="10">
        <f>IFERROR(VLOOKUP(A115,Flete!$A:$J,10,0),"")</f>
        <v/>
      </c>
      <c r="P115" s="8" t="inlineStr">
        <is>
          <t>TN</t>
        </is>
      </c>
      <c r="Q115" s="10">
        <f>IFERROR(IFERROR(VLOOKUP(A115,TRAOPE!$A:$U,21,0),VLOOKUP(B115,TRAOPE!$A:$U,21,0)),"")</f>
        <v/>
      </c>
      <c r="R115" s="8">
        <f>IFERROR(IFERROR(VLOOKUP(A115,TRAOPE!$A:$W,23,0),VLOOKUP(B115,TRAOPE!$A:$W,23,0)),"")</f>
        <v/>
      </c>
      <c r="S115" s="10">
        <f>IF(AND(P115="TN",R115="TN"),N115+N(O115),IF(G115&amp;""="1",N(K115)*N115,(N115+N(O115))*N(K115)))</f>
        <v/>
      </c>
      <c r="T115" s="10">
        <f>IF(Q115="","",Q115-S115)</f>
        <v/>
      </c>
    </row>
    <row r="116">
      <c r="A116" s="7">
        <f>CONCATENATE(C116,E116,F116,I116)</f>
        <v/>
      </c>
      <c r="B116" s="7">
        <f>CONCATENATE(C116,E116,I116)</f>
        <v/>
      </c>
      <c r="C116" s="8" t="n">
        <v>900006074</v>
      </c>
      <c r="D116" s="7">
        <f>IFERROR(VLOOKUP(C116,TRAOPE!$G:$H,2,0),"")</f>
        <v/>
      </c>
      <c r="E116" s="8" t="inlineStr">
        <is>
          <t>D845</t>
        </is>
      </c>
      <c r="F116" s="8" t="inlineStr">
        <is>
          <t>66998149</t>
        </is>
      </c>
      <c r="G116" s="8">
        <f>IFERROR(VLOOKUP(A116,Flete!$A:$E,5,0),"")</f>
        <v/>
      </c>
      <c r="H116" s="7">
        <f>IFERROR(VLOOKUP(F116,TRAOPE!$AA:$AB,2,0),"")</f>
        <v/>
      </c>
      <c r="I116" s="7" t="n">
        <v>10167749</v>
      </c>
      <c r="J116" s="7">
        <f>IFERROR(VLOOKUP(I116,Materiales!$A:$H,8,0),"")</f>
        <v/>
      </c>
      <c r="K116" s="9">
        <f>IFERROR(VLOOKUP(I116,Materiales!$A:$G,7,0),"")</f>
        <v/>
      </c>
      <c r="L116" s="8" t="inlineStr">
        <is>
          <t>20191211</t>
        </is>
      </c>
      <c r="M116" s="8" t="inlineStr">
        <is>
          <t>20251031</t>
        </is>
      </c>
      <c r="N116" s="10" t="n">
        <v>101</v>
      </c>
      <c r="O116" s="10">
        <f>IFERROR(VLOOKUP(A116,Flete!$A:$J,10,0),"")</f>
        <v/>
      </c>
      <c r="P116" s="8" t="inlineStr">
        <is>
          <t>TN</t>
        </is>
      </c>
      <c r="Q116" s="10">
        <f>IFERROR(IFERROR(VLOOKUP(A116,TRAOPE!$A:$U,21,0),VLOOKUP(B116,TRAOPE!$A:$U,21,0)),"")</f>
        <v/>
      </c>
      <c r="R116" s="8">
        <f>IFERROR(IFERROR(VLOOKUP(A116,TRAOPE!$A:$W,23,0),VLOOKUP(B116,TRAOPE!$A:$W,23,0)),"")</f>
        <v/>
      </c>
      <c r="S116" s="10">
        <f>IF(AND(P116="TN",R116="TN"),N116+N(O116),IF(G116&amp;""="1",N(K116)*N116,(N116+N(O116))*N(K116)))</f>
        <v/>
      </c>
      <c r="T116" s="10">
        <f>IF(Q116="","",Q116-S116)</f>
        <v/>
      </c>
    </row>
    <row r="117">
      <c r="A117" s="7">
        <f>CONCATENATE(C117,E117,F117,I117)</f>
        <v/>
      </c>
      <c r="B117" s="7">
        <f>CONCATENATE(C117,E117,I117)</f>
        <v/>
      </c>
      <c r="C117" s="8" t="n">
        <v>900006074</v>
      </c>
      <c r="D117" s="7">
        <f>IFERROR(VLOOKUP(C117,TRAOPE!$G:$H,2,0),"")</f>
        <v/>
      </c>
      <c r="E117" s="8" t="inlineStr">
        <is>
          <t>D845</t>
        </is>
      </c>
      <c r="F117" s="8" t="inlineStr">
        <is>
          <t>66998149</t>
        </is>
      </c>
      <c r="G117" s="8">
        <f>IFERROR(VLOOKUP(A117,Flete!$A:$E,5,0),"")</f>
        <v/>
      </c>
      <c r="H117" s="7">
        <f>IFERROR(VLOOKUP(F117,TRAOPE!$AA:$AB,2,0),"")</f>
        <v/>
      </c>
      <c r="I117" s="7" t="n">
        <v>10178270</v>
      </c>
      <c r="J117" s="7">
        <f>IFERROR(VLOOKUP(I117,Materiales!$A:$H,8,0),"")</f>
        <v/>
      </c>
      <c r="K117" s="9">
        <f>IFERROR(VLOOKUP(I117,Materiales!$A:$G,7,0),"")</f>
        <v/>
      </c>
      <c r="L117" s="8" t="inlineStr">
        <is>
          <t>20191211</t>
        </is>
      </c>
      <c r="M117" s="8" t="inlineStr">
        <is>
          <t>20251031</t>
        </is>
      </c>
      <c r="N117" s="10" t="n">
        <v>79</v>
      </c>
      <c r="O117" s="10">
        <f>IFERROR(VLOOKUP(A117,Flete!$A:$J,10,0),"")</f>
        <v/>
      </c>
      <c r="P117" s="8" t="inlineStr">
        <is>
          <t>TN</t>
        </is>
      </c>
      <c r="Q117" s="10">
        <f>IFERROR(IFERROR(VLOOKUP(A117,TRAOPE!$A:$U,21,0),VLOOKUP(B117,TRAOPE!$A:$U,21,0)),"")</f>
        <v/>
      </c>
      <c r="R117" s="8">
        <f>IFERROR(IFERROR(VLOOKUP(A117,TRAOPE!$A:$W,23,0),VLOOKUP(B117,TRAOPE!$A:$W,23,0)),"")</f>
        <v/>
      </c>
      <c r="S117" s="10">
        <f>IF(AND(P117="TN",R117="TN"),N117+N(O117),IF(G117&amp;""="1",N(K117)*N117,(N117+N(O117))*N(K117)))</f>
        <v/>
      </c>
      <c r="T117" s="10">
        <f>IF(Q117="","",Q117-S117)</f>
        <v/>
      </c>
    </row>
    <row r="118">
      <c r="A118" s="7">
        <f>CONCATENATE(C118,E118,F118,I118)</f>
        <v/>
      </c>
      <c r="B118" s="7">
        <f>CONCATENATE(C118,E118,I118)</f>
        <v/>
      </c>
      <c r="C118" s="8" t="n">
        <v>900006074</v>
      </c>
      <c r="D118" s="7">
        <f>IFERROR(VLOOKUP(C118,TRAOPE!$G:$H,2,0),"")</f>
        <v/>
      </c>
      <c r="E118" s="8" t="inlineStr">
        <is>
          <t>D845</t>
        </is>
      </c>
      <c r="F118" s="8" t="inlineStr">
        <is>
          <t>67059505</t>
        </is>
      </c>
      <c r="G118" s="8">
        <f>IFERROR(VLOOKUP(A118,Flete!$A:$E,5,0),"")</f>
        <v/>
      </c>
      <c r="H118" s="7">
        <f>IFERROR(VLOOKUP(F118,TRAOPE!$AA:$AB,2,0),"")</f>
        <v/>
      </c>
      <c r="I118" s="7" t="n">
        <v>10000578</v>
      </c>
      <c r="J118" s="7">
        <f>IFERROR(VLOOKUP(I118,Materiales!$A:$H,8,0),"")</f>
        <v/>
      </c>
      <c r="K118" s="9">
        <f>IFERROR(VLOOKUP(I118,Materiales!$A:$G,7,0),"")</f>
        <v/>
      </c>
      <c r="L118" s="8" t="inlineStr">
        <is>
          <t>20191211</t>
        </is>
      </c>
      <c r="M118" s="8" t="inlineStr">
        <is>
          <t>20251031</t>
        </is>
      </c>
      <c r="N118" s="10" t="n">
        <v>158</v>
      </c>
      <c r="O118" s="10">
        <f>IFERROR(VLOOKUP(A118,Flete!$A:$J,10,0),"")</f>
        <v/>
      </c>
      <c r="P118" s="8" t="inlineStr">
        <is>
          <t>TN</t>
        </is>
      </c>
      <c r="Q118" s="10">
        <f>IFERROR(IFERROR(VLOOKUP(A118,TRAOPE!$A:$U,21,0),VLOOKUP(B118,TRAOPE!$A:$U,21,0)),"")</f>
        <v/>
      </c>
      <c r="R118" s="8">
        <f>IFERROR(IFERROR(VLOOKUP(A118,TRAOPE!$A:$W,23,0),VLOOKUP(B118,TRAOPE!$A:$W,23,0)),"")</f>
        <v/>
      </c>
      <c r="S118" s="10">
        <f>IF(AND(P118="TN",R118="TN"),N118+N(O118),IF(G118&amp;""="1",N(K118)*N118,(N118+N(O118))*N(K118)))</f>
        <v/>
      </c>
      <c r="T118" s="10">
        <f>IF(Q118="","",Q118-S118)</f>
        <v/>
      </c>
    </row>
    <row r="119">
      <c r="A119" s="7">
        <f>CONCATENATE(C119,E119,F119,I119)</f>
        <v/>
      </c>
      <c r="B119" s="7">
        <f>CONCATENATE(C119,E119,I119)</f>
        <v/>
      </c>
      <c r="C119" s="8" t="n">
        <v>900006074</v>
      </c>
      <c r="D119" s="7">
        <f>IFERROR(VLOOKUP(C119,TRAOPE!$G:$H,2,0),"")</f>
        <v/>
      </c>
      <c r="E119" s="8" t="inlineStr">
        <is>
          <t>D845</t>
        </is>
      </c>
      <c r="F119" s="8" t="inlineStr">
        <is>
          <t>67059505</t>
        </is>
      </c>
      <c r="G119" s="8">
        <f>IFERROR(VLOOKUP(A119,Flete!$A:$E,5,0),"")</f>
        <v/>
      </c>
      <c r="H119" s="7">
        <f>IFERROR(VLOOKUP(F119,TRAOPE!$AA:$AB,2,0),"")</f>
        <v/>
      </c>
      <c r="I119" s="7" t="n">
        <v>10000617</v>
      </c>
      <c r="J119" s="7">
        <f>IFERROR(VLOOKUP(I119,Materiales!$A:$H,8,0),"")</f>
        <v/>
      </c>
      <c r="K119" s="9">
        <f>IFERROR(VLOOKUP(I119,Materiales!$A:$G,7,0),"")</f>
        <v/>
      </c>
      <c r="L119" s="8" t="inlineStr">
        <is>
          <t>20191211</t>
        </is>
      </c>
      <c r="M119" s="8" t="inlineStr">
        <is>
          <t>20251031</t>
        </is>
      </c>
      <c r="N119" s="10" t="n">
        <v>168</v>
      </c>
      <c r="O119" s="10">
        <f>IFERROR(VLOOKUP(A119,Flete!$A:$J,10,0),"")</f>
        <v/>
      </c>
      <c r="P119" s="8" t="inlineStr">
        <is>
          <t>TN</t>
        </is>
      </c>
      <c r="Q119" s="10">
        <f>IFERROR(IFERROR(VLOOKUP(A119,TRAOPE!$A:$U,21,0),VLOOKUP(B119,TRAOPE!$A:$U,21,0)),"")</f>
        <v/>
      </c>
      <c r="R119" s="8">
        <f>IFERROR(IFERROR(VLOOKUP(A119,TRAOPE!$A:$W,23,0),VLOOKUP(B119,TRAOPE!$A:$W,23,0)),"")</f>
        <v/>
      </c>
      <c r="S119" s="10">
        <f>IF(AND(P119="TN",R119="TN"),N119+N(O119),IF(G119&amp;""="1",N(K119)*N119,(N119+N(O119))*N(K119)))</f>
        <v/>
      </c>
      <c r="T119" s="10">
        <f>IF(Q119="","",Q119-S119)</f>
        <v/>
      </c>
    </row>
    <row r="120">
      <c r="A120" s="7">
        <f>CONCATENATE(C120,E120,F120,I120)</f>
        <v/>
      </c>
      <c r="B120" s="7">
        <f>CONCATENATE(C120,E120,I120)</f>
        <v/>
      </c>
      <c r="C120" s="8" t="n">
        <v>900006074</v>
      </c>
      <c r="D120" s="7">
        <f>IFERROR(VLOOKUP(C120,TRAOPE!$G:$H,2,0),"")</f>
        <v/>
      </c>
      <c r="E120" s="8" t="inlineStr">
        <is>
          <t>D845</t>
        </is>
      </c>
      <c r="F120" s="8" t="inlineStr">
        <is>
          <t>67059505</t>
        </is>
      </c>
      <c r="G120" s="8">
        <f>IFERROR(VLOOKUP(A120,Flete!$A:$E,5,0),"")</f>
        <v/>
      </c>
      <c r="H120" s="7">
        <f>IFERROR(VLOOKUP(F120,TRAOPE!$AA:$AB,2,0),"")</f>
        <v/>
      </c>
      <c r="I120" s="7" t="n">
        <v>10000656</v>
      </c>
      <c r="J120" s="7">
        <f>IFERROR(VLOOKUP(I120,Materiales!$A:$H,8,0),"")</f>
        <v/>
      </c>
      <c r="K120" s="9">
        <f>IFERROR(VLOOKUP(I120,Materiales!$A:$G,7,0),"")</f>
        <v/>
      </c>
      <c r="L120" s="8" t="inlineStr">
        <is>
          <t>20191211</t>
        </is>
      </c>
      <c r="M120" s="8" t="inlineStr">
        <is>
          <t>20251031</t>
        </is>
      </c>
      <c r="N120" s="10" t="n">
        <v>166</v>
      </c>
      <c r="O120" s="10">
        <f>IFERROR(VLOOKUP(A120,Flete!$A:$J,10,0),"")</f>
        <v/>
      </c>
      <c r="P120" s="8" t="inlineStr">
        <is>
          <t>TN</t>
        </is>
      </c>
      <c r="Q120" s="10">
        <f>IFERROR(IFERROR(VLOOKUP(A120,TRAOPE!$A:$U,21,0),VLOOKUP(B120,TRAOPE!$A:$U,21,0)),"")</f>
        <v/>
      </c>
      <c r="R120" s="8">
        <f>IFERROR(IFERROR(VLOOKUP(A120,TRAOPE!$A:$W,23,0),VLOOKUP(B120,TRAOPE!$A:$W,23,0)),"")</f>
        <v/>
      </c>
      <c r="S120" s="10">
        <f>IF(AND(P120="TN",R120="TN"),N120+N(O120),IF(G120&amp;""="1",N(K120)*N120,(N120+N(O120))*N(K120)))</f>
        <v/>
      </c>
      <c r="T120" s="10">
        <f>IF(Q120="","",Q120-S120)</f>
        <v/>
      </c>
    </row>
    <row r="121">
      <c r="A121" s="7">
        <f>CONCATENATE(C121,E121,F121,I121)</f>
        <v/>
      </c>
      <c r="B121" s="7">
        <f>CONCATENATE(C121,E121,I121)</f>
        <v/>
      </c>
      <c r="C121" s="8" t="n">
        <v>900006074</v>
      </c>
      <c r="D121" s="7">
        <f>IFERROR(VLOOKUP(C121,TRAOPE!$G:$H,2,0),"")</f>
        <v/>
      </c>
      <c r="E121" s="8" t="inlineStr">
        <is>
          <t>D845</t>
        </is>
      </c>
      <c r="F121" s="8" t="inlineStr">
        <is>
          <t>67082379</t>
        </is>
      </c>
      <c r="G121" s="8">
        <f>IFERROR(VLOOKUP(A121,Flete!$A:$E,5,0),"")</f>
        <v/>
      </c>
      <c r="H121" s="7">
        <f>IFERROR(VLOOKUP(F121,TRAOPE!$AA:$AB,2,0),"")</f>
        <v/>
      </c>
      <c r="I121" s="7" t="n">
        <v>10000536</v>
      </c>
      <c r="J121" s="7">
        <f>IFERROR(VLOOKUP(I121,Materiales!$A:$H,8,0),"")</f>
        <v/>
      </c>
      <c r="K121" s="9">
        <f>IFERROR(VLOOKUP(I121,Materiales!$A:$G,7,0),"")</f>
        <v/>
      </c>
      <c r="L121" s="8" t="inlineStr">
        <is>
          <t>20191211</t>
        </is>
      </c>
      <c r="M121" s="8" t="inlineStr">
        <is>
          <t>20251031</t>
        </is>
      </c>
      <c r="N121" s="10" t="n">
        <v>133</v>
      </c>
      <c r="O121" s="10">
        <f>IFERROR(VLOOKUP(A121,Flete!$A:$J,10,0),"")</f>
        <v/>
      </c>
      <c r="P121" s="8" t="inlineStr">
        <is>
          <t>TN</t>
        </is>
      </c>
      <c r="Q121" s="10">
        <f>IFERROR(IFERROR(VLOOKUP(A121,TRAOPE!$A:$U,21,0),VLOOKUP(B121,TRAOPE!$A:$U,21,0)),"")</f>
        <v/>
      </c>
      <c r="R121" s="8">
        <f>IFERROR(IFERROR(VLOOKUP(A121,TRAOPE!$A:$W,23,0),VLOOKUP(B121,TRAOPE!$A:$W,23,0)),"")</f>
        <v/>
      </c>
      <c r="S121" s="10">
        <f>IF(AND(P121="TN",R121="TN"),N121+N(O121),IF(G121&amp;""="1",N(K121)*N121,(N121+N(O121))*N(K121)))</f>
        <v/>
      </c>
      <c r="T121" s="10">
        <f>IF(Q121="","",Q121-S121)</f>
        <v/>
      </c>
    </row>
    <row r="122">
      <c r="A122" s="7">
        <f>CONCATENATE(C122,E122,F122,I122)</f>
        <v/>
      </c>
      <c r="B122" s="7">
        <f>CONCATENATE(C122,E122,I122)</f>
        <v/>
      </c>
      <c r="C122" s="8" t="n">
        <v>900006074</v>
      </c>
      <c r="D122" s="7">
        <f>IFERROR(VLOOKUP(C122,TRAOPE!$G:$H,2,0),"")</f>
        <v/>
      </c>
      <c r="E122" s="8" t="inlineStr">
        <is>
          <t>D845</t>
        </is>
      </c>
      <c r="F122" s="8" t="inlineStr">
        <is>
          <t>67082379</t>
        </is>
      </c>
      <c r="G122" s="8">
        <f>IFERROR(VLOOKUP(A122,Flete!$A:$E,5,0),"")</f>
        <v/>
      </c>
      <c r="H122" s="7">
        <f>IFERROR(VLOOKUP(F122,TRAOPE!$AA:$AB,2,0),"")</f>
        <v/>
      </c>
      <c r="I122" s="7" t="n">
        <v>10000578</v>
      </c>
      <c r="J122" s="7">
        <f>IFERROR(VLOOKUP(I122,Materiales!$A:$H,8,0),"")</f>
        <v/>
      </c>
      <c r="K122" s="9">
        <f>IFERROR(VLOOKUP(I122,Materiales!$A:$G,7,0),"")</f>
        <v/>
      </c>
      <c r="L122" s="8" t="inlineStr">
        <is>
          <t>20191211</t>
        </is>
      </c>
      <c r="M122" s="8" t="inlineStr">
        <is>
          <t>20251031</t>
        </is>
      </c>
      <c r="N122" s="10" t="n">
        <v>133</v>
      </c>
      <c r="O122" s="10">
        <f>IFERROR(VLOOKUP(A122,Flete!$A:$J,10,0),"")</f>
        <v/>
      </c>
      <c r="P122" s="8" t="inlineStr">
        <is>
          <t>TN</t>
        </is>
      </c>
      <c r="Q122" s="10">
        <f>IFERROR(IFERROR(VLOOKUP(A122,TRAOPE!$A:$U,21,0),VLOOKUP(B122,TRAOPE!$A:$U,21,0)),"")</f>
        <v/>
      </c>
      <c r="R122" s="8">
        <f>IFERROR(IFERROR(VLOOKUP(A122,TRAOPE!$A:$W,23,0),VLOOKUP(B122,TRAOPE!$A:$W,23,0)),"")</f>
        <v/>
      </c>
      <c r="S122" s="10">
        <f>IF(AND(P122="TN",R122="TN"),N122+N(O122),IF(G122&amp;""="1",N(K122)*N122,(N122+N(O122))*N(K122)))</f>
        <v/>
      </c>
      <c r="T122" s="10">
        <f>IF(Q122="","",Q122-S122)</f>
        <v/>
      </c>
    </row>
    <row r="123">
      <c r="A123" s="7">
        <f>CONCATENATE(C123,E123,F123,I123)</f>
        <v/>
      </c>
      <c r="B123" s="7">
        <f>CONCATENATE(C123,E123,I123)</f>
        <v/>
      </c>
      <c r="C123" s="8" t="n">
        <v>900006074</v>
      </c>
      <c r="D123" s="7">
        <f>IFERROR(VLOOKUP(C123,TRAOPE!$G:$H,2,0),"")</f>
        <v/>
      </c>
      <c r="E123" s="8" t="inlineStr">
        <is>
          <t>D845</t>
        </is>
      </c>
      <c r="F123" s="8" t="inlineStr">
        <is>
          <t>67082379</t>
        </is>
      </c>
      <c r="G123" s="8">
        <f>IFERROR(VLOOKUP(A123,Flete!$A:$E,5,0),"")</f>
        <v/>
      </c>
      <c r="H123" s="7">
        <f>IFERROR(VLOOKUP(F123,TRAOPE!$AA:$AB,2,0),"")</f>
        <v/>
      </c>
      <c r="I123" s="7" t="n">
        <v>10000617</v>
      </c>
      <c r="J123" s="7">
        <f>IFERROR(VLOOKUP(I123,Materiales!$A:$H,8,0),"")</f>
        <v/>
      </c>
      <c r="K123" s="9">
        <f>IFERROR(VLOOKUP(I123,Materiales!$A:$G,7,0),"")</f>
        <v/>
      </c>
      <c r="L123" s="8" t="inlineStr">
        <is>
          <t>20191211</t>
        </is>
      </c>
      <c r="M123" s="8" t="inlineStr">
        <is>
          <t>20251031</t>
        </is>
      </c>
      <c r="N123" s="10" t="n">
        <v>143</v>
      </c>
      <c r="O123" s="10">
        <f>IFERROR(VLOOKUP(A123,Flete!$A:$J,10,0),"")</f>
        <v/>
      </c>
      <c r="P123" s="8" t="inlineStr">
        <is>
          <t>TN</t>
        </is>
      </c>
      <c r="Q123" s="10">
        <f>IFERROR(IFERROR(VLOOKUP(A123,TRAOPE!$A:$U,21,0),VLOOKUP(B123,TRAOPE!$A:$U,21,0)),"")</f>
        <v/>
      </c>
      <c r="R123" s="8">
        <f>IFERROR(IFERROR(VLOOKUP(A123,TRAOPE!$A:$W,23,0),VLOOKUP(B123,TRAOPE!$A:$W,23,0)),"")</f>
        <v/>
      </c>
      <c r="S123" s="10">
        <f>IF(AND(P123="TN",R123="TN"),N123+N(O123),IF(G123&amp;""="1",N(K123)*N123,(N123+N(O123))*N(K123)))</f>
        <v/>
      </c>
      <c r="T123" s="10">
        <f>IF(Q123="","",Q123-S123)</f>
        <v/>
      </c>
    </row>
    <row r="124">
      <c r="A124" s="7">
        <f>CONCATENATE(C124,E124,F124,I124)</f>
        <v/>
      </c>
      <c r="B124" s="7">
        <f>CONCATENATE(C124,E124,I124)</f>
        <v/>
      </c>
      <c r="C124" s="8" t="n">
        <v>900006074</v>
      </c>
      <c r="D124" s="7">
        <f>IFERROR(VLOOKUP(C124,TRAOPE!$G:$H,2,0),"")</f>
        <v/>
      </c>
      <c r="E124" s="8" t="inlineStr">
        <is>
          <t>D845</t>
        </is>
      </c>
      <c r="F124" s="8" t="inlineStr">
        <is>
          <t>67082379</t>
        </is>
      </c>
      <c r="G124" s="8">
        <f>IFERROR(VLOOKUP(A124,Flete!$A:$E,5,0),"")</f>
        <v/>
      </c>
      <c r="H124" s="7">
        <f>IFERROR(VLOOKUP(F124,TRAOPE!$AA:$AB,2,0),"")</f>
        <v/>
      </c>
      <c r="I124" s="7" t="n">
        <v>10000656</v>
      </c>
      <c r="J124" s="7">
        <f>IFERROR(VLOOKUP(I124,Materiales!$A:$H,8,0),"")</f>
        <v/>
      </c>
      <c r="K124" s="9">
        <f>IFERROR(VLOOKUP(I124,Materiales!$A:$G,7,0),"")</f>
        <v/>
      </c>
      <c r="L124" s="8" t="inlineStr">
        <is>
          <t>20191211</t>
        </is>
      </c>
      <c r="M124" s="8" t="inlineStr">
        <is>
          <t>20251031</t>
        </is>
      </c>
      <c r="N124" s="10" t="n">
        <v>141</v>
      </c>
      <c r="O124" s="10">
        <f>IFERROR(VLOOKUP(A124,Flete!$A:$J,10,0),"")</f>
        <v/>
      </c>
      <c r="P124" s="8" t="inlineStr">
        <is>
          <t>TN</t>
        </is>
      </c>
      <c r="Q124" s="10">
        <f>IFERROR(IFERROR(VLOOKUP(A124,TRAOPE!$A:$U,21,0),VLOOKUP(B124,TRAOPE!$A:$U,21,0)),"")</f>
        <v/>
      </c>
      <c r="R124" s="8">
        <f>IFERROR(IFERROR(VLOOKUP(A124,TRAOPE!$A:$W,23,0),VLOOKUP(B124,TRAOPE!$A:$W,23,0)),"")</f>
        <v/>
      </c>
      <c r="S124" s="10">
        <f>IF(AND(P124="TN",R124="TN"),N124+N(O124),IF(G124&amp;""="1",N(K124)*N124,(N124+N(O124))*N(K124)))</f>
        <v/>
      </c>
      <c r="T124" s="10">
        <f>IF(Q124="","",Q124-S124)</f>
        <v/>
      </c>
    </row>
    <row r="125">
      <c r="A125" s="7">
        <f>CONCATENATE(C125,E125,F125,I125)</f>
        <v/>
      </c>
      <c r="B125" s="7">
        <f>CONCATENATE(C125,E125,I125)</f>
        <v/>
      </c>
      <c r="C125" s="8" t="n">
        <v>900006074</v>
      </c>
      <c r="D125" s="7">
        <f>IFERROR(VLOOKUP(C125,TRAOPE!$G:$H,2,0),"")</f>
        <v/>
      </c>
      <c r="E125" s="8" t="inlineStr">
        <is>
          <t>D845</t>
        </is>
      </c>
      <c r="F125" s="8" t="inlineStr">
        <is>
          <t>67128077</t>
        </is>
      </c>
      <c r="G125" s="8">
        <f>IFERROR(VLOOKUP(A125,Flete!$A:$E,5,0),"")</f>
        <v/>
      </c>
      <c r="H125" s="7">
        <f>IFERROR(VLOOKUP(F125,TRAOPE!$AA:$AB,2,0),"")</f>
        <v/>
      </c>
      <c r="I125" s="7" t="n">
        <v>10167749</v>
      </c>
      <c r="J125" s="7">
        <f>IFERROR(VLOOKUP(I125,Materiales!$A:$H,8,0),"")</f>
        <v/>
      </c>
      <c r="K125" s="9">
        <f>IFERROR(VLOOKUP(I125,Materiales!$A:$G,7,0),"")</f>
        <v/>
      </c>
      <c r="L125" s="8" t="inlineStr">
        <is>
          <t>20191211</t>
        </is>
      </c>
      <c r="M125" s="8" t="inlineStr">
        <is>
          <t>20251031</t>
        </is>
      </c>
      <c r="N125" s="10" t="n">
        <v>140</v>
      </c>
      <c r="O125" s="10">
        <f>IFERROR(VLOOKUP(A125,Flete!$A:$J,10,0),"")</f>
        <v/>
      </c>
      <c r="P125" s="8" t="inlineStr">
        <is>
          <t>TN</t>
        </is>
      </c>
      <c r="Q125" s="10">
        <f>IFERROR(IFERROR(VLOOKUP(A125,TRAOPE!$A:$U,21,0),VLOOKUP(B125,TRAOPE!$A:$U,21,0)),"")</f>
        <v/>
      </c>
      <c r="R125" s="8">
        <f>IFERROR(IFERROR(VLOOKUP(A125,TRAOPE!$A:$W,23,0),VLOOKUP(B125,TRAOPE!$A:$W,23,0)),"")</f>
        <v/>
      </c>
      <c r="S125" s="10">
        <f>IF(AND(P125="TN",R125="TN"),N125+N(O125),IF(G125&amp;""="1",N(K125)*N125,(N125+N(O125))*N(K125)))</f>
        <v/>
      </c>
      <c r="T125" s="10">
        <f>IF(Q125="","",Q125-S125)</f>
        <v/>
      </c>
    </row>
    <row r="126">
      <c r="A126" s="7">
        <f>CONCATENATE(C126,E126,F126,I126)</f>
        <v/>
      </c>
      <c r="B126" s="7">
        <f>CONCATENATE(C126,E126,I126)</f>
        <v/>
      </c>
      <c r="C126" s="8" t="n">
        <v>900006074</v>
      </c>
      <c r="D126" s="7">
        <f>IFERROR(VLOOKUP(C126,TRAOPE!$G:$H,2,0),"")</f>
        <v/>
      </c>
      <c r="E126" s="8" t="inlineStr">
        <is>
          <t>D845</t>
        </is>
      </c>
      <c r="F126" s="8" t="inlineStr">
        <is>
          <t>67141594</t>
        </is>
      </c>
      <c r="G126" s="8">
        <f>IFERROR(VLOOKUP(A126,Flete!$A:$E,5,0),"")</f>
        <v/>
      </c>
      <c r="H126" s="7">
        <f>IFERROR(VLOOKUP(F126,TRAOPE!$AA:$AB,2,0),"")</f>
        <v/>
      </c>
      <c r="I126" s="7" t="n">
        <v>10167749</v>
      </c>
      <c r="J126" s="7">
        <f>IFERROR(VLOOKUP(I126,Materiales!$A:$H,8,0),"")</f>
        <v/>
      </c>
      <c r="K126" s="9">
        <f>IFERROR(VLOOKUP(I126,Materiales!$A:$G,7,0),"")</f>
        <v/>
      </c>
      <c r="L126" s="8" t="inlineStr">
        <is>
          <t>20191211</t>
        </is>
      </c>
      <c r="M126" s="8" t="inlineStr">
        <is>
          <t>20251031</t>
        </is>
      </c>
      <c r="N126" s="10" t="n">
        <v>136</v>
      </c>
      <c r="O126" s="10">
        <f>IFERROR(VLOOKUP(A126,Flete!$A:$J,10,0),"")</f>
        <v/>
      </c>
      <c r="P126" s="8" t="inlineStr">
        <is>
          <t>TN</t>
        </is>
      </c>
      <c r="Q126" s="10">
        <f>IFERROR(IFERROR(VLOOKUP(A126,TRAOPE!$A:$U,21,0),VLOOKUP(B126,TRAOPE!$A:$U,21,0)),"")</f>
        <v/>
      </c>
      <c r="R126" s="8">
        <f>IFERROR(IFERROR(VLOOKUP(A126,TRAOPE!$A:$W,23,0),VLOOKUP(B126,TRAOPE!$A:$W,23,0)),"")</f>
        <v/>
      </c>
      <c r="S126" s="10">
        <f>IF(AND(P126="TN",R126="TN"),N126+N(O126),IF(G126&amp;""="1",N(K126)*N126,(N126+N(O126))*N(K126)))</f>
        <v/>
      </c>
      <c r="T126" s="10">
        <f>IF(Q126="","",Q126-S126)</f>
        <v/>
      </c>
    </row>
    <row r="127">
      <c r="A127" s="7">
        <f>CONCATENATE(C127,E127,F127,I127)</f>
        <v/>
      </c>
      <c r="B127" s="7">
        <f>CONCATENATE(C127,E127,I127)</f>
        <v/>
      </c>
      <c r="C127" s="8" t="n">
        <v>900006074</v>
      </c>
      <c r="D127" s="7">
        <f>IFERROR(VLOOKUP(C127,TRAOPE!$G:$H,2,0),"")</f>
        <v/>
      </c>
      <c r="E127" s="8" t="inlineStr">
        <is>
          <t>D845</t>
        </is>
      </c>
      <c r="F127" s="8" t="inlineStr">
        <is>
          <t>67170282</t>
        </is>
      </c>
      <c r="G127" s="8">
        <f>IFERROR(VLOOKUP(A127,Flete!$A:$E,5,0),"")</f>
        <v/>
      </c>
      <c r="H127" s="7">
        <f>IFERROR(VLOOKUP(F127,TRAOPE!$AA:$AB,2,0),"")</f>
        <v/>
      </c>
      <c r="I127" s="7" t="n">
        <v>10167749</v>
      </c>
      <c r="J127" s="7">
        <f>IFERROR(VLOOKUP(I127,Materiales!$A:$H,8,0),"")</f>
        <v/>
      </c>
      <c r="K127" s="9">
        <f>IFERROR(VLOOKUP(I127,Materiales!$A:$G,7,0),"")</f>
        <v/>
      </c>
      <c r="L127" s="8" t="inlineStr">
        <is>
          <t>20191211</t>
        </is>
      </c>
      <c r="M127" s="8" t="inlineStr">
        <is>
          <t>20251031</t>
        </is>
      </c>
      <c r="N127" s="10" t="n">
        <v>135</v>
      </c>
      <c r="O127" s="10">
        <f>IFERROR(VLOOKUP(A127,Flete!$A:$J,10,0),"")</f>
        <v/>
      </c>
      <c r="P127" s="8" t="inlineStr">
        <is>
          <t>TN</t>
        </is>
      </c>
      <c r="Q127" s="10">
        <f>IFERROR(IFERROR(VLOOKUP(A127,TRAOPE!$A:$U,21,0),VLOOKUP(B127,TRAOPE!$A:$U,21,0)),"")</f>
        <v/>
      </c>
      <c r="R127" s="8">
        <f>IFERROR(IFERROR(VLOOKUP(A127,TRAOPE!$A:$W,23,0),VLOOKUP(B127,TRAOPE!$A:$W,23,0)),"")</f>
        <v/>
      </c>
      <c r="S127" s="10">
        <f>IF(AND(P127="TN",R127="TN"),N127+N(O127),IF(G127&amp;""="1",N(K127)*N127,(N127+N(O127))*N(K127)))</f>
        <v/>
      </c>
      <c r="T127" s="10">
        <f>IF(Q127="","",Q127-S127)</f>
        <v/>
      </c>
    </row>
    <row r="128">
      <c r="A128" s="7">
        <f>CONCATENATE(C128,E128,F128,I128)</f>
        <v/>
      </c>
      <c r="B128" s="7">
        <f>CONCATENATE(C128,E128,I128)</f>
        <v/>
      </c>
      <c r="C128" s="8" t="n">
        <v>900006074</v>
      </c>
      <c r="D128" s="7">
        <f>IFERROR(VLOOKUP(C128,TRAOPE!$G:$H,2,0),"")</f>
        <v/>
      </c>
      <c r="E128" s="8" t="inlineStr">
        <is>
          <t>D845</t>
        </is>
      </c>
      <c r="F128" s="8" t="inlineStr">
        <is>
          <t>67197543</t>
        </is>
      </c>
      <c r="G128" s="8">
        <f>IFERROR(VLOOKUP(A128,Flete!$A:$E,5,0),"")</f>
        <v/>
      </c>
      <c r="H128" s="7">
        <f>IFERROR(VLOOKUP(F128,TRAOPE!$AA:$AB,2,0),"")</f>
        <v/>
      </c>
      <c r="I128" s="7" t="n">
        <v>10167749</v>
      </c>
      <c r="J128" s="7">
        <f>IFERROR(VLOOKUP(I128,Materiales!$A:$H,8,0),"")</f>
        <v/>
      </c>
      <c r="K128" s="9">
        <f>IFERROR(VLOOKUP(I128,Materiales!$A:$G,7,0),"")</f>
        <v/>
      </c>
      <c r="L128" s="8" t="inlineStr">
        <is>
          <t>20191211</t>
        </is>
      </c>
      <c r="M128" s="8" t="inlineStr">
        <is>
          <t>20251031</t>
        </is>
      </c>
      <c r="N128" s="10" t="n">
        <v>161</v>
      </c>
      <c r="O128" s="10">
        <f>IFERROR(VLOOKUP(A128,Flete!$A:$J,10,0),"")</f>
        <v/>
      </c>
      <c r="P128" s="8" t="inlineStr">
        <is>
          <t>TN</t>
        </is>
      </c>
      <c r="Q128" s="10">
        <f>IFERROR(IFERROR(VLOOKUP(A128,TRAOPE!$A:$U,21,0),VLOOKUP(B128,TRAOPE!$A:$U,21,0)),"")</f>
        <v/>
      </c>
      <c r="R128" s="8">
        <f>IFERROR(IFERROR(VLOOKUP(A128,TRAOPE!$A:$W,23,0),VLOOKUP(B128,TRAOPE!$A:$W,23,0)),"")</f>
        <v/>
      </c>
      <c r="S128" s="10">
        <f>IF(AND(P128="TN",R128="TN"),N128+N(O128),IF(G128&amp;""="1",N(K128)*N128,(N128+N(O128))*N(K128)))</f>
        <v/>
      </c>
      <c r="T128" s="10">
        <f>IF(Q128="","",Q128-S128)</f>
        <v/>
      </c>
    </row>
    <row r="129">
      <c r="A129" s="7">
        <f>CONCATENATE(C129,E129,F129,I129)</f>
        <v/>
      </c>
      <c r="B129" s="7">
        <f>CONCATENATE(C129,E129,I129)</f>
        <v/>
      </c>
      <c r="C129" s="8" t="n">
        <v>900006074</v>
      </c>
      <c r="D129" s="7">
        <f>IFERROR(VLOOKUP(C129,TRAOPE!$G:$H,2,0),"")</f>
        <v/>
      </c>
      <c r="E129" s="8" t="inlineStr">
        <is>
          <t>D845</t>
        </is>
      </c>
      <c r="F129" s="8" t="inlineStr">
        <is>
          <t>67200086</t>
        </is>
      </c>
      <c r="G129" s="8">
        <f>IFERROR(VLOOKUP(A129,Flete!$A:$E,5,0),"")</f>
        <v/>
      </c>
      <c r="H129" s="7">
        <f>IFERROR(VLOOKUP(F129,TRAOPE!$AA:$AB,2,0),"")</f>
        <v/>
      </c>
      <c r="I129" s="7" t="n">
        <v>10000578</v>
      </c>
      <c r="J129" s="7">
        <f>IFERROR(VLOOKUP(I129,Materiales!$A:$H,8,0),"")</f>
        <v/>
      </c>
      <c r="K129" s="9">
        <f>IFERROR(VLOOKUP(I129,Materiales!$A:$G,7,0),"")</f>
        <v/>
      </c>
      <c r="L129" s="8" t="inlineStr">
        <is>
          <t>20191211</t>
        </is>
      </c>
      <c r="M129" s="8" t="inlineStr">
        <is>
          <t>20251031</t>
        </is>
      </c>
      <c r="N129" s="10" t="n">
        <v>158</v>
      </c>
      <c r="O129" s="10">
        <f>IFERROR(VLOOKUP(A129,Flete!$A:$J,10,0),"")</f>
        <v/>
      </c>
      <c r="P129" s="8" t="inlineStr">
        <is>
          <t>TN</t>
        </is>
      </c>
      <c r="Q129" s="10">
        <f>IFERROR(IFERROR(VLOOKUP(A129,TRAOPE!$A:$U,21,0),VLOOKUP(B129,TRAOPE!$A:$U,21,0)),"")</f>
        <v/>
      </c>
      <c r="R129" s="8">
        <f>IFERROR(IFERROR(VLOOKUP(A129,TRAOPE!$A:$W,23,0),VLOOKUP(B129,TRAOPE!$A:$W,23,0)),"")</f>
        <v/>
      </c>
      <c r="S129" s="10">
        <f>IF(AND(P129="TN",R129="TN"),N129+N(O129),IF(G129&amp;""="1",N(K129)*N129,(N129+N(O129))*N(K129)))</f>
        <v/>
      </c>
      <c r="T129" s="10">
        <f>IF(Q129="","",Q129-S129)</f>
        <v/>
      </c>
    </row>
    <row r="130">
      <c r="A130" s="7">
        <f>CONCATENATE(C130,E130,F130,I130)</f>
        <v/>
      </c>
      <c r="B130" s="7">
        <f>CONCATENATE(C130,E130,I130)</f>
        <v/>
      </c>
      <c r="C130" s="8" t="n">
        <v>900006074</v>
      </c>
      <c r="D130" s="7">
        <f>IFERROR(VLOOKUP(C130,TRAOPE!$G:$H,2,0),"")</f>
        <v/>
      </c>
      <c r="E130" s="8" t="inlineStr">
        <is>
          <t>D845</t>
        </is>
      </c>
      <c r="F130" s="8" t="inlineStr">
        <is>
          <t>67200086</t>
        </is>
      </c>
      <c r="G130" s="8">
        <f>IFERROR(VLOOKUP(A130,Flete!$A:$E,5,0),"")</f>
        <v/>
      </c>
      <c r="H130" s="7">
        <f>IFERROR(VLOOKUP(F130,TRAOPE!$AA:$AB,2,0),"")</f>
        <v/>
      </c>
      <c r="I130" s="7" t="n">
        <v>10167749</v>
      </c>
      <c r="J130" s="7">
        <f>IFERROR(VLOOKUP(I130,Materiales!$A:$H,8,0),"")</f>
        <v/>
      </c>
      <c r="K130" s="9">
        <f>IFERROR(VLOOKUP(I130,Materiales!$A:$G,7,0),"")</f>
        <v/>
      </c>
      <c r="L130" s="8" t="inlineStr">
        <is>
          <t>20191211</t>
        </is>
      </c>
      <c r="M130" s="8" t="inlineStr">
        <is>
          <t>20251031</t>
        </is>
      </c>
      <c r="N130" s="10" t="n">
        <v>161</v>
      </c>
      <c r="O130" s="10">
        <f>IFERROR(VLOOKUP(A130,Flete!$A:$J,10,0),"")</f>
        <v/>
      </c>
      <c r="P130" s="8" t="inlineStr">
        <is>
          <t>TN</t>
        </is>
      </c>
      <c r="Q130" s="10">
        <f>IFERROR(IFERROR(VLOOKUP(A130,TRAOPE!$A:$U,21,0),VLOOKUP(B130,TRAOPE!$A:$U,21,0)),"")</f>
        <v/>
      </c>
      <c r="R130" s="8">
        <f>IFERROR(IFERROR(VLOOKUP(A130,TRAOPE!$A:$W,23,0),VLOOKUP(B130,TRAOPE!$A:$W,23,0)),"")</f>
        <v/>
      </c>
      <c r="S130" s="10">
        <f>IF(AND(P130="TN",R130="TN"),N130+N(O130),IF(G130&amp;""="1",N(K130)*N130,(N130+N(O130))*N(K130)))</f>
        <v/>
      </c>
      <c r="T130" s="10">
        <f>IF(Q130="","",Q130-S130)</f>
        <v/>
      </c>
    </row>
    <row r="131">
      <c r="A131" s="7">
        <f>CONCATENATE(C131,E131,F131,I131)</f>
        <v/>
      </c>
      <c r="B131" s="7">
        <f>CONCATENATE(C131,E131,I131)</f>
        <v/>
      </c>
      <c r="C131" s="8" t="n">
        <v>900006074</v>
      </c>
      <c r="D131" s="7">
        <f>IFERROR(VLOOKUP(C131,TRAOPE!$G:$H,2,0),"")</f>
        <v/>
      </c>
      <c r="E131" s="8" t="inlineStr">
        <is>
          <t>D845</t>
        </is>
      </c>
      <c r="F131" s="8" t="inlineStr">
        <is>
          <t>67203905</t>
        </is>
      </c>
      <c r="G131" s="8">
        <f>IFERROR(VLOOKUP(A131,Flete!$A:$E,5,0),"")</f>
        <v/>
      </c>
      <c r="H131" s="7">
        <f>IFERROR(VLOOKUP(F131,TRAOPE!$AA:$AB,2,0),"")</f>
        <v/>
      </c>
      <c r="I131" s="7" t="n">
        <v>10000578</v>
      </c>
      <c r="J131" s="7">
        <f>IFERROR(VLOOKUP(I131,Materiales!$A:$H,8,0),"")</f>
        <v/>
      </c>
      <c r="K131" s="9">
        <f>IFERROR(VLOOKUP(I131,Materiales!$A:$G,7,0),"")</f>
        <v/>
      </c>
      <c r="L131" s="8" t="inlineStr">
        <is>
          <t>20191211</t>
        </is>
      </c>
      <c r="M131" s="8" t="inlineStr">
        <is>
          <t>20251031</t>
        </is>
      </c>
      <c r="N131" s="10" t="n">
        <v>133</v>
      </c>
      <c r="O131" s="10">
        <f>IFERROR(VLOOKUP(A131,Flete!$A:$J,10,0),"")</f>
        <v/>
      </c>
      <c r="P131" s="8" t="inlineStr">
        <is>
          <t>TN</t>
        </is>
      </c>
      <c r="Q131" s="10">
        <f>IFERROR(IFERROR(VLOOKUP(A131,TRAOPE!$A:$U,21,0),VLOOKUP(B131,TRAOPE!$A:$U,21,0)),"")</f>
        <v/>
      </c>
      <c r="R131" s="8">
        <f>IFERROR(IFERROR(VLOOKUP(A131,TRAOPE!$A:$W,23,0),VLOOKUP(B131,TRAOPE!$A:$W,23,0)),"")</f>
        <v/>
      </c>
      <c r="S131" s="10">
        <f>IF(AND(P131="TN",R131="TN"),N131+N(O131),IF(G131&amp;""="1",N(K131)*N131,(N131+N(O131))*N(K131)))</f>
        <v/>
      </c>
      <c r="T131" s="10">
        <f>IF(Q131="","",Q131-S131)</f>
        <v/>
      </c>
    </row>
    <row r="132">
      <c r="A132" s="7">
        <f>CONCATENATE(C132,E132,F132,I132)</f>
        <v/>
      </c>
      <c r="B132" s="7">
        <f>CONCATENATE(C132,E132,I132)</f>
        <v/>
      </c>
      <c r="C132" s="8" t="n">
        <v>900006074</v>
      </c>
      <c r="D132" s="7">
        <f>IFERROR(VLOOKUP(C132,TRAOPE!$G:$H,2,0),"")</f>
        <v/>
      </c>
      <c r="E132" s="8" t="inlineStr">
        <is>
          <t>D845</t>
        </is>
      </c>
      <c r="F132" s="8" t="inlineStr">
        <is>
          <t>67203905</t>
        </is>
      </c>
      <c r="G132" s="8">
        <f>IFERROR(VLOOKUP(A132,Flete!$A:$E,5,0),"")</f>
        <v/>
      </c>
      <c r="H132" s="7">
        <f>IFERROR(VLOOKUP(F132,TRAOPE!$AA:$AB,2,0),"")</f>
        <v/>
      </c>
      <c r="I132" s="7" t="n">
        <v>10000617</v>
      </c>
      <c r="J132" s="7">
        <f>IFERROR(VLOOKUP(I132,Materiales!$A:$H,8,0),"")</f>
        <v/>
      </c>
      <c r="K132" s="9">
        <f>IFERROR(VLOOKUP(I132,Materiales!$A:$G,7,0),"")</f>
        <v/>
      </c>
      <c r="L132" s="8" t="inlineStr">
        <is>
          <t>20191211</t>
        </is>
      </c>
      <c r="M132" s="8" t="inlineStr">
        <is>
          <t>20251031</t>
        </is>
      </c>
      <c r="N132" s="10" t="n">
        <v>140</v>
      </c>
      <c r="O132" s="10">
        <f>IFERROR(VLOOKUP(A132,Flete!$A:$J,10,0),"")</f>
        <v/>
      </c>
      <c r="P132" s="8" t="inlineStr">
        <is>
          <t>TN</t>
        </is>
      </c>
      <c r="Q132" s="10">
        <f>IFERROR(IFERROR(VLOOKUP(A132,TRAOPE!$A:$U,21,0),VLOOKUP(B132,TRAOPE!$A:$U,21,0)),"")</f>
        <v/>
      </c>
      <c r="R132" s="8">
        <f>IFERROR(IFERROR(VLOOKUP(A132,TRAOPE!$A:$W,23,0),VLOOKUP(B132,TRAOPE!$A:$W,23,0)),"")</f>
        <v/>
      </c>
      <c r="S132" s="10">
        <f>IF(AND(P132="TN",R132="TN"),N132+N(O132),IF(G132&amp;""="1",N(K132)*N132,(N132+N(O132))*N(K132)))</f>
        <v/>
      </c>
      <c r="T132" s="10">
        <f>IF(Q132="","",Q132-S132)</f>
        <v/>
      </c>
    </row>
    <row r="133">
      <c r="A133" s="7">
        <f>CONCATENATE(C133,E133,F133,I133)</f>
        <v/>
      </c>
      <c r="B133" s="7">
        <f>CONCATENATE(C133,E133,I133)</f>
        <v/>
      </c>
      <c r="C133" s="8" t="n">
        <v>900006074</v>
      </c>
      <c r="D133" s="7">
        <f>IFERROR(VLOOKUP(C133,TRAOPE!$G:$H,2,0),"")</f>
        <v/>
      </c>
      <c r="E133" s="8" t="inlineStr">
        <is>
          <t>D845</t>
        </is>
      </c>
      <c r="F133" s="8" t="inlineStr">
        <is>
          <t>67203905</t>
        </is>
      </c>
      <c r="G133" s="8">
        <f>IFERROR(VLOOKUP(A133,Flete!$A:$E,5,0),"")</f>
        <v/>
      </c>
      <c r="H133" s="7">
        <f>IFERROR(VLOOKUP(F133,TRAOPE!$AA:$AB,2,0),"")</f>
        <v/>
      </c>
      <c r="I133" s="7" t="n">
        <v>10167749</v>
      </c>
      <c r="J133" s="7">
        <f>IFERROR(VLOOKUP(I133,Materiales!$A:$H,8,0),"")</f>
        <v/>
      </c>
      <c r="K133" s="9">
        <f>IFERROR(VLOOKUP(I133,Materiales!$A:$G,7,0),"")</f>
        <v/>
      </c>
      <c r="L133" s="8" t="inlineStr">
        <is>
          <t>20191211</t>
        </is>
      </c>
      <c r="M133" s="8" t="inlineStr">
        <is>
          <t>20251031</t>
        </is>
      </c>
      <c r="N133" s="10" t="n">
        <v>135</v>
      </c>
      <c r="O133" s="10">
        <f>IFERROR(VLOOKUP(A133,Flete!$A:$J,10,0),"")</f>
        <v/>
      </c>
      <c r="P133" s="8" t="inlineStr">
        <is>
          <t>TN</t>
        </is>
      </c>
      <c r="Q133" s="10">
        <f>IFERROR(IFERROR(VLOOKUP(A133,TRAOPE!$A:$U,21,0),VLOOKUP(B133,TRAOPE!$A:$U,21,0)),"")</f>
        <v/>
      </c>
      <c r="R133" s="8">
        <f>IFERROR(IFERROR(VLOOKUP(A133,TRAOPE!$A:$W,23,0),VLOOKUP(B133,TRAOPE!$A:$W,23,0)),"")</f>
        <v/>
      </c>
      <c r="S133" s="10">
        <f>IF(AND(P133="TN",R133="TN"),N133+N(O133),IF(G133&amp;""="1",N(K133)*N133,(N133+N(O133))*N(K133)))</f>
        <v/>
      </c>
      <c r="T133" s="10">
        <f>IF(Q133="","",Q133-S133)</f>
        <v/>
      </c>
    </row>
    <row r="134">
      <c r="A134" s="7">
        <f>CONCATENATE(C134,E134,F134,I134)</f>
        <v/>
      </c>
      <c r="B134" s="7">
        <f>CONCATENATE(C134,E134,I134)</f>
        <v/>
      </c>
      <c r="C134" s="8" t="n">
        <v>900006074</v>
      </c>
      <c r="D134" s="7">
        <f>IFERROR(VLOOKUP(C134,TRAOPE!$G:$H,2,0),"")</f>
        <v/>
      </c>
      <c r="E134" s="8" t="inlineStr">
        <is>
          <t>D845</t>
        </is>
      </c>
      <c r="F134" s="8" t="inlineStr">
        <is>
          <t>67206102</t>
        </is>
      </c>
      <c r="G134" s="8">
        <f>IFERROR(VLOOKUP(A134,Flete!$A:$E,5,0),"")</f>
        <v/>
      </c>
      <c r="H134" s="7">
        <f>IFERROR(VLOOKUP(F134,TRAOPE!$AA:$AB,2,0),"")</f>
        <v/>
      </c>
      <c r="I134" s="7" t="n">
        <v>10000536</v>
      </c>
      <c r="J134" s="7">
        <f>IFERROR(VLOOKUP(I134,Materiales!$A:$H,8,0),"")</f>
        <v/>
      </c>
      <c r="K134" s="9">
        <f>IFERROR(VLOOKUP(I134,Materiales!$A:$G,7,0),"")</f>
        <v/>
      </c>
      <c r="L134" s="8" t="inlineStr">
        <is>
          <t>20191211</t>
        </is>
      </c>
      <c r="M134" s="8" t="inlineStr">
        <is>
          <t>20251031</t>
        </is>
      </c>
      <c r="N134" s="10" t="n">
        <v>158</v>
      </c>
      <c r="O134" s="10">
        <f>IFERROR(VLOOKUP(A134,Flete!$A:$J,10,0),"")</f>
        <v/>
      </c>
      <c r="P134" s="8" t="inlineStr">
        <is>
          <t>TN</t>
        </is>
      </c>
      <c r="Q134" s="10">
        <f>IFERROR(IFERROR(VLOOKUP(A134,TRAOPE!$A:$U,21,0),VLOOKUP(B134,TRAOPE!$A:$U,21,0)),"")</f>
        <v/>
      </c>
      <c r="R134" s="8">
        <f>IFERROR(IFERROR(VLOOKUP(A134,TRAOPE!$A:$W,23,0),VLOOKUP(B134,TRAOPE!$A:$W,23,0)),"")</f>
        <v/>
      </c>
      <c r="S134" s="10">
        <f>IF(AND(P134="TN",R134="TN"),N134+N(O134),IF(G134&amp;""="1",N(K134)*N134,(N134+N(O134))*N(K134)))</f>
        <v/>
      </c>
      <c r="T134" s="10">
        <f>IF(Q134="","",Q134-S134)</f>
        <v/>
      </c>
    </row>
    <row r="135">
      <c r="A135" s="7">
        <f>CONCATENATE(C135,E135,F135,I135)</f>
        <v/>
      </c>
      <c r="B135" s="7">
        <f>CONCATENATE(C135,E135,I135)</f>
        <v/>
      </c>
      <c r="C135" s="8" t="n">
        <v>900006074</v>
      </c>
      <c r="D135" s="7">
        <f>IFERROR(VLOOKUP(C135,TRAOPE!$G:$H,2,0),"")</f>
        <v/>
      </c>
      <c r="E135" s="8" t="inlineStr">
        <is>
          <t>D845</t>
        </is>
      </c>
      <c r="F135" s="8" t="inlineStr">
        <is>
          <t>67206102</t>
        </is>
      </c>
      <c r="G135" s="8">
        <f>IFERROR(VLOOKUP(A135,Flete!$A:$E,5,0),"")</f>
        <v/>
      </c>
      <c r="H135" s="7">
        <f>IFERROR(VLOOKUP(F135,TRAOPE!$AA:$AB,2,0),"")</f>
        <v/>
      </c>
      <c r="I135" s="7" t="n">
        <v>10000578</v>
      </c>
      <c r="J135" s="7">
        <f>IFERROR(VLOOKUP(I135,Materiales!$A:$H,8,0),"")</f>
        <v/>
      </c>
      <c r="K135" s="9">
        <f>IFERROR(VLOOKUP(I135,Materiales!$A:$G,7,0),"")</f>
        <v/>
      </c>
      <c r="L135" s="8" t="inlineStr">
        <is>
          <t>20191211</t>
        </is>
      </c>
      <c r="M135" s="8" t="inlineStr">
        <is>
          <t>20251031</t>
        </is>
      </c>
      <c r="N135" s="10" t="n">
        <v>158</v>
      </c>
      <c r="O135" s="10">
        <f>IFERROR(VLOOKUP(A135,Flete!$A:$J,10,0),"")</f>
        <v/>
      </c>
      <c r="P135" s="8" t="inlineStr">
        <is>
          <t>TN</t>
        </is>
      </c>
      <c r="Q135" s="10">
        <f>IFERROR(IFERROR(VLOOKUP(A135,TRAOPE!$A:$U,21,0),VLOOKUP(B135,TRAOPE!$A:$U,21,0)),"")</f>
        <v/>
      </c>
      <c r="R135" s="8">
        <f>IFERROR(IFERROR(VLOOKUP(A135,TRAOPE!$A:$W,23,0),VLOOKUP(B135,TRAOPE!$A:$W,23,0)),"")</f>
        <v/>
      </c>
      <c r="S135" s="10">
        <f>IF(AND(P135="TN",R135="TN"),N135+N(O135),IF(G135&amp;""="1",N(K135)*N135,(N135+N(O135))*N(K135)))</f>
        <v/>
      </c>
      <c r="T135" s="10">
        <f>IF(Q135="","",Q135-S135)</f>
        <v/>
      </c>
    </row>
    <row r="136">
      <c r="A136" s="7">
        <f>CONCATENATE(C136,E136,F136,I136)</f>
        <v/>
      </c>
      <c r="B136" s="7">
        <f>CONCATENATE(C136,E136,I136)</f>
        <v/>
      </c>
      <c r="C136" s="8" t="n">
        <v>900006074</v>
      </c>
      <c r="D136" s="7">
        <f>IFERROR(VLOOKUP(C136,TRAOPE!$G:$H,2,0),"")</f>
        <v/>
      </c>
      <c r="E136" s="8" t="inlineStr">
        <is>
          <t>D845</t>
        </is>
      </c>
      <c r="F136" s="8" t="inlineStr">
        <is>
          <t>67206102</t>
        </is>
      </c>
      <c r="G136" s="8">
        <f>IFERROR(VLOOKUP(A136,Flete!$A:$E,5,0),"")</f>
        <v/>
      </c>
      <c r="H136" s="7">
        <f>IFERROR(VLOOKUP(F136,TRAOPE!$AA:$AB,2,0),"")</f>
        <v/>
      </c>
      <c r="I136" s="7" t="n">
        <v>10000617</v>
      </c>
      <c r="J136" s="7">
        <f>IFERROR(VLOOKUP(I136,Materiales!$A:$H,8,0),"")</f>
        <v/>
      </c>
      <c r="K136" s="9">
        <f>IFERROR(VLOOKUP(I136,Materiales!$A:$G,7,0),"")</f>
        <v/>
      </c>
      <c r="L136" s="8" t="inlineStr">
        <is>
          <t>20191211</t>
        </is>
      </c>
      <c r="M136" s="8" t="inlineStr">
        <is>
          <t>20251031</t>
        </is>
      </c>
      <c r="N136" s="10" t="n">
        <v>168</v>
      </c>
      <c r="O136" s="10">
        <f>IFERROR(VLOOKUP(A136,Flete!$A:$J,10,0),"")</f>
        <v/>
      </c>
      <c r="P136" s="8" t="inlineStr">
        <is>
          <t>TN</t>
        </is>
      </c>
      <c r="Q136" s="10">
        <f>IFERROR(IFERROR(VLOOKUP(A136,TRAOPE!$A:$U,21,0),VLOOKUP(B136,TRAOPE!$A:$U,21,0)),"")</f>
        <v/>
      </c>
      <c r="R136" s="8">
        <f>IFERROR(IFERROR(VLOOKUP(A136,TRAOPE!$A:$W,23,0),VLOOKUP(B136,TRAOPE!$A:$W,23,0)),"")</f>
        <v/>
      </c>
      <c r="S136" s="10">
        <f>IF(AND(P136="TN",R136="TN"),N136+N(O136),IF(G136&amp;""="1",N(K136)*N136,(N136+N(O136))*N(K136)))</f>
        <v/>
      </c>
      <c r="T136" s="10">
        <f>IF(Q136="","",Q136-S136)</f>
        <v/>
      </c>
    </row>
    <row r="137">
      <c r="A137" s="7">
        <f>CONCATENATE(C137,E137,F137,I137)</f>
        <v/>
      </c>
      <c r="B137" s="7">
        <f>CONCATENATE(C137,E137,I137)</f>
        <v/>
      </c>
      <c r="C137" s="8" t="n">
        <v>900006074</v>
      </c>
      <c r="D137" s="7">
        <f>IFERROR(VLOOKUP(C137,TRAOPE!$G:$H,2,0),"")</f>
        <v/>
      </c>
      <c r="E137" s="8" t="inlineStr">
        <is>
          <t>D845</t>
        </is>
      </c>
      <c r="F137" s="8" t="inlineStr">
        <is>
          <t>67206102</t>
        </is>
      </c>
      <c r="G137" s="8">
        <f>IFERROR(VLOOKUP(A137,Flete!$A:$E,5,0),"")</f>
        <v/>
      </c>
      <c r="H137" s="7">
        <f>IFERROR(VLOOKUP(F137,TRAOPE!$AA:$AB,2,0),"")</f>
        <v/>
      </c>
      <c r="I137" s="7" t="n">
        <v>10000656</v>
      </c>
      <c r="J137" s="7">
        <f>IFERROR(VLOOKUP(I137,Materiales!$A:$H,8,0),"")</f>
        <v/>
      </c>
      <c r="K137" s="9">
        <f>IFERROR(VLOOKUP(I137,Materiales!$A:$G,7,0),"")</f>
        <v/>
      </c>
      <c r="L137" s="8" t="inlineStr">
        <is>
          <t>20191211</t>
        </is>
      </c>
      <c r="M137" s="8" t="inlineStr">
        <is>
          <t>20251031</t>
        </is>
      </c>
      <c r="N137" s="10" t="n">
        <v>166</v>
      </c>
      <c r="O137" s="10">
        <f>IFERROR(VLOOKUP(A137,Flete!$A:$J,10,0),"")</f>
        <v/>
      </c>
      <c r="P137" s="8" t="inlineStr">
        <is>
          <t>TN</t>
        </is>
      </c>
      <c r="Q137" s="10">
        <f>IFERROR(IFERROR(VLOOKUP(A137,TRAOPE!$A:$U,21,0),VLOOKUP(B137,TRAOPE!$A:$U,21,0)),"")</f>
        <v/>
      </c>
      <c r="R137" s="8">
        <f>IFERROR(IFERROR(VLOOKUP(A137,TRAOPE!$A:$W,23,0),VLOOKUP(B137,TRAOPE!$A:$W,23,0)),"")</f>
        <v/>
      </c>
      <c r="S137" s="10">
        <f>IF(AND(P137="TN",R137="TN"),N137+N(O137),IF(G137&amp;""="1",N(K137)*N137,(N137+N(O137))*N(K137)))</f>
        <v/>
      </c>
      <c r="T137" s="10">
        <f>IF(Q137="","",Q137-S137)</f>
        <v/>
      </c>
    </row>
    <row r="138">
      <c r="A138" s="7">
        <f>CONCATENATE(C138,E138,F138,I138)</f>
        <v/>
      </c>
      <c r="B138" s="7">
        <f>CONCATENATE(C138,E138,I138)</f>
        <v/>
      </c>
      <c r="C138" s="8" t="n">
        <v>900006074</v>
      </c>
      <c r="D138" s="7">
        <f>IFERROR(VLOOKUP(C138,TRAOPE!$G:$H,2,0),"")</f>
        <v/>
      </c>
      <c r="E138" s="8" t="inlineStr">
        <is>
          <t>D845</t>
        </is>
      </c>
      <c r="F138" s="8" t="inlineStr">
        <is>
          <t>67230766</t>
        </is>
      </c>
      <c r="G138" s="8">
        <f>IFERROR(VLOOKUP(A138,Flete!$A:$E,5,0),"")</f>
        <v/>
      </c>
      <c r="H138" s="7">
        <f>IFERROR(VLOOKUP(F138,TRAOPE!$AA:$AB,2,0),"")</f>
        <v/>
      </c>
      <c r="I138" s="7" t="n">
        <v>10058501</v>
      </c>
      <c r="J138" s="7">
        <f>IFERROR(VLOOKUP(I138,Materiales!$A:$H,8,0),"")</f>
        <v/>
      </c>
      <c r="K138" s="9">
        <f>IFERROR(VLOOKUP(I138,Materiales!$A:$G,7,0),"")</f>
        <v/>
      </c>
      <c r="L138" s="8" t="inlineStr">
        <is>
          <t>20191211</t>
        </is>
      </c>
      <c r="M138" s="8" t="inlineStr">
        <is>
          <t>20251031</t>
        </is>
      </c>
      <c r="N138" s="10" t="n">
        <v>151</v>
      </c>
      <c r="O138" s="10">
        <f>IFERROR(VLOOKUP(A138,Flete!$A:$J,10,0),"")</f>
        <v/>
      </c>
      <c r="P138" s="8" t="inlineStr">
        <is>
          <t>TN</t>
        </is>
      </c>
      <c r="Q138" s="10">
        <f>IFERROR(IFERROR(VLOOKUP(A138,TRAOPE!$A:$U,21,0),VLOOKUP(B138,TRAOPE!$A:$U,21,0)),"")</f>
        <v/>
      </c>
      <c r="R138" s="8">
        <f>IFERROR(IFERROR(VLOOKUP(A138,TRAOPE!$A:$W,23,0),VLOOKUP(B138,TRAOPE!$A:$W,23,0)),"")</f>
        <v/>
      </c>
      <c r="S138" s="10">
        <f>IF(AND(P138="TN",R138="TN"),N138+N(O138),IF(G138&amp;""="1",N(K138)*N138,(N138+N(O138))*N(K138)))</f>
        <v/>
      </c>
      <c r="T138" s="10">
        <f>IF(Q138="","",Q138-S138)</f>
        <v/>
      </c>
    </row>
    <row r="139">
      <c r="A139" s="7">
        <f>CONCATENATE(C139,E139,F139,I139)</f>
        <v/>
      </c>
      <c r="B139" s="7">
        <f>CONCATENATE(C139,E139,I139)</f>
        <v/>
      </c>
      <c r="C139" s="8" t="n">
        <v>900006074</v>
      </c>
      <c r="D139" s="7">
        <f>IFERROR(VLOOKUP(C139,TRAOPE!$G:$H,2,0),"")</f>
        <v/>
      </c>
      <c r="E139" s="8" t="inlineStr">
        <is>
          <t>D845</t>
        </is>
      </c>
      <c r="F139" s="8" t="inlineStr">
        <is>
          <t>67230766</t>
        </is>
      </c>
      <c r="G139" s="8">
        <f>IFERROR(VLOOKUP(A139,Flete!$A:$E,5,0),"")</f>
        <v/>
      </c>
      <c r="H139" s="7">
        <f>IFERROR(VLOOKUP(F139,TRAOPE!$AA:$AB,2,0),"")</f>
        <v/>
      </c>
      <c r="I139" s="7" t="n">
        <v>10167749</v>
      </c>
      <c r="J139" s="7">
        <f>IFERROR(VLOOKUP(I139,Materiales!$A:$H,8,0),"")</f>
        <v/>
      </c>
      <c r="K139" s="9">
        <f>IFERROR(VLOOKUP(I139,Materiales!$A:$G,7,0),"")</f>
        <v/>
      </c>
      <c r="L139" s="8" t="inlineStr">
        <is>
          <t>20191211</t>
        </is>
      </c>
      <c r="M139" s="8" t="inlineStr">
        <is>
          <t>20251031</t>
        </is>
      </c>
      <c r="N139" s="10" t="n">
        <v>161</v>
      </c>
      <c r="O139" s="10">
        <f>IFERROR(VLOOKUP(A139,Flete!$A:$J,10,0),"")</f>
        <v/>
      </c>
      <c r="P139" s="8" t="inlineStr">
        <is>
          <t>TN</t>
        </is>
      </c>
      <c r="Q139" s="10">
        <f>IFERROR(IFERROR(VLOOKUP(A139,TRAOPE!$A:$U,21,0),VLOOKUP(B139,TRAOPE!$A:$U,21,0)),"")</f>
        <v/>
      </c>
      <c r="R139" s="8">
        <f>IFERROR(IFERROR(VLOOKUP(A139,TRAOPE!$A:$W,23,0),VLOOKUP(B139,TRAOPE!$A:$W,23,0)),"")</f>
        <v/>
      </c>
      <c r="S139" s="10">
        <f>IF(AND(P139="TN",R139="TN"),N139+N(O139),IF(G139&amp;""="1",N(K139)*N139,(N139+N(O139))*N(K139)))</f>
        <v/>
      </c>
      <c r="T139" s="10">
        <f>IF(Q139="","",Q139-S139)</f>
        <v/>
      </c>
    </row>
    <row r="140">
      <c r="A140" s="7">
        <f>CONCATENATE(C140,E140,F140,I140)</f>
        <v/>
      </c>
      <c r="B140" s="7">
        <f>CONCATENATE(C140,E140,I140)</f>
        <v/>
      </c>
      <c r="C140" s="8" t="n">
        <v>900006074</v>
      </c>
      <c r="D140" s="7">
        <f>IFERROR(VLOOKUP(C140,TRAOPE!$G:$H,2,0),"")</f>
        <v/>
      </c>
      <c r="E140" s="8" t="inlineStr">
        <is>
          <t>D845</t>
        </is>
      </c>
      <c r="F140" s="8" t="inlineStr">
        <is>
          <t>67231138</t>
        </is>
      </c>
      <c r="G140" s="8">
        <f>IFERROR(VLOOKUP(A140,Flete!$A:$E,5,0),"")</f>
        <v/>
      </c>
      <c r="H140" s="7">
        <f>IFERROR(VLOOKUP(F140,TRAOPE!$AA:$AB,2,0),"")</f>
        <v/>
      </c>
      <c r="I140" s="7" t="n">
        <v>10058501</v>
      </c>
      <c r="J140" s="7">
        <f>IFERROR(VLOOKUP(I140,Materiales!$A:$H,8,0),"")</f>
        <v/>
      </c>
      <c r="K140" s="9">
        <f>IFERROR(VLOOKUP(I140,Materiales!$A:$G,7,0),"")</f>
        <v/>
      </c>
      <c r="L140" s="8" t="inlineStr">
        <is>
          <t>20191211</t>
        </is>
      </c>
      <c r="M140" s="8" t="inlineStr">
        <is>
          <t>20251031</t>
        </is>
      </c>
      <c r="N140" s="10" t="n">
        <v>151</v>
      </c>
      <c r="O140" s="10">
        <f>IFERROR(VLOOKUP(A140,Flete!$A:$J,10,0),"")</f>
        <v/>
      </c>
      <c r="P140" s="8" t="inlineStr">
        <is>
          <t>TN</t>
        </is>
      </c>
      <c r="Q140" s="10">
        <f>IFERROR(IFERROR(VLOOKUP(A140,TRAOPE!$A:$U,21,0),VLOOKUP(B140,TRAOPE!$A:$U,21,0)),"")</f>
        <v/>
      </c>
      <c r="R140" s="8">
        <f>IFERROR(IFERROR(VLOOKUP(A140,TRAOPE!$A:$W,23,0),VLOOKUP(B140,TRAOPE!$A:$W,23,0)),"")</f>
        <v/>
      </c>
      <c r="S140" s="10">
        <f>IF(AND(P140="TN",R140="TN"),N140+N(O140),IF(G140&amp;""="1",N(K140)*N140,(N140+N(O140))*N(K140)))</f>
        <v/>
      </c>
      <c r="T140" s="10">
        <f>IF(Q140="","",Q140-S140)</f>
        <v/>
      </c>
    </row>
    <row r="141">
      <c r="A141" s="7">
        <f>CONCATENATE(C141,E141,F141,I141)</f>
        <v/>
      </c>
      <c r="B141" s="7">
        <f>CONCATENATE(C141,E141,I141)</f>
        <v/>
      </c>
      <c r="C141" s="8" t="n">
        <v>900006074</v>
      </c>
      <c r="D141" s="7">
        <f>IFERROR(VLOOKUP(C141,TRAOPE!$G:$H,2,0),"")</f>
        <v/>
      </c>
      <c r="E141" s="8" t="inlineStr">
        <is>
          <t>D845</t>
        </is>
      </c>
      <c r="F141" s="8" t="inlineStr">
        <is>
          <t>67231138</t>
        </is>
      </c>
      <c r="G141" s="8">
        <f>IFERROR(VLOOKUP(A141,Flete!$A:$E,5,0),"")</f>
        <v/>
      </c>
      <c r="H141" s="7">
        <f>IFERROR(VLOOKUP(F141,TRAOPE!$AA:$AB,2,0),"")</f>
        <v/>
      </c>
      <c r="I141" s="7" t="n">
        <v>10167749</v>
      </c>
      <c r="J141" s="7">
        <f>IFERROR(VLOOKUP(I141,Materiales!$A:$H,8,0),"")</f>
        <v/>
      </c>
      <c r="K141" s="9">
        <f>IFERROR(VLOOKUP(I141,Materiales!$A:$G,7,0),"")</f>
        <v/>
      </c>
      <c r="L141" s="8" t="inlineStr">
        <is>
          <t>20191211</t>
        </is>
      </c>
      <c r="M141" s="8" t="inlineStr">
        <is>
          <t>20251031</t>
        </is>
      </c>
      <c r="N141" s="10" t="n">
        <v>161</v>
      </c>
      <c r="O141" s="10">
        <f>IFERROR(VLOOKUP(A141,Flete!$A:$J,10,0),"")</f>
        <v/>
      </c>
      <c r="P141" s="8" t="inlineStr">
        <is>
          <t>TN</t>
        </is>
      </c>
      <c r="Q141" s="10">
        <f>IFERROR(IFERROR(VLOOKUP(A141,TRAOPE!$A:$U,21,0),VLOOKUP(B141,TRAOPE!$A:$U,21,0)),"")</f>
        <v/>
      </c>
      <c r="R141" s="8">
        <f>IFERROR(IFERROR(VLOOKUP(A141,TRAOPE!$A:$W,23,0),VLOOKUP(B141,TRAOPE!$A:$W,23,0)),"")</f>
        <v/>
      </c>
      <c r="S141" s="10">
        <f>IF(AND(P141="TN",R141="TN"),N141+N(O141),IF(G141&amp;""="1",N(K141)*N141,(N141+N(O141))*N(K141)))</f>
        <v/>
      </c>
      <c r="T141" s="10">
        <f>IF(Q141="","",Q141-S141)</f>
        <v/>
      </c>
    </row>
    <row r="142">
      <c r="A142" s="7">
        <f>CONCATENATE(C142,E142,F142,I142)</f>
        <v/>
      </c>
      <c r="B142" s="7">
        <f>CONCATENATE(C142,E142,I142)</f>
        <v/>
      </c>
      <c r="C142" s="8" t="n">
        <v>900006074</v>
      </c>
      <c r="D142" s="7">
        <f>IFERROR(VLOOKUP(C142,TRAOPE!$G:$H,2,0),"")</f>
        <v/>
      </c>
      <c r="E142" s="8" t="inlineStr">
        <is>
          <t>D845</t>
        </is>
      </c>
      <c r="F142" s="8" t="inlineStr">
        <is>
          <t>67241102</t>
        </is>
      </c>
      <c r="G142" s="8">
        <f>IFERROR(VLOOKUP(A142,Flete!$A:$E,5,0),"")</f>
        <v/>
      </c>
      <c r="H142" s="7">
        <f>IFERROR(VLOOKUP(F142,TRAOPE!$AA:$AB,2,0),"")</f>
        <v/>
      </c>
      <c r="I142" s="7" t="n">
        <v>10167749</v>
      </c>
      <c r="J142" s="7">
        <f>IFERROR(VLOOKUP(I142,Materiales!$A:$H,8,0),"")</f>
        <v/>
      </c>
      <c r="K142" s="9">
        <f>IFERROR(VLOOKUP(I142,Materiales!$A:$G,7,0),"")</f>
        <v/>
      </c>
      <c r="L142" s="8" t="inlineStr">
        <is>
          <t>20191211</t>
        </is>
      </c>
      <c r="M142" s="8" t="inlineStr">
        <is>
          <t>20251031</t>
        </is>
      </c>
      <c r="N142" s="10" t="n">
        <v>177</v>
      </c>
      <c r="O142" s="10">
        <f>IFERROR(VLOOKUP(A142,Flete!$A:$J,10,0),"")</f>
        <v/>
      </c>
      <c r="P142" s="8" t="inlineStr">
        <is>
          <t>TN</t>
        </is>
      </c>
      <c r="Q142" s="10">
        <f>IFERROR(IFERROR(VLOOKUP(A142,TRAOPE!$A:$U,21,0),VLOOKUP(B142,TRAOPE!$A:$U,21,0)),"")</f>
        <v/>
      </c>
      <c r="R142" s="8">
        <f>IFERROR(IFERROR(VLOOKUP(A142,TRAOPE!$A:$W,23,0),VLOOKUP(B142,TRAOPE!$A:$W,23,0)),"")</f>
        <v/>
      </c>
      <c r="S142" s="10">
        <f>IF(AND(P142="TN",R142="TN"),N142+N(O142),IF(G142&amp;""="1",N(K142)*N142,(N142+N(O142))*N(K142)))</f>
        <v/>
      </c>
      <c r="T142" s="10">
        <f>IF(Q142="","",Q142-S142)</f>
        <v/>
      </c>
    </row>
    <row r="143">
      <c r="A143" s="7">
        <f>CONCATENATE(C143,E143,F143,I143)</f>
        <v/>
      </c>
      <c r="B143" s="7">
        <f>CONCATENATE(C143,E143,I143)</f>
        <v/>
      </c>
      <c r="C143" s="8" t="n">
        <v>900006074</v>
      </c>
      <c r="D143" s="7">
        <f>IFERROR(VLOOKUP(C143,TRAOPE!$G:$H,2,0),"")</f>
        <v/>
      </c>
      <c r="E143" s="8" t="inlineStr">
        <is>
          <t>D845</t>
        </is>
      </c>
      <c r="F143" s="8" t="inlineStr">
        <is>
          <t>67277494</t>
        </is>
      </c>
      <c r="G143" s="8">
        <f>IFERROR(VLOOKUP(A143,Flete!$A:$E,5,0),"")</f>
        <v/>
      </c>
      <c r="H143" s="7">
        <f>IFERROR(VLOOKUP(F143,TRAOPE!$AA:$AB,2,0),"")</f>
        <v/>
      </c>
      <c r="I143" s="7" t="n">
        <v>10000617</v>
      </c>
      <c r="J143" s="7">
        <f>IFERROR(VLOOKUP(I143,Materiales!$A:$H,8,0),"")</f>
        <v/>
      </c>
      <c r="K143" s="9">
        <f>IFERROR(VLOOKUP(I143,Materiales!$A:$G,7,0),"")</f>
        <v/>
      </c>
      <c r="L143" s="8" t="inlineStr">
        <is>
          <t>20191211</t>
        </is>
      </c>
      <c r="M143" s="8" t="inlineStr">
        <is>
          <t>20251031</t>
        </is>
      </c>
      <c r="N143" s="10" t="n">
        <v>173</v>
      </c>
      <c r="O143" s="10">
        <f>IFERROR(VLOOKUP(A143,Flete!$A:$J,10,0),"")</f>
        <v/>
      </c>
      <c r="P143" s="8" t="inlineStr">
        <is>
          <t>TN</t>
        </is>
      </c>
      <c r="Q143" s="10">
        <f>IFERROR(IFERROR(VLOOKUP(A143,TRAOPE!$A:$U,21,0),VLOOKUP(B143,TRAOPE!$A:$U,21,0)),"")</f>
        <v/>
      </c>
      <c r="R143" s="8">
        <f>IFERROR(IFERROR(VLOOKUP(A143,TRAOPE!$A:$W,23,0),VLOOKUP(B143,TRAOPE!$A:$W,23,0)),"")</f>
        <v/>
      </c>
      <c r="S143" s="10">
        <f>IF(AND(P143="TN",R143="TN"),N143+N(O143),IF(G143&amp;""="1",N(K143)*N143,(N143+N(O143))*N(K143)))</f>
        <v/>
      </c>
      <c r="T143" s="10">
        <f>IF(Q143="","",Q143-S143)</f>
        <v/>
      </c>
    </row>
    <row r="144">
      <c r="A144" s="7">
        <f>CONCATENATE(C144,E144,F144,I144)</f>
        <v/>
      </c>
      <c r="B144" s="7">
        <f>CONCATENATE(C144,E144,I144)</f>
        <v/>
      </c>
      <c r="C144" s="8" t="n">
        <v>900006074</v>
      </c>
      <c r="D144" s="7">
        <f>IFERROR(VLOOKUP(C144,TRAOPE!$G:$H,2,0),"")</f>
        <v/>
      </c>
      <c r="E144" s="8" t="inlineStr">
        <is>
          <t>D845</t>
        </is>
      </c>
      <c r="F144" s="8" t="inlineStr">
        <is>
          <t>67277494</t>
        </is>
      </c>
      <c r="G144" s="8">
        <f>IFERROR(VLOOKUP(A144,Flete!$A:$E,5,0),"")</f>
        <v/>
      </c>
      <c r="H144" s="7">
        <f>IFERROR(VLOOKUP(F144,TRAOPE!$AA:$AB,2,0),"")</f>
        <v/>
      </c>
      <c r="I144" s="7" t="n">
        <v>10167749</v>
      </c>
      <c r="J144" s="7">
        <f>IFERROR(VLOOKUP(I144,Materiales!$A:$H,8,0),"")</f>
        <v/>
      </c>
      <c r="K144" s="9">
        <f>IFERROR(VLOOKUP(I144,Materiales!$A:$G,7,0),"")</f>
        <v/>
      </c>
      <c r="L144" s="8" t="inlineStr">
        <is>
          <t>20191211</t>
        </is>
      </c>
      <c r="M144" s="8" t="inlineStr">
        <is>
          <t>20251031</t>
        </is>
      </c>
      <c r="N144" s="10" t="n">
        <v>165</v>
      </c>
      <c r="O144" s="10">
        <f>IFERROR(VLOOKUP(A144,Flete!$A:$J,10,0),"")</f>
        <v/>
      </c>
      <c r="P144" s="8" t="inlineStr">
        <is>
          <t>TN</t>
        </is>
      </c>
      <c r="Q144" s="10">
        <f>IFERROR(IFERROR(VLOOKUP(A144,TRAOPE!$A:$U,21,0),VLOOKUP(B144,TRAOPE!$A:$U,21,0)),"")</f>
        <v/>
      </c>
      <c r="R144" s="8">
        <f>IFERROR(IFERROR(VLOOKUP(A144,TRAOPE!$A:$W,23,0),VLOOKUP(B144,TRAOPE!$A:$W,23,0)),"")</f>
        <v/>
      </c>
      <c r="S144" s="10">
        <f>IF(AND(P144="TN",R144="TN"),N144+N(O144),IF(G144&amp;""="1",N(K144)*N144,(N144+N(O144))*N(K144)))</f>
        <v/>
      </c>
      <c r="T144" s="10">
        <f>IF(Q144="","",Q144-S144)</f>
        <v/>
      </c>
    </row>
    <row r="145">
      <c r="A145" s="7">
        <f>CONCATENATE(C145,E145,F145,I145)</f>
        <v/>
      </c>
      <c r="B145" s="7">
        <f>CONCATENATE(C145,E145,I145)</f>
        <v/>
      </c>
      <c r="C145" s="8" t="n">
        <v>900006074</v>
      </c>
      <c r="D145" s="7">
        <f>IFERROR(VLOOKUP(C145,TRAOPE!$G:$H,2,0),"")</f>
        <v/>
      </c>
      <c r="E145" s="8" t="inlineStr">
        <is>
          <t>D845</t>
        </is>
      </c>
      <c r="F145" s="8" t="inlineStr">
        <is>
          <t>67283375</t>
        </is>
      </c>
      <c r="G145" s="8">
        <f>IFERROR(VLOOKUP(A145,Flete!$A:$E,5,0),"")</f>
        <v/>
      </c>
      <c r="H145" s="7">
        <f>IFERROR(VLOOKUP(F145,TRAOPE!$AA:$AB,2,0),"")</f>
        <v/>
      </c>
      <c r="I145" s="7" t="n">
        <v>10167749</v>
      </c>
      <c r="J145" s="7">
        <f>IFERROR(VLOOKUP(I145,Materiales!$A:$H,8,0),"")</f>
        <v/>
      </c>
      <c r="K145" s="9">
        <f>IFERROR(VLOOKUP(I145,Materiales!$A:$G,7,0),"")</f>
        <v/>
      </c>
      <c r="L145" s="8" t="inlineStr">
        <is>
          <t>20191211</t>
        </is>
      </c>
      <c r="M145" s="8" t="inlineStr">
        <is>
          <t>20251031</t>
        </is>
      </c>
      <c r="N145" s="10" t="n">
        <v>161</v>
      </c>
      <c r="O145" s="10">
        <f>IFERROR(VLOOKUP(A145,Flete!$A:$J,10,0),"")</f>
        <v/>
      </c>
      <c r="P145" s="8" t="inlineStr">
        <is>
          <t>TN</t>
        </is>
      </c>
      <c r="Q145" s="10">
        <f>IFERROR(IFERROR(VLOOKUP(A145,TRAOPE!$A:$U,21,0),VLOOKUP(B145,TRAOPE!$A:$U,21,0)),"")</f>
        <v/>
      </c>
      <c r="R145" s="8">
        <f>IFERROR(IFERROR(VLOOKUP(A145,TRAOPE!$A:$W,23,0),VLOOKUP(B145,TRAOPE!$A:$W,23,0)),"")</f>
        <v/>
      </c>
      <c r="S145" s="10">
        <f>IF(AND(P145="TN",R145="TN"),N145+N(O145),IF(G145&amp;""="1",N(K145)*N145,(N145+N(O145))*N(K145)))</f>
        <v/>
      </c>
      <c r="T145" s="10">
        <f>IF(Q145="","",Q145-S145)</f>
        <v/>
      </c>
    </row>
    <row r="146">
      <c r="A146" s="7">
        <f>CONCATENATE(C146,E146,F146,I146)</f>
        <v/>
      </c>
      <c r="B146" s="7">
        <f>CONCATENATE(C146,E146,I146)</f>
        <v/>
      </c>
      <c r="C146" s="8" t="n">
        <v>900006074</v>
      </c>
      <c r="D146" s="7">
        <f>IFERROR(VLOOKUP(C146,TRAOPE!$G:$H,2,0),"")</f>
        <v/>
      </c>
      <c r="E146" s="8" t="inlineStr">
        <is>
          <t>D845</t>
        </is>
      </c>
      <c r="F146" s="8" t="inlineStr">
        <is>
          <t>67283393</t>
        </is>
      </c>
      <c r="G146" s="8">
        <f>IFERROR(VLOOKUP(A146,Flete!$A:$E,5,0),"")</f>
        <v/>
      </c>
      <c r="H146" s="7">
        <f>IFERROR(VLOOKUP(F146,TRAOPE!$AA:$AB,2,0),"")</f>
        <v/>
      </c>
      <c r="I146" s="7" t="n">
        <v>10058501</v>
      </c>
      <c r="J146" s="7">
        <f>IFERROR(VLOOKUP(I146,Materiales!$A:$H,8,0),"")</f>
        <v/>
      </c>
      <c r="K146" s="9">
        <f>IFERROR(VLOOKUP(I146,Materiales!$A:$G,7,0),"")</f>
        <v/>
      </c>
      <c r="L146" s="8" t="inlineStr">
        <is>
          <t>20191211</t>
        </is>
      </c>
      <c r="M146" s="8" t="inlineStr">
        <is>
          <t>20251031</t>
        </is>
      </c>
      <c r="N146" s="10" t="n">
        <v>158</v>
      </c>
      <c r="O146" s="10">
        <f>IFERROR(VLOOKUP(A146,Flete!$A:$J,10,0),"")</f>
        <v/>
      </c>
      <c r="P146" s="8" t="inlineStr">
        <is>
          <t>TN</t>
        </is>
      </c>
      <c r="Q146" s="10">
        <f>IFERROR(IFERROR(VLOOKUP(A146,TRAOPE!$A:$U,21,0),VLOOKUP(B146,TRAOPE!$A:$U,21,0)),"")</f>
        <v/>
      </c>
      <c r="R146" s="8">
        <f>IFERROR(IFERROR(VLOOKUP(A146,TRAOPE!$A:$W,23,0),VLOOKUP(B146,TRAOPE!$A:$W,23,0)),"")</f>
        <v/>
      </c>
      <c r="S146" s="10">
        <f>IF(AND(P146="TN",R146="TN"),N146+N(O146),IF(G146&amp;""="1",N(K146)*N146,(N146+N(O146))*N(K146)))</f>
        <v/>
      </c>
      <c r="T146" s="10">
        <f>IF(Q146="","",Q146-S146)</f>
        <v/>
      </c>
    </row>
    <row r="147">
      <c r="A147" s="7">
        <f>CONCATENATE(C147,E147,F147,I147)</f>
        <v/>
      </c>
      <c r="B147" s="7">
        <f>CONCATENATE(C147,E147,I147)</f>
        <v/>
      </c>
      <c r="C147" s="8" t="n">
        <v>900006074</v>
      </c>
      <c r="D147" s="7">
        <f>IFERROR(VLOOKUP(C147,TRAOPE!$G:$H,2,0),"")</f>
        <v/>
      </c>
      <c r="E147" s="8" t="inlineStr">
        <is>
          <t>D845</t>
        </is>
      </c>
      <c r="F147" s="8" t="inlineStr">
        <is>
          <t>67307402</t>
        </is>
      </c>
      <c r="G147" s="8">
        <f>IFERROR(VLOOKUP(A147,Flete!$A:$E,5,0),"")</f>
        <v/>
      </c>
      <c r="H147" s="7">
        <f>IFERROR(VLOOKUP(F147,TRAOPE!$AA:$AB,2,0),"")</f>
        <v/>
      </c>
      <c r="I147" s="7" t="n">
        <v>10000536</v>
      </c>
      <c r="J147" s="7">
        <f>IFERROR(VLOOKUP(I147,Materiales!$A:$H,8,0),"")</f>
        <v/>
      </c>
      <c r="K147" s="9">
        <f>IFERROR(VLOOKUP(I147,Materiales!$A:$G,7,0),"")</f>
        <v/>
      </c>
      <c r="L147" s="8" t="inlineStr">
        <is>
          <t>20191211</t>
        </is>
      </c>
      <c r="M147" s="8" t="inlineStr">
        <is>
          <t>20251031</t>
        </is>
      </c>
      <c r="N147" s="10" t="n">
        <v>198</v>
      </c>
      <c r="O147" s="10">
        <f>IFERROR(VLOOKUP(A147,Flete!$A:$J,10,0),"")</f>
        <v/>
      </c>
      <c r="P147" s="8" t="inlineStr">
        <is>
          <t>TN</t>
        </is>
      </c>
      <c r="Q147" s="10">
        <f>IFERROR(IFERROR(VLOOKUP(A147,TRAOPE!$A:$U,21,0),VLOOKUP(B147,TRAOPE!$A:$U,21,0)),"")</f>
        <v/>
      </c>
      <c r="R147" s="8">
        <f>IFERROR(IFERROR(VLOOKUP(A147,TRAOPE!$A:$W,23,0),VLOOKUP(B147,TRAOPE!$A:$W,23,0)),"")</f>
        <v/>
      </c>
      <c r="S147" s="10">
        <f>IF(AND(P147="TN",R147="TN"),N147+N(O147),IF(G147&amp;""="1",N(K147)*N147,(N147+N(O147))*N(K147)))</f>
        <v/>
      </c>
      <c r="T147" s="10">
        <f>IF(Q147="","",Q147-S147)</f>
        <v/>
      </c>
    </row>
    <row r="148">
      <c r="A148" s="7">
        <f>CONCATENATE(C148,E148,F148,I148)</f>
        <v/>
      </c>
      <c r="B148" s="7">
        <f>CONCATENATE(C148,E148,I148)</f>
        <v/>
      </c>
      <c r="C148" s="8" t="n">
        <v>900006074</v>
      </c>
      <c r="D148" s="7">
        <f>IFERROR(VLOOKUP(C148,TRAOPE!$G:$H,2,0),"")</f>
        <v/>
      </c>
      <c r="E148" s="8" t="inlineStr">
        <is>
          <t>D845</t>
        </is>
      </c>
      <c r="F148" s="8" t="inlineStr">
        <is>
          <t>67307402</t>
        </is>
      </c>
      <c r="G148" s="8">
        <f>IFERROR(VLOOKUP(A148,Flete!$A:$E,5,0),"")</f>
        <v/>
      </c>
      <c r="H148" s="7">
        <f>IFERROR(VLOOKUP(F148,TRAOPE!$AA:$AB,2,0),"")</f>
        <v/>
      </c>
      <c r="I148" s="7" t="n">
        <v>10167749</v>
      </c>
      <c r="J148" s="7">
        <f>IFERROR(VLOOKUP(I148,Materiales!$A:$H,8,0),"")</f>
        <v/>
      </c>
      <c r="K148" s="9">
        <f>IFERROR(VLOOKUP(I148,Materiales!$A:$G,7,0),"")</f>
        <v/>
      </c>
      <c r="L148" s="8" t="inlineStr">
        <is>
          <t>20191211</t>
        </is>
      </c>
      <c r="M148" s="8" t="inlineStr">
        <is>
          <t>20251031</t>
        </is>
      </c>
      <c r="N148" s="10" t="n">
        <v>201</v>
      </c>
      <c r="O148" s="10">
        <f>IFERROR(VLOOKUP(A148,Flete!$A:$J,10,0),"")</f>
        <v/>
      </c>
      <c r="P148" s="8" t="inlineStr">
        <is>
          <t>TN</t>
        </is>
      </c>
      <c r="Q148" s="10">
        <f>IFERROR(IFERROR(VLOOKUP(A148,TRAOPE!$A:$U,21,0),VLOOKUP(B148,TRAOPE!$A:$U,21,0)),"")</f>
        <v/>
      </c>
      <c r="R148" s="8">
        <f>IFERROR(IFERROR(VLOOKUP(A148,TRAOPE!$A:$W,23,0),VLOOKUP(B148,TRAOPE!$A:$W,23,0)),"")</f>
        <v/>
      </c>
      <c r="S148" s="10">
        <f>IF(AND(P148="TN",R148="TN"),N148+N(O148),IF(G148&amp;""="1",N(K148)*N148,(N148+N(O148))*N(K148)))</f>
        <v/>
      </c>
      <c r="T148" s="10">
        <f>IF(Q148="","",Q148-S148)</f>
        <v/>
      </c>
    </row>
    <row r="149">
      <c r="A149" s="7">
        <f>CONCATENATE(C149,E149,F149,I149)</f>
        <v/>
      </c>
      <c r="B149" s="7">
        <f>CONCATENATE(C149,E149,I149)</f>
        <v/>
      </c>
      <c r="C149" s="8" t="n">
        <v>900006074</v>
      </c>
      <c r="D149" s="7">
        <f>IFERROR(VLOOKUP(C149,TRAOPE!$G:$H,2,0),"")</f>
        <v/>
      </c>
      <c r="E149" s="8" t="inlineStr">
        <is>
          <t>D845</t>
        </is>
      </c>
      <c r="F149" s="8" t="inlineStr">
        <is>
          <t>67318246</t>
        </is>
      </c>
      <c r="G149" s="8">
        <f>IFERROR(VLOOKUP(A149,Flete!$A:$E,5,0),"")</f>
        <v/>
      </c>
      <c r="H149" s="7">
        <f>IFERROR(VLOOKUP(F149,TRAOPE!$AA:$AB,2,0),"")</f>
        <v/>
      </c>
      <c r="I149" s="7" t="n">
        <v>10169508</v>
      </c>
      <c r="J149" s="7">
        <f>IFERROR(VLOOKUP(I149,Materiales!$A:$H,8,0),"")</f>
        <v/>
      </c>
      <c r="K149" s="9">
        <f>IFERROR(VLOOKUP(I149,Materiales!$A:$G,7,0),"")</f>
        <v/>
      </c>
      <c r="L149" s="8" t="inlineStr">
        <is>
          <t>20191211</t>
        </is>
      </c>
      <c r="M149" s="8" t="inlineStr">
        <is>
          <t>20251031</t>
        </is>
      </c>
      <c r="N149" s="10" t="n">
        <v>194</v>
      </c>
      <c r="O149" s="10">
        <f>IFERROR(VLOOKUP(A149,Flete!$A:$J,10,0),"")</f>
        <v/>
      </c>
      <c r="P149" s="8" t="inlineStr">
        <is>
          <t>TN</t>
        </is>
      </c>
      <c r="Q149" s="10">
        <f>IFERROR(IFERROR(VLOOKUP(A149,TRAOPE!$A:$U,21,0),VLOOKUP(B149,TRAOPE!$A:$U,21,0)),"")</f>
        <v/>
      </c>
      <c r="R149" s="8">
        <f>IFERROR(IFERROR(VLOOKUP(A149,TRAOPE!$A:$W,23,0),VLOOKUP(B149,TRAOPE!$A:$W,23,0)),"")</f>
        <v/>
      </c>
      <c r="S149" s="10">
        <f>IF(AND(P149="TN",R149="TN"),N149+N(O149),IF(G149&amp;""="1",N(K149)*N149,(N149+N(O149))*N(K149)))</f>
        <v/>
      </c>
      <c r="T149" s="10">
        <f>IF(Q149="","",Q149-S149)</f>
        <v/>
      </c>
    </row>
    <row r="150">
      <c r="A150" s="7">
        <f>CONCATENATE(C150,E150,F150,I150)</f>
        <v/>
      </c>
      <c r="B150" s="7">
        <f>CONCATENATE(C150,E150,I150)</f>
        <v/>
      </c>
      <c r="C150" s="8" t="n">
        <v>900006124</v>
      </c>
      <c r="D150" s="7">
        <f>IFERROR(VLOOKUP(C150,TRAOPE!$G:$H,2,0),"")</f>
        <v/>
      </c>
      <c r="E150" s="8" t="inlineStr">
        <is>
          <t>D845</t>
        </is>
      </c>
      <c r="F150" s="8" t="inlineStr">
        <is>
          <t>66495483</t>
        </is>
      </c>
      <c r="G150" s="8">
        <f>IFERROR(VLOOKUP(A150,Flete!$A:$E,5,0),"")</f>
        <v/>
      </c>
      <c r="H150" s="7">
        <f>IFERROR(VLOOKUP(F150,TRAOPE!$AA:$AB,2,0),"")</f>
        <v/>
      </c>
      <c r="I150" s="7" t="n">
        <v>10000337</v>
      </c>
      <c r="J150" s="7">
        <f>IFERROR(VLOOKUP(I150,Materiales!$A:$H,8,0),"")</f>
        <v/>
      </c>
      <c r="K150" s="9">
        <f>IFERROR(VLOOKUP(I150,Materiales!$A:$G,7,0),"")</f>
        <v/>
      </c>
      <c r="L150" s="8" t="inlineStr">
        <is>
          <t>20191211</t>
        </is>
      </c>
      <c r="M150" s="8" t="inlineStr">
        <is>
          <t>20251031</t>
        </is>
      </c>
      <c r="N150" s="10" t="n">
        <v>88</v>
      </c>
      <c r="O150" s="10">
        <f>IFERROR(VLOOKUP(A150,Flete!$A:$J,10,0),"")</f>
        <v/>
      </c>
      <c r="P150" s="8" t="inlineStr">
        <is>
          <t>TN</t>
        </is>
      </c>
      <c r="Q150" s="10">
        <f>IFERROR(IFERROR(VLOOKUP(A150,TRAOPE!$A:$U,21,0),VLOOKUP(B150,TRAOPE!$A:$U,21,0)),"")</f>
        <v/>
      </c>
      <c r="R150" s="8">
        <f>IFERROR(IFERROR(VLOOKUP(A150,TRAOPE!$A:$W,23,0),VLOOKUP(B150,TRAOPE!$A:$W,23,0)),"")</f>
        <v/>
      </c>
      <c r="S150" s="10">
        <f>IF(AND(P150="TN",R150="TN"),N150+N(O150),IF(G150&amp;""="1",N(K150)*N150,(N150+N(O150))*N(K150)))</f>
        <v/>
      </c>
      <c r="T150" s="10">
        <f>IF(Q150="","",Q150-S150)</f>
        <v/>
      </c>
    </row>
    <row r="151">
      <c r="A151" s="7">
        <f>CONCATENATE(C151,E151,F151,I151)</f>
        <v/>
      </c>
      <c r="B151" s="7">
        <f>CONCATENATE(C151,E151,I151)</f>
        <v/>
      </c>
      <c r="C151" s="8" t="n">
        <v>900006124</v>
      </c>
      <c r="D151" s="7">
        <f>IFERROR(VLOOKUP(C151,TRAOPE!$G:$H,2,0),"")</f>
        <v/>
      </c>
      <c r="E151" s="8" t="inlineStr">
        <is>
          <t>D845</t>
        </is>
      </c>
      <c r="F151" s="8" t="inlineStr">
        <is>
          <t>66495483</t>
        </is>
      </c>
      <c r="G151" s="8">
        <f>IFERROR(VLOOKUP(A151,Flete!$A:$E,5,0),"")</f>
        <v/>
      </c>
      <c r="H151" s="7">
        <f>IFERROR(VLOOKUP(F151,TRAOPE!$AA:$AB,2,0),"")</f>
        <v/>
      </c>
      <c r="I151" s="7" t="n">
        <v>10000646</v>
      </c>
      <c r="J151" s="7">
        <f>IFERROR(VLOOKUP(I151,Materiales!$A:$H,8,0),"")</f>
        <v/>
      </c>
      <c r="K151" s="9">
        <f>IFERROR(VLOOKUP(I151,Materiales!$A:$G,7,0),"")</f>
        <v/>
      </c>
      <c r="L151" s="8" t="inlineStr">
        <is>
          <t>20191211</t>
        </is>
      </c>
      <c r="M151" s="8" t="inlineStr">
        <is>
          <t>20251031</t>
        </is>
      </c>
      <c r="N151" s="10" t="n">
        <v>72</v>
      </c>
      <c r="O151" s="10">
        <f>IFERROR(VLOOKUP(A151,Flete!$A:$J,10,0),"")</f>
        <v/>
      </c>
      <c r="P151" s="8" t="inlineStr">
        <is>
          <t>TN</t>
        </is>
      </c>
      <c r="Q151" s="10">
        <f>IFERROR(IFERROR(VLOOKUP(A151,TRAOPE!$A:$U,21,0),VLOOKUP(B151,TRAOPE!$A:$U,21,0)),"")</f>
        <v/>
      </c>
      <c r="R151" s="8">
        <f>IFERROR(IFERROR(VLOOKUP(A151,TRAOPE!$A:$W,23,0),VLOOKUP(B151,TRAOPE!$A:$W,23,0)),"")</f>
        <v/>
      </c>
      <c r="S151" s="10">
        <f>IF(AND(P151="TN",R151="TN"),N151+N(O151),IF(G151&amp;""="1",N(K151)*N151,(N151+N(O151))*N(K151)))</f>
        <v/>
      </c>
      <c r="T151" s="10">
        <f>IF(Q151="","",Q151-S151)</f>
        <v/>
      </c>
    </row>
    <row r="152">
      <c r="A152" s="7">
        <f>CONCATENATE(C152,E152,F152,I152)</f>
        <v/>
      </c>
      <c r="B152" s="7">
        <f>CONCATENATE(C152,E152,I152)</f>
        <v/>
      </c>
      <c r="C152" s="8" t="n">
        <v>900008838</v>
      </c>
      <c r="D152" s="7">
        <f>IFERROR(VLOOKUP(C152,TRAOPE!$G:$H,2,0),"")</f>
        <v/>
      </c>
      <c r="E152" s="8" t="inlineStr">
        <is>
          <t>D845</t>
        </is>
      </c>
      <c r="F152" s="8" t="inlineStr">
        <is>
          <t>67241102</t>
        </is>
      </c>
      <c r="G152" s="8">
        <f>IFERROR(VLOOKUP(A152,Flete!$A:$E,5,0),"")</f>
        <v/>
      </c>
      <c r="H152" s="7">
        <f>IFERROR(VLOOKUP(F152,TRAOPE!$AA:$AB,2,0),"")</f>
        <v/>
      </c>
      <c r="I152" s="7" t="n">
        <v>10167749</v>
      </c>
      <c r="J152" s="7">
        <f>IFERROR(VLOOKUP(I152,Materiales!$A:$H,8,0),"")</f>
        <v/>
      </c>
      <c r="K152" s="9">
        <f>IFERROR(VLOOKUP(I152,Materiales!$A:$G,7,0),"")</f>
        <v/>
      </c>
      <c r="L152" s="8" t="inlineStr">
        <is>
          <t>20191211</t>
        </is>
      </c>
      <c r="M152" s="8" t="inlineStr">
        <is>
          <t>20251031</t>
        </is>
      </c>
      <c r="N152" s="10" t="n">
        <v>187</v>
      </c>
      <c r="O152" s="10">
        <f>IFERROR(VLOOKUP(A152,Flete!$A:$J,10,0),"")</f>
        <v/>
      </c>
      <c r="P152" s="8" t="inlineStr">
        <is>
          <t>TN</t>
        </is>
      </c>
      <c r="Q152" s="10">
        <f>IFERROR(IFERROR(VLOOKUP(A152,TRAOPE!$A:$U,21,0),VLOOKUP(B152,TRAOPE!$A:$U,21,0)),"")</f>
        <v/>
      </c>
      <c r="R152" s="8">
        <f>IFERROR(IFERROR(VLOOKUP(A152,TRAOPE!$A:$W,23,0),VLOOKUP(B152,TRAOPE!$A:$W,23,0)),"")</f>
        <v/>
      </c>
      <c r="S152" s="10">
        <f>IF(AND(P152="TN",R152="TN"),N152+N(O152),IF(G152&amp;""="1",N(K152)*N152,(N152+N(O152))*N(K152)))</f>
        <v/>
      </c>
      <c r="T152" s="10">
        <f>IF(Q152="","",Q152-S152)</f>
        <v/>
      </c>
    </row>
    <row r="153">
      <c r="A153" s="7">
        <f>CONCATENATE(C153,E153,F153,I153)</f>
        <v/>
      </c>
      <c r="B153" s="7">
        <f>CONCATENATE(C153,E153,I153)</f>
        <v/>
      </c>
      <c r="C153" s="8" t="n">
        <v>900009255</v>
      </c>
      <c r="D153" s="7">
        <f>IFERROR(VLOOKUP(C153,TRAOPE!$G:$H,2,0),"")</f>
        <v/>
      </c>
      <c r="E153" s="8" t="inlineStr">
        <is>
          <t>D845</t>
        </is>
      </c>
      <c r="F153" s="8" t="inlineStr">
        <is>
          <t>67318246</t>
        </is>
      </c>
      <c r="G153" s="8">
        <f>IFERROR(VLOOKUP(A153,Flete!$A:$E,5,0),"")</f>
        <v/>
      </c>
      <c r="H153" s="7">
        <f>IFERROR(VLOOKUP(F153,TRAOPE!$AA:$AB,2,0),"")</f>
        <v/>
      </c>
      <c r="I153" s="7" t="n">
        <v>10169508</v>
      </c>
      <c r="J153" s="7">
        <f>IFERROR(VLOOKUP(I153,Materiales!$A:$H,8,0),"")</f>
        <v/>
      </c>
      <c r="K153" s="9">
        <f>IFERROR(VLOOKUP(I153,Materiales!$A:$G,7,0),"")</f>
        <v/>
      </c>
      <c r="L153" s="8" t="inlineStr">
        <is>
          <t>20191211</t>
        </is>
      </c>
      <c r="M153" s="8" t="inlineStr">
        <is>
          <t>20251031</t>
        </is>
      </c>
      <c r="N153" s="10" t="n">
        <v>194</v>
      </c>
      <c r="O153" s="10">
        <f>IFERROR(VLOOKUP(A153,Flete!$A:$J,10,0),"")</f>
        <v/>
      </c>
      <c r="P153" s="8" t="inlineStr">
        <is>
          <t>TN</t>
        </is>
      </c>
      <c r="Q153" s="10">
        <f>IFERROR(IFERROR(VLOOKUP(A153,TRAOPE!$A:$U,21,0),VLOOKUP(B153,TRAOPE!$A:$U,21,0)),"")</f>
        <v/>
      </c>
      <c r="R153" s="8">
        <f>IFERROR(IFERROR(VLOOKUP(A153,TRAOPE!$A:$W,23,0),VLOOKUP(B153,TRAOPE!$A:$W,23,0)),"")</f>
        <v/>
      </c>
      <c r="S153" s="10">
        <f>IF(AND(P153="TN",R153="TN"),N153+N(O153),IF(G153&amp;""="1",N(K153)*N153,(N153+N(O153))*N(K153)))</f>
        <v/>
      </c>
      <c r="T153" s="10">
        <f>IF(Q153="","",Q153-S153)</f>
        <v/>
      </c>
    </row>
    <row r="154">
      <c r="A154" s="7">
        <f>CONCATENATE(C154,E154,F154,I154)</f>
        <v/>
      </c>
      <c r="B154" s="7">
        <f>CONCATENATE(C154,E154,I154)</f>
        <v/>
      </c>
      <c r="C154" s="8" t="n">
        <v>900009255</v>
      </c>
      <c r="D154" s="7">
        <f>IFERROR(VLOOKUP(C154,TRAOPE!$G:$H,2,0),"")</f>
        <v/>
      </c>
      <c r="E154" s="8" t="inlineStr">
        <is>
          <t>D845</t>
        </is>
      </c>
      <c r="F154" s="8" t="inlineStr">
        <is>
          <t>67326642</t>
        </is>
      </c>
      <c r="G154" s="8">
        <f>IFERROR(VLOOKUP(A154,Flete!$A:$E,5,0),"")</f>
        <v/>
      </c>
      <c r="H154" s="7">
        <f>IFERROR(VLOOKUP(F154,TRAOPE!$AA:$AB,2,0),"")</f>
        <v/>
      </c>
      <c r="I154" s="7" t="n">
        <v>10000536</v>
      </c>
      <c r="J154" s="7">
        <f>IFERROR(VLOOKUP(I154,Materiales!$A:$H,8,0),"")</f>
        <v/>
      </c>
      <c r="K154" s="9">
        <f>IFERROR(VLOOKUP(I154,Materiales!$A:$G,7,0),"")</f>
        <v/>
      </c>
      <c r="L154" s="8" t="inlineStr">
        <is>
          <t>20191211</t>
        </is>
      </c>
      <c r="M154" s="8" t="inlineStr">
        <is>
          <t>20251031</t>
        </is>
      </c>
      <c r="N154" s="10" t="n">
        <v>169</v>
      </c>
      <c r="O154" s="10">
        <f>IFERROR(VLOOKUP(A154,Flete!$A:$J,10,0),"")</f>
        <v/>
      </c>
      <c r="P154" s="8" t="inlineStr">
        <is>
          <t>TN</t>
        </is>
      </c>
      <c r="Q154" s="10">
        <f>IFERROR(IFERROR(VLOOKUP(A154,TRAOPE!$A:$U,21,0),VLOOKUP(B154,TRAOPE!$A:$U,21,0)),"")</f>
        <v/>
      </c>
      <c r="R154" s="8">
        <f>IFERROR(IFERROR(VLOOKUP(A154,TRAOPE!$A:$W,23,0),VLOOKUP(B154,TRAOPE!$A:$W,23,0)),"")</f>
        <v/>
      </c>
      <c r="S154" s="10">
        <f>IF(AND(P154="TN",R154="TN"),N154+N(O154),IF(G154&amp;""="1",N(K154)*N154,(N154+N(O154))*N(K154)))</f>
        <v/>
      </c>
      <c r="T154" s="10">
        <f>IF(Q154="","",Q154-S154)</f>
        <v/>
      </c>
    </row>
    <row r="155">
      <c r="A155" s="7">
        <f>CONCATENATE(C155,E155,F155,I155)</f>
        <v/>
      </c>
      <c r="B155" s="7">
        <f>CONCATENATE(C155,E155,I155)</f>
        <v/>
      </c>
      <c r="C155" s="8" t="n">
        <v>900009255</v>
      </c>
      <c r="D155" s="7">
        <f>IFERROR(VLOOKUP(C155,TRAOPE!$G:$H,2,0),"")</f>
        <v/>
      </c>
      <c r="E155" s="8" t="inlineStr">
        <is>
          <t>D845</t>
        </is>
      </c>
      <c r="F155" s="8" t="inlineStr">
        <is>
          <t>67326642</t>
        </is>
      </c>
      <c r="G155" s="8">
        <f>IFERROR(VLOOKUP(A155,Flete!$A:$E,5,0),"")</f>
        <v/>
      </c>
      <c r="H155" s="7">
        <f>IFERROR(VLOOKUP(F155,TRAOPE!$AA:$AB,2,0),"")</f>
        <v/>
      </c>
      <c r="I155" s="7" t="n">
        <v>10000578</v>
      </c>
      <c r="J155" s="7">
        <f>IFERROR(VLOOKUP(I155,Materiales!$A:$H,8,0),"")</f>
        <v/>
      </c>
      <c r="K155" s="9">
        <f>IFERROR(VLOOKUP(I155,Materiales!$A:$G,7,0),"")</f>
        <v/>
      </c>
      <c r="L155" s="8" t="inlineStr">
        <is>
          <t>20191211</t>
        </is>
      </c>
      <c r="M155" s="8" t="inlineStr">
        <is>
          <t>20251031</t>
        </is>
      </c>
      <c r="N155" s="10" t="n">
        <v>169</v>
      </c>
      <c r="O155" s="10">
        <f>IFERROR(VLOOKUP(A155,Flete!$A:$J,10,0),"")</f>
        <v/>
      </c>
      <c r="P155" s="8" t="inlineStr">
        <is>
          <t>TN</t>
        </is>
      </c>
      <c r="Q155" s="10">
        <f>IFERROR(IFERROR(VLOOKUP(A155,TRAOPE!$A:$U,21,0),VLOOKUP(B155,TRAOPE!$A:$U,21,0)),"")</f>
        <v/>
      </c>
      <c r="R155" s="8">
        <f>IFERROR(IFERROR(VLOOKUP(A155,TRAOPE!$A:$W,23,0),VLOOKUP(B155,TRAOPE!$A:$W,23,0)),"")</f>
        <v/>
      </c>
      <c r="S155" s="10">
        <f>IF(AND(P155="TN",R155="TN"),N155+N(O155),IF(G155&amp;""="1",N(K155)*N155,(N155+N(O155))*N(K155)))</f>
        <v/>
      </c>
      <c r="T155" s="10">
        <f>IF(Q155="","",Q155-S155)</f>
        <v/>
      </c>
    </row>
    <row r="156">
      <c r="A156" s="7">
        <f>CONCATENATE(C156,E156,F156,I156)</f>
        <v/>
      </c>
      <c r="B156" s="7">
        <f>CONCATENATE(C156,E156,I156)</f>
        <v/>
      </c>
      <c r="C156" s="8" t="n">
        <v>900009255</v>
      </c>
      <c r="D156" s="7">
        <f>IFERROR(VLOOKUP(C156,TRAOPE!$G:$H,2,0),"")</f>
        <v/>
      </c>
      <c r="E156" s="8" t="inlineStr">
        <is>
          <t>D845</t>
        </is>
      </c>
      <c r="F156" s="8" t="inlineStr">
        <is>
          <t>67326642</t>
        </is>
      </c>
      <c r="G156" s="8">
        <f>IFERROR(VLOOKUP(A156,Flete!$A:$E,5,0),"")</f>
        <v/>
      </c>
      <c r="H156" s="7">
        <f>IFERROR(VLOOKUP(F156,TRAOPE!$AA:$AB,2,0),"")</f>
        <v/>
      </c>
      <c r="I156" s="7" t="n">
        <v>10000617</v>
      </c>
      <c r="J156" s="7">
        <f>IFERROR(VLOOKUP(I156,Materiales!$A:$H,8,0),"")</f>
        <v/>
      </c>
      <c r="K156" s="9">
        <f>IFERROR(VLOOKUP(I156,Materiales!$A:$G,7,0),"")</f>
        <v/>
      </c>
      <c r="L156" s="8" t="inlineStr">
        <is>
          <t>20191211</t>
        </is>
      </c>
      <c r="M156" s="8" t="inlineStr">
        <is>
          <t>20251031</t>
        </is>
      </c>
      <c r="N156" s="10" t="n">
        <v>184</v>
      </c>
      <c r="O156" s="10">
        <f>IFERROR(VLOOKUP(A156,Flete!$A:$J,10,0),"")</f>
        <v/>
      </c>
      <c r="P156" s="8" t="inlineStr">
        <is>
          <t>TN</t>
        </is>
      </c>
      <c r="Q156" s="10">
        <f>IFERROR(IFERROR(VLOOKUP(A156,TRAOPE!$A:$U,21,0),VLOOKUP(B156,TRAOPE!$A:$U,21,0)),"")</f>
        <v/>
      </c>
      <c r="R156" s="8">
        <f>IFERROR(IFERROR(VLOOKUP(A156,TRAOPE!$A:$W,23,0),VLOOKUP(B156,TRAOPE!$A:$W,23,0)),"")</f>
        <v/>
      </c>
      <c r="S156" s="10">
        <f>IF(AND(P156="TN",R156="TN"),N156+N(O156),IF(G156&amp;""="1",N(K156)*N156,(N156+N(O156))*N(K156)))</f>
        <v/>
      </c>
      <c r="T156" s="10">
        <f>IF(Q156="","",Q156-S156)</f>
        <v/>
      </c>
    </row>
    <row r="157">
      <c r="A157" s="7">
        <f>CONCATENATE(C157,E157,F157,I157)</f>
        <v/>
      </c>
      <c r="B157" s="7">
        <f>CONCATENATE(C157,E157,I157)</f>
        <v/>
      </c>
      <c r="C157" s="8" t="n">
        <v>900009255</v>
      </c>
      <c r="D157" s="7">
        <f>IFERROR(VLOOKUP(C157,TRAOPE!$G:$H,2,0),"")</f>
        <v/>
      </c>
      <c r="E157" s="8" t="inlineStr">
        <is>
          <t>D845</t>
        </is>
      </c>
      <c r="F157" s="8" t="inlineStr">
        <is>
          <t>67326642</t>
        </is>
      </c>
      <c r="G157" s="8">
        <f>IFERROR(VLOOKUP(A157,Flete!$A:$E,5,0),"")</f>
        <v/>
      </c>
      <c r="H157" s="7">
        <f>IFERROR(VLOOKUP(F157,TRAOPE!$AA:$AB,2,0),"")</f>
        <v/>
      </c>
      <c r="I157" s="7" t="n">
        <v>10000656</v>
      </c>
      <c r="J157" s="7">
        <f>IFERROR(VLOOKUP(I157,Materiales!$A:$H,8,0),"")</f>
        <v/>
      </c>
      <c r="K157" s="9">
        <f>IFERROR(VLOOKUP(I157,Materiales!$A:$G,7,0),"")</f>
        <v/>
      </c>
      <c r="L157" s="8" t="inlineStr">
        <is>
          <t>20191211</t>
        </is>
      </c>
      <c r="M157" s="8" t="inlineStr">
        <is>
          <t>20251031</t>
        </is>
      </c>
      <c r="N157" s="10" t="n">
        <v>179</v>
      </c>
      <c r="O157" s="10">
        <f>IFERROR(VLOOKUP(A157,Flete!$A:$J,10,0),"")</f>
        <v/>
      </c>
      <c r="P157" s="8" t="inlineStr">
        <is>
          <t>TN</t>
        </is>
      </c>
      <c r="Q157" s="10">
        <f>IFERROR(IFERROR(VLOOKUP(A157,TRAOPE!$A:$U,21,0),VLOOKUP(B157,TRAOPE!$A:$U,21,0)),"")</f>
        <v/>
      </c>
      <c r="R157" s="8">
        <f>IFERROR(IFERROR(VLOOKUP(A157,TRAOPE!$A:$W,23,0),VLOOKUP(B157,TRAOPE!$A:$W,23,0)),"")</f>
        <v/>
      </c>
      <c r="S157" s="10">
        <f>IF(AND(P157="TN",R157="TN"),N157+N(O157),IF(G157&amp;""="1",N(K157)*N157,(N157+N(O157))*N(K157)))</f>
        <v/>
      </c>
      <c r="T157" s="10">
        <f>IF(Q157="","",Q157-S157)</f>
        <v/>
      </c>
    </row>
    <row r="158">
      <c r="A158" s="7">
        <f>CONCATENATE(C158,E158,F158,I158)</f>
        <v/>
      </c>
      <c r="B158" s="7">
        <f>CONCATENATE(C158,E158,I158)</f>
        <v/>
      </c>
      <c r="C158" s="8" t="n">
        <v>900009255</v>
      </c>
      <c r="D158" s="7">
        <f>IFERROR(VLOOKUP(C158,TRAOPE!$G:$H,2,0),"")</f>
        <v/>
      </c>
      <c r="E158" s="8" t="inlineStr">
        <is>
          <t>D845</t>
        </is>
      </c>
      <c r="F158" s="8" t="inlineStr">
        <is>
          <t>67326642</t>
        </is>
      </c>
      <c r="G158" s="8">
        <f>IFERROR(VLOOKUP(A158,Flete!$A:$E,5,0),"")</f>
        <v/>
      </c>
      <c r="H158" s="7">
        <f>IFERROR(VLOOKUP(F158,TRAOPE!$AA:$AB,2,0),"")</f>
        <v/>
      </c>
      <c r="I158" s="7" t="n">
        <v>10169508</v>
      </c>
      <c r="J158" s="7">
        <f>IFERROR(VLOOKUP(I158,Materiales!$A:$H,8,0),"")</f>
        <v/>
      </c>
      <c r="K158" s="9">
        <f>IFERROR(VLOOKUP(I158,Materiales!$A:$G,7,0),"")</f>
        <v/>
      </c>
      <c r="L158" s="8" t="inlineStr">
        <is>
          <t>20191211</t>
        </is>
      </c>
      <c r="M158" s="8" t="inlineStr">
        <is>
          <t>20251031</t>
        </is>
      </c>
      <c r="N158" s="10" t="n">
        <v>194</v>
      </c>
      <c r="O158" s="10">
        <f>IFERROR(VLOOKUP(A158,Flete!$A:$J,10,0),"")</f>
        <v/>
      </c>
      <c r="P158" s="8" t="inlineStr">
        <is>
          <t>TN</t>
        </is>
      </c>
      <c r="Q158" s="10">
        <f>IFERROR(IFERROR(VLOOKUP(A158,TRAOPE!$A:$U,21,0),VLOOKUP(B158,TRAOPE!$A:$U,21,0)),"")</f>
        <v/>
      </c>
      <c r="R158" s="8">
        <f>IFERROR(IFERROR(VLOOKUP(A158,TRAOPE!$A:$W,23,0),VLOOKUP(B158,TRAOPE!$A:$W,23,0)),"")</f>
        <v/>
      </c>
      <c r="S158" s="10">
        <f>IF(AND(P158="TN",R158="TN"),N158+N(O158),IF(G158&amp;""="1",N(K158)*N158,(N158+N(O158))*N(K158)))</f>
        <v/>
      </c>
      <c r="T158" s="10">
        <f>IF(Q158="","",Q158-S158)</f>
        <v/>
      </c>
    </row>
    <row r="159">
      <c r="A159" s="7">
        <f>CONCATENATE(C159,E159,F159,I159)</f>
        <v/>
      </c>
      <c r="B159" s="7">
        <f>CONCATENATE(C159,E159,I159)</f>
        <v/>
      </c>
      <c r="C159" s="8" t="n">
        <v>900003571</v>
      </c>
      <c r="D159" s="7">
        <f>IFERROR(VLOOKUP(C159,TRAOPE!$G:$H,2,0),"")</f>
        <v/>
      </c>
      <c r="E159" s="8" t="inlineStr">
        <is>
          <t>D845</t>
        </is>
      </c>
      <c r="F159" s="8" t="inlineStr">
        <is>
          <t>66779121</t>
        </is>
      </c>
      <c r="G159" s="8">
        <f>IFERROR(VLOOKUP(A159,Flete!$A:$E,5,0),"")</f>
        <v/>
      </c>
      <c r="H159" s="7">
        <f>IFERROR(VLOOKUP(F159,TRAOPE!$AA:$AB,2,0),"")</f>
        <v/>
      </c>
      <c r="I159" s="7" t="n">
        <v>10000536</v>
      </c>
      <c r="J159" s="7">
        <f>IFERROR(VLOOKUP(I159,Materiales!$A:$H,8,0),"")</f>
        <v/>
      </c>
      <c r="K159" s="9">
        <f>IFERROR(VLOOKUP(I159,Materiales!$A:$G,7,0),"")</f>
        <v/>
      </c>
      <c r="L159" s="8" t="inlineStr">
        <is>
          <t>20260101</t>
        </is>
      </c>
      <c r="M159" s="8" t="inlineStr">
        <is>
          <t>99991231</t>
        </is>
      </c>
      <c r="N159" s="10" t="n">
        <v>85</v>
      </c>
      <c r="O159" s="10">
        <f>IFERROR(VLOOKUP(A159,Flete!$A:$J,10,0),"")</f>
        <v/>
      </c>
      <c r="P159" s="8" t="inlineStr">
        <is>
          <t>TN</t>
        </is>
      </c>
      <c r="Q159" s="10">
        <f>IFERROR(IFERROR(VLOOKUP(A159,TRAOPE!$A:$U,21,0),VLOOKUP(B159,TRAOPE!$A:$U,21,0)),"")</f>
        <v/>
      </c>
      <c r="R159" s="8">
        <f>IFERROR(IFERROR(VLOOKUP(A159,TRAOPE!$A:$W,23,0),VLOOKUP(B159,TRAOPE!$A:$W,23,0)),"")</f>
        <v/>
      </c>
      <c r="S159" s="10">
        <f>IF(AND(P159="TN",R159="TN"),N159+N(O159),IF(G159&amp;""="1",N(K159)*N159,(N159+N(O159))*N(K159)))</f>
        <v/>
      </c>
      <c r="T159" s="10">
        <f>IF(Q159="","",Q159-S159)</f>
        <v/>
      </c>
    </row>
    <row r="160">
      <c r="A160" s="7">
        <f>CONCATENATE(C160,E160,F160,I160)</f>
        <v/>
      </c>
      <c r="B160" s="7">
        <f>CONCATENATE(C160,E160,I160)</f>
        <v/>
      </c>
      <c r="C160" s="8" t="n">
        <v>900003571</v>
      </c>
      <c r="D160" s="7">
        <f>IFERROR(VLOOKUP(C160,TRAOPE!$G:$H,2,0),"")</f>
        <v/>
      </c>
      <c r="E160" s="8" t="inlineStr">
        <is>
          <t>D845</t>
        </is>
      </c>
      <c r="F160" s="8" t="inlineStr">
        <is>
          <t>66779121</t>
        </is>
      </c>
      <c r="G160" s="8">
        <f>IFERROR(VLOOKUP(A160,Flete!$A:$E,5,0),"")</f>
        <v/>
      </c>
      <c r="H160" s="7">
        <f>IFERROR(VLOOKUP(F160,TRAOPE!$AA:$AB,2,0),"")</f>
        <v/>
      </c>
      <c r="I160" s="7" t="n">
        <v>10000578</v>
      </c>
      <c r="J160" s="7">
        <f>IFERROR(VLOOKUP(I160,Materiales!$A:$H,8,0),"")</f>
        <v/>
      </c>
      <c r="K160" s="9">
        <f>IFERROR(VLOOKUP(I160,Materiales!$A:$G,7,0),"")</f>
        <v/>
      </c>
      <c r="L160" s="8" t="inlineStr">
        <is>
          <t>20260101</t>
        </is>
      </c>
      <c r="M160" s="8" t="inlineStr">
        <is>
          <t>99991231</t>
        </is>
      </c>
      <c r="N160" s="10" t="n">
        <v>85</v>
      </c>
      <c r="O160" s="10">
        <f>IFERROR(VLOOKUP(A160,Flete!$A:$J,10,0),"")</f>
        <v/>
      </c>
      <c r="P160" s="8" t="inlineStr">
        <is>
          <t>TN</t>
        </is>
      </c>
      <c r="Q160" s="10">
        <f>IFERROR(IFERROR(VLOOKUP(A160,TRAOPE!$A:$U,21,0),VLOOKUP(B160,TRAOPE!$A:$U,21,0)),"")</f>
        <v/>
      </c>
      <c r="R160" s="8">
        <f>IFERROR(IFERROR(VLOOKUP(A160,TRAOPE!$A:$W,23,0),VLOOKUP(B160,TRAOPE!$A:$W,23,0)),"")</f>
        <v/>
      </c>
      <c r="S160" s="10">
        <f>IF(AND(P160="TN",R160="TN"),N160+N(O160),IF(G160&amp;""="1",N(K160)*N160,(N160+N(O160))*N(K160)))</f>
        <v/>
      </c>
      <c r="T160" s="10">
        <f>IF(Q160="","",Q160-S160)</f>
        <v/>
      </c>
    </row>
    <row r="161">
      <c r="A161" s="7">
        <f>CONCATENATE(C161,E161,F161,I161)</f>
        <v/>
      </c>
      <c r="B161" s="7">
        <f>CONCATENATE(C161,E161,I161)</f>
        <v/>
      </c>
      <c r="C161" s="8" t="n">
        <v>900003571</v>
      </c>
      <c r="D161" s="7">
        <f>IFERROR(VLOOKUP(C161,TRAOPE!$G:$H,2,0),"")</f>
        <v/>
      </c>
      <c r="E161" s="8" t="inlineStr">
        <is>
          <t>D845</t>
        </is>
      </c>
      <c r="F161" s="8" t="inlineStr">
        <is>
          <t>66779121</t>
        </is>
      </c>
      <c r="G161" s="8">
        <f>IFERROR(VLOOKUP(A161,Flete!$A:$E,5,0),"")</f>
        <v/>
      </c>
      <c r="H161" s="7">
        <f>IFERROR(VLOOKUP(F161,TRAOPE!$AA:$AB,2,0),"")</f>
        <v/>
      </c>
      <c r="I161" s="7" t="n">
        <v>10000656</v>
      </c>
      <c r="J161" s="7">
        <f>IFERROR(VLOOKUP(I161,Materiales!$A:$H,8,0),"")</f>
        <v/>
      </c>
      <c r="K161" s="9">
        <f>IFERROR(VLOOKUP(I161,Materiales!$A:$G,7,0),"")</f>
        <v/>
      </c>
      <c r="L161" s="8" t="inlineStr">
        <is>
          <t>20260101</t>
        </is>
      </c>
      <c r="M161" s="8" t="inlineStr">
        <is>
          <t>99991231</t>
        </is>
      </c>
      <c r="N161" s="10" t="n">
        <v>84</v>
      </c>
      <c r="O161" s="10">
        <f>IFERROR(VLOOKUP(A161,Flete!$A:$J,10,0),"")</f>
        <v/>
      </c>
      <c r="P161" s="8" t="inlineStr">
        <is>
          <t>TN</t>
        </is>
      </c>
      <c r="Q161" s="10">
        <f>IFERROR(IFERROR(VLOOKUP(A161,TRAOPE!$A:$U,21,0),VLOOKUP(B161,TRAOPE!$A:$U,21,0)),"")</f>
        <v/>
      </c>
      <c r="R161" s="8">
        <f>IFERROR(IFERROR(VLOOKUP(A161,TRAOPE!$A:$W,23,0),VLOOKUP(B161,TRAOPE!$A:$W,23,0)),"")</f>
        <v/>
      </c>
      <c r="S161" s="10">
        <f>IF(AND(P161="TN",R161="TN"),N161+N(O161),IF(G161&amp;""="1",N(K161)*N161,(N161+N(O161))*N(K161)))</f>
        <v/>
      </c>
      <c r="T161" s="10">
        <f>IF(Q161="","",Q161-S161)</f>
        <v/>
      </c>
    </row>
    <row r="162">
      <c r="A162" s="7">
        <f>CONCATENATE(C162,E162,F162,I162)</f>
        <v/>
      </c>
      <c r="B162" s="7">
        <f>CONCATENATE(C162,E162,I162)</f>
        <v/>
      </c>
      <c r="C162" s="8" t="n">
        <v>900003571</v>
      </c>
      <c r="D162" s="7">
        <f>IFERROR(VLOOKUP(C162,TRAOPE!$G:$H,2,0),"")</f>
        <v/>
      </c>
      <c r="E162" s="8" t="inlineStr">
        <is>
          <t>D845</t>
        </is>
      </c>
      <c r="F162" s="8" t="inlineStr">
        <is>
          <t>66866251</t>
        </is>
      </c>
      <c r="G162" s="8">
        <f>IFERROR(VLOOKUP(A162,Flete!$A:$E,5,0),"")</f>
        <v/>
      </c>
      <c r="H162" s="7">
        <f>IFERROR(VLOOKUP(F162,TRAOPE!$AA:$AB,2,0),"")</f>
        <v/>
      </c>
      <c r="I162" s="7" t="n">
        <v>10000617</v>
      </c>
      <c r="J162" s="7">
        <f>IFERROR(VLOOKUP(I162,Materiales!$A:$H,8,0),"")</f>
        <v/>
      </c>
      <c r="K162" s="9">
        <f>IFERROR(VLOOKUP(I162,Materiales!$A:$G,7,0),"")</f>
        <v/>
      </c>
      <c r="L162" s="8" t="inlineStr">
        <is>
          <t>20260101</t>
        </is>
      </c>
      <c r="M162" s="8" t="inlineStr">
        <is>
          <t>99991231</t>
        </is>
      </c>
      <c r="N162" s="10" t="n">
        <v>99</v>
      </c>
      <c r="O162" s="10">
        <f>IFERROR(VLOOKUP(A162,Flete!$A:$J,10,0),"")</f>
        <v/>
      </c>
      <c r="P162" s="8" t="inlineStr">
        <is>
          <t>TN</t>
        </is>
      </c>
      <c r="Q162" s="10">
        <f>IFERROR(IFERROR(VLOOKUP(A162,TRAOPE!$A:$U,21,0),VLOOKUP(B162,TRAOPE!$A:$U,21,0)),"")</f>
        <v/>
      </c>
      <c r="R162" s="8">
        <f>IFERROR(IFERROR(VLOOKUP(A162,TRAOPE!$A:$W,23,0),VLOOKUP(B162,TRAOPE!$A:$W,23,0)),"")</f>
        <v/>
      </c>
      <c r="S162" s="10">
        <f>IF(AND(P162="TN",R162="TN"),N162+N(O162),IF(G162&amp;""="1",N(K162)*N162,(N162+N(O162))*N(K162)))</f>
        <v/>
      </c>
      <c r="T162" s="10">
        <f>IF(Q162="","",Q162-S162)</f>
        <v/>
      </c>
    </row>
    <row r="163">
      <c r="A163" s="7">
        <f>CONCATENATE(C163,E163,F163,I163)</f>
        <v/>
      </c>
      <c r="B163" s="7">
        <f>CONCATENATE(C163,E163,I163)</f>
        <v/>
      </c>
      <c r="C163" s="8" t="n">
        <v>900005260</v>
      </c>
      <c r="D163" s="7">
        <f>IFERROR(VLOOKUP(C163,TRAOPE!$G:$H,2,0),"")</f>
        <v/>
      </c>
      <c r="E163" s="8" t="inlineStr">
        <is>
          <t>D845</t>
        </is>
      </c>
      <c r="F163" s="8" t="inlineStr">
        <is>
          <t>65005139</t>
        </is>
      </c>
      <c r="G163" s="8">
        <f>IFERROR(VLOOKUP(A163,Flete!$A:$E,5,0),"")</f>
        <v/>
      </c>
      <c r="H163" s="7">
        <f>IFERROR(VLOOKUP(F163,TRAOPE!$AA:$AB,2,0),"")</f>
        <v/>
      </c>
      <c r="I163" s="7" t="n">
        <v>10058501</v>
      </c>
      <c r="J163" s="7">
        <f>IFERROR(VLOOKUP(I163,Materiales!$A:$H,8,0),"")</f>
        <v/>
      </c>
      <c r="K163" s="9">
        <f>IFERROR(VLOOKUP(I163,Materiales!$A:$G,7,0),"")</f>
        <v/>
      </c>
      <c r="L163" s="8" t="inlineStr">
        <is>
          <t>20241029</t>
        </is>
      </c>
      <c r="M163" s="8" t="inlineStr">
        <is>
          <t>99991231</t>
        </is>
      </c>
      <c r="N163" s="10" t="n">
        <v>153</v>
      </c>
      <c r="O163" s="10">
        <f>IFERROR(VLOOKUP(A163,Flete!$A:$J,10,0),"")</f>
        <v/>
      </c>
      <c r="P163" s="8" t="inlineStr">
        <is>
          <t>TN</t>
        </is>
      </c>
      <c r="Q163" s="10">
        <f>IFERROR(IFERROR(VLOOKUP(A163,TRAOPE!$A:$U,21,0),VLOOKUP(B163,TRAOPE!$A:$U,21,0)),"")</f>
        <v/>
      </c>
      <c r="R163" s="8">
        <f>IFERROR(IFERROR(VLOOKUP(A163,TRAOPE!$A:$W,23,0),VLOOKUP(B163,TRAOPE!$A:$W,23,0)),"")</f>
        <v/>
      </c>
      <c r="S163" s="10">
        <f>IF(AND(P163="TN",R163="TN"),N163+N(O163),IF(G163&amp;""="1",N(K163)*N163,(N163+N(O163))*N(K163)))</f>
        <v/>
      </c>
      <c r="T163" s="10">
        <f>IF(Q163="","",Q163-S163)</f>
        <v/>
      </c>
    </row>
    <row r="164">
      <c r="A164" s="7">
        <f>CONCATENATE(C164,E164,F164,I164)</f>
        <v/>
      </c>
      <c r="B164" s="7">
        <f>CONCATENATE(C164,E164,I164)</f>
        <v/>
      </c>
      <c r="C164" s="8" t="n">
        <v>900005260</v>
      </c>
      <c r="D164" s="7">
        <f>IFERROR(VLOOKUP(C164,TRAOPE!$G:$H,2,0),"")</f>
        <v/>
      </c>
      <c r="E164" s="8" t="inlineStr">
        <is>
          <t>D845</t>
        </is>
      </c>
      <c r="F164" s="8" t="inlineStr">
        <is>
          <t>65005139</t>
        </is>
      </c>
      <c r="G164" s="8">
        <f>IFERROR(VLOOKUP(A164,Flete!$A:$E,5,0),"")</f>
        <v/>
      </c>
      <c r="H164" s="7">
        <f>IFERROR(VLOOKUP(F164,TRAOPE!$AA:$AB,2,0),"")</f>
        <v/>
      </c>
      <c r="I164" s="7" t="n">
        <v>10167749</v>
      </c>
      <c r="J164" s="7">
        <f>IFERROR(VLOOKUP(I164,Materiales!$A:$H,8,0),"")</f>
        <v/>
      </c>
      <c r="K164" s="9">
        <f>IFERROR(VLOOKUP(I164,Materiales!$A:$G,7,0),"")</f>
        <v/>
      </c>
      <c r="L164" s="8" t="inlineStr">
        <is>
          <t>20250603</t>
        </is>
      </c>
      <c r="M164" s="8" t="inlineStr">
        <is>
          <t>99991231</t>
        </is>
      </c>
      <c r="N164" s="10" t="n">
        <v>193</v>
      </c>
      <c r="O164" s="10">
        <f>IFERROR(VLOOKUP(A164,Flete!$A:$J,10,0),"")</f>
        <v/>
      </c>
      <c r="P164" s="8" t="inlineStr">
        <is>
          <t>TN</t>
        </is>
      </c>
      <c r="Q164" s="10">
        <f>IFERROR(IFERROR(VLOOKUP(A164,TRAOPE!$A:$U,21,0),VLOOKUP(B164,TRAOPE!$A:$U,21,0)),"")</f>
        <v/>
      </c>
      <c r="R164" s="8">
        <f>IFERROR(IFERROR(VLOOKUP(A164,TRAOPE!$A:$W,23,0),VLOOKUP(B164,TRAOPE!$A:$W,23,0)),"")</f>
        <v/>
      </c>
      <c r="S164" s="10">
        <f>IF(AND(P164="TN",R164="TN"),N164+N(O164),IF(G164&amp;""="1",N(K164)*N164,(N164+N(O164))*N(K164)))</f>
        <v/>
      </c>
      <c r="T164" s="10">
        <f>IF(Q164="","",Q164-S164)</f>
        <v/>
      </c>
    </row>
    <row r="165">
      <c r="A165" s="7">
        <f>CONCATENATE(C165,E165,F165,I165)</f>
        <v/>
      </c>
      <c r="B165" s="7">
        <f>CONCATENATE(C165,E165,I165)</f>
        <v/>
      </c>
      <c r="C165" s="8" t="n">
        <v>900005260</v>
      </c>
      <c r="D165" s="7">
        <f>IFERROR(VLOOKUP(C165,TRAOPE!$G:$H,2,0),"")</f>
        <v/>
      </c>
      <c r="E165" s="8" t="inlineStr">
        <is>
          <t>D845</t>
        </is>
      </c>
      <c r="F165" s="8" t="inlineStr">
        <is>
          <t>65784713</t>
        </is>
      </c>
      <c r="G165" s="8">
        <f>IFERROR(VLOOKUP(A165,Flete!$A:$E,5,0),"")</f>
        <v/>
      </c>
      <c r="H165" s="7">
        <f>IFERROR(VLOOKUP(F165,TRAOPE!$AA:$AB,2,0),"")</f>
        <v/>
      </c>
      <c r="I165" s="7" t="n">
        <v>10000617</v>
      </c>
      <c r="J165" s="7">
        <f>IFERROR(VLOOKUP(I165,Materiales!$A:$H,8,0),"")</f>
        <v/>
      </c>
      <c r="K165" s="9">
        <f>IFERROR(VLOOKUP(I165,Materiales!$A:$G,7,0),"")</f>
        <v/>
      </c>
      <c r="L165" s="8" t="inlineStr">
        <is>
          <t>20240302</t>
        </is>
      </c>
      <c r="M165" s="8" t="inlineStr">
        <is>
          <t>99991231</t>
        </is>
      </c>
      <c r="N165" s="10" t="n">
        <v>168</v>
      </c>
      <c r="O165" s="10">
        <f>IFERROR(VLOOKUP(A165,Flete!$A:$J,10,0),"")</f>
        <v/>
      </c>
      <c r="P165" s="8" t="inlineStr">
        <is>
          <t>TN</t>
        </is>
      </c>
      <c r="Q165" s="10">
        <f>IFERROR(IFERROR(VLOOKUP(A165,TRAOPE!$A:$U,21,0),VLOOKUP(B165,TRAOPE!$A:$U,21,0)),"")</f>
        <v/>
      </c>
      <c r="R165" s="8">
        <f>IFERROR(IFERROR(VLOOKUP(A165,TRAOPE!$A:$W,23,0),VLOOKUP(B165,TRAOPE!$A:$W,23,0)),"")</f>
        <v/>
      </c>
      <c r="S165" s="10">
        <f>IF(AND(P165="TN",R165="TN"),N165+N(O165),IF(G165&amp;""="1",N(K165)*N165,(N165+N(O165))*N(K165)))</f>
        <v/>
      </c>
      <c r="T165" s="10">
        <f>IF(Q165="","",Q165-S165)</f>
        <v/>
      </c>
    </row>
    <row r="166">
      <c r="A166" s="7">
        <f>CONCATENATE(C166,E166,F166,I166)</f>
        <v/>
      </c>
      <c r="B166" s="7">
        <f>CONCATENATE(C166,E166,I166)</f>
        <v/>
      </c>
      <c r="C166" s="8" t="n">
        <v>900005260</v>
      </c>
      <c r="D166" s="7">
        <f>IFERROR(VLOOKUP(C166,TRAOPE!$G:$H,2,0),"")</f>
        <v/>
      </c>
      <c r="E166" s="8" t="inlineStr">
        <is>
          <t>D845</t>
        </is>
      </c>
      <c r="F166" s="8" t="inlineStr">
        <is>
          <t>66436427</t>
        </is>
      </c>
      <c r="G166" s="8">
        <f>IFERROR(VLOOKUP(A166,Flete!$A:$E,5,0),"")</f>
        <v/>
      </c>
      <c r="H166" s="7">
        <f>IFERROR(VLOOKUP(F166,TRAOPE!$AA:$AB,2,0),"")</f>
        <v/>
      </c>
      <c r="I166" s="7" t="n">
        <v>10000617</v>
      </c>
      <c r="J166" s="7">
        <f>IFERROR(VLOOKUP(I166,Materiales!$A:$H,8,0),"")</f>
        <v/>
      </c>
      <c r="K166" s="9">
        <f>IFERROR(VLOOKUP(I166,Materiales!$A:$G,7,0),"")</f>
        <v/>
      </c>
      <c r="L166" s="8" t="inlineStr">
        <is>
          <t>20250409</t>
        </is>
      </c>
      <c r="M166" s="8" t="inlineStr">
        <is>
          <t>99991231</t>
        </is>
      </c>
      <c r="N166" s="10" t="n">
        <v>200</v>
      </c>
      <c r="O166" s="10">
        <f>IFERROR(VLOOKUP(A166,Flete!$A:$J,10,0),"")</f>
        <v/>
      </c>
      <c r="P166" s="8" t="inlineStr">
        <is>
          <t>TN</t>
        </is>
      </c>
      <c r="Q166" s="10">
        <f>IFERROR(IFERROR(VLOOKUP(A166,TRAOPE!$A:$U,21,0),VLOOKUP(B166,TRAOPE!$A:$U,21,0)),"")</f>
        <v/>
      </c>
      <c r="R166" s="8">
        <f>IFERROR(IFERROR(VLOOKUP(A166,TRAOPE!$A:$W,23,0),VLOOKUP(B166,TRAOPE!$A:$W,23,0)),"")</f>
        <v/>
      </c>
      <c r="S166" s="10">
        <f>IF(AND(P166="TN",R166="TN"),N166+N(O166),IF(G166&amp;""="1",N(K166)*N166,(N166+N(O166))*N(K166)))</f>
        <v/>
      </c>
      <c r="T166" s="10">
        <f>IF(Q166="","",Q166-S166)</f>
        <v/>
      </c>
    </row>
    <row r="167">
      <c r="A167" s="7">
        <f>CONCATENATE(C167,E167,F167,I167)</f>
        <v/>
      </c>
      <c r="B167" s="7">
        <f>CONCATENATE(C167,E167,I167)</f>
        <v/>
      </c>
      <c r="C167" s="8" t="n">
        <v>900005260</v>
      </c>
      <c r="D167" s="7">
        <f>IFERROR(VLOOKUP(C167,TRAOPE!$G:$H,2,0),"")</f>
        <v/>
      </c>
      <c r="E167" s="8" t="inlineStr">
        <is>
          <t>D845</t>
        </is>
      </c>
      <c r="F167" s="8" t="inlineStr">
        <is>
          <t>66436427</t>
        </is>
      </c>
      <c r="G167" s="8">
        <f>IFERROR(VLOOKUP(A167,Flete!$A:$E,5,0),"")</f>
        <v/>
      </c>
      <c r="H167" s="7">
        <f>IFERROR(VLOOKUP(F167,TRAOPE!$AA:$AB,2,0),"")</f>
        <v/>
      </c>
      <c r="I167" s="7" t="n">
        <v>10169508</v>
      </c>
      <c r="J167" s="7">
        <f>IFERROR(VLOOKUP(I167,Materiales!$A:$H,8,0),"")</f>
        <v/>
      </c>
      <c r="K167" s="9">
        <f>IFERROR(VLOOKUP(I167,Materiales!$A:$G,7,0),"")</f>
        <v/>
      </c>
      <c r="L167" s="8" t="inlineStr">
        <is>
          <t>20250717</t>
        </is>
      </c>
      <c r="M167" s="8" t="inlineStr">
        <is>
          <t>99991231</t>
        </is>
      </c>
      <c r="N167" s="10" t="n">
        <v>205</v>
      </c>
      <c r="O167" s="10">
        <f>IFERROR(VLOOKUP(A167,Flete!$A:$J,10,0),"")</f>
        <v/>
      </c>
      <c r="P167" s="8" t="inlineStr">
        <is>
          <t>TN</t>
        </is>
      </c>
      <c r="Q167" s="10">
        <f>IFERROR(IFERROR(VLOOKUP(A167,TRAOPE!$A:$U,21,0),VLOOKUP(B167,TRAOPE!$A:$U,21,0)),"")</f>
        <v/>
      </c>
      <c r="R167" s="8">
        <f>IFERROR(IFERROR(VLOOKUP(A167,TRAOPE!$A:$W,23,0),VLOOKUP(B167,TRAOPE!$A:$W,23,0)),"")</f>
        <v/>
      </c>
      <c r="S167" s="10">
        <f>IF(AND(P167="TN",R167="TN"),N167+N(O167),IF(G167&amp;""="1",N(K167)*N167,(N167+N(O167))*N(K167)))</f>
        <v/>
      </c>
      <c r="T167" s="10">
        <f>IF(Q167="","",Q167-S167)</f>
        <v/>
      </c>
    </row>
    <row r="168">
      <c r="A168" s="7">
        <f>CONCATENATE(C168,E168,F168,I168)</f>
        <v/>
      </c>
      <c r="B168" s="7">
        <f>CONCATENATE(C168,E168,I168)</f>
        <v/>
      </c>
      <c r="C168" s="8" t="n">
        <v>900005260</v>
      </c>
      <c r="D168" s="7">
        <f>IFERROR(VLOOKUP(C168,TRAOPE!$G:$H,2,0),"")</f>
        <v/>
      </c>
      <c r="E168" s="8" t="inlineStr">
        <is>
          <t>D845</t>
        </is>
      </c>
      <c r="F168" s="8" t="inlineStr">
        <is>
          <t>67138524</t>
        </is>
      </c>
      <c r="G168" s="8">
        <f>IFERROR(VLOOKUP(A168,Flete!$A:$E,5,0),"")</f>
        <v/>
      </c>
      <c r="H168" s="7">
        <f>IFERROR(VLOOKUP(F168,TRAOPE!$AA:$AB,2,0),"")</f>
        <v/>
      </c>
      <c r="I168" s="7" t="n">
        <v>10000578</v>
      </c>
      <c r="J168" s="7">
        <f>IFERROR(VLOOKUP(I168,Materiales!$A:$H,8,0),"")</f>
        <v/>
      </c>
      <c r="K168" s="9">
        <f>IFERROR(VLOOKUP(I168,Materiales!$A:$G,7,0),"")</f>
        <v/>
      </c>
      <c r="L168" s="8" t="inlineStr">
        <is>
          <t>20240228</t>
        </is>
      </c>
      <c r="M168" s="8" t="inlineStr">
        <is>
          <t>99991231</t>
        </is>
      </c>
      <c r="N168" s="10" t="n">
        <v>158</v>
      </c>
      <c r="O168" s="10">
        <f>IFERROR(VLOOKUP(A168,Flete!$A:$J,10,0),"")</f>
        <v/>
      </c>
      <c r="P168" s="8" t="inlineStr">
        <is>
          <t>TN</t>
        </is>
      </c>
      <c r="Q168" s="10">
        <f>IFERROR(IFERROR(VLOOKUP(A168,TRAOPE!$A:$U,21,0),VLOOKUP(B168,TRAOPE!$A:$U,21,0)),"")</f>
        <v/>
      </c>
      <c r="R168" s="8">
        <f>IFERROR(IFERROR(VLOOKUP(A168,TRAOPE!$A:$W,23,0),VLOOKUP(B168,TRAOPE!$A:$W,23,0)),"")</f>
        <v/>
      </c>
      <c r="S168" s="10">
        <f>IF(AND(P168="TN",R168="TN"),N168+N(O168),IF(G168&amp;""="1",N(K168)*N168,(N168+N(O168))*N(K168)))</f>
        <v/>
      </c>
      <c r="T168" s="10">
        <f>IF(Q168="","",Q168-S168)</f>
        <v/>
      </c>
    </row>
    <row r="169">
      <c r="A169" s="7">
        <f>CONCATENATE(C169,E169,F169,I169)</f>
        <v/>
      </c>
      <c r="B169" s="7">
        <f>CONCATENATE(C169,E169,I169)</f>
        <v/>
      </c>
      <c r="C169" s="8" t="n">
        <v>900005260</v>
      </c>
      <c r="D169" s="7">
        <f>IFERROR(VLOOKUP(C169,TRAOPE!$G:$H,2,0),"")</f>
        <v/>
      </c>
      <c r="E169" s="8" t="inlineStr">
        <is>
          <t>D845</t>
        </is>
      </c>
      <c r="F169" s="8" t="inlineStr">
        <is>
          <t>67138524</t>
        </is>
      </c>
      <c r="G169" s="8">
        <f>IFERROR(VLOOKUP(A169,Flete!$A:$E,5,0),"")</f>
        <v/>
      </c>
      <c r="H169" s="7">
        <f>IFERROR(VLOOKUP(F169,TRAOPE!$AA:$AB,2,0),"")</f>
        <v/>
      </c>
      <c r="I169" s="7" t="n">
        <v>10000617</v>
      </c>
      <c r="J169" s="7">
        <f>IFERROR(VLOOKUP(I169,Materiales!$A:$H,8,0),"")</f>
        <v/>
      </c>
      <c r="K169" s="9">
        <f>IFERROR(VLOOKUP(I169,Materiales!$A:$G,7,0),"")</f>
        <v/>
      </c>
      <c r="L169" s="8" t="inlineStr">
        <is>
          <t>20240302</t>
        </is>
      </c>
      <c r="M169" s="8" t="inlineStr">
        <is>
          <t>99991231</t>
        </is>
      </c>
      <c r="N169" s="10" t="n">
        <v>168</v>
      </c>
      <c r="O169" s="10">
        <f>IFERROR(VLOOKUP(A169,Flete!$A:$J,10,0),"")</f>
        <v/>
      </c>
      <c r="P169" s="8" t="inlineStr">
        <is>
          <t>TN</t>
        </is>
      </c>
      <c r="Q169" s="10">
        <f>IFERROR(IFERROR(VLOOKUP(A169,TRAOPE!$A:$U,21,0),VLOOKUP(B169,TRAOPE!$A:$U,21,0)),"")</f>
        <v/>
      </c>
      <c r="R169" s="8">
        <f>IFERROR(IFERROR(VLOOKUP(A169,TRAOPE!$A:$W,23,0),VLOOKUP(B169,TRAOPE!$A:$W,23,0)),"")</f>
        <v/>
      </c>
      <c r="S169" s="10">
        <f>IF(AND(P169="TN",R169="TN"),N169+N(O169),IF(G169&amp;""="1",N(K169)*N169,(N169+N(O169))*N(K169)))</f>
        <v/>
      </c>
      <c r="T169" s="10">
        <f>IF(Q169="","",Q169-S169)</f>
        <v/>
      </c>
    </row>
    <row r="170">
      <c r="A170" s="7">
        <f>CONCATENATE(C170,E170,F170,I170)</f>
        <v/>
      </c>
      <c r="B170" s="7">
        <f>CONCATENATE(C170,E170,I170)</f>
        <v/>
      </c>
      <c r="C170" s="8" t="n">
        <v>900005260</v>
      </c>
      <c r="D170" s="7">
        <f>IFERROR(VLOOKUP(C170,TRAOPE!$G:$H,2,0),"")</f>
        <v/>
      </c>
      <c r="E170" s="8" t="inlineStr">
        <is>
          <t>D845</t>
        </is>
      </c>
      <c r="F170" s="8" t="inlineStr">
        <is>
          <t>67169574</t>
        </is>
      </c>
      <c r="G170" s="8">
        <f>IFERROR(VLOOKUP(A170,Flete!$A:$E,5,0),"")</f>
        <v/>
      </c>
      <c r="H170" s="7">
        <f>IFERROR(VLOOKUP(F170,TRAOPE!$AA:$AB,2,0),"")</f>
        <v/>
      </c>
      <c r="I170" s="7" t="n">
        <v>10000536</v>
      </c>
      <c r="J170" s="7">
        <f>IFERROR(VLOOKUP(I170,Materiales!$A:$H,8,0),"")</f>
        <v/>
      </c>
      <c r="K170" s="9">
        <f>IFERROR(VLOOKUP(I170,Materiales!$A:$G,7,0),"")</f>
        <v/>
      </c>
      <c r="L170" s="8" t="inlineStr">
        <is>
          <t>20250514</t>
        </is>
      </c>
      <c r="M170" s="8" t="inlineStr">
        <is>
          <t>99991231</t>
        </is>
      </c>
      <c r="N170" s="10" t="n">
        <v>190</v>
      </c>
      <c r="O170" s="10">
        <f>IFERROR(VLOOKUP(A170,Flete!$A:$J,10,0),"")</f>
        <v/>
      </c>
      <c r="P170" s="8" t="inlineStr">
        <is>
          <t>TN</t>
        </is>
      </c>
      <c r="Q170" s="10">
        <f>IFERROR(IFERROR(VLOOKUP(A170,TRAOPE!$A:$U,21,0),VLOOKUP(B170,TRAOPE!$A:$U,21,0)),"")</f>
        <v/>
      </c>
      <c r="R170" s="8">
        <f>IFERROR(IFERROR(VLOOKUP(A170,TRAOPE!$A:$W,23,0),VLOOKUP(B170,TRAOPE!$A:$W,23,0)),"")</f>
        <v/>
      </c>
      <c r="S170" s="10">
        <f>IF(AND(P170="TN",R170="TN"),N170+N(O170),IF(G170&amp;""="1",N(K170)*N170,(N170+N(O170))*N(K170)))</f>
        <v/>
      </c>
      <c r="T170" s="10">
        <f>IF(Q170="","",Q170-S170)</f>
        <v/>
      </c>
    </row>
    <row r="171">
      <c r="A171" s="7">
        <f>CONCATENATE(C171,E171,F171,I171)</f>
        <v/>
      </c>
      <c r="B171" s="7">
        <f>CONCATENATE(C171,E171,I171)</f>
        <v/>
      </c>
      <c r="C171" s="8" t="n">
        <v>900005260</v>
      </c>
      <c r="D171" s="7">
        <f>IFERROR(VLOOKUP(C171,TRAOPE!$G:$H,2,0),"")</f>
        <v/>
      </c>
      <c r="E171" s="8" t="inlineStr">
        <is>
          <t>D845</t>
        </is>
      </c>
      <c r="F171" s="8" t="inlineStr">
        <is>
          <t>67169574</t>
        </is>
      </c>
      <c r="G171" s="8">
        <f>IFERROR(VLOOKUP(A171,Flete!$A:$E,5,0),"")</f>
        <v/>
      </c>
      <c r="H171" s="7">
        <f>IFERROR(VLOOKUP(F171,TRAOPE!$AA:$AB,2,0),"")</f>
        <v/>
      </c>
      <c r="I171" s="7" t="n">
        <v>10167749</v>
      </c>
      <c r="J171" s="7">
        <f>IFERROR(VLOOKUP(I171,Materiales!$A:$H,8,0),"")</f>
        <v/>
      </c>
      <c r="K171" s="9">
        <f>IFERROR(VLOOKUP(I171,Materiales!$A:$G,7,0),"")</f>
        <v/>
      </c>
      <c r="L171" s="8" t="inlineStr">
        <is>
          <t>20250514</t>
        </is>
      </c>
      <c r="M171" s="8" t="inlineStr">
        <is>
          <t>99991231</t>
        </is>
      </c>
      <c r="N171" s="10" t="n">
        <v>193</v>
      </c>
      <c r="O171" s="10">
        <f>IFERROR(VLOOKUP(A171,Flete!$A:$J,10,0),"")</f>
        <v/>
      </c>
      <c r="P171" s="8" t="inlineStr">
        <is>
          <t>TN</t>
        </is>
      </c>
      <c r="Q171" s="10">
        <f>IFERROR(IFERROR(VLOOKUP(A171,TRAOPE!$A:$U,21,0),VLOOKUP(B171,TRAOPE!$A:$U,21,0)),"")</f>
        <v/>
      </c>
      <c r="R171" s="8">
        <f>IFERROR(IFERROR(VLOOKUP(A171,TRAOPE!$A:$W,23,0),VLOOKUP(B171,TRAOPE!$A:$W,23,0)),"")</f>
        <v/>
      </c>
      <c r="S171" s="10">
        <f>IF(AND(P171="TN",R171="TN"),N171+N(O171),IF(G171&amp;""="1",N(K171)*N171,(N171+N(O171))*N(K171)))</f>
        <v/>
      </c>
      <c r="T171" s="10">
        <f>IF(Q171="","",Q171-S171)</f>
        <v/>
      </c>
    </row>
    <row r="172">
      <c r="A172" s="7">
        <f>CONCATENATE(C172,E172,F172,I172)</f>
        <v/>
      </c>
      <c r="B172" s="7">
        <f>CONCATENATE(C172,E172,I172)</f>
        <v/>
      </c>
      <c r="C172" s="8" t="n">
        <v>900005260</v>
      </c>
      <c r="D172" s="7">
        <f>IFERROR(VLOOKUP(C172,TRAOPE!$G:$H,2,0),"")</f>
        <v/>
      </c>
      <c r="E172" s="8" t="inlineStr">
        <is>
          <t>D845</t>
        </is>
      </c>
      <c r="F172" s="8" t="inlineStr">
        <is>
          <t>67230766</t>
        </is>
      </c>
      <c r="G172" s="8">
        <f>IFERROR(VLOOKUP(A172,Flete!$A:$E,5,0),"")</f>
        <v/>
      </c>
      <c r="H172" s="7">
        <f>IFERROR(VLOOKUP(F172,TRAOPE!$AA:$AB,2,0),"")</f>
        <v/>
      </c>
      <c r="I172" s="7" t="n">
        <v>10167749</v>
      </c>
      <c r="J172" s="7">
        <f>IFERROR(VLOOKUP(I172,Materiales!$A:$H,8,0),"")</f>
        <v/>
      </c>
      <c r="K172" s="9">
        <f>IFERROR(VLOOKUP(I172,Materiales!$A:$G,7,0),"")</f>
        <v/>
      </c>
      <c r="L172" s="8" t="inlineStr">
        <is>
          <t>20250227</t>
        </is>
      </c>
      <c r="M172" s="8" t="inlineStr">
        <is>
          <t>99991231</t>
        </is>
      </c>
      <c r="N172" s="10" t="n">
        <v>193</v>
      </c>
      <c r="O172" s="10">
        <f>IFERROR(VLOOKUP(A172,Flete!$A:$J,10,0),"")</f>
        <v/>
      </c>
      <c r="P172" s="8" t="inlineStr">
        <is>
          <t>TN</t>
        </is>
      </c>
      <c r="Q172" s="10">
        <f>IFERROR(IFERROR(VLOOKUP(A172,TRAOPE!$A:$U,21,0),VLOOKUP(B172,TRAOPE!$A:$U,21,0)),"")</f>
        <v/>
      </c>
      <c r="R172" s="8">
        <f>IFERROR(IFERROR(VLOOKUP(A172,TRAOPE!$A:$W,23,0),VLOOKUP(B172,TRAOPE!$A:$W,23,0)),"")</f>
        <v/>
      </c>
      <c r="S172" s="10">
        <f>IF(AND(P172="TN",R172="TN"),N172+N(O172),IF(G172&amp;""="1",N(K172)*N172,(N172+N(O172))*N(K172)))</f>
        <v/>
      </c>
      <c r="T172" s="10">
        <f>IF(Q172="","",Q172-S172)</f>
        <v/>
      </c>
    </row>
    <row r="173">
      <c r="A173" s="7">
        <f>CONCATENATE(C173,E173,F173,I173)</f>
        <v/>
      </c>
      <c r="B173" s="7">
        <f>CONCATENATE(C173,E173,I173)</f>
        <v/>
      </c>
      <c r="C173" s="8" t="n">
        <v>900005260</v>
      </c>
      <c r="D173" s="7">
        <f>IFERROR(VLOOKUP(C173,TRAOPE!$G:$H,2,0),"")</f>
        <v/>
      </c>
      <c r="E173" s="8" t="inlineStr">
        <is>
          <t>D845</t>
        </is>
      </c>
      <c r="F173" s="8" t="inlineStr">
        <is>
          <t>67231138</t>
        </is>
      </c>
      <c r="G173" s="8">
        <f>IFERROR(VLOOKUP(A173,Flete!$A:$E,5,0),"")</f>
        <v/>
      </c>
      <c r="H173" s="7">
        <f>IFERROR(VLOOKUP(F173,TRAOPE!$AA:$AB,2,0),"")</f>
        <v/>
      </c>
      <c r="I173" s="7" t="n">
        <v>10000536</v>
      </c>
      <c r="J173" s="7">
        <f>IFERROR(VLOOKUP(I173,Materiales!$A:$H,8,0),"")</f>
        <v/>
      </c>
      <c r="K173" s="9">
        <f>IFERROR(VLOOKUP(I173,Materiales!$A:$G,7,0),"")</f>
        <v/>
      </c>
      <c r="L173" s="8" t="inlineStr">
        <is>
          <t>20250904</t>
        </is>
      </c>
      <c r="M173" s="8" t="inlineStr">
        <is>
          <t>99991231</t>
        </is>
      </c>
      <c r="N173" s="10" t="n">
        <v>190</v>
      </c>
      <c r="O173" s="10">
        <f>IFERROR(VLOOKUP(A173,Flete!$A:$J,10,0),"")</f>
        <v/>
      </c>
      <c r="P173" s="8" t="inlineStr">
        <is>
          <t>TN</t>
        </is>
      </c>
      <c r="Q173" s="10">
        <f>IFERROR(IFERROR(VLOOKUP(A173,TRAOPE!$A:$U,21,0),VLOOKUP(B173,TRAOPE!$A:$U,21,0)),"")</f>
        <v/>
      </c>
      <c r="R173" s="8">
        <f>IFERROR(IFERROR(VLOOKUP(A173,TRAOPE!$A:$W,23,0),VLOOKUP(B173,TRAOPE!$A:$W,23,0)),"")</f>
        <v/>
      </c>
      <c r="S173" s="10">
        <f>IF(AND(P173="TN",R173="TN"),N173+N(O173),IF(G173&amp;""="1",N(K173)*N173,(N173+N(O173))*N(K173)))</f>
        <v/>
      </c>
      <c r="T173" s="10">
        <f>IF(Q173="","",Q173-S173)</f>
        <v/>
      </c>
    </row>
    <row r="174">
      <c r="A174" s="7">
        <f>CONCATENATE(C174,E174,F174,I174)</f>
        <v/>
      </c>
      <c r="B174" s="7">
        <f>CONCATENATE(C174,E174,I174)</f>
        <v/>
      </c>
      <c r="C174" s="8" t="n">
        <v>900005260</v>
      </c>
      <c r="D174" s="7">
        <f>IFERROR(VLOOKUP(C174,TRAOPE!$G:$H,2,0),"")</f>
        <v/>
      </c>
      <c r="E174" s="8" t="inlineStr">
        <is>
          <t>D845</t>
        </is>
      </c>
      <c r="F174" s="8" t="inlineStr">
        <is>
          <t>67231138</t>
        </is>
      </c>
      <c r="G174" s="8">
        <f>IFERROR(VLOOKUP(A174,Flete!$A:$E,5,0),"")</f>
        <v/>
      </c>
      <c r="H174" s="7">
        <f>IFERROR(VLOOKUP(F174,TRAOPE!$AA:$AB,2,0),"")</f>
        <v/>
      </c>
      <c r="I174" s="7" t="n">
        <v>10000617</v>
      </c>
      <c r="J174" s="7">
        <f>IFERROR(VLOOKUP(I174,Materiales!$A:$H,8,0),"")</f>
        <v/>
      </c>
      <c r="K174" s="9">
        <f>IFERROR(VLOOKUP(I174,Materiales!$A:$G,7,0),"")</f>
        <v/>
      </c>
      <c r="L174" s="8" t="inlineStr">
        <is>
          <t>20250904</t>
        </is>
      </c>
      <c r="M174" s="8" t="inlineStr">
        <is>
          <t>99991231</t>
        </is>
      </c>
      <c r="N174" s="10" t="n">
        <v>200</v>
      </c>
      <c r="O174" s="10">
        <f>IFERROR(VLOOKUP(A174,Flete!$A:$J,10,0),"")</f>
        <v/>
      </c>
      <c r="P174" s="8" t="inlineStr">
        <is>
          <t>TN</t>
        </is>
      </c>
      <c r="Q174" s="10">
        <f>IFERROR(IFERROR(VLOOKUP(A174,TRAOPE!$A:$U,21,0),VLOOKUP(B174,TRAOPE!$A:$U,21,0)),"")</f>
        <v/>
      </c>
      <c r="R174" s="8">
        <f>IFERROR(IFERROR(VLOOKUP(A174,TRAOPE!$A:$W,23,0),VLOOKUP(B174,TRAOPE!$A:$W,23,0)),"")</f>
        <v/>
      </c>
      <c r="S174" s="10">
        <f>IF(AND(P174="TN",R174="TN"),N174+N(O174),IF(G174&amp;""="1",N(K174)*N174,(N174+N(O174))*N(K174)))</f>
        <v/>
      </c>
      <c r="T174" s="10">
        <f>IF(Q174="","",Q174-S174)</f>
        <v/>
      </c>
    </row>
    <row r="175">
      <c r="A175" s="7">
        <f>CONCATENATE(C175,E175,F175,I175)</f>
        <v/>
      </c>
      <c r="B175" s="7">
        <f>CONCATENATE(C175,E175,I175)</f>
        <v/>
      </c>
      <c r="C175" s="8" t="n">
        <v>900005260</v>
      </c>
      <c r="D175" s="7">
        <f>IFERROR(VLOOKUP(C175,TRAOPE!$G:$H,2,0),"")</f>
        <v/>
      </c>
      <c r="E175" s="8" t="inlineStr">
        <is>
          <t>D845</t>
        </is>
      </c>
      <c r="F175" s="8" t="inlineStr">
        <is>
          <t>67231138</t>
        </is>
      </c>
      <c r="G175" s="8">
        <f>IFERROR(VLOOKUP(A175,Flete!$A:$E,5,0),"")</f>
        <v/>
      </c>
      <c r="H175" s="7">
        <f>IFERROR(VLOOKUP(F175,TRAOPE!$AA:$AB,2,0),"")</f>
        <v/>
      </c>
      <c r="I175" s="7" t="n">
        <v>10167749</v>
      </c>
      <c r="J175" s="7">
        <f>IFERROR(VLOOKUP(I175,Materiales!$A:$H,8,0),"")</f>
        <v/>
      </c>
      <c r="K175" s="9">
        <f>IFERROR(VLOOKUP(I175,Materiales!$A:$G,7,0),"")</f>
        <v/>
      </c>
      <c r="L175" s="8" t="inlineStr">
        <is>
          <t>20250904</t>
        </is>
      </c>
      <c r="M175" s="8" t="inlineStr">
        <is>
          <t>99991231</t>
        </is>
      </c>
      <c r="N175" s="10" t="n">
        <v>193</v>
      </c>
      <c r="O175" s="10">
        <f>IFERROR(VLOOKUP(A175,Flete!$A:$J,10,0),"")</f>
        <v/>
      </c>
      <c r="P175" s="8" t="inlineStr">
        <is>
          <t>TN</t>
        </is>
      </c>
      <c r="Q175" s="10">
        <f>IFERROR(IFERROR(VLOOKUP(A175,TRAOPE!$A:$U,21,0),VLOOKUP(B175,TRAOPE!$A:$U,21,0)),"")</f>
        <v/>
      </c>
      <c r="R175" s="8">
        <f>IFERROR(IFERROR(VLOOKUP(A175,TRAOPE!$A:$W,23,0),VLOOKUP(B175,TRAOPE!$A:$W,23,0)),"")</f>
        <v/>
      </c>
      <c r="S175" s="10">
        <f>IF(AND(P175="TN",R175="TN"),N175+N(O175),IF(G175&amp;""="1",N(K175)*N175,(N175+N(O175))*N(K175)))</f>
        <v/>
      </c>
      <c r="T175" s="10">
        <f>IF(Q175="","",Q175-S175)</f>
        <v/>
      </c>
    </row>
    <row r="176">
      <c r="A176" s="7">
        <f>CONCATENATE(C176,E176,F176,I176)</f>
        <v/>
      </c>
      <c r="B176" s="7">
        <f>CONCATENATE(C176,E176,I176)</f>
        <v/>
      </c>
      <c r="C176" s="8" t="n">
        <v>900005260</v>
      </c>
      <c r="D176" s="7">
        <f>IFERROR(VLOOKUP(C176,TRAOPE!$G:$H,2,0),"")</f>
        <v/>
      </c>
      <c r="E176" s="8" t="inlineStr">
        <is>
          <t>D845</t>
        </is>
      </c>
      <c r="F176" s="8" t="inlineStr">
        <is>
          <t>67241945</t>
        </is>
      </c>
      <c r="G176" s="8">
        <f>IFERROR(VLOOKUP(A176,Flete!$A:$E,5,0),"")</f>
        <v/>
      </c>
      <c r="H176" s="7">
        <f>IFERROR(VLOOKUP(F176,TRAOPE!$AA:$AB,2,0),"")</f>
        <v/>
      </c>
      <c r="I176" s="7" t="n">
        <v>10000617</v>
      </c>
      <c r="J176" s="7">
        <f>IFERROR(VLOOKUP(I176,Materiales!$A:$H,8,0),"")</f>
        <v/>
      </c>
      <c r="K176" s="9">
        <f>IFERROR(VLOOKUP(I176,Materiales!$A:$G,7,0),"")</f>
        <v/>
      </c>
      <c r="L176" s="8" t="inlineStr">
        <is>
          <t>20250227</t>
        </is>
      </c>
      <c r="M176" s="8" t="inlineStr">
        <is>
          <t>99991231</t>
        </is>
      </c>
      <c r="N176" s="10" t="n">
        <v>200</v>
      </c>
      <c r="O176" s="10">
        <f>IFERROR(VLOOKUP(A176,Flete!$A:$J,10,0),"")</f>
        <v/>
      </c>
      <c r="P176" s="8" t="inlineStr">
        <is>
          <t>TN</t>
        </is>
      </c>
      <c r="Q176" s="10">
        <f>IFERROR(IFERROR(VLOOKUP(A176,TRAOPE!$A:$U,21,0),VLOOKUP(B176,TRAOPE!$A:$U,21,0)),"")</f>
        <v/>
      </c>
      <c r="R176" s="8">
        <f>IFERROR(IFERROR(VLOOKUP(A176,TRAOPE!$A:$W,23,0),VLOOKUP(B176,TRAOPE!$A:$W,23,0)),"")</f>
        <v/>
      </c>
      <c r="S176" s="10">
        <f>IF(AND(P176="TN",R176="TN"),N176+N(O176),IF(G176&amp;""="1",N(K176)*N176,(N176+N(O176))*N(K176)))</f>
        <v/>
      </c>
      <c r="T176" s="10">
        <f>IF(Q176="","",Q176-S176)</f>
        <v/>
      </c>
    </row>
    <row r="177">
      <c r="A177" s="7">
        <f>CONCATENATE(C177,E177,F177,I177)</f>
        <v/>
      </c>
      <c r="B177" s="7">
        <f>CONCATENATE(C177,E177,I177)</f>
        <v/>
      </c>
      <c r="C177" s="8" t="n">
        <v>900005260</v>
      </c>
      <c r="D177" s="7">
        <f>IFERROR(VLOOKUP(C177,TRAOPE!$G:$H,2,0),"")</f>
        <v/>
      </c>
      <c r="E177" s="8" t="inlineStr">
        <is>
          <t>D845</t>
        </is>
      </c>
      <c r="F177" s="8" t="inlineStr">
        <is>
          <t>67241945</t>
        </is>
      </c>
      <c r="G177" s="8">
        <f>IFERROR(VLOOKUP(A177,Flete!$A:$E,5,0),"")</f>
        <v/>
      </c>
      <c r="H177" s="7">
        <f>IFERROR(VLOOKUP(F177,TRAOPE!$AA:$AB,2,0),"")</f>
        <v/>
      </c>
      <c r="I177" s="7" t="n">
        <v>10167749</v>
      </c>
      <c r="J177" s="7">
        <f>IFERROR(VLOOKUP(I177,Materiales!$A:$H,8,0),"")</f>
        <v/>
      </c>
      <c r="K177" s="9">
        <f>IFERROR(VLOOKUP(I177,Materiales!$A:$G,7,0),"")</f>
        <v/>
      </c>
      <c r="L177" s="8" t="inlineStr">
        <is>
          <t>20250612</t>
        </is>
      </c>
      <c r="M177" s="8" t="inlineStr">
        <is>
          <t>99991231</t>
        </is>
      </c>
      <c r="N177" s="10" t="n">
        <v>193</v>
      </c>
      <c r="O177" s="10">
        <f>IFERROR(VLOOKUP(A177,Flete!$A:$J,10,0),"")</f>
        <v/>
      </c>
      <c r="P177" s="8" t="inlineStr">
        <is>
          <t>TN</t>
        </is>
      </c>
      <c r="Q177" s="10">
        <f>IFERROR(IFERROR(VLOOKUP(A177,TRAOPE!$A:$U,21,0),VLOOKUP(B177,TRAOPE!$A:$U,21,0)),"")</f>
        <v/>
      </c>
      <c r="R177" s="8">
        <f>IFERROR(IFERROR(VLOOKUP(A177,TRAOPE!$A:$W,23,0),VLOOKUP(B177,TRAOPE!$A:$W,23,0)),"")</f>
        <v/>
      </c>
      <c r="S177" s="10">
        <f>IF(AND(P177="TN",R177="TN"),N177+N(O177),IF(G177&amp;""="1",N(K177)*N177,(N177+N(O177))*N(K177)))</f>
        <v/>
      </c>
      <c r="T177" s="10">
        <f>IF(Q177="","",Q177-S177)</f>
        <v/>
      </c>
    </row>
    <row r="178">
      <c r="A178" s="7">
        <f>CONCATENATE(C178,E178,F178,I178)</f>
        <v/>
      </c>
      <c r="B178" s="7">
        <f>CONCATENATE(C178,E178,I178)</f>
        <v/>
      </c>
      <c r="C178" s="8" t="n">
        <v>900005260</v>
      </c>
      <c r="D178" s="7">
        <f>IFERROR(VLOOKUP(C178,TRAOPE!$G:$H,2,0),"")</f>
        <v/>
      </c>
      <c r="E178" s="8" t="inlineStr">
        <is>
          <t>D845</t>
        </is>
      </c>
      <c r="F178" s="8" t="inlineStr">
        <is>
          <t>67250991</t>
        </is>
      </c>
      <c r="G178" s="8">
        <f>IFERROR(VLOOKUP(A178,Flete!$A:$E,5,0),"")</f>
        <v/>
      </c>
      <c r="H178" s="7">
        <f>IFERROR(VLOOKUP(F178,TRAOPE!$AA:$AB,2,0),"")</f>
        <v/>
      </c>
      <c r="I178" s="7" t="n">
        <v>10000536</v>
      </c>
      <c r="J178" s="7">
        <f>IFERROR(VLOOKUP(I178,Materiales!$A:$H,8,0),"")</f>
        <v/>
      </c>
      <c r="K178" s="9">
        <f>IFERROR(VLOOKUP(I178,Materiales!$A:$G,7,0),"")</f>
        <v/>
      </c>
      <c r="L178" s="8" t="inlineStr">
        <is>
          <t>20250515</t>
        </is>
      </c>
      <c r="M178" s="8" t="inlineStr">
        <is>
          <t>99991231</t>
        </is>
      </c>
      <c r="N178" s="10" t="n">
        <v>190</v>
      </c>
      <c r="O178" s="10">
        <f>IFERROR(VLOOKUP(A178,Flete!$A:$J,10,0),"")</f>
        <v/>
      </c>
      <c r="P178" s="8" t="inlineStr">
        <is>
          <t>TN</t>
        </is>
      </c>
      <c r="Q178" s="10">
        <f>IFERROR(IFERROR(VLOOKUP(A178,TRAOPE!$A:$U,21,0),VLOOKUP(B178,TRAOPE!$A:$U,21,0)),"")</f>
        <v/>
      </c>
      <c r="R178" s="8">
        <f>IFERROR(IFERROR(VLOOKUP(A178,TRAOPE!$A:$W,23,0),VLOOKUP(B178,TRAOPE!$A:$W,23,0)),"")</f>
        <v/>
      </c>
      <c r="S178" s="10">
        <f>IF(AND(P178="TN",R178="TN"),N178+N(O178),IF(G178&amp;""="1",N(K178)*N178,(N178+N(O178))*N(K178)))</f>
        <v/>
      </c>
      <c r="T178" s="10">
        <f>IF(Q178="","",Q178-S178)</f>
        <v/>
      </c>
    </row>
    <row r="179">
      <c r="A179" s="7">
        <f>CONCATENATE(C179,E179,F179,I179)</f>
        <v/>
      </c>
      <c r="B179" s="7">
        <f>CONCATENATE(C179,E179,I179)</f>
        <v/>
      </c>
      <c r="C179" s="8" t="n">
        <v>900005260</v>
      </c>
      <c r="D179" s="7">
        <f>IFERROR(VLOOKUP(C179,TRAOPE!$G:$H,2,0),"")</f>
        <v/>
      </c>
      <c r="E179" s="8" t="inlineStr">
        <is>
          <t>D845</t>
        </is>
      </c>
      <c r="F179" s="8" t="inlineStr">
        <is>
          <t>67283393</t>
        </is>
      </c>
      <c r="G179" s="8">
        <f>IFERROR(VLOOKUP(A179,Flete!$A:$E,5,0),"")</f>
        <v/>
      </c>
      <c r="H179" s="7">
        <f>IFERROR(VLOOKUP(F179,TRAOPE!$AA:$AB,2,0),"")</f>
        <v/>
      </c>
      <c r="I179" s="7" t="n">
        <v>10000536</v>
      </c>
      <c r="J179" s="7">
        <f>IFERROR(VLOOKUP(I179,Materiales!$A:$H,8,0),"")</f>
        <v/>
      </c>
      <c r="K179" s="9">
        <f>IFERROR(VLOOKUP(I179,Materiales!$A:$G,7,0),"")</f>
        <v/>
      </c>
      <c r="L179" s="8" t="inlineStr">
        <is>
          <t>20250425</t>
        </is>
      </c>
      <c r="M179" s="8" t="inlineStr">
        <is>
          <t>99991231</t>
        </is>
      </c>
      <c r="N179" s="10" t="n">
        <v>193</v>
      </c>
      <c r="O179" s="10">
        <f>IFERROR(VLOOKUP(A179,Flete!$A:$J,10,0),"")</f>
        <v/>
      </c>
      <c r="P179" s="8" t="inlineStr">
        <is>
          <t>TN</t>
        </is>
      </c>
      <c r="Q179" s="10">
        <f>IFERROR(IFERROR(VLOOKUP(A179,TRAOPE!$A:$U,21,0),VLOOKUP(B179,TRAOPE!$A:$U,21,0)),"")</f>
        <v/>
      </c>
      <c r="R179" s="8">
        <f>IFERROR(IFERROR(VLOOKUP(A179,TRAOPE!$A:$W,23,0),VLOOKUP(B179,TRAOPE!$A:$W,23,0)),"")</f>
        <v/>
      </c>
      <c r="S179" s="10">
        <f>IF(AND(P179="TN",R179="TN"),N179+N(O179),IF(G179&amp;""="1",N(K179)*N179,(N179+N(O179))*N(K179)))</f>
        <v/>
      </c>
      <c r="T179" s="10">
        <f>IF(Q179="","",Q179-S179)</f>
        <v/>
      </c>
    </row>
    <row r="180">
      <c r="A180" s="7">
        <f>CONCATENATE(C180,E180,F180,I180)</f>
        <v/>
      </c>
      <c r="B180" s="7">
        <f>CONCATENATE(C180,E180,I180)</f>
        <v/>
      </c>
      <c r="C180" s="8" t="n">
        <v>900005260</v>
      </c>
      <c r="D180" s="7">
        <f>IFERROR(VLOOKUP(C180,TRAOPE!$G:$H,2,0),"")</f>
        <v/>
      </c>
      <c r="E180" s="8" t="inlineStr">
        <is>
          <t>D845</t>
        </is>
      </c>
      <c r="F180" s="8" t="inlineStr">
        <is>
          <t>67283393</t>
        </is>
      </c>
      <c r="G180" s="8">
        <f>IFERROR(VLOOKUP(A180,Flete!$A:$E,5,0),"")</f>
        <v/>
      </c>
      <c r="H180" s="7">
        <f>IFERROR(VLOOKUP(F180,TRAOPE!$AA:$AB,2,0),"")</f>
        <v/>
      </c>
      <c r="I180" s="7" t="n">
        <v>10167749</v>
      </c>
      <c r="J180" s="7">
        <f>IFERROR(VLOOKUP(I180,Materiales!$A:$H,8,0),"")</f>
        <v/>
      </c>
      <c r="K180" s="9">
        <f>IFERROR(VLOOKUP(I180,Materiales!$A:$G,7,0),"")</f>
        <v/>
      </c>
      <c r="L180" s="8" t="inlineStr">
        <is>
          <t>20250408</t>
        </is>
      </c>
      <c r="M180" s="8" t="inlineStr">
        <is>
          <t>99991231</t>
        </is>
      </c>
      <c r="N180" s="10" t="n">
        <v>195</v>
      </c>
      <c r="O180" s="10">
        <f>IFERROR(VLOOKUP(A180,Flete!$A:$J,10,0),"")</f>
        <v/>
      </c>
      <c r="P180" s="8" t="inlineStr">
        <is>
          <t>TN</t>
        </is>
      </c>
      <c r="Q180" s="10">
        <f>IFERROR(IFERROR(VLOOKUP(A180,TRAOPE!$A:$U,21,0),VLOOKUP(B180,TRAOPE!$A:$U,21,0)),"")</f>
        <v/>
      </c>
      <c r="R180" s="8">
        <f>IFERROR(IFERROR(VLOOKUP(A180,TRAOPE!$A:$W,23,0),VLOOKUP(B180,TRAOPE!$A:$W,23,0)),"")</f>
        <v/>
      </c>
      <c r="S180" s="10">
        <f>IF(AND(P180="TN",R180="TN"),N180+N(O180),IF(G180&amp;""="1",N(K180)*N180,(N180+N(O180))*N(K180)))</f>
        <v/>
      </c>
      <c r="T180" s="10">
        <f>IF(Q180="","",Q180-S180)</f>
        <v/>
      </c>
    </row>
    <row r="181">
      <c r="A181" s="7">
        <f>CONCATENATE(C181,E181,F181,I181)</f>
        <v/>
      </c>
      <c r="B181" s="7">
        <f>CONCATENATE(C181,E181,I181)</f>
        <v/>
      </c>
      <c r="C181" s="8" t="n">
        <v>900005260</v>
      </c>
      <c r="D181" s="7">
        <f>IFERROR(VLOOKUP(C181,TRAOPE!$G:$H,2,0),"")</f>
        <v/>
      </c>
      <c r="E181" s="8" t="inlineStr">
        <is>
          <t>D845</t>
        </is>
      </c>
      <c r="F181" s="8" t="inlineStr">
        <is>
          <t>67318568</t>
        </is>
      </c>
      <c r="G181" s="8">
        <f>IFERROR(VLOOKUP(A181,Flete!$A:$E,5,0),"")</f>
        <v/>
      </c>
      <c r="H181" s="7">
        <f>IFERROR(VLOOKUP(F181,TRAOPE!$AA:$AB,2,0),"")</f>
        <v/>
      </c>
      <c r="I181" s="7" t="n">
        <v>10000536</v>
      </c>
      <c r="J181" s="7">
        <f>IFERROR(VLOOKUP(I181,Materiales!$A:$H,8,0),"")</f>
        <v/>
      </c>
      <c r="K181" s="9">
        <f>IFERROR(VLOOKUP(I181,Materiales!$A:$G,7,0),"")</f>
        <v/>
      </c>
      <c r="L181" s="8" t="inlineStr">
        <is>
          <t>20260216</t>
        </is>
      </c>
      <c r="M181" s="8" t="inlineStr">
        <is>
          <t>99991231</t>
        </is>
      </c>
      <c r="N181" s="10" t="n">
        <v>240</v>
      </c>
      <c r="O181" s="10">
        <f>IFERROR(VLOOKUP(A181,Flete!$A:$J,10,0),"")</f>
        <v/>
      </c>
      <c r="P181" s="8" t="inlineStr">
        <is>
          <t>TN</t>
        </is>
      </c>
      <c r="Q181" s="10">
        <f>IFERROR(IFERROR(VLOOKUP(A181,TRAOPE!$A:$U,21,0),VLOOKUP(B181,TRAOPE!$A:$U,21,0)),"")</f>
        <v/>
      </c>
      <c r="R181" s="8">
        <f>IFERROR(IFERROR(VLOOKUP(A181,TRAOPE!$A:$W,23,0),VLOOKUP(B181,TRAOPE!$A:$W,23,0)),"")</f>
        <v/>
      </c>
      <c r="S181" s="10">
        <f>IF(AND(P181="TN",R181="TN"),N181+N(O181),IF(G181&amp;""="1",N(K181)*N181,(N181+N(O181))*N(K181)))</f>
        <v/>
      </c>
      <c r="T181" s="10">
        <f>IF(Q181="","",Q181-S181)</f>
        <v/>
      </c>
    </row>
    <row r="182">
      <c r="A182" s="7">
        <f>CONCATENATE(C182,E182,F182,I182)</f>
        <v/>
      </c>
      <c r="B182" s="7">
        <f>CONCATENATE(C182,E182,I182)</f>
        <v/>
      </c>
      <c r="C182" s="8" t="n">
        <v>900005260</v>
      </c>
      <c r="D182" s="7">
        <f>IFERROR(VLOOKUP(C182,TRAOPE!$G:$H,2,0),"")</f>
        <v/>
      </c>
      <c r="E182" s="8" t="inlineStr">
        <is>
          <t>D845</t>
        </is>
      </c>
      <c r="F182" s="8" t="inlineStr">
        <is>
          <t>67318568</t>
        </is>
      </c>
      <c r="G182" s="8">
        <f>IFERROR(VLOOKUP(A182,Flete!$A:$E,5,0),"")</f>
        <v/>
      </c>
      <c r="H182" s="7">
        <f>IFERROR(VLOOKUP(F182,TRAOPE!$AA:$AB,2,0),"")</f>
        <v/>
      </c>
      <c r="I182" s="7" t="n">
        <v>10000578</v>
      </c>
      <c r="J182" s="7">
        <f>IFERROR(VLOOKUP(I182,Materiales!$A:$H,8,0),"")</f>
        <v/>
      </c>
      <c r="K182" s="9">
        <f>IFERROR(VLOOKUP(I182,Materiales!$A:$G,7,0),"")</f>
        <v/>
      </c>
      <c r="L182" s="8" t="inlineStr">
        <is>
          <t>20260216</t>
        </is>
      </c>
      <c r="M182" s="8" t="inlineStr">
        <is>
          <t>99991231</t>
        </is>
      </c>
      <c r="N182" s="10" t="n">
        <v>240</v>
      </c>
      <c r="O182" s="10">
        <f>IFERROR(VLOOKUP(A182,Flete!$A:$J,10,0),"")</f>
        <v/>
      </c>
      <c r="P182" s="8" t="inlineStr">
        <is>
          <t>TN</t>
        </is>
      </c>
      <c r="Q182" s="10">
        <f>IFERROR(IFERROR(VLOOKUP(A182,TRAOPE!$A:$U,21,0),VLOOKUP(B182,TRAOPE!$A:$U,21,0)),"")</f>
        <v/>
      </c>
      <c r="R182" s="8">
        <f>IFERROR(IFERROR(VLOOKUP(A182,TRAOPE!$A:$W,23,0),VLOOKUP(B182,TRAOPE!$A:$W,23,0)),"")</f>
        <v/>
      </c>
      <c r="S182" s="10">
        <f>IF(AND(P182="TN",R182="TN"),N182+N(O182),IF(G182&amp;""="1",N(K182)*N182,(N182+N(O182))*N(K182)))</f>
        <v/>
      </c>
      <c r="T182" s="10">
        <f>IF(Q182="","",Q182-S182)</f>
        <v/>
      </c>
    </row>
    <row r="183">
      <c r="A183" s="7">
        <f>CONCATENATE(C183,E183,F183,I183)</f>
        <v/>
      </c>
      <c r="B183" s="7">
        <f>CONCATENATE(C183,E183,I183)</f>
        <v/>
      </c>
      <c r="C183" s="8" t="n">
        <v>900005260</v>
      </c>
      <c r="D183" s="7">
        <f>IFERROR(VLOOKUP(C183,TRAOPE!$G:$H,2,0),"")</f>
        <v/>
      </c>
      <c r="E183" s="8" t="inlineStr">
        <is>
          <t>D845</t>
        </is>
      </c>
      <c r="F183" s="8" t="inlineStr">
        <is>
          <t>67318568</t>
        </is>
      </c>
      <c r="G183" s="8">
        <f>IFERROR(VLOOKUP(A183,Flete!$A:$E,5,0),"")</f>
        <v/>
      </c>
      <c r="H183" s="7">
        <f>IFERROR(VLOOKUP(F183,TRAOPE!$AA:$AB,2,0),"")</f>
        <v/>
      </c>
      <c r="I183" s="7" t="n">
        <v>10000617</v>
      </c>
      <c r="J183" s="7">
        <f>IFERROR(VLOOKUP(I183,Materiales!$A:$H,8,0),"")</f>
        <v/>
      </c>
      <c r="K183" s="9">
        <f>IFERROR(VLOOKUP(I183,Materiales!$A:$G,7,0),"")</f>
        <v/>
      </c>
      <c r="L183" s="8" t="inlineStr">
        <is>
          <t>20260216</t>
        </is>
      </c>
      <c r="M183" s="8" t="inlineStr">
        <is>
          <t>99991231</t>
        </is>
      </c>
      <c r="N183" s="10" t="n">
        <v>240</v>
      </c>
      <c r="O183" s="10">
        <f>IFERROR(VLOOKUP(A183,Flete!$A:$J,10,0),"")</f>
        <v/>
      </c>
      <c r="P183" s="8" t="inlineStr">
        <is>
          <t>TN</t>
        </is>
      </c>
      <c r="Q183" s="10">
        <f>IFERROR(IFERROR(VLOOKUP(A183,TRAOPE!$A:$U,21,0),VLOOKUP(B183,TRAOPE!$A:$U,21,0)),"")</f>
        <v/>
      </c>
      <c r="R183" s="8">
        <f>IFERROR(IFERROR(VLOOKUP(A183,TRAOPE!$A:$W,23,0),VLOOKUP(B183,TRAOPE!$A:$W,23,0)),"")</f>
        <v/>
      </c>
      <c r="S183" s="10">
        <f>IF(AND(P183="TN",R183="TN"),N183+N(O183),IF(G183&amp;""="1",N(K183)*N183,(N183+N(O183))*N(K183)))</f>
        <v/>
      </c>
      <c r="T183" s="10">
        <f>IF(Q183="","",Q183-S183)</f>
        <v/>
      </c>
    </row>
    <row r="184">
      <c r="A184" s="7">
        <f>CONCATENATE(C184,E184,F184,I184)</f>
        <v/>
      </c>
      <c r="B184" s="7">
        <f>CONCATENATE(C184,E184,I184)</f>
        <v/>
      </c>
      <c r="C184" s="8" t="n">
        <v>900005260</v>
      </c>
      <c r="D184" s="7">
        <f>IFERROR(VLOOKUP(C184,TRAOPE!$G:$H,2,0),"")</f>
        <v/>
      </c>
      <c r="E184" s="8" t="inlineStr">
        <is>
          <t>D845</t>
        </is>
      </c>
      <c r="F184" s="8" t="inlineStr">
        <is>
          <t>67318568</t>
        </is>
      </c>
      <c r="G184" s="8">
        <f>IFERROR(VLOOKUP(A184,Flete!$A:$E,5,0),"")</f>
        <v/>
      </c>
      <c r="H184" s="7">
        <f>IFERROR(VLOOKUP(F184,TRAOPE!$AA:$AB,2,0),"")</f>
        <v/>
      </c>
      <c r="I184" s="7" t="n">
        <v>10000656</v>
      </c>
      <c r="J184" s="7">
        <f>IFERROR(VLOOKUP(I184,Materiales!$A:$H,8,0),"")</f>
        <v/>
      </c>
      <c r="K184" s="9">
        <f>IFERROR(VLOOKUP(I184,Materiales!$A:$G,7,0),"")</f>
        <v/>
      </c>
      <c r="L184" s="8" t="inlineStr">
        <is>
          <t>20260216</t>
        </is>
      </c>
      <c r="M184" s="8" t="inlineStr">
        <is>
          <t>99991231</t>
        </is>
      </c>
      <c r="N184" s="10" t="n">
        <v>245</v>
      </c>
      <c r="O184" s="10">
        <f>IFERROR(VLOOKUP(A184,Flete!$A:$J,10,0),"")</f>
        <v/>
      </c>
      <c r="P184" s="8" t="inlineStr">
        <is>
          <t>TN</t>
        </is>
      </c>
      <c r="Q184" s="10">
        <f>IFERROR(IFERROR(VLOOKUP(A184,TRAOPE!$A:$U,21,0),VLOOKUP(B184,TRAOPE!$A:$U,21,0)),"")</f>
        <v/>
      </c>
      <c r="R184" s="8">
        <f>IFERROR(IFERROR(VLOOKUP(A184,TRAOPE!$A:$W,23,0),VLOOKUP(B184,TRAOPE!$A:$W,23,0)),"")</f>
        <v/>
      </c>
      <c r="S184" s="10">
        <f>IF(AND(P184="TN",R184="TN"),N184+N(O184),IF(G184&amp;""="1",N(K184)*N184,(N184+N(O184))*N(K184)))</f>
        <v/>
      </c>
      <c r="T184" s="10">
        <f>IF(Q184="","",Q184-S184)</f>
        <v/>
      </c>
    </row>
    <row r="185">
      <c r="A185" s="7">
        <f>CONCATENATE(C185,E185,F185,I185)</f>
        <v/>
      </c>
      <c r="B185" s="7">
        <f>CONCATENATE(C185,E185,I185)</f>
        <v/>
      </c>
      <c r="C185" s="8" t="n">
        <v>900005260</v>
      </c>
      <c r="D185" s="7">
        <f>IFERROR(VLOOKUP(C185,TRAOPE!$G:$H,2,0),"")</f>
        <v/>
      </c>
      <c r="E185" s="8" t="inlineStr">
        <is>
          <t>D845</t>
        </is>
      </c>
      <c r="F185" s="8" t="inlineStr">
        <is>
          <t>67318568</t>
        </is>
      </c>
      <c r="G185" s="8">
        <f>IFERROR(VLOOKUP(A185,Flete!$A:$E,5,0),"")</f>
        <v/>
      </c>
      <c r="H185" s="7">
        <f>IFERROR(VLOOKUP(F185,TRAOPE!$AA:$AB,2,0),"")</f>
        <v/>
      </c>
      <c r="I185" s="7" t="n">
        <v>10058501</v>
      </c>
      <c r="J185" s="7">
        <f>IFERROR(VLOOKUP(I185,Materiales!$A:$H,8,0),"")</f>
        <v/>
      </c>
      <c r="K185" s="9">
        <f>IFERROR(VLOOKUP(I185,Materiales!$A:$G,7,0),"")</f>
        <v/>
      </c>
      <c r="L185" s="8" t="inlineStr">
        <is>
          <t>20260216</t>
        </is>
      </c>
      <c r="M185" s="8" t="inlineStr">
        <is>
          <t>99991231</t>
        </is>
      </c>
      <c r="N185" s="10" t="n">
        <v>218</v>
      </c>
      <c r="O185" s="10">
        <f>IFERROR(VLOOKUP(A185,Flete!$A:$J,10,0),"")</f>
        <v/>
      </c>
      <c r="P185" s="8" t="inlineStr">
        <is>
          <t>TN</t>
        </is>
      </c>
      <c r="Q185" s="10">
        <f>IFERROR(IFERROR(VLOOKUP(A185,TRAOPE!$A:$U,21,0),VLOOKUP(B185,TRAOPE!$A:$U,21,0)),"")</f>
        <v/>
      </c>
      <c r="R185" s="8">
        <f>IFERROR(IFERROR(VLOOKUP(A185,TRAOPE!$A:$W,23,0),VLOOKUP(B185,TRAOPE!$A:$W,23,0)),"")</f>
        <v/>
      </c>
      <c r="S185" s="10">
        <f>IF(AND(P185="TN",R185="TN"),N185+N(O185),IF(G185&amp;""="1",N(K185)*N185,(N185+N(O185))*N(K185)))</f>
        <v/>
      </c>
      <c r="T185" s="10">
        <f>IF(Q185="","",Q185-S185)</f>
        <v/>
      </c>
    </row>
    <row r="186">
      <c r="A186" s="7">
        <f>CONCATENATE(C186,E186,F186,I186)</f>
        <v/>
      </c>
      <c r="B186" s="7">
        <f>CONCATENATE(C186,E186,I186)</f>
        <v/>
      </c>
      <c r="C186" s="8" t="n">
        <v>900005260</v>
      </c>
      <c r="D186" s="7">
        <f>IFERROR(VLOOKUP(C186,TRAOPE!$G:$H,2,0),"")</f>
        <v/>
      </c>
      <c r="E186" s="8" t="inlineStr">
        <is>
          <t>D845</t>
        </is>
      </c>
      <c r="F186" s="8" t="inlineStr">
        <is>
          <t>67318568</t>
        </is>
      </c>
      <c r="G186" s="8">
        <f>IFERROR(VLOOKUP(A186,Flete!$A:$E,5,0),"")</f>
        <v/>
      </c>
      <c r="H186" s="7">
        <f>IFERROR(VLOOKUP(F186,TRAOPE!$AA:$AB,2,0),"")</f>
        <v/>
      </c>
      <c r="I186" s="7" t="n">
        <v>10167749</v>
      </c>
      <c r="J186" s="7">
        <f>IFERROR(VLOOKUP(I186,Materiales!$A:$H,8,0),"")</f>
        <v/>
      </c>
      <c r="K186" s="9">
        <f>IFERROR(VLOOKUP(I186,Materiales!$A:$G,7,0),"")</f>
        <v/>
      </c>
      <c r="L186" s="8" t="inlineStr">
        <is>
          <t>20260216</t>
        </is>
      </c>
      <c r="M186" s="8" t="inlineStr">
        <is>
          <t>99991231</t>
        </is>
      </c>
      <c r="N186" s="10" t="n">
        <v>232</v>
      </c>
      <c r="O186" s="10">
        <f>IFERROR(VLOOKUP(A186,Flete!$A:$J,10,0),"")</f>
        <v/>
      </c>
      <c r="P186" s="8" t="inlineStr">
        <is>
          <t>TN</t>
        </is>
      </c>
      <c r="Q186" s="10">
        <f>IFERROR(IFERROR(VLOOKUP(A186,TRAOPE!$A:$U,21,0),VLOOKUP(B186,TRAOPE!$A:$U,21,0)),"")</f>
        <v/>
      </c>
      <c r="R186" s="8">
        <f>IFERROR(IFERROR(VLOOKUP(A186,TRAOPE!$A:$W,23,0),VLOOKUP(B186,TRAOPE!$A:$W,23,0)),"")</f>
        <v/>
      </c>
      <c r="S186" s="10">
        <f>IF(AND(P186="TN",R186="TN"),N186+N(O186),IF(G186&amp;""="1",N(K186)*N186,(N186+N(O186))*N(K186)))</f>
        <v/>
      </c>
      <c r="T186" s="10">
        <f>IF(Q186="","",Q186-S186)</f>
        <v/>
      </c>
    </row>
    <row r="187">
      <c r="A187" s="7">
        <f>CONCATENATE(C187,E187,F187,I187)</f>
        <v/>
      </c>
      <c r="B187" s="7">
        <f>CONCATENATE(C187,E187,I187)</f>
        <v/>
      </c>
      <c r="C187" s="8" t="n">
        <v>900005260</v>
      </c>
      <c r="D187" s="7">
        <f>IFERROR(VLOOKUP(C187,TRAOPE!$G:$H,2,0),"")</f>
        <v/>
      </c>
      <c r="E187" s="8" t="inlineStr">
        <is>
          <t>D845</t>
        </is>
      </c>
      <c r="F187" s="8" t="inlineStr">
        <is>
          <t>67318568</t>
        </is>
      </c>
      <c r="G187" s="8">
        <f>IFERROR(VLOOKUP(A187,Flete!$A:$E,5,0),"")</f>
        <v/>
      </c>
      <c r="H187" s="7">
        <f>IFERROR(VLOOKUP(F187,TRAOPE!$AA:$AB,2,0),"")</f>
        <v/>
      </c>
      <c r="I187" s="7" t="n">
        <v>10169508</v>
      </c>
      <c r="J187" s="7">
        <f>IFERROR(VLOOKUP(I187,Materiales!$A:$H,8,0),"")</f>
        <v/>
      </c>
      <c r="K187" s="9">
        <f>IFERROR(VLOOKUP(I187,Materiales!$A:$G,7,0),"")</f>
        <v/>
      </c>
      <c r="L187" s="8" t="inlineStr">
        <is>
          <t>20260216</t>
        </is>
      </c>
      <c r="M187" s="8" t="inlineStr">
        <is>
          <t>99991231</t>
        </is>
      </c>
      <c r="N187" s="10" t="n">
        <v>250</v>
      </c>
      <c r="O187" s="10">
        <f>IFERROR(VLOOKUP(A187,Flete!$A:$J,10,0),"")</f>
        <v/>
      </c>
      <c r="P187" s="8" t="inlineStr">
        <is>
          <t>TN</t>
        </is>
      </c>
      <c r="Q187" s="10">
        <f>IFERROR(IFERROR(VLOOKUP(A187,TRAOPE!$A:$U,21,0),VLOOKUP(B187,TRAOPE!$A:$U,21,0)),"")</f>
        <v/>
      </c>
      <c r="R187" s="8">
        <f>IFERROR(IFERROR(VLOOKUP(A187,TRAOPE!$A:$W,23,0),VLOOKUP(B187,TRAOPE!$A:$W,23,0)),"")</f>
        <v/>
      </c>
      <c r="S187" s="10">
        <f>IF(AND(P187="TN",R187="TN"),N187+N(O187),IF(G187&amp;""="1",N(K187)*N187,(N187+N(O187))*N(K187)))</f>
        <v/>
      </c>
      <c r="T187" s="10">
        <f>IF(Q187="","",Q187-S187)</f>
        <v/>
      </c>
    </row>
    <row r="188">
      <c r="A188" s="7">
        <f>CONCATENATE(C188,E188,F188,I188)</f>
        <v/>
      </c>
      <c r="B188" s="7">
        <f>CONCATENATE(C188,E188,I188)</f>
        <v/>
      </c>
      <c r="C188" s="8" t="n">
        <v>900005260</v>
      </c>
      <c r="D188" s="7">
        <f>IFERROR(VLOOKUP(C188,TRAOPE!$G:$H,2,0),"")</f>
        <v/>
      </c>
      <c r="E188" s="8" t="inlineStr">
        <is>
          <t>D845</t>
        </is>
      </c>
      <c r="F188" s="8" t="inlineStr">
        <is>
          <t>67348544</t>
        </is>
      </c>
      <c r="G188" s="8">
        <f>IFERROR(VLOOKUP(A188,Flete!$A:$E,5,0),"")</f>
        <v/>
      </c>
      <c r="H188" s="7">
        <f>IFERROR(VLOOKUP(F188,TRAOPE!$AA:$AB,2,0),"")</f>
        <v/>
      </c>
      <c r="I188" s="7" t="n">
        <v>10167749</v>
      </c>
      <c r="J188" s="7">
        <f>IFERROR(VLOOKUP(I188,Materiales!$A:$H,8,0),"")</f>
        <v/>
      </c>
      <c r="K188" s="9">
        <f>IFERROR(VLOOKUP(I188,Materiales!$A:$G,7,0),"")</f>
        <v/>
      </c>
      <c r="L188" s="8" t="inlineStr">
        <is>
          <t>20251217</t>
        </is>
      </c>
      <c r="M188" s="8" t="inlineStr">
        <is>
          <t>99991231</t>
        </is>
      </c>
      <c r="N188" s="10" t="n">
        <v>202</v>
      </c>
      <c r="O188" s="10">
        <f>IFERROR(VLOOKUP(A188,Flete!$A:$J,10,0),"")</f>
        <v/>
      </c>
      <c r="P188" s="8" t="inlineStr">
        <is>
          <t>TN</t>
        </is>
      </c>
      <c r="Q188" s="10">
        <f>IFERROR(IFERROR(VLOOKUP(A188,TRAOPE!$A:$U,21,0),VLOOKUP(B188,TRAOPE!$A:$U,21,0)),"")</f>
        <v/>
      </c>
      <c r="R188" s="8">
        <f>IFERROR(IFERROR(VLOOKUP(A188,TRAOPE!$A:$W,23,0),VLOOKUP(B188,TRAOPE!$A:$W,23,0)),"")</f>
        <v/>
      </c>
      <c r="S188" s="10">
        <f>IF(AND(P188="TN",R188="TN"),N188+N(O188),IF(G188&amp;""="1",N(K188)*N188,(N188+N(O188))*N(K188)))</f>
        <v/>
      </c>
      <c r="T188" s="10">
        <f>IF(Q188="","",Q188-S188)</f>
        <v/>
      </c>
    </row>
    <row r="189">
      <c r="A189" s="7">
        <f>CONCATENATE(C189,E189,F189,I189)</f>
        <v/>
      </c>
      <c r="B189" s="7">
        <f>CONCATENATE(C189,E189,I189)</f>
        <v/>
      </c>
      <c r="C189" s="8" t="n">
        <v>900005260</v>
      </c>
      <c r="D189" s="7">
        <f>IFERROR(VLOOKUP(C189,TRAOPE!$G:$H,2,0),"")</f>
        <v/>
      </c>
      <c r="E189" s="8" t="inlineStr">
        <is>
          <t>D845</t>
        </is>
      </c>
      <c r="F189" s="8" t="inlineStr">
        <is>
          <t>67362709</t>
        </is>
      </c>
      <c r="G189" s="8">
        <f>IFERROR(VLOOKUP(A189,Flete!$A:$E,5,0),"")</f>
        <v/>
      </c>
      <c r="H189" s="7">
        <f>IFERROR(VLOOKUP(F189,TRAOPE!$AA:$AB,2,0),"")</f>
        <v/>
      </c>
      <c r="I189" s="7" t="n">
        <v>10000536</v>
      </c>
      <c r="J189" s="7">
        <f>IFERROR(VLOOKUP(I189,Materiales!$A:$H,8,0),"")</f>
        <v/>
      </c>
      <c r="K189" s="9">
        <f>IFERROR(VLOOKUP(I189,Materiales!$A:$G,7,0),"")</f>
        <v/>
      </c>
      <c r="L189" s="8" t="inlineStr">
        <is>
          <t>20260210</t>
        </is>
      </c>
      <c r="M189" s="8" t="inlineStr">
        <is>
          <t>99991231</t>
        </is>
      </c>
      <c r="N189" s="10" t="n">
        <v>245</v>
      </c>
      <c r="O189" s="10">
        <f>IFERROR(VLOOKUP(A189,Flete!$A:$J,10,0),"")</f>
        <v/>
      </c>
      <c r="P189" s="8" t="inlineStr">
        <is>
          <t>TN</t>
        </is>
      </c>
      <c r="Q189" s="10">
        <f>IFERROR(IFERROR(VLOOKUP(A189,TRAOPE!$A:$U,21,0),VLOOKUP(B189,TRAOPE!$A:$U,21,0)),"")</f>
        <v/>
      </c>
      <c r="R189" s="8">
        <f>IFERROR(IFERROR(VLOOKUP(A189,TRAOPE!$A:$W,23,0),VLOOKUP(B189,TRAOPE!$A:$W,23,0)),"")</f>
        <v/>
      </c>
      <c r="S189" s="10">
        <f>IF(AND(P189="TN",R189="TN"),N189+N(O189),IF(G189&amp;""="1",N(K189)*N189,(N189+N(O189))*N(K189)))</f>
        <v/>
      </c>
      <c r="T189" s="10">
        <f>IF(Q189="","",Q189-S189)</f>
        <v/>
      </c>
    </row>
    <row r="190">
      <c r="A190" s="7">
        <f>CONCATENATE(C190,E190,F190,I190)</f>
        <v/>
      </c>
      <c r="B190" s="7">
        <f>CONCATENATE(C190,E190,I190)</f>
        <v/>
      </c>
      <c r="C190" s="8" t="n">
        <v>900005260</v>
      </c>
      <c r="D190" s="7">
        <f>IFERROR(VLOOKUP(C190,TRAOPE!$G:$H,2,0),"")</f>
        <v/>
      </c>
      <c r="E190" s="8" t="inlineStr">
        <is>
          <t>D845</t>
        </is>
      </c>
      <c r="F190" s="8" t="inlineStr">
        <is>
          <t>67362709</t>
        </is>
      </c>
      <c r="G190" s="8">
        <f>IFERROR(VLOOKUP(A190,Flete!$A:$E,5,0),"")</f>
        <v/>
      </c>
      <c r="H190" s="7">
        <f>IFERROR(VLOOKUP(F190,TRAOPE!$AA:$AB,2,0),"")</f>
        <v/>
      </c>
      <c r="I190" s="7" t="n">
        <v>10000578</v>
      </c>
      <c r="J190" s="7">
        <f>IFERROR(VLOOKUP(I190,Materiales!$A:$H,8,0),"")</f>
        <v/>
      </c>
      <c r="K190" s="9">
        <f>IFERROR(VLOOKUP(I190,Materiales!$A:$G,7,0),"")</f>
        <v/>
      </c>
      <c r="L190" s="8" t="inlineStr">
        <is>
          <t>20260210</t>
        </is>
      </c>
      <c r="M190" s="8" t="inlineStr">
        <is>
          <t>99991231</t>
        </is>
      </c>
      <c r="N190" s="10" t="n">
        <v>245</v>
      </c>
      <c r="O190" s="10">
        <f>IFERROR(VLOOKUP(A190,Flete!$A:$J,10,0),"")</f>
        <v/>
      </c>
      <c r="P190" s="8" t="inlineStr">
        <is>
          <t>TN</t>
        </is>
      </c>
      <c r="Q190" s="10">
        <f>IFERROR(IFERROR(VLOOKUP(A190,TRAOPE!$A:$U,21,0),VLOOKUP(B190,TRAOPE!$A:$U,21,0)),"")</f>
        <v/>
      </c>
      <c r="R190" s="8">
        <f>IFERROR(IFERROR(VLOOKUP(A190,TRAOPE!$A:$W,23,0),VLOOKUP(B190,TRAOPE!$A:$W,23,0)),"")</f>
        <v/>
      </c>
      <c r="S190" s="10">
        <f>IF(AND(P190="TN",R190="TN"),N190+N(O190),IF(G190&amp;""="1",N(K190)*N190,(N190+N(O190))*N(K190)))</f>
        <v/>
      </c>
      <c r="T190" s="10">
        <f>IF(Q190="","",Q190-S190)</f>
        <v/>
      </c>
    </row>
    <row r="191">
      <c r="A191" s="7">
        <f>CONCATENATE(C191,E191,F191,I191)</f>
        <v/>
      </c>
      <c r="B191" s="7">
        <f>CONCATENATE(C191,E191,I191)</f>
        <v/>
      </c>
      <c r="C191" s="8" t="n">
        <v>900005260</v>
      </c>
      <c r="D191" s="7">
        <f>IFERROR(VLOOKUP(C191,TRAOPE!$G:$H,2,0),"")</f>
        <v/>
      </c>
      <c r="E191" s="8" t="inlineStr">
        <is>
          <t>D845</t>
        </is>
      </c>
      <c r="F191" s="8" t="inlineStr">
        <is>
          <t>67362709</t>
        </is>
      </c>
      <c r="G191" s="8">
        <f>IFERROR(VLOOKUP(A191,Flete!$A:$E,5,0),"")</f>
        <v/>
      </c>
      <c r="H191" s="7">
        <f>IFERROR(VLOOKUP(F191,TRAOPE!$AA:$AB,2,0),"")</f>
        <v/>
      </c>
      <c r="I191" s="7" t="n">
        <v>10000617</v>
      </c>
      <c r="J191" s="7">
        <f>IFERROR(VLOOKUP(I191,Materiales!$A:$H,8,0),"")</f>
        <v/>
      </c>
      <c r="K191" s="9">
        <f>IFERROR(VLOOKUP(I191,Materiales!$A:$G,7,0),"")</f>
        <v/>
      </c>
      <c r="L191" s="8" t="inlineStr">
        <is>
          <t>20260210</t>
        </is>
      </c>
      <c r="M191" s="8" t="inlineStr">
        <is>
          <t>99991231</t>
        </is>
      </c>
      <c r="N191" s="10" t="n">
        <v>245</v>
      </c>
      <c r="O191" s="10">
        <f>IFERROR(VLOOKUP(A191,Flete!$A:$J,10,0),"")</f>
        <v/>
      </c>
      <c r="P191" s="8" t="inlineStr">
        <is>
          <t>TN</t>
        </is>
      </c>
      <c r="Q191" s="10">
        <f>IFERROR(IFERROR(VLOOKUP(A191,TRAOPE!$A:$U,21,0),VLOOKUP(B191,TRAOPE!$A:$U,21,0)),"")</f>
        <v/>
      </c>
      <c r="R191" s="8">
        <f>IFERROR(IFERROR(VLOOKUP(A191,TRAOPE!$A:$W,23,0),VLOOKUP(B191,TRAOPE!$A:$W,23,0)),"")</f>
        <v/>
      </c>
      <c r="S191" s="10">
        <f>IF(AND(P191="TN",R191="TN"),N191+N(O191),IF(G191&amp;""="1",N(K191)*N191,(N191+N(O191))*N(K191)))</f>
        <v/>
      </c>
      <c r="T191" s="10">
        <f>IF(Q191="","",Q191-S191)</f>
        <v/>
      </c>
    </row>
    <row r="192">
      <c r="A192" s="7">
        <f>CONCATENATE(C192,E192,F192,I192)</f>
        <v/>
      </c>
      <c r="B192" s="7">
        <f>CONCATENATE(C192,E192,I192)</f>
        <v/>
      </c>
      <c r="C192" s="8" t="n">
        <v>900005260</v>
      </c>
      <c r="D192" s="7">
        <f>IFERROR(VLOOKUP(C192,TRAOPE!$G:$H,2,0),"")</f>
        <v/>
      </c>
      <c r="E192" s="8" t="inlineStr">
        <is>
          <t>D845</t>
        </is>
      </c>
      <c r="F192" s="8" t="inlineStr">
        <is>
          <t>67362709</t>
        </is>
      </c>
      <c r="G192" s="8">
        <f>IFERROR(VLOOKUP(A192,Flete!$A:$E,5,0),"")</f>
        <v/>
      </c>
      <c r="H192" s="7">
        <f>IFERROR(VLOOKUP(F192,TRAOPE!$AA:$AB,2,0),"")</f>
        <v/>
      </c>
      <c r="I192" s="7" t="n">
        <v>10000656</v>
      </c>
      <c r="J192" s="7">
        <f>IFERROR(VLOOKUP(I192,Materiales!$A:$H,8,0),"")</f>
        <v/>
      </c>
      <c r="K192" s="9">
        <f>IFERROR(VLOOKUP(I192,Materiales!$A:$G,7,0),"")</f>
        <v/>
      </c>
      <c r="L192" s="8" t="inlineStr">
        <is>
          <t>20260210</t>
        </is>
      </c>
      <c r="M192" s="8" t="inlineStr">
        <is>
          <t>99991231</t>
        </is>
      </c>
      <c r="N192" s="10" t="n">
        <v>250</v>
      </c>
      <c r="O192" s="10">
        <f>IFERROR(VLOOKUP(A192,Flete!$A:$J,10,0),"")</f>
        <v/>
      </c>
      <c r="P192" s="8" t="inlineStr">
        <is>
          <t>TN</t>
        </is>
      </c>
      <c r="Q192" s="10">
        <f>IFERROR(IFERROR(VLOOKUP(A192,TRAOPE!$A:$U,21,0),VLOOKUP(B192,TRAOPE!$A:$U,21,0)),"")</f>
        <v/>
      </c>
      <c r="R192" s="8">
        <f>IFERROR(IFERROR(VLOOKUP(A192,TRAOPE!$A:$W,23,0),VLOOKUP(B192,TRAOPE!$A:$W,23,0)),"")</f>
        <v/>
      </c>
      <c r="S192" s="10">
        <f>IF(AND(P192="TN",R192="TN"),N192+N(O192),IF(G192&amp;""="1",N(K192)*N192,(N192+N(O192))*N(K192)))</f>
        <v/>
      </c>
      <c r="T192" s="10">
        <f>IF(Q192="","",Q192-S192)</f>
        <v/>
      </c>
    </row>
    <row r="193">
      <c r="A193" s="7">
        <f>CONCATENATE(C193,E193,F193,I193)</f>
        <v/>
      </c>
      <c r="B193" s="7">
        <f>CONCATENATE(C193,E193,I193)</f>
        <v/>
      </c>
      <c r="C193" s="8" t="n">
        <v>900005260</v>
      </c>
      <c r="D193" s="7">
        <f>IFERROR(VLOOKUP(C193,TRAOPE!$G:$H,2,0),"")</f>
        <v/>
      </c>
      <c r="E193" s="8" t="inlineStr">
        <is>
          <t>D845</t>
        </is>
      </c>
      <c r="F193" s="8" t="inlineStr">
        <is>
          <t>67362709</t>
        </is>
      </c>
      <c r="G193" s="8">
        <f>IFERROR(VLOOKUP(A193,Flete!$A:$E,5,0),"")</f>
        <v/>
      </c>
      <c r="H193" s="7">
        <f>IFERROR(VLOOKUP(F193,TRAOPE!$AA:$AB,2,0),"")</f>
        <v/>
      </c>
      <c r="I193" s="7" t="n">
        <v>10038941</v>
      </c>
      <c r="J193" s="7">
        <f>IFERROR(VLOOKUP(I193,Materiales!$A:$H,8,0),"")</f>
        <v/>
      </c>
      <c r="K193" s="9">
        <f>IFERROR(VLOOKUP(I193,Materiales!$A:$G,7,0),"")</f>
        <v/>
      </c>
      <c r="L193" s="8" t="inlineStr">
        <is>
          <t>20260210</t>
        </is>
      </c>
      <c r="M193" s="8" t="inlineStr">
        <is>
          <t>99991231</t>
        </is>
      </c>
      <c r="N193" s="10" t="n">
        <v>40</v>
      </c>
      <c r="O193" s="10">
        <f>IFERROR(VLOOKUP(A193,Flete!$A:$J,10,0),"")</f>
        <v/>
      </c>
      <c r="P193" s="8" t="inlineStr">
        <is>
          <t>TN</t>
        </is>
      </c>
      <c r="Q193" s="10">
        <f>IFERROR(IFERROR(VLOOKUP(A193,TRAOPE!$A:$U,21,0),VLOOKUP(B193,TRAOPE!$A:$U,21,0)),"")</f>
        <v/>
      </c>
      <c r="R193" s="8">
        <f>IFERROR(IFERROR(VLOOKUP(A193,TRAOPE!$A:$W,23,0),VLOOKUP(B193,TRAOPE!$A:$W,23,0)),"")</f>
        <v/>
      </c>
      <c r="S193" s="10">
        <f>IF(AND(P193="TN",R193="TN"),N193+N(O193),IF(G193&amp;""="1",N(K193)*N193,(N193+N(O193))*N(K193)))</f>
        <v/>
      </c>
      <c r="T193" s="10">
        <f>IF(Q193="","",Q193-S193)</f>
        <v/>
      </c>
    </row>
    <row r="194">
      <c r="A194" s="7">
        <f>CONCATENATE(C194,E194,F194,I194)</f>
        <v/>
      </c>
      <c r="B194" s="7">
        <f>CONCATENATE(C194,E194,I194)</f>
        <v/>
      </c>
      <c r="C194" s="8" t="n">
        <v>900005260</v>
      </c>
      <c r="D194" s="7">
        <f>IFERROR(VLOOKUP(C194,TRAOPE!$G:$H,2,0),"")</f>
        <v/>
      </c>
      <c r="E194" s="8" t="inlineStr">
        <is>
          <t>D845</t>
        </is>
      </c>
      <c r="F194" s="8" t="inlineStr">
        <is>
          <t>67362709</t>
        </is>
      </c>
      <c r="G194" s="8">
        <f>IFERROR(VLOOKUP(A194,Flete!$A:$E,5,0),"")</f>
        <v/>
      </c>
      <c r="H194" s="7">
        <f>IFERROR(VLOOKUP(F194,TRAOPE!$AA:$AB,2,0),"")</f>
        <v/>
      </c>
      <c r="I194" s="7" t="n">
        <v>10058501</v>
      </c>
      <c r="J194" s="7">
        <f>IFERROR(VLOOKUP(I194,Materiales!$A:$H,8,0),"")</f>
        <v/>
      </c>
      <c r="K194" s="9">
        <f>IFERROR(VLOOKUP(I194,Materiales!$A:$G,7,0),"")</f>
        <v/>
      </c>
      <c r="L194" s="8" t="inlineStr">
        <is>
          <t>20260210</t>
        </is>
      </c>
      <c r="M194" s="8" t="inlineStr">
        <is>
          <t>99991231</t>
        </is>
      </c>
      <c r="N194" s="10" t="n">
        <v>223</v>
      </c>
      <c r="O194" s="10">
        <f>IFERROR(VLOOKUP(A194,Flete!$A:$J,10,0),"")</f>
        <v/>
      </c>
      <c r="P194" s="8" t="inlineStr">
        <is>
          <t>TN</t>
        </is>
      </c>
      <c r="Q194" s="10">
        <f>IFERROR(IFERROR(VLOOKUP(A194,TRAOPE!$A:$U,21,0),VLOOKUP(B194,TRAOPE!$A:$U,21,0)),"")</f>
        <v/>
      </c>
      <c r="R194" s="8">
        <f>IFERROR(IFERROR(VLOOKUP(A194,TRAOPE!$A:$W,23,0),VLOOKUP(B194,TRAOPE!$A:$W,23,0)),"")</f>
        <v/>
      </c>
      <c r="S194" s="10">
        <f>IF(AND(P194="TN",R194="TN"),N194+N(O194),IF(G194&amp;""="1",N(K194)*N194,(N194+N(O194))*N(K194)))</f>
        <v/>
      </c>
      <c r="T194" s="10">
        <f>IF(Q194="","",Q194-S194)</f>
        <v/>
      </c>
    </row>
    <row r="195">
      <c r="A195" s="7">
        <f>CONCATENATE(C195,E195,F195,I195)</f>
        <v/>
      </c>
      <c r="B195" s="7">
        <f>CONCATENATE(C195,E195,I195)</f>
        <v/>
      </c>
      <c r="C195" s="8" t="n">
        <v>900005260</v>
      </c>
      <c r="D195" s="7">
        <f>IFERROR(VLOOKUP(C195,TRAOPE!$G:$H,2,0),"")</f>
        <v/>
      </c>
      <c r="E195" s="8" t="inlineStr">
        <is>
          <t>D845</t>
        </is>
      </c>
      <c r="F195" s="8" t="inlineStr">
        <is>
          <t>67362709</t>
        </is>
      </c>
      <c r="G195" s="8">
        <f>IFERROR(VLOOKUP(A195,Flete!$A:$E,5,0),"")</f>
        <v/>
      </c>
      <c r="H195" s="7">
        <f>IFERROR(VLOOKUP(F195,TRAOPE!$AA:$AB,2,0),"")</f>
        <v/>
      </c>
      <c r="I195" s="7" t="n">
        <v>10167749</v>
      </c>
      <c r="J195" s="7">
        <f>IFERROR(VLOOKUP(I195,Materiales!$A:$H,8,0),"")</f>
        <v/>
      </c>
      <c r="K195" s="9">
        <f>IFERROR(VLOOKUP(I195,Materiales!$A:$G,7,0),"")</f>
        <v/>
      </c>
      <c r="L195" s="8" t="inlineStr">
        <is>
          <t>20260210</t>
        </is>
      </c>
      <c r="M195" s="8" t="inlineStr">
        <is>
          <t>99991231</t>
        </is>
      </c>
      <c r="N195" s="10" t="n">
        <v>237</v>
      </c>
      <c r="O195" s="10">
        <f>IFERROR(VLOOKUP(A195,Flete!$A:$J,10,0),"")</f>
        <v/>
      </c>
      <c r="P195" s="8" t="inlineStr">
        <is>
          <t>TN</t>
        </is>
      </c>
      <c r="Q195" s="10">
        <f>IFERROR(IFERROR(VLOOKUP(A195,TRAOPE!$A:$U,21,0),VLOOKUP(B195,TRAOPE!$A:$U,21,0)),"")</f>
        <v/>
      </c>
      <c r="R195" s="8">
        <f>IFERROR(IFERROR(VLOOKUP(A195,TRAOPE!$A:$W,23,0),VLOOKUP(B195,TRAOPE!$A:$W,23,0)),"")</f>
        <v/>
      </c>
      <c r="S195" s="10">
        <f>IF(AND(P195="TN",R195="TN"),N195+N(O195),IF(G195&amp;""="1",N(K195)*N195,(N195+N(O195))*N(K195)))</f>
        <v/>
      </c>
      <c r="T195" s="10">
        <f>IF(Q195="","",Q195-S195)</f>
        <v/>
      </c>
    </row>
    <row r="196">
      <c r="A196" s="7">
        <f>CONCATENATE(C196,E196,F196,I196)</f>
        <v/>
      </c>
      <c r="B196" s="7">
        <f>CONCATENATE(C196,E196,I196)</f>
        <v/>
      </c>
      <c r="C196" s="8" t="n">
        <v>900005260</v>
      </c>
      <c r="D196" s="7">
        <f>IFERROR(VLOOKUP(C196,TRAOPE!$G:$H,2,0),"")</f>
        <v/>
      </c>
      <c r="E196" s="8" t="inlineStr">
        <is>
          <t>D845</t>
        </is>
      </c>
      <c r="F196" s="8" t="inlineStr">
        <is>
          <t>67362709</t>
        </is>
      </c>
      <c r="G196" s="8">
        <f>IFERROR(VLOOKUP(A196,Flete!$A:$E,5,0),"")</f>
        <v/>
      </c>
      <c r="H196" s="7">
        <f>IFERROR(VLOOKUP(F196,TRAOPE!$AA:$AB,2,0),"")</f>
        <v/>
      </c>
      <c r="I196" s="7" t="n">
        <v>10169508</v>
      </c>
      <c r="J196" s="7">
        <f>IFERROR(VLOOKUP(I196,Materiales!$A:$H,8,0),"")</f>
        <v/>
      </c>
      <c r="K196" s="9">
        <f>IFERROR(VLOOKUP(I196,Materiales!$A:$G,7,0),"")</f>
        <v/>
      </c>
      <c r="L196" s="8" t="inlineStr">
        <is>
          <t>20260210</t>
        </is>
      </c>
      <c r="M196" s="8" t="inlineStr">
        <is>
          <t>99991231</t>
        </is>
      </c>
      <c r="N196" s="10" t="n">
        <v>255</v>
      </c>
      <c r="O196" s="10">
        <f>IFERROR(VLOOKUP(A196,Flete!$A:$J,10,0),"")</f>
        <v/>
      </c>
      <c r="P196" s="8" t="inlineStr">
        <is>
          <t>TN</t>
        </is>
      </c>
      <c r="Q196" s="10">
        <f>IFERROR(IFERROR(VLOOKUP(A196,TRAOPE!$A:$U,21,0),VLOOKUP(B196,TRAOPE!$A:$U,21,0)),"")</f>
        <v/>
      </c>
      <c r="R196" s="8">
        <f>IFERROR(IFERROR(VLOOKUP(A196,TRAOPE!$A:$W,23,0),VLOOKUP(B196,TRAOPE!$A:$W,23,0)),"")</f>
        <v/>
      </c>
      <c r="S196" s="10">
        <f>IF(AND(P196="TN",R196="TN"),N196+N(O196),IF(G196&amp;""="1",N(K196)*N196,(N196+N(O196))*N(K196)))</f>
        <v/>
      </c>
      <c r="T196" s="10">
        <f>IF(Q196="","",Q196-S196)</f>
        <v/>
      </c>
    </row>
    <row r="197">
      <c r="A197" s="7">
        <f>CONCATENATE(C197,E197,F197,I197)</f>
        <v/>
      </c>
      <c r="B197" s="7">
        <f>CONCATENATE(C197,E197,I197)</f>
        <v/>
      </c>
      <c r="C197" s="8" t="n">
        <v>900005260</v>
      </c>
      <c r="D197" s="7">
        <f>IFERROR(VLOOKUP(C197,TRAOPE!$G:$H,2,0),"")</f>
        <v/>
      </c>
      <c r="E197" s="8" t="inlineStr">
        <is>
          <t>D845</t>
        </is>
      </c>
      <c r="F197" s="8" t="inlineStr">
        <is>
          <t>67362709</t>
        </is>
      </c>
      <c r="G197" s="8">
        <f>IFERROR(VLOOKUP(A197,Flete!$A:$E,5,0),"")</f>
        <v/>
      </c>
      <c r="H197" s="7">
        <f>IFERROR(VLOOKUP(F197,TRAOPE!$AA:$AB,2,0),"")</f>
        <v/>
      </c>
      <c r="I197" s="7" t="n">
        <v>10268651</v>
      </c>
      <c r="J197" s="7">
        <f>IFERROR(VLOOKUP(I197,Materiales!$A:$H,8,0),"")</f>
        <v/>
      </c>
      <c r="K197" s="9">
        <f>IFERROR(VLOOKUP(I197,Materiales!$A:$G,7,0),"")</f>
        <v/>
      </c>
      <c r="L197" s="8" t="inlineStr">
        <is>
          <t>20260210</t>
        </is>
      </c>
      <c r="M197" s="8" t="inlineStr">
        <is>
          <t>99991231</t>
        </is>
      </c>
      <c r="N197" s="10" t="n">
        <v>215</v>
      </c>
      <c r="O197" s="10">
        <f>IFERROR(VLOOKUP(A197,Flete!$A:$J,10,0),"")</f>
        <v/>
      </c>
      <c r="P197" s="8" t="inlineStr">
        <is>
          <t>TN</t>
        </is>
      </c>
      <c r="Q197" s="10">
        <f>IFERROR(IFERROR(VLOOKUP(A197,TRAOPE!$A:$U,21,0),VLOOKUP(B197,TRAOPE!$A:$U,21,0)),"")</f>
        <v/>
      </c>
      <c r="R197" s="8">
        <f>IFERROR(IFERROR(VLOOKUP(A197,TRAOPE!$A:$W,23,0),VLOOKUP(B197,TRAOPE!$A:$W,23,0)),"")</f>
        <v/>
      </c>
      <c r="S197" s="10">
        <f>IF(AND(P197="TN",R197="TN"),N197+N(O197),IF(G197&amp;""="1",N(K197)*N197,(N197+N(O197))*N(K197)))</f>
        <v/>
      </c>
      <c r="T197" s="10">
        <f>IF(Q197="","",Q197-S197)</f>
        <v/>
      </c>
    </row>
    <row r="198">
      <c r="A198" s="7">
        <f>CONCATENATE(C198,E198,F198,I198)</f>
        <v/>
      </c>
      <c r="B198" s="7">
        <f>CONCATENATE(C198,E198,I198)</f>
        <v/>
      </c>
      <c r="C198" s="8" t="n">
        <v>900005260</v>
      </c>
      <c r="D198" s="7">
        <f>IFERROR(VLOOKUP(C198,TRAOPE!$G:$H,2,0),"")</f>
        <v/>
      </c>
      <c r="E198" s="8" t="inlineStr">
        <is>
          <t>D845</t>
        </is>
      </c>
      <c r="F198" s="8" t="inlineStr">
        <is>
          <t>67374671</t>
        </is>
      </c>
      <c r="G198" s="8">
        <f>IFERROR(VLOOKUP(A198,Flete!$A:$E,5,0),"")</f>
        <v/>
      </c>
      <c r="H198" s="7">
        <f>IFERROR(VLOOKUP(F198,TRAOPE!$AA:$AB,2,0),"")</f>
        <v/>
      </c>
      <c r="I198" s="7" t="n">
        <v>10167749</v>
      </c>
      <c r="J198" s="7">
        <f>IFERROR(VLOOKUP(I198,Materiales!$A:$H,8,0),"")</f>
        <v/>
      </c>
      <c r="K198" s="9">
        <f>IFERROR(VLOOKUP(I198,Materiales!$A:$G,7,0),"")</f>
        <v/>
      </c>
      <c r="L198" s="8" t="inlineStr">
        <is>
          <t>20260827</t>
        </is>
      </c>
      <c r="M198" s="8" t="inlineStr">
        <is>
          <t>99991231</t>
        </is>
      </c>
      <c r="N198" s="10" t="n">
        <v>232</v>
      </c>
      <c r="O198" s="10">
        <f>IFERROR(VLOOKUP(A198,Flete!$A:$J,10,0),"")</f>
        <v/>
      </c>
      <c r="P198" s="8" t="inlineStr">
        <is>
          <t>TN</t>
        </is>
      </c>
      <c r="Q198" s="10">
        <f>IFERROR(IFERROR(VLOOKUP(A198,TRAOPE!$A:$U,21,0),VLOOKUP(B198,TRAOPE!$A:$U,21,0)),"")</f>
        <v/>
      </c>
      <c r="R198" s="8">
        <f>IFERROR(IFERROR(VLOOKUP(A198,TRAOPE!$A:$W,23,0),VLOOKUP(B198,TRAOPE!$A:$W,23,0)),"")</f>
        <v/>
      </c>
      <c r="S198" s="10">
        <f>IF(AND(P198="TN",R198="TN"),N198+N(O198),IF(G198&amp;""="1",N(K198)*N198,(N198+N(O198))*N(K198)))</f>
        <v/>
      </c>
      <c r="T198" s="10">
        <f>IF(Q198="","",Q198-S198)</f>
        <v/>
      </c>
    </row>
    <row r="199">
      <c r="A199" s="7">
        <f>CONCATENATE(C199,E199,F199,I199)</f>
        <v/>
      </c>
      <c r="B199" s="7">
        <f>CONCATENATE(C199,E199,I199)</f>
        <v/>
      </c>
      <c r="C199" s="8" t="n">
        <v>900006074</v>
      </c>
      <c r="D199" s="7">
        <f>IFERROR(VLOOKUP(C199,TRAOPE!$G:$H,2,0),"")</f>
        <v/>
      </c>
      <c r="E199" s="8" t="inlineStr">
        <is>
          <t>D845</t>
        </is>
      </c>
      <c r="F199" s="8" t="inlineStr">
        <is>
          <t>65005139</t>
        </is>
      </c>
      <c r="G199" s="8">
        <f>IFERROR(VLOOKUP(A199,Flete!$A:$E,5,0),"")</f>
        <v/>
      </c>
      <c r="H199" s="7">
        <f>IFERROR(VLOOKUP(F199,TRAOPE!$AA:$AB,2,0),"")</f>
        <v/>
      </c>
      <c r="I199" s="7" t="n">
        <v>10000536</v>
      </c>
      <c r="J199" s="7">
        <f>IFERROR(VLOOKUP(I199,Materiales!$A:$H,8,0),"")</f>
        <v/>
      </c>
      <c r="K199" s="9">
        <f>IFERROR(VLOOKUP(I199,Materiales!$A:$G,7,0),"")</f>
        <v/>
      </c>
      <c r="L199" s="8" t="inlineStr">
        <is>
          <t>20260212</t>
        </is>
      </c>
      <c r="M199" s="8" t="inlineStr">
        <is>
          <t>99991231</t>
        </is>
      </c>
      <c r="N199" s="10" t="n">
        <v>240</v>
      </c>
      <c r="O199" s="10">
        <f>IFERROR(VLOOKUP(A199,Flete!$A:$J,10,0),"")</f>
        <v/>
      </c>
      <c r="P199" s="8" t="inlineStr">
        <is>
          <t>TN</t>
        </is>
      </c>
      <c r="Q199" s="10">
        <f>IFERROR(IFERROR(VLOOKUP(A199,TRAOPE!$A:$U,21,0),VLOOKUP(B199,TRAOPE!$A:$U,21,0)),"")</f>
        <v/>
      </c>
      <c r="R199" s="8">
        <f>IFERROR(IFERROR(VLOOKUP(A199,TRAOPE!$A:$W,23,0),VLOOKUP(B199,TRAOPE!$A:$W,23,0)),"")</f>
        <v/>
      </c>
      <c r="S199" s="10">
        <f>IF(AND(P199="TN",R199="TN"),N199+N(O199),IF(G199&amp;""="1",N(K199)*N199,(N199+N(O199))*N(K199)))</f>
        <v/>
      </c>
      <c r="T199" s="10">
        <f>IF(Q199="","",Q199-S199)</f>
        <v/>
      </c>
    </row>
    <row r="200">
      <c r="A200" s="7">
        <f>CONCATENATE(C200,E200,F200,I200)</f>
        <v/>
      </c>
      <c r="B200" s="7">
        <f>CONCATENATE(C200,E200,I200)</f>
        <v/>
      </c>
      <c r="C200" s="8" t="n">
        <v>900006074</v>
      </c>
      <c r="D200" s="7">
        <f>IFERROR(VLOOKUP(C200,TRAOPE!$G:$H,2,0),"")</f>
        <v/>
      </c>
      <c r="E200" s="8" t="inlineStr">
        <is>
          <t>D845</t>
        </is>
      </c>
      <c r="F200" s="8" t="inlineStr">
        <is>
          <t>65005139</t>
        </is>
      </c>
      <c r="G200" s="8">
        <f>IFERROR(VLOOKUP(A200,Flete!$A:$E,5,0),"")</f>
        <v/>
      </c>
      <c r="H200" s="7">
        <f>IFERROR(VLOOKUP(F200,TRAOPE!$AA:$AB,2,0),"")</f>
        <v/>
      </c>
      <c r="I200" s="7" t="n">
        <v>10000578</v>
      </c>
      <c r="J200" s="7">
        <f>IFERROR(VLOOKUP(I200,Materiales!$A:$H,8,0),"")</f>
        <v/>
      </c>
      <c r="K200" s="9">
        <f>IFERROR(VLOOKUP(I200,Materiales!$A:$G,7,0),"")</f>
        <v/>
      </c>
      <c r="L200" s="8" t="inlineStr">
        <is>
          <t>20260212</t>
        </is>
      </c>
      <c r="M200" s="8" t="inlineStr">
        <is>
          <t>99991231</t>
        </is>
      </c>
      <c r="N200" s="10" t="n">
        <v>240</v>
      </c>
      <c r="O200" s="10">
        <f>IFERROR(VLOOKUP(A200,Flete!$A:$J,10,0),"")</f>
        <v/>
      </c>
      <c r="P200" s="8" t="inlineStr">
        <is>
          <t>TN</t>
        </is>
      </c>
      <c r="Q200" s="10">
        <f>IFERROR(IFERROR(VLOOKUP(A200,TRAOPE!$A:$U,21,0),VLOOKUP(B200,TRAOPE!$A:$U,21,0)),"")</f>
        <v/>
      </c>
      <c r="R200" s="8">
        <f>IFERROR(IFERROR(VLOOKUP(A200,TRAOPE!$A:$W,23,0),VLOOKUP(B200,TRAOPE!$A:$W,23,0)),"")</f>
        <v/>
      </c>
      <c r="S200" s="10">
        <f>IF(AND(P200="TN",R200="TN"),N200+N(O200),IF(G200&amp;""="1",N(K200)*N200,(N200+N(O200))*N(K200)))</f>
        <v/>
      </c>
      <c r="T200" s="10">
        <f>IF(Q200="","",Q200-S200)</f>
        <v/>
      </c>
    </row>
    <row r="201">
      <c r="A201" s="7">
        <f>CONCATENATE(C201,E201,F201,I201)</f>
        <v/>
      </c>
      <c r="B201" s="7">
        <f>CONCATENATE(C201,E201,I201)</f>
        <v/>
      </c>
      <c r="C201" s="8" t="n">
        <v>900006074</v>
      </c>
      <c r="D201" s="7">
        <f>IFERROR(VLOOKUP(C201,TRAOPE!$G:$H,2,0),"")</f>
        <v/>
      </c>
      <c r="E201" s="8" t="inlineStr">
        <is>
          <t>D845</t>
        </is>
      </c>
      <c r="F201" s="8" t="inlineStr">
        <is>
          <t>65005139</t>
        </is>
      </c>
      <c r="G201" s="8">
        <f>IFERROR(VLOOKUP(A201,Flete!$A:$E,5,0),"")</f>
        <v/>
      </c>
      <c r="H201" s="7">
        <f>IFERROR(VLOOKUP(F201,TRAOPE!$AA:$AB,2,0),"")</f>
        <v/>
      </c>
      <c r="I201" s="7" t="n">
        <v>10000617</v>
      </c>
      <c r="J201" s="7">
        <f>IFERROR(VLOOKUP(I201,Materiales!$A:$H,8,0),"")</f>
        <v/>
      </c>
      <c r="K201" s="9">
        <f>IFERROR(VLOOKUP(I201,Materiales!$A:$G,7,0),"")</f>
        <v/>
      </c>
      <c r="L201" s="8" t="inlineStr">
        <is>
          <t>20260212</t>
        </is>
      </c>
      <c r="M201" s="8" t="inlineStr">
        <is>
          <t>99991231</t>
        </is>
      </c>
      <c r="N201" s="10" t="n">
        <v>240</v>
      </c>
      <c r="O201" s="10">
        <f>IFERROR(VLOOKUP(A201,Flete!$A:$J,10,0),"")</f>
        <v/>
      </c>
      <c r="P201" s="8" t="inlineStr">
        <is>
          <t>TN</t>
        </is>
      </c>
      <c r="Q201" s="10">
        <f>IFERROR(IFERROR(VLOOKUP(A201,TRAOPE!$A:$U,21,0),VLOOKUP(B201,TRAOPE!$A:$U,21,0)),"")</f>
        <v/>
      </c>
      <c r="R201" s="8">
        <f>IFERROR(IFERROR(VLOOKUP(A201,TRAOPE!$A:$W,23,0),VLOOKUP(B201,TRAOPE!$A:$W,23,0)),"")</f>
        <v/>
      </c>
      <c r="S201" s="10">
        <f>IF(AND(P201="TN",R201="TN"),N201+N(O201),IF(G201&amp;""="1",N(K201)*N201,(N201+N(O201))*N(K201)))</f>
        <v/>
      </c>
      <c r="T201" s="10">
        <f>IF(Q201="","",Q201-S201)</f>
        <v/>
      </c>
    </row>
    <row r="202">
      <c r="A202" s="7">
        <f>CONCATENATE(C202,E202,F202,I202)</f>
        <v/>
      </c>
      <c r="B202" s="7">
        <f>CONCATENATE(C202,E202,I202)</f>
        <v/>
      </c>
      <c r="C202" s="8" t="n">
        <v>900006074</v>
      </c>
      <c r="D202" s="7">
        <f>IFERROR(VLOOKUP(C202,TRAOPE!$G:$H,2,0),"")</f>
        <v/>
      </c>
      <c r="E202" s="8" t="inlineStr">
        <is>
          <t>D845</t>
        </is>
      </c>
      <c r="F202" s="8" t="inlineStr">
        <is>
          <t>65005139</t>
        </is>
      </c>
      <c r="G202" s="8">
        <f>IFERROR(VLOOKUP(A202,Flete!$A:$E,5,0),"")</f>
        <v/>
      </c>
      <c r="H202" s="7">
        <f>IFERROR(VLOOKUP(F202,TRAOPE!$AA:$AB,2,0),"")</f>
        <v/>
      </c>
      <c r="I202" s="7" t="n">
        <v>10000656</v>
      </c>
      <c r="J202" s="7">
        <f>IFERROR(VLOOKUP(I202,Materiales!$A:$H,8,0),"")</f>
        <v/>
      </c>
      <c r="K202" s="9">
        <f>IFERROR(VLOOKUP(I202,Materiales!$A:$G,7,0),"")</f>
        <v/>
      </c>
      <c r="L202" s="8" t="inlineStr">
        <is>
          <t>20260212</t>
        </is>
      </c>
      <c r="M202" s="8" t="inlineStr">
        <is>
          <t>99991231</t>
        </is>
      </c>
      <c r="N202" s="10" t="n">
        <v>245</v>
      </c>
      <c r="O202" s="10">
        <f>IFERROR(VLOOKUP(A202,Flete!$A:$J,10,0),"")</f>
        <v/>
      </c>
      <c r="P202" s="8" t="inlineStr">
        <is>
          <t>TN</t>
        </is>
      </c>
      <c r="Q202" s="10">
        <f>IFERROR(IFERROR(VLOOKUP(A202,TRAOPE!$A:$U,21,0),VLOOKUP(B202,TRAOPE!$A:$U,21,0)),"")</f>
        <v/>
      </c>
      <c r="R202" s="8">
        <f>IFERROR(IFERROR(VLOOKUP(A202,TRAOPE!$A:$W,23,0),VLOOKUP(B202,TRAOPE!$A:$W,23,0)),"")</f>
        <v/>
      </c>
      <c r="S202" s="10">
        <f>IF(AND(P202="TN",R202="TN"),N202+N(O202),IF(G202&amp;""="1",N(K202)*N202,(N202+N(O202))*N(K202)))</f>
        <v/>
      </c>
      <c r="T202" s="10">
        <f>IF(Q202="","",Q202-S202)</f>
        <v/>
      </c>
    </row>
    <row r="203">
      <c r="A203" s="7">
        <f>CONCATENATE(C203,E203,F203,I203)</f>
        <v/>
      </c>
      <c r="B203" s="7">
        <f>CONCATENATE(C203,E203,I203)</f>
        <v/>
      </c>
      <c r="C203" s="8" t="n">
        <v>900006074</v>
      </c>
      <c r="D203" s="7">
        <f>IFERROR(VLOOKUP(C203,TRAOPE!$G:$H,2,0),"")</f>
        <v/>
      </c>
      <c r="E203" s="8" t="inlineStr">
        <is>
          <t>D845</t>
        </is>
      </c>
      <c r="F203" s="8" t="inlineStr">
        <is>
          <t>65005139</t>
        </is>
      </c>
      <c r="G203" s="8">
        <f>IFERROR(VLOOKUP(A203,Flete!$A:$E,5,0),"")</f>
        <v/>
      </c>
      <c r="H203" s="7">
        <f>IFERROR(VLOOKUP(F203,TRAOPE!$AA:$AB,2,0),"")</f>
        <v/>
      </c>
      <c r="I203" s="7" t="n">
        <v>10167749</v>
      </c>
      <c r="J203" s="7">
        <f>IFERROR(VLOOKUP(I203,Materiales!$A:$H,8,0),"")</f>
        <v/>
      </c>
      <c r="K203" s="9">
        <f>IFERROR(VLOOKUP(I203,Materiales!$A:$G,7,0),"")</f>
        <v/>
      </c>
      <c r="L203" s="8" t="inlineStr">
        <is>
          <t>20260212</t>
        </is>
      </c>
      <c r="M203" s="8" t="inlineStr">
        <is>
          <t>99991231</t>
        </is>
      </c>
      <c r="N203" s="10" t="n">
        <v>232</v>
      </c>
      <c r="O203" s="10">
        <f>IFERROR(VLOOKUP(A203,Flete!$A:$J,10,0),"")</f>
        <v/>
      </c>
      <c r="P203" s="8" t="inlineStr">
        <is>
          <t>TN</t>
        </is>
      </c>
      <c r="Q203" s="10">
        <f>IFERROR(IFERROR(VLOOKUP(A203,TRAOPE!$A:$U,21,0),VLOOKUP(B203,TRAOPE!$A:$U,21,0)),"")</f>
        <v/>
      </c>
      <c r="R203" s="8">
        <f>IFERROR(IFERROR(VLOOKUP(A203,TRAOPE!$A:$W,23,0),VLOOKUP(B203,TRAOPE!$A:$W,23,0)),"")</f>
        <v/>
      </c>
      <c r="S203" s="10">
        <f>IF(AND(P203="TN",R203="TN"),N203+N(O203),IF(G203&amp;""="1",N(K203)*N203,(N203+N(O203))*N(K203)))</f>
        <v/>
      </c>
      <c r="T203" s="10">
        <f>IF(Q203="","",Q203-S203)</f>
        <v/>
      </c>
    </row>
    <row r="204">
      <c r="A204" s="7">
        <f>CONCATENATE(C204,E204,F204,I204)</f>
        <v/>
      </c>
      <c r="B204" s="7">
        <f>CONCATENATE(C204,E204,I204)</f>
        <v/>
      </c>
      <c r="C204" s="8" t="n">
        <v>900006074</v>
      </c>
      <c r="D204" s="7">
        <f>IFERROR(VLOOKUP(C204,TRAOPE!$G:$H,2,0),"")</f>
        <v/>
      </c>
      <c r="E204" s="8" t="inlineStr">
        <is>
          <t>D845</t>
        </is>
      </c>
      <c r="F204" s="8" t="inlineStr">
        <is>
          <t>65005139</t>
        </is>
      </c>
      <c r="G204" s="8">
        <f>IFERROR(VLOOKUP(A204,Flete!$A:$E,5,0),"")</f>
        <v/>
      </c>
      <c r="H204" s="7">
        <f>IFERROR(VLOOKUP(F204,TRAOPE!$AA:$AB,2,0),"")</f>
        <v/>
      </c>
      <c r="I204" s="7" t="n">
        <v>10169508</v>
      </c>
      <c r="J204" s="7">
        <f>IFERROR(VLOOKUP(I204,Materiales!$A:$H,8,0),"")</f>
        <v/>
      </c>
      <c r="K204" s="9">
        <f>IFERROR(VLOOKUP(I204,Materiales!$A:$G,7,0),"")</f>
        <v/>
      </c>
      <c r="L204" s="8" t="inlineStr">
        <is>
          <t>20260212</t>
        </is>
      </c>
      <c r="M204" s="8" t="inlineStr">
        <is>
          <t>99991231</t>
        </is>
      </c>
      <c r="N204" s="10" t="n">
        <v>250</v>
      </c>
      <c r="O204" s="10">
        <f>IFERROR(VLOOKUP(A204,Flete!$A:$J,10,0),"")</f>
        <v/>
      </c>
      <c r="P204" s="8" t="inlineStr">
        <is>
          <t>TN</t>
        </is>
      </c>
      <c r="Q204" s="10">
        <f>IFERROR(IFERROR(VLOOKUP(A204,TRAOPE!$A:$U,21,0),VLOOKUP(B204,TRAOPE!$A:$U,21,0)),"")</f>
        <v/>
      </c>
      <c r="R204" s="8">
        <f>IFERROR(IFERROR(VLOOKUP(A204,TRAOPE!$A:$W,23,0),VLOOKUP(B204,TRAOPE!$A:$W,23,0)),"")</f>
        <v/>
      </c>
      <c r="S204" s="10">
        <f>IF(AND(P204="TN",R204="TN"),N204+N(O204),IF(G204&amp;""="1",N(K204)*N204,(N204+N(O204))*N(K204)))</f>
        <v/>
      </c>
      <c r="T204" s="10">
        <f>IF(Q204="","",Q204-S204)</f>
        <v/>
      </c>
    </row>
    <row r="205">
      <c r="A205" s="7">
        <f>CONCATENATE(C205,E205,F205,I205)</f>
        <v/>
      </c>
      <c r="B205" s="7">
        <f>CONCATENATE(C205,E205,I205)</f>
        <v/>
      </c>
      <c r="C205" s="8" t="n">
        <v>900006074</v>
      </c>
      <c r="D205" s="7">
        <f>IFERROR(VLOOKUP(C205,TRAOPE!$G:$H,2,0),"")</f>
        <v/>
      </c>
      <c r="E205" s="8" t="inlineStr">
        <is>
          <t>D845</t>
        </is>
      </c>
      <c r="F205" s="8" t="inlineStr">
        <is>
          <t>65006989</t>
        </is>
      </c>
      <c r="G205" s="8">
        <f>IFERROR(VLOOKUP(A205,Flete!$A:$E,5,0),"")</f>
        <v/>
      </c>
      <c r="H205" s="7">
        <f>IFERROR(VLOOKUP(F205,TRAOPE!$AA:$AB,2,0),"")</f>
        <v/>
      </c>
      <c r="I205" s="7" t="n">
        <v>10000536</v>
      </c>
      <c r="J205" s="7">
        <f>IFERROR(VLOOKUP(I205,Materiales!$A:$H,8,0),"")</f>
        <v/>
      </c>
      <c r="K205" s="9">
        <f>IFERROR(VLOOKUP(I205,Materiales!$A:$G,7,0),"")</f>
        <v/>
      </c>
      <c r="L205" s="8" t="inlineStr">
        <is>
          <t>20251230</t>
        </is>
      </c>
      <c r="M205" s="8" t="inlineStr">
        <is>
          <t>99991231</t>
        </is>
      </c>
      <c r="N205" s="10" t="n">
        <v>161</v>
      </c>
      <c r="O205" s="10">
        <f>IFERROR(VLOOKUP(A205,Flete!$A:$J,10,0),"")</f>
        <v/>
      </c>
      <c r="P205" s="8" t="inlineStr">
        <is>
          <t>TN</t>
        </is>
      </c>
      <c r="Q205" s="10">
        <f>IFERROR(IFERROR(VLOOKUP(A205,TRAOPE!$A:$U,21,0),VLOOKUP(B205,TRAOPE!$A:$U,21,0)),"")</f>
        <v/>
      </c>
      <c r="R205" s="8">
        <f>IFERROR(IFERROR(VLOOKUP(A205,TRAOPE!$A:$W,23,0),VLOOKUP(B205,TRAOPE!$A:$W,23,0)),"")</f>
        <v/>
      </c>
      <c r="S205" s="10">
        <f>IF(AND(P205="TN",R205="TN"),N205+N(O205),IF(G205&amp;""="1",N(K205)*N205,(N205+N(O205))*N(K205)))</f>
        <v/>
      </c>
      <c r="T205" s="10">
        <f>IF(Q205="","",Q205-S205)</f>
        <v/>
      </c>
    </row>
    <row r="206">
      <c r="A206" s="7">
        <f>CONCATENATE(C206,E206,F206,I206)</f>
        <v/>
      </c>
      <c r="B206" s="7">
        <f>CONCATENATE(C206,E206,I206)</f>
        <v/>
      </c>
      <c r="C206" s="8" t="n">
        <v>900006074</v>
      </c>
      <c r="D206" s="7">
        <f>IFERROR(VLOOKUP(C206,TRAOPE!$G:$H,2,0),"")</f>
        <v/>
      </c>
      <c r="E206" s="8" t="inlineStr">
        <is>
          <t>D845</t>
        </is>
      </c>
      <c r="F206" s="8" t="inlineStr">
        <is>
          <t>65006989</t>
        </is>
      </c>
      <c r="G206" s="8">
        <f>IFERROR(VLOOKUP(A206,Flete!$A:$E,5,0),"")</f>
        <v/>
      </c>
      <c r="H206" s="7">
        <f>IFERROR(VLOOKUP(F206,TRAOPE!$AA:$AB,2,0),"")</f>
        <v/>
      </c>
      <c r="I206" s="7" t="n">
        <v>10000578</v>
      </c>
      <c r="J206" s="7">
        <f>IFERROR(VLOOKUP(I206,Materiales!$A:$H,8,0),"")</f>
        <v/>
      </c>
      <c r="K206" s="9">
        <f>IFERROR(VLOOKUP(I206,Materiales!$A:$G,7,0),"")</f>
        <v/>
      </c>
      <c r="L206" s="8" t="inlineStr">
        <is>
          <t>20251230</t>
        </is>
      </c>
      <c r="M206" s="8" t="inlineStr">
        <is>
          <t>99991231</t>
        </is>
      </c>
      <c r="N206" s="10" t="n">
        <v>161</v>
      </c>
      <c r="O206" s="10">
        <f>IFERROR(VLOOKUP(A206,Flete!$A:$J,10,0),"")</f>
        <v/>
      </c>
      <c r="P206" s="8" t="inlineStr">
        <is>
          <t>TN</t>
        </is>
      </c>
      <c r="Q206" s="10">
        <f>IFERROR(IFERROR(VLOOKUP(A206,TRAOPE!$A:$U,21,0),VLOOKUP(B206,TRAOPE!$A:$U,21,0)),"")</f>
        <v/>
      </c>
      <c r="R206" s="8">
        <f>IFERROR(IFERROR(VLOOKUP(A206,TRAOPE!$A:$W,23,0),VLOOKUP(B206,TRAOPE!$A:$W,23,0)),"")</f>
        <v/>
      </c>
      <c r="S206" s="10">
        <f>IF(AND(P206="TN",R206="TN"),N206+N(O206),IF(G206&amp;""="1",N(K206)*N206,(N206+N(O206))*N(K206)))</f>
        <v/>
      </c>
      <c r="T206" s="10">
        <f>IF(Q206="","",Q206-S206)</f>
        <v/>
      </c>
    </row>
    <row r="207">
      <c r="A207" s="7">
        <f>CONCATENATE(C207,E207,F207,I207)</f>
        <v/>
      </c>
      <c r="B207" s="7">
        <f>CONCATENATE(C207,E207,I207)</f>
        <v/>
      </c>
      <c r="C207" s="8" t="n">
        <v>900006074</v>
      </c>
      <c r="D207" s="7">
        <f>IFERROR(VLOOKUP(C207,TRAOPE!$G:$H,2,0),"")</f>
        <v/>
      </c>
      <c r="E207" s="8" t="inlineStr">
        <is>
          <t>D845</t>
        </is>
      </c>
      <c r="F207" s="8" t="inlineStr">
        <is>
          <t>65006989</t>
        </is>
      </c>
      <c r="G207" s="8">
        <f>IFERROR(VLOOKUP(A207,Flete!$A:$E,5,0),"")</f>
        <v/>
      </c>
      <c r="H207" s="7">
        <f>IFERROR(VLOOKUP(F207,TRAOPE!$AA:$AB,2,0),"")</f>
        <v/>
      </c>
      <c r="I207" s="7" t="n">
        <v>10000617</v>
      </c>
      <c r="J207" s="7">
        <f>IFERROR(VLOOKUP(I207,Materiales!$A:$H,8,0),"")</f>
        <v/>
      </c>
      <c r="K207" s="9">
        <f>IFERROR(VLOOKUP(I207,Materiales!$A:$G,7,0),"")</f>
        <v/>
      </c>
      <c r="L207" s="8" t="inlineStr">
        <is>
          <t>20251230</t>
        </is>
      </c>
      <c r="M207" s="8" t="inlineStr">
        <is>
          <t>99991231</t>
        </is>
      </c>
      <c r="N207" s="10" t="n">
        <v>175</v>
      </c>
      <c r="O207" s="10">
        <f>IFERROR(VLOOKUP(A207,Flete!$A:$J,10,0),"")</f>
        <v/>
      </c>
      <c r="P207" s="8" t="inlineStr">
        <is>
          <t>TN</t>
        </is>
      </c>
      <c r="Q207" s="10">
        <f>IFERROR(IFERROR(VLOOKUP(A207,TRAOPE!$A:$U,21,0),VLOOKUP(B207,TRAOPE!$A:$U,21,0)),"")</f>
        <v/>
      </c>
      <c r="R207" s="8">
        <f>IFERROR(IFERROR(VLOOKUP(A207,TRAOPE!$A:$W,23,0),VLOOKUP(B207,TRAOPE!$A:$W,23,0)),"")</f>
        <v/>
      </c>
      <c r="S207" s="10">
        <f>IF(AND(P207="TN",R207="TN"),N207+N(O207),IF(G207&amp;""="1",N(K207)*N207,(N207+N(O207))*N(K207)))</f>
        <v/>
      </c>
      <c r="T207" s="10">
        <f>IF(Q207="","",Q207-S207)</f>
        <v/>
      </c>
    </row>
    <row r="208">
      <c r="A208" s="7">
        <f>CONCATENATE(C208,E208,F208,I208)</f>
        <v/>
      </c>
      <c r="B208" s="7">
        <f>CONCATENATE(C208,E208,I208)</f>
        <v/>
      </c>
      <c r="C208" s="8" t="n">
        <v>900006074</v>
      </c>
      <c r="D208" s="7">
        <f>IFERROR(VLOOKUP(C208,TRAOPE!$G:$H,2,0),"")</f>
        <v/>
      </c>
      <c r="E208" s="8" t="inlineStr">
        <is>
          <t>D845</t>
        </is>
      </c>
      <c r="F208" s="8" t="inlineStr">
        <is>
          <t>65006989</t>
        </is>
      </c>
      <c r="G208" s="8">
        <f>IFERROR(VLOOKUP(A208,Flete!$A:$E,5,0),"")</f>
        <v/>
      </c>
      <c r="H208" s="7">
        <f>IFERROR(VLOOKUP(F208,TRAOPE!$AA:$AB,2,0),"")</f>
        <v/>
      </c>
      <c r="I208" s="7" t="n">
        <v>10000656</v>
      </c>
      <c r="J208" s="7">
        <f>IFERROR(VLOOKUP(I208,Materiales!$A:$H,8,0),"")</f>
        <v/>
      </c>
      <c r="K208" s="9">
        <f>IFERROR(VLOOKUP(I208,Materiales!$A:$G,7,0),"")</f>
        <v/>
      </c>
      <c r="L208" s="8" t="inlineStr">
        <is>
          <t>20251230</t>
        </is>
      </c>
      <c r="M208" s="8" t="inlineStr">
        <is>
          <t>99991231</t>
        </is>
      </c>
      <c r="N208" s="10" t="n">
        <v>175</v>
      </c>
      <c r="O208" s="10">
        <f>IFERROR(VLOOKUP(A208,Flete!$A:$J,10,0),"")</f>
        <v/>
      </c>
      <c r="P208" s="8" t="inlineStr">
        <is>
          <t>TN</t>
        </is>
      </c>
      <c r="Q208" s="10">
        <f>IFERROR(IFERROR(VLOOKUP(A208,TRAOPE!$A:$U,21,0),VLOOKUP(B208,TRAOPE!$A:$U,21,0)),"")</f>
        <v/>
      </c>
      <c r="R208" s="8">
        <f>IFERROR(IFERROR(VLOOKUP(A208,TRAOPE!$A:$W,23,0),VLOOKUP(B208,TRAOPE!$A:$W,23,0)),"")</f>
        <v/>
      </c>
      <c r="S208" s="10">
        <f>IF(AND(P208="TN",R208="TN"),N208+N(O208),IF(G208&amp;""="1",N(K208)*N208,(N208+N(O208))*N(K208)))</f>
        <v/>
      </c>
      <c r="T208" s="10">
        <f>IF(Q208="","",Q208-S208)</f>
        <v/>
      </c>
    </row>
    <row r="209">
      <c r="A209" s="7">
        <f>CONCATENATE(C209,E209,F209,I209)</f>
        <v/>
      </c>
      <c r="B209" s="7">
        <f>CONCATENATE(C209,E209,I209)</f>
        <v/>
      </c>
      <c r="C209" s="8" t="n">
        <v>900006074</v>
      </c>
      <c r="D209" s="7">
        <f>IFERROR(VLOOKUP(C209,TRAOPE!$G:$H,2,0),"")</f>
        <v/>
      </c>
      <c r="E209" s="8" t="inlineStr">
        <is>
          <t>D845</t>
        </is>
      </c>
      <c r="F209" s="8" t="inlineStr">
        <is>
          <t>67059505</t>
        </is>
      </c>
      <c r="G209" s="8">
        <f>IFERROR(VLOOKUP(A209,Flete!$A:$E,5,0),"")</f>
        <v/>
      </c>
      <c r="H209" s="7">
        <f>IFERROR(VLOOKUP(F209,TRAOPE!$AA:$AB,2,0),"")</f>
        <v/>
      </c>
      <c r="I209" s="7" t="n">
        <v>10000536</v>
      </c>
      <c r="J209" s="7">
        <f>IFERROR(VLOOKUP(I209,Materiales!$A:$H,8,0),"")</f>
        <v/>
      </c>
      <c r="K209" s="9">
        <f>IFERROR(VLOOKUP(I209,Materiales!$A:$G,7,0),"")</f>
        <v/>
      </c>
      <c r="L209" s="8" t="inlineStr">
        <is>
          <t>20240227</t>
        </is>
      </c>
      <c r="M209" s="8" t="inlineStr">
        <is>
          <t>99991231</t>
        </is>
      </c>
      <c r="N209" s="10" t="n">
        <v>158</v>
      </c>
      <c r="O209" s="10">
        <f>IFERROR(VLOOKUP(A209,Flete!$A:$J,10,0),"")</f>
        <v/>
      </c>
      <c r="P209" s="8" t="inlineStr">
        <is>
          <t>TN</t>
        </is>
      </c>
      <c r="Q209" s="10">
        <f>IFERROR(IFERROR(VLOOKUP(A209,TRAOPE!$A:$U,21,0),VLOOKUP(B209,TRAOPE!$A:$U,21,0)),"")</f>
        <v/>
      </c>
      <c r="R209" s="8">
        <f>IFERROR(IFERROR(VLOOKUP(A209,TRAOPE!$A:$W,23,0),VLOOKUP(B209,TRAOPE!$A:$W,23,0)),"")</f>
        <v/>
      </c>
      <c r="S209" s="10">
        <f>IF(AND(P209="TN",R209="TN"),N209+N(O209),IF(G209&amp;""="1",N(K209)*N209,(N209+N(O209))*N(K209)))</f>
        <v/>
      </c>
      <c r="T209" s="10">
        <f>IF(Q209="","",Q209-S209)</f>
        <v/>
      </c>
    </row>
    <row r="210">
      <c r="A210" s="7">
        <f>CONCATENATE(C210,E210,F210,I210)</f>
        <v/>
      </c>
      <c r="B210" s="7">
        <f>CONCATENATE(C210,E210,I210)</f>
        <v/>
      </c>
      <c r="C210" s="8" t="n">
        <v>900006074</v>
      </c>
      <c r="D210" s="7">
        <f>IFERROR(VLOOKUP(C210,TRAOPE!$G:$H,2,0),"")</f>
        <v/>
      </c>
      <c r="E210" s="8" t="inlineStr">
        <is>
          <t>D845</t>
        </is>
      </c>
      <c r="F210" s="8" t="inlineStr">
        <is>
          <t>67170236</t>
        </is>
      </c>
      <c r="G210" s="8">
        <f>IFERROR(VLOOKUP(A210,Flete!$A:$E,5,0),"")</f>
        <v/>
      </c>
      <c r="H210" s="7">
        <f>IFERROR(VLOOKUP(F210,TRAOPE!$AA:$AB,2,0),"")</f>
        <v/>
      </c>
      <c r="I210" s="7" t="n">
        <v>10167749</v>
      </c>
      <c r="J210" s="7">
        <f>IFERROR(VLOOKUP(I210,Materiales!$A:$H,8,0),"")</f>
        <v/>
      </c>
      <c r="K210" s="9">
        <f>IFERROR(VLOOKUP(I210,Materiales!$A:$G,7,0),"")</f>
        <v/>
      </c>
      <c r="L210" s="8" t="inlineStr">
        <is>
          <t>20240325</t>
        </is>
      </c>
      <c r="M210" s="8" t="inlineStr">
        <is>
          <t>99991231</t>
        </is>
      </c>
      <c r="N210" s="10" t="n">
        <v>168</v>
      </c>
      <c r="O210" s="10">
        <f>IFERROR(VLOOKUP(A210,Flete!$A:$J,10,0),"")</f>
        <v/>
      </c>
      <c r="P210" s="8" t="inlineStr">
        <is>
          <t>TN</t>
        </is>
      </c>
      <c r="Q210" s="10">
        <f>IFERROR(IFERROR(VLOOKUP(A210,TRAOPE!$A:$U,21,0),VLOOKUP(B210,TRAOPE!$A:$U,21,0)),"")</f>
        <v/>
      </c>
      <c r="R210" s="8">
        <f>IFERROR(IFERROR(VLOOKUP(A210,TRAOPE!$A:$W,23,0),VLOOKUP(B210,TRAOPE!$A:$W,23,0)),"")</f>
        <v/>
      </c>
      <c r="S210" s="10">
        <f>IF(AND(P210="TN",R210="TN"),N210+N(O210),IF(G210&amp;""="1",N(K210)*N210,(N210+N(O210))*N(K210)))</f>
        <v/>
      </c>
      <c r="T210" s="10">
        <f>IF(Q210="","",Q210-S210)</f>
        <v/>
      </c>
    </row>
    <row r="211">
      <c r="A211" s="7">
        <f>CONCATENATE(C211,E211,F211,I211)</f>
        <v/>
      </c>
      <c r="B211" s="7">
        <f>CONCATENATE(C211,E211,I211)</f>
        <v/>
      </c>
      <c r="C211" s="8" t="n">
        <v>900006074</v>
      </c>
      <c r="D211" s="7">
        <f>IFERROR(VLOOKUP(C211,TRAOPE!$G:$H,2,0),"")</f>
        <v/>
      </c>
      <c r="E211" s="8" t="inlineStr">
        <is>
          <t>D845</t>
        </is>
      </c>
      <c r="F211" s="8" t="inlineStr">
        <is>
          <t>67200086</t>
        </is>
      </c>
      <c r="G211" s="8">
        <f>IFERROR(VLOOKUP(A211,Flete!$A:$E,5,0),"")</f>
        <v/>
      </c>
      <c r="H211" s="7">
        <f>IFERROR(VLOOKUP(F211,TRAOPE!$AA:$AB,2,0),"")</f>
        <v/>
      </c>
      <c r="I211" s="7" t="n">
        <v>10000536</v>
      </c>
      <c r="J211" s="7">
        <f>IFERROR(VLOOKUP(I211,Materiales!$A:$H,8,0),"")</f>
        <v/>
      </c>
      <c r="K211" s="9">
        <f>IFERROR(VLOOKUP(I211,Materiales!$A:$G,7,0),"")</f>
        <v/>
      </c>
      <c r="L211" s="8" t="inlineStr">
        <is>
          <t>20240404</t>
        </is>
      </c>
      <c r="M211" s="8" t="inlineStr">
        <is>
          <t>99991231</t>
        </is>
      </c>
      <c r="N211" s="10" t="n">
        <v>158</v>
      </c>
      <c r="O211" s="10">
        <f>IFERROR(VLOOKUP(A211,Flete!$A:$J,10,0),"")</f>
        <v/>
      </c>
      <c r="P211" s="8" t="inlineStr">
        <is>
          <t>TN</t>
        </is>
      </c>
      <c r="Q211" s="10">
        <f>IFERROR(IFERROR(VLOOKUP(A211,TRAOPE!$A:$U,21,0),VLOOKUP(B211,TRAOPE!$A:$U,21,0)),"")</f>
        <v/>
      </c>
      <c r="R211" s="8">
        <f>IFERROR(IFERROR(VLOOKUP(A211,TRAOPE!$A:$W,23,0),VLOOKUP(B211,TRAOPE!$A:$W,23,0)),"")</f>
        <v/>
      </c>
      <c r="S211" s="10">
        <f>IF(AND(P211="TN",R211="TN"),N211+N(O211),IF(G211&amp;""="1",N(K211)*N211,(N211+N(O211))*N(K211)))</f>
        <v/>
      </c>
      <c r="T211" s="10">
        <f>IF(Q211="","",Q211-S211)</f>
        <v/>
      </c>
    </row>
    <row r="212">
      <c r="A212" s="7">
        <f>CONCATENATE(C212,E212,F212,I212)</f>
        <v/>
      </c>
      <c r="B212" s="7">
        <f>CONCATENATE(C212,E212,I212)</f>
        <v/>
      </c>
      <c r="C212" s="8" t="n">
        <v>900006074</v>
      </c>
      <c r="D212" s="7">
        <f>IFERROR(VLOOKUP(C212,TRAOPE!$G:$H,2,0),"")</f>
        <v/>
      </c>
      <c r="E212" s="8" t="inlineStr">
        <is>
          <t>D845</t>
        </is>
      </c>
      <c r="F212" s="8" t="inlineStr">
        <is>
          <t>67247681</t>
        </is>
      </c>
      <c r="G212" s="8">
        <f>IFERROR(VLOOKUP(A212,Flete!$A:$E,5,0),"")</f>
        <v/>
      </c>
      <c r="H212" s="7">
        <f>IFERROR(VLOOKUP(F212,TRAOPE!$AA:$AB,2,0),"")</f>
        <v/>
      </c>
      <c r="I212" s="7" t="n">
        <v>10167749</v>
      </c>
      <c r="J212" s="7">
        <f>IFERROR(VLOOKUP(I212,Materiales!$A:$H,8,0),"")</f>
        <v/>
      </c>
      <c r="K212" s="9">
        <f>IFERROR(VLOOKUP(I212,Materiales!$A:$G,7,0),"")</f>
        <v/>
      </c>
      <c r="L212" s="8" t="inlineStr">
        <is>
          <t>20260203</t>
        </is>
      </c>
      <c r="M212" s="8" t="inlineStr">
        <is>
          <t>99991231</t>
        </is>
      </c>
      <c r="N212" s="10" t="n">
        <v>242</v>
      </c>
      <c r="O212" s="10">
        <f>IFERROR(VLOOKUP(A212,Flete!$A:$J,10,0),"")</f>
        <v/>
      </c>
      <c r="P212" s="8" t="inlineStr">
        <is>
          <t>TN</t>
        </is>
      </c>
      <c r="Q212" s="10">
        <f>IFERROR(IFERROR(VLOOKUP(A212,TRAOPE!$A:$U,21,0),VLOOKUP(B212,TRAOPE!$A:$U,21,0)),"")</f>
        <v/>
      </c>
      <c r="R212" s="8">
        <f>IFERROR(IFERROR(VLOOKUP(A212,TRAOPE!$A:$W,23,0),VLOOKUP(B212,TRAOPE!$A:$W,23,0)),"")</f>
        <v/>
      </c>
      <c r="S212" s="10">
        <f>IF(AND(P212="TN",R212="TN"),N212+N(O212),IF(G212&amp;""="1",N(K212)*N212,(N212+N(O212))*N(K212)))</f>
        <v/>
      </c>
      <c r="T212" s="10">
        <f>IF(Q212="","",Q212-S212)</f>
        <v/>
      </c>
    </row>
    <row r="213">
      <c r="A213" s="7">
        <f>CONCATENATE(C213,E213,F213,I213)</f>
        <v/>
      </c>
      <c r="B213" s="7">
        <f>CONCATENATE(C213,E213,I213)</f>
        <v/>
      </c>
      <c r="C213" s="8" t="n">
        <v>900006074</v>
      </c>
      <c r="D213" s="7">
        <f>IFERROR(VLOOKUP(C213,TRAOPE!$G:$H,2,0),"")</f>
        <v/>
      </c>
      <c r="E213" s="8" t="inlineStr">
        <is>
          <t>D845</t>
        </is>
      </c>
      <c r="F213" s="8" t="inlineStr">
        <is>
          <t>67257001</t>
        </is>
      </c>
      <c r="G213" s="8">
        <f>IFERROR(VLOOKUP(A213,Flete!$A:$E,5,0),"")</f>
        <v/>
      </c>
      <c r="H213" s="7">
        <f>IFERROR(VLOOKUP(F213,TRAOPE!$AA:$AB,2,0),"")</f>
        <v/>
      </c>
      <c r="I213" s="7" t="n">
        <v>10000536</v>
      </c>
      <c r="J213" s="7">
        <f>IFERROR(VLOOKUP(I213,Materiales!$A:$H,8,0),"")</f>
        <v/>
      </c>
      <c r="K213" s="9">
        <f>IFERROR(VLOOKUP(I213,Materiales!$A:$G,7,0),"")</f>
        <v/>
      </c>
      <c r="L213" s="8" t="inlineStr">
        <is>
          <t>20250409</t>
        </is>
      </c>
      <c r="M213" s="8" t="inlineStr">
        <is>
          <t>99991231</t>
        </is>
      </c>
      <c r="N213" s="10" t="n">
        <v>201</v>
      </c>
      <c r="O213" s="10">
        <f>IFERROR(VLOOKUP(A213,Flete!$A:$J,10,0),"")</f>
        <v/>
      </c>
      <c r="P213" s="8" t="inlineStr">
        <is>
          <t>TN</t>
        </is>
      </c>
      <c r="Q213" s="10">
        <f>IFERROR(IFERROR(VLOOKUP(A213,TRAOPE!$A:$U,21,0),VLOOKUP(B213,TRAOPE!$A:$U,21,0)),"")</f>
        <v/>
      </c>
      <c r="R213" s="8">
        <f>IFERROR(IFERROR(VLOOKUP(A213,TRAOPE!$A:$W,23,0),VLOOKUP(B213,TRAOPE!$A:$W,23,0)),"")</f>
        <v/>
      </c>
      <c r="S213" s="10">
        <f>IF(AND(P213="TN",R213="TN"),N213+N(O213),IF(G213&amp;""="1",N(K213)*N213,(N213+N(O213))*N(K213)))</f>
        <v/>
      </c>
      <c r="T213" s="10">
        <f>IF(Q213="","",Q213-S213)</f>
        <v/>
      </c>
    </row>
    <row r="214">
      <c r="A214" s="7">
        <f>CONCATENATE(C214,E214,F214,I214)</f>
        <v/>
      </c>
      <c r="B214" s="7">
        <f>CONCATENATE(C214,E214,I214)</f>
        <v/>
      </c>
      <c r="C214" s="8" t="n">
        <v>900006074</v>
      </c>
      <c r="D214" s="7">
        <f>IFERROR(VLOOKUP(C214,TRAOPE!$G:$H,2,0),"")</f>
        <v/>
      </c>
      <c r="E214" s="8" t="inlineStr">
        <is>
          <t>D845</t>
        </is>
      </c>
      <c r="F214" s="8" t="inlineStr">
        <is>
          <t>67257001</t>
        </is>
      </c>
      <c r="G214" s="8">
        <f>IFERROR(VLOOKUP(A214,Flete!$A:$E,5,0),"")</f>
        <v/>
      </c>
      <c r="H214" s="7">
        <f>IFERROR(VLOOKUP(F214,TRAOPE!$AA:$AB,2,0),"")</f>
        <v/>
      </c>
      <c r="I214" s="7" t="n">
        <v>10167749</v>
      </c>
      <c r="J214" s="7">
        <f>IFERROR(VLOOKUP(I214,Materiales!$A:$H,8,0),"")</f>
        <v/>
      </c>
      <c r="K214" s="9">
        <f>IFERROR(VLOOKUP(I214,Materiales!$A:$G,7,0),"")</f>
        <v/>
      </c>
      <c r="L214" s="8" t="inlineStr">
        <is>
          <t>20250508</t>
        </is>
      </c>
      <c r="M214" s="8" t="inlineStr">
        <is>
          <t>99991231</t>
        </is>
      </c>
      <c r="N214" s="10" t="n">
        <v>203</v>
      </c>
      <c r="O214" s="10">
        <f>IFERROR(VLOOKUP(A214,Flete!$A:$J,10,0),"")</f>
        <v/>
      </c>
      <c r="P214" s="8" t="inlineStr">
        <is>
          <t>TN</t>
        </is>
      </c>
      <c r="Q214" s="10">
        <f>IFERROR(IFERROR(VLOOKUP(A214,TRAOPE!$A:$U,21,0),VLOOKUP(B214,TRAOPE!$A:$U,21,0)),"")</f>
        <v/>
      </c>
      <c r="R214" s="8">
        <f>IFERROR(IFERROR(VLOOKUP(A214,TRAOPE!$A:$W,23,0),VLOOKUP(B214,TRAOPE!$A:$W,23,0)),"")</f>
        <v/>
      </c>
      <c r="S214" s="10">
        <f>IF(AND(P214="TN",R214="TN"),N214+N(O214),IF(G214&amp;""="1",N(K214)*N214,(N214+N(O214))*N(K214)))</f>
        <v/>
      </c>
      <c r="T214" s="10">
        <f>IF(Q214="","",Q214-S214)</f>
        <v/>
      </c>
    </row>
    <row r="215">
      <c r="A215" s="7">
        <f>CONCATENATE(C215,E215,F215,I215)</f>
        <v/>
      </c>
      <c r="B215" s="7">
        <f>CONCATENATE(C215,E215,I215)</f>
        <v/>
      </c>
      <c r="C215" s="8" t="n">
        <v>900006074</v>
      </c>
      <c r="D215" s="7">
        <f>IFERROR(VLOOKUP(C215,TRAOPE!$G:$H,2,0),"")</f>
        <v/>
      </c>
      <c r="E215" s="8" t="inlineStr">
        <is>
          <t>D845</t>
        </is>
      </c>
      <c r="F215" s="8" t="inlineStr">
        <is>
          <t>67283393</t>
        </is>
      </c>
      <c r="G215" s="8">
        <f>IFERROR(VLOOKUP(A215,Flete!$A:$E,5,0),"")</f>
        <v/>
      </c>
      <c r="H215" s="7">
        <f>IFERROR(VLOOKUP(F215,TRAOPE!$AA:$AB,2,0),"")</f>
        <v/>
      </c>
      <c r="I215" s="7" t="n">
        <v>10167749</v>
      </c>
      <c r="J215" s="7">
        <f>IFERROR(VLOOKUP(I215,Materiales!$A:$H,8,0),"")</f>
        <v/>
      </c>
      <c r="K215" s="9">
        <f>IFERROR(VLOOKUP(I215,Materiales!$A:$G,7,0),"")</f>
        <v/>
      </c>
      <c r="L215" s="8" t="inlineStr">
        <is>
          <t>20250408</t>
        </is>
      </c>
      <c r="M215" s="8" t="inlineStr">
        <is>
          <t>99991231</t>
        </is>
      </c>
      <c r="N215" s="10" t="n">
        <v>195</v>
      </c>
      <c r="O215" s="10">
        <f>IFERROR(VLOOKUP(A215,Flete!$A:$J,10,0),"")</f>
        <v/>
      </c>
      <c r="P215" s="8" t="inlineStr">
        <is>
          <t>TN</t>
        </is>
      </c>
      <c r="Q215" s="10">
        <f>IFERROR(IFERROR(VLOOKUP(A215,TRAOPE!$A:$U,21,0),VLOOKUP(B215,TRAOPE!$A:$U,21,0)),"")</f>
        <v/>
      </c>
      <c r="R215" s="8">
        <f>IFERROR(IFERROR(VLOOKUP(A215,TRAOPE!$A:$W,23,0),VLOOKUP(B215,TRAOPE!$A:$W,23,0)),"")</f>
        <v/>
      </c>
      <c r="S215" s="10">
        <f>IF(AND(P215="TN",R215="TN"),N215+N(O215),IF(G215&amp;""="1",N(K215)*N215,(N215+N(O215))*N(K215)))</f>
        <v/>
      </c>
      <c r="T215" s="10">
        <f>IF(Q215="","",Q215-S215)</f>
        <v/>
      </c>
    </row>
    <row r="216">
      <c r="A216" s="7">
        <f>CONCATENATE(C216,E216,F216,I216)</f>
        <v/>
      </c>
      <c r="B216" s="7">
        <f>CONCATENATE(C216,E216,I216)</f>
        <v/>
      </c>
      <c r="C216" s="8" t="n">
        <v>900006074</v>
      </c>
      <c r="D216" s="7">
        <f>IFERROR(VLOOKUP(C216,TRAOPE!$G:$H,2,0),"")</f>
        <v/>
      </c>
      <c r="E216" s="8" t="inlineStr">
        <is>
          <t>D845</t>
        </is>
      </c>
      <c r="F216" s="8" t="inlineStr">
        <is>
          <t>67292617</t>
        </is>
      </c>
      <c r="G216" s="8">
        <f>IFERROR(VLOOKUP(A216,Flete!$A:$E,5,0),"")</f>
        <v/>
      </c>
      <c r="H216" s="7">
        <f>IFERROR(VLOOKUP(F216,TRAOPE!$AA:$AB,2,0),"")</f>
        <v/>
      </c>
      <c r="I216" s="7" t="n">
        <v>10167749</v>
      </c>
      <c r="J216" s="7">
        <f>IFERROR(VLOOKUP(I216,Materiales!$A:$H,8,0),"")</f>
        <v/>
      </c>
      <c r="K216" s="9">
        <f>IFERROR(VLOOKUP(I216,Materiales!$A:$G,7,0),"")</f>
        <v/>
      </c>
      <c r="L216" s="8" t="inlineStr">
        <is>
          <t>20241210</t>
        </is>
      </c>
      <c r="M216" s="8" t="inlineStr">
        <is>
          <t>99991231</t>
        </is>
      </c>
      <c r="N216" s="10" t="n">
        <v>168</v>
      </c>
      <c r="O216" s="10">
        <f>IFERROR(VLOOKUP(A216,Flete!$A:$J,10,0),"")</f>
        <v/>
      </c>
      <c r="P216" s="8" t="inlineStr">
        <is>
          <t>TN</t>
        </is>
      </c>
      <c r="Q216" s="10">
        <f>IFERROR(IFERROR(VLOOKUP(A216,TRAOPE!$A:$U,21,0),VLOOKUP(B216,TRAOPE!$A:$U,21,0)),"")</f>
        <v/>
      </c>
      <c r="R216" s="8">
        <f>IFERROR(IFERROR(VLOOKUP(A216,TRAOPE!$A:$W,23,0),VLOOKUP(B216,TRAOPE!$A:$W,23,0)),"")</f>
        <v/>
      </c>
      <c r="S216" s="10">
        <f>IF(AND(P216="TN",R216="TN"),N216+N(O216),IF(G216&amp;""="1",N(K216)*N216,(N216+N(O216))*N(K216)))</f>
        <v/>
      </c>
      <c r="T216" s="10">
        <f>IF(Q216="","",Q216-S216)</f>
        <v/>
      </c>
    </row>
    <row r="217">
      <c r="A217" s="7">
        <f>CONCATENATE(C217,E217,F217,I217)</f>
        <v/>
      </c>
      <c r="B217" s="7">
        <f>CONCATENATE(C217,E217,I217)</f>
        <v/>
      </c>
      <c r="C217" s="8" t="n">
        <v>900006074</v>
      </c>
      <c r="D217" s="7">
        <f>IFERROR(VLOOKUP(C217,TRAOPE!$G:$H,2,0),"")</f>
        <v/>
      </c>
      <c r="E217" s="8" t="inlineStr">
        <is>
          <t>D845</t>
        </is>
      </c>
      <c r="F217" s="8" t="inlineStr">
        <is>
          <t>67298518</t>
        </is>
      </c>
      <c r="G217" s="8">
        <f>IFERROR(VLOOKUP(A217,Flete!$A:$E,5,0),"")</f>
        <v/>
      </c>
      <c r="H217" s="7">
        <f>IFERROR(VLOOKUP(F217,TRAOPE!$AA:$AB,2,0),"")</f>
        <v/>
      </c>
      <c r="I217" s="7" t="n">
        <v>10167749</v>
      </c>
      <c r="J217" s="7">
        <f>IFERROR(VLOOKUP(I217,Materiales!$A:$H,8,0),"")</f>
        <v/>
      </c>
      <c r="K217" s="9">
        <f>IFERROR(VLOOKUP(I217,Materiales!$A:$G,7,0),"")</f>
        <v/>
      </c>
      <c r="L217" s="8" t="inlineStr">
        <is>
          <t>20250425</t>
        </is>
      </c>
      <c r="M217" s="8" t="inlineStr">
        <is>
          <t>99991231</t>
        </is>
      </c>
      <c r="N217" s="10" t="n">
        <v>205</v>
      </c>
      <c r="O217" s="10">
        <f>IFERROR(VLOOKUP(A217,Flete!$A:$J,10,0),"")</f>
        <v/>
      </c>
      <c r="P217" s="8" t="inlineStr">
        <is>
          <t>TN</t>
        </is>
      </c>
      <c r="Q217" s="10">
        <f>IFERROR(IFERROR(VLOOKUP(A217,TRAOPE!$A:$U,21,0),VLOOKUP(B217,TRAOPE!$A:$U,21,0)),"")</f>
        <v/>
      </c>
      <c r="R217" s="8">
        <f>IFERROR(IFERROR(VLOOKUP(A217,TRAOPE!$A:$W,23,0),VLOOKUP(B217,TRAOPE!$A:$W,23,0)),"")</f>
        <v/>
      </c>
      <c r="S217" s="10">
        <f>IF(AND(P217="TN",R217="TN"),N217+N(O217),IF(G217&amp;""="1",N(K217)*N217,(N217+N(O217))*N(K217)))</f>
        <v/>
      </c>
      <c r="T217" s="10">
        <f>IF(Q217="","",Q217-S217)</f>
        <v/>
      </c>
    </row>
    <row r="218">
      <c r="A218" s="7">
        <f>CONCATENATE(C218,E218,F218,I218)</f>
        <v/>
      </c>
      <c r="B218" s="7">
        <f>CONCATENATE(C218,E218,I218)</f>
        <v/>
      </c>
      <c r="C218" s="8" t="n">
        <v>900006074</v>
      </c>
      <c r="D218" s="7">
        <f>IFERROR(VLOOKUP(C218,TRAOPE!$G:$H,2,0),"")</f>
        <v/>
      </c>
      <c r="E218" s="8" t="inlineStr">
        <is>
          <t>D845</t>
        </is>
      </c>
      <c r="F218" s="8" t="inlineStr">
        <is>
          <t>67307402</t>
        </is>
      </c>
      <c r="G218" s="8">
        <f>IFERROR(VLOOKUP(A218,Flete!$A:$E,5,0),"")</f>
        <v/>
      </c>
      <c r="H218" s="7">
        <f>IFERROR(VLOOKUP(F218,TRAOPE!$AA:$AB,2,0),"")</f>
        <v/>
      </c>
      <c r="I218" s="7" t="n">
        <v>10000578</v>
      </c>
      <c r="J218" s="7">
        <f>IFERROR(VLOOKUP(I218,Materiales!$A:$H,8,0),"")</f>
        <v/>
      </c>
      <c r="K218" s="9">
        <f>IFERROR(VLOOKUP(I218,Materiales!$A:$G,7,0),"")</f>
        <v/>
      </c>
      <c r="L218" s="8" t="inlineStr">
        <is>
          <t>20250708</t>
        </is>
      </c>
      <c r="M218" s="8" t="inlineStr">
        <is>
          <t>99991231</t>
        </is>
      </c>
      <c r="N218" s="10" t="n">
        <v>198</v>
      </c>
      <c r="O218" s="10">
        <f>IFERROR(VLOOKUP(A218,Flete!$A:$J,10,0),"")</f>
        <v/>
      </c>
      <c r="P218" s="8" t="inlineStr">
        <is>
          <t>TN</t>
        </is>
      </c>
      <c r="Q218" s="10">
        <f>IFERROR(IFERROR(VLOOKUP(A218,TRAOPE!$A:$U,21,0),VLOOKUP(B218,TRAOPE!$A:$U,21,0)),"")</f>
        <v/>
      </c>
      <c r="R218" s="8">
        <f>IFERROR(IFERROR(VLOOKUP(A218,TRAOPE!$A:$W,23,0),VLOOKUP(B218,TRAOPE!$A:$W,23,0)),"")</f>
        <v/>
      </c>
      <c r="S218" s="10">
        <f>IF(AND(P218="TN",R218="TN"),N218+N(O218),IF(G218&amp;""="1",N(K218)*N218,(N218+N(O218))*N(K218)))</f>
        <v/>
      </c>
      <c r="T218" s="10">
        <f>IF(Q218="","",Q218-S218)</f>
        <v/>
      </c>
    </row>
    <row r="219">
      <c r="A219" s="7">
        <f>CONCATENATE(C219,E219,F219,I219)</f>
        <v/>
      </c>
      <c r="B219" s="7">
        <f>CONCATENATE(C219,E219,I219)</f>
        <v/>
      </c>
      <c r="C219" s="8" t="n">
        <v>900006074</v>
      </c>
      <c r="D219" s="7">
        <f>IFERROR(VLOOKUP(C219,TRAOPE!$G:$H,2,0),"")</f>
        <v/>
      </c>
      <c r="E219" s="8" t="inlineStr">
        <is>
          <t>D845</t>
        </is>
      </c>
      <c r="F219" s="8" t="inlineStr">
        <is>
          <t>67307402</t>
        </is>
      </c>
      <c r="G219" s="8">
        <f>IFERROR(VLOOKUP(A219,Flete!$A:$E,5,0),"")</f>
        <v/>
      </c>
      <c r="H219" s="7">
        <f>IFERROR(VLOOKUP(F219,TRAOPE!$AA:$AB,2,0),"")</f>
        <v/>
      </c>
      <c r="I219" s="7" t="n">
        <v>10000617</v>
      </c>
      <c r="J219" s="7">
        <f>IFERROR(VLOOKUP(I219,Materiales!$A:$H,8,0),"")</f>
        <v/>
      </c>
      <c r="K219" s="9">
        <f>IFERROR(VLOOKUP(I219,Materiales!$A:$G,7,0),"")</f>
        <v/>
      </c>
      <c r="L219" s="8" t="inlineStr">
        <is>
          <t>20250708</t>
        </is>
      </c>
      <c r="M219" s="8" t="inlineStr">
        <is>
          <t>99991231</t>
        </is>
      </c>
      <c r="N219" s="10" t="n">
        <v>208</v>
      </c>
      <c r="O219" s="10">
        <f>IFERROR(VLOOKUP(A219,Flete!$A:$J,10,0),"")</f>
        <v/>
      </c>
      <c r="P219" s="8" t="inlineStr">
        <is>
          <t>TN</t>
        </is>
      </c>
      <c r="Q219" s="10">
        <f>IFERROR(IFERROR(VLOOKUP(A219,TRAOPE!$A:$U,21,0),VLOOKUP(B219,TRAOPE!$A:$U,21,0)),"")</f>
        <v/>
      </c>
      <c r="R219" s="8">
        <f>IFERROR(IFERROR(VLOOKUP(A219,TRAOPE!$A:$W,23,0),VLOOKUP(B219,TRAOPE!$A:$W,23,0)),"")</f>
        <v/>
      </c>
      <c r="S219" s="10">
        <f>IF(AND(P219="TN",R219="TN"),N219+N(O219),IF(G219&amp;""="1",N(K219)*N219,(N219+N(O219))*N(K219)))</f>
        <v/>
      </c>
      <c r="T219" s="10">
        <f>IF(Q219="","",Q219-S219)</f>
        <v/>
      </c>
    </row>
    <row r="220">
      <c r="A220" s="7">
        <f>CONCATENATE(C220,E220,F220,I220)</f>
        <v/>
      </c>
      <c r="B220" s="7">
        <f>CONCATENATE(C220,E220,I220)</f>
        <v/>
      </c>
      <c r="C220" s="8" t="n">
        <v>900006074</v>
      </c>
      <c r="D220" s="7">
        <f>IFERROR(VLOOKUP(C220,TRAOPE!$G:$H,2,0),"")</f>
        <v/>
      </c>
      <c r="E220" s="8" t="inlineStr">
        <is>
          <t>D845</t>
        </is>
      </c>
      <c r="F220" s="8" t="inlineStr">
        <is>
          <t>67313783</t>
        </is>
      </c>
      <c r="G220" s="8">
        <f>IFERROR(VLOOKUP(A220,Flete!$A:$E,5,0),"")</f>
        <v/>
      </c>
      <c r="H220" s="7">
        <f>IFERROR(VLOOKUP(F220,TRAOPE!$AA:$AB,2,0),"")</f>
        <v/>
      </c>
      <c r="I220" s="7" t="n">
        <v>10167749</v>
      </c>
      <c r="J220" s="7">
        <f>IFERROR(VLOOKUP(I220,Materiales!$A:$H,8,0),"")</f>
        <v/>
      </c>
      <c r="K220" s="9">
        <f>IFERROR(VLOOKUP(I220,Materiales!$A:$G,7,0),"")</f>
        <v/>
      </c>
      <c r="L220" s="8" t="inlineStr">
        <is>
          <t>20250325</t>
        </is>
      </c>
      <c r="M220" s="8" t="inlineStr">
        <is>
          <t>99991231</t>
        </is>
      </c>
      <c r="N220" s="10" t="n">
        <v>198</v>
      </c>
      <c r="O220" s="10">
        <f>IFERROR(VLOOKUP(A220,Flete!$A:$J,10,0),"")</f>
        <v/>
      </c>
      <c r="P220" s="8" t="inlineStr">
        <is>
          <t>TN</t>
        </is>
      </c>
      <c r="Q220" s="10">
        <f>IFERROR(IFERROR(VLOOKUP(A220,TRAOPE!$A:$U,21,0),VLOOKUP(B220,TRAOPE!$A:$U,21,0)),"")</f>
        <v/>
      </c>
      <c r="R220" s="8">
        <f>IFERROR(IFERROR(VLOOKUP(A220,TRAOPE!$A:$W,23,0),VLOOKUP(B220,TRAOPE!$A:$W,23,0)),"")</f>
        <v/>
      </c>
      <c r="S220" s="10">
        <f>IF(AND(P220="TN",R220="TN"),N220+N(O220),IF(G220&amp;""="1",N(K220)*N220,(N220+N(O220))*N(K220)))</f>
        <v/>
      </c>
      <c r="T220" s="10">
        <f>IF(Q220="","",Q220-S220)</f>
        <v/>
      </c>
    </row>
    <row r="221">
      <c r="A221" s="7">
        <f>CONCATENATE(C221,E221,F221,I221)</f>
        <v/>
      </c>
      <c r="B221" s="7">
        <f>CONCATENATE(C221,E221,I221)</f>
        <v/>
      </c>
      <c r="C221" s="8" t="n">
        <v>900006074</v>
      </c>
      <c r="D221" s="7">
        <f>IFERROR(VLOOKUP(C221,TRAOPE!$G:$H,2,0),"")</f>
        <v/>
      </c>
      <c r="E221" s="8" t="inlineStr">
        <is>
          <t>D845</t>
        </is>
      </c>
      <c r="F221" s="8" t="inlineStr">
        <is>
          <t>67318246</t>
        </is>
      </c>
      <c r="G221" s="8">
        <f>IFERROR(VLOOKUP(A221,Flete!$A:$E,5,0),"")</f>
        <v/>
      </c>
      <c r="H221" s="7">
        <f>IFERROR(VLOOKUP(F221,TRAOPE!$AA:$AB,2,0),"")</f>
        <v/>
      </c>
      <c r="I221" s="7" t="n">
        <v>10000536</v>
      </c>
      <c r="J221" s="7">
        <f>IFERROR(VLOOKUP(I221,Materiales!$A:$H,8,0),"")</f>
        <v/>
      </c>
      <c r="K221" s="9">
        <f>IFERROR(VLOOKUP(I221,Materiales!$A:$G,7,0),"")</f>
        <v/>
      </c>
      <c r="L221" s="8" t="inlineStr">
        <is>
          <t>20260122</t>
        </is>
      </c>
      <c r="M221" s="8" t="inlineStr">
        <is>
          <t>99991231</t>
        </is>
      </c>
      <c r="N221" s="10" t="n">
        <v>169</v>
      </c>
      <c r="O221" s="10">
        <f>IFERROR(VLOOKUP(A221,Flete!$A:$J,10,0),"")</f>
        <v/>
      </c>
      <c r="P221" s="8" t="inlineStr">
        <is>
          <t>TN</t>
        </is>
      </c>
      <c r="Q221" s="10">
        <f>IFERROR(IFERROR(VLOOKUP(A221,TRAOPE!$A:$U,21,0),VLOOKUP(B221,TRAOPE!$A:$U,21,0)),"")</f>
        <v/>
      </c>
      <c r="R221" s="8">
        <f>IFERROR(IFERROR(VLOOKUP(A221,TRAOPE!$A:$W,23,0),VLOOKUP(B221,TRAOPE!$A:$W,23,0)),"")</f>
        <v/>
      </c>
      <c r="S221" s="10">
        <f>IF(AND(P221="TN",R221="TN"),N221+N(O221),IF(G221&amp;""="1",N(K221)*N221,(N221+N(O221))*N(K221)))</f>
        <v/>
      </c>
      <c r="T221" s="10">
        <f>IF(Q221="","",Q221-S221)</f>
        <v/>
      </c>
    </row>
    <row r="222">
      <c r="A222" s="7">
        <f>CONCATENATE(C222,E222,F222,I222)</f>
        <v/>
      </c>
      <c r="B222" s="7">
        <f>CONCATENATE(C222,E222,I222)</f>
        <v/>
      </c>
      <c r="C222" s="8" t="n">
        <v>900006074</v>
      </c>
      <c r="D222" s="7">
        <f>IFERROR(VLOOKUP(C222,TRAOPE!$G:$H,2,0),"")</f>
        <v/>
      </c>
      <c r="E222" s="8" t="inlineStr">
        <is>
          <t>D845</t>
        </is>
      </c>
      <c r="F222" s="8" t="inlineStr">
        <is>
          <t>67318246</t>
        </is>
      </c>
      <c r="G222" s="8">
        <f>IFERROR(VLOOKUP(A222,Flete!$A:$E,5,0),"")</f>
        <v/>
      </c>
      <c r="H222" s="7">
        <f>IFERROR(VLOOKUP(F222,TRAOPE!$AA:$AB,2,0),"")</f>
        <v/>
      </c>
      <c r="I222" s="7" t="n">
        <v>10000578</v>
      </c>
      <c r="J222" s="7">
        <f>IFERROR(VLOOKUP(I222,Materiales!$A:$H,8,0),"")</f>
        <v/>
      </c>
      <c r="K222" s="9">
        <f>IFERROR(VLOOKUP(I222,Materiales!$A:$G,7,0),"")</f>
        <v/>
      </c>
      <c r="L222" s="8" t="inlineStr">
        <is>
          <t>20260122</t>
        </is>
      </c>
      <c r="M222" s="8" t="inlineStr">
        <is>
          <t>99991231</t>
        </is>
      </c>
      <c r="N222" s="10" t="n">
        <v>169</v>
      </c>
      <c r="O222" s="10">
        <f>IFERROR(VLOOKUP(A222,Flete!$A:$J,10,0),"")</f>
        <v/>
      </c>
      <c r="P222" s="8" t="inlineStr">
        <is>
          <t>TN</t>
        </is>
      </c>
      <c r="Q222" s="10">
        <f>IFERROR(IFERROR(VLOOKUP(A222,TRAOPE!$A:$U,21,0),VLOOKUP(B222,TRAOPE!$A:$U,21,0)),"")</f>
        <v/>
      </c>
      <c r="R222" s="8">
        <f>IFERROR(IFERROR(VLOOKUP(A222,TRAOPE!$A:$W,23,0),VLOOKUP(B222,TRAOPE!$A:$W,23,0)),"")</f>
        <v/>
      </c>
      <c r="S222" s="10">
        <f>IF(AND(P222="TN",R222="TN"),N222+N(O222),IF(G222&amp;""="1",N(K222)*N222,(N222+N(O222))*N(K222)))</f>
        <v/>
      </c>
      <c r="T222" s="10">
        <f>IF(Q222="","",Q222-S222)</f>
        <v/>
      </c>
    </row>
    <row r="223">
      <c r="A223" s="7">
        <f>CONCATENATE(C223,E223,F223,I223)</f>
        <v/>
      </c>
      <c r="B223" s="7">
        <f>CONCATENATE(C223,E223,I223)</f>
        <v/>
      </c>
      <c r="C223" s="8" t="n">
        <v>900006074</v>
      </c>
      <c r="D223" s="7">
        <f>IFERROR(VLOOKUP(C223,TRAOPE!$G:$H,2,0),"")</f>
        <v/>
      </c>
      <c r="E223" s="8" t="inlineStr">
        <is>
          <t>D845</t>
        </is>
      </c>
      <c r="F223" s="8" t="inlineStr">
        <is>
          <t>67318246</t>
        </is>
      </c>
      <c r="G223" s="8">
        <f>IFERROR(VLOOKUP(A223,Flete!$A:$E,5,0),"")</f>
        <v/>
      </c>
      <c r="H223" s="7">
        <f>IFERROR(VLOOKUP(F223,TRAOPE!$AA:$AB,2,0),"")</f>
        <v/>
      </c>
      <c r="I223" s="7" t="n">
        <v>10000617</v>
      </c>
      <c r="J223" s="7">
        <f>IFERROR(VLOOKUP(I223,Materiales!$A:$H,8,0),"")</f>
        <v/>
      </c>
      <c r="K223" s="9">
        <f>IFERROR(VLOOKUP(I223,Materiales!$A:$G,7,0),"")</f>
        <v/>
      </c>
      <c r="L223" s="8" t="inlineStr">
        <is>
          <t>20260122</t>
        </is>
      </c>
      <c r="M223" s="8" t="inlineStr">
        <is>
          <t>99991231</t>
        </is>
      </c>
      <c r="N223" s="10" t="n">
        <v>184</v>
      </c>
      <c r="O223" s="10">
        <f>IFERROR(VLOOKUP(A223,Flete!$A:$J,10,0),"")</f>
        <v/>
      </c>
      <c r="P223" s="8" t="inlineStr">
        <is>
          <t>TN</t>
        </is>
      </c>
      <c r="Q223" s="10">
        <f>IFERROR(IFERROR(VLOOKUP(A223,TRAOPE!$A:$U,21,0),VLOOKUP(B223,TRAOPE!$A:$U,21,0)),"")</f>
        <v/>
      </c>
      <c r="R223" s="8">
        <f>IFERROR(IFERROR(VLOOKUP(A223,TRAOPE!$A:$W,23,0),VLOOKUP(B223,TRAOPE!$A:$W,23,0)),"")</f>
        <v/>
      </c>
      <c r="S223" s="10">
        <f>IF(AND(P223="TN",R223="TN"),N223+N(O223),IF(G223&amp;""="1",N(K223)*N223,(N223+N(O223))*N(K223)))</f>
        <v/>
      </c>
      <c r="T223" s="10">
        <f>IF(Q223="","",Q223-S223)</f>
        <v/>
      </c>
    </row>
    <row r="224">
      <c r="A224" s="7">
        <f>CONCATENATE(C224,E224,F224,I224)</f>
        <v/>
      </c>
      <c r="B224" s="7">
        <f>CONCATENATE(C224,E224,I224)</f>
        <v/>
      </c>
      <c r="C224" s="8" t="n">
        <v>900006074</v>
      </c>
      <c r="D224" s="7">
        <f>IFERROR(VLOOKUP(C224,TRAOPE!$G:$H,2,0),"")</f>
        <v/>
      </c>
      <c r="E224" s="8" t="inlineStr">
        <is>
          <t>D845</t>
        </is>
      </c>
      <c r="F224" s="8" t="inlineStr">
        <is>
          <t>67318246</t>
        </is>
      </c>
      <c r="G224" s="8">
        <f>IFERROR(VLOOKUP(A224,Flete!$A:$E,5,0),"")</f>
        <v/>
      </c>
      <c r="H224" s="7">
        <f>IFERROR(VLOOKUP(F224,TRAOPE!$AA:$AB,2,0),"")</f>
        <v/>
      </c>
      <c r="I224" s="7" t="n">
        <v>10000656</v>
      </c>
      <c r="J224" s="7">
        <f>IFERROR(VLOOKUP(I224,Materiales!$A:$H,8,0),"")</f>
        <v/>
      </c>
      <c r="K224" s="9">
        <f>IFERROR(VLOOKUP(I224,Materiales!$A:$G,7,0),"")</f>
        <v/>
      </c>
      <c r="L224" s="8" t="inlineStr">
        <is>
          <t>20260122</t>
        </is>
      </c>
      <c r="M224" s="8" t="inlineStr">
        <is>
          <t>99991231</t>
        </is>
      </c>
      <c r="N224" s="10" t="n">
        <v>179</v>
      </c>
      <c r="O224" s="10">
        <f>IFERROR(VLOOKUP(A224,Flete!$A:$J,10,0),"")</f>
        <v/>
      </c>
      <c r="P224" s="8" t="inlineStr">
        <is>
          <t>TN</t>
        </is>
      </c>
      <c r="Q224" s="10">
        <f>IFERROR(IFERROR(VLOOKUP(A224,TRAOPE!$A:$U,21,0),VLOOKUP(B224,TRAOPE!$A:$U,21,0)),"")</f>
        <v/>
      </c>
      <c r="R224" s="8">
        <f>IFERROR(IFERROR(VLOOKUP(A224,TRAOPE!$A:$W,23,0),VLOOKUP(B224,TRAOPE!$A:$W,23,0)),"")</f>
        <v/>
      </c>
      <c r="S224" s="10">
        <f>IF(AND(P224="TN",R224="TN"),N224+N(O224),IF(G224&amp;""="1",N(K224)*N224,(N224+N(O224))*N(K224)))</f>
        <v/>
      </c>
      <c r="T224" s="10">
        <f>IF(Q224="","",Q224-S224)</f>
        <v/>
      </c>
    </row>
    <row r="225">
      <c r="A225" s="7">
        <f>CONCATENATE(C225,E225,F225,I225)</f>
        <v/>
      </c>
      <c r="B225" s="7">
        <f>CONCATENATE(C225,E225,I225)</f>
        <v/>
      </c>
      <c r="C225" s="8" t="n">
        <v>900006074</v>
      </c>
      <c r="D225" s="7">
        <f>IFERROR(VLOOKUP(C225,TRAOPE!$G:$H,2,0),"")</f>
        <v/>
      </c>
      <c r="E225" s="8" t="inlineStr">
        <is>
          <t>D845</t>
        </is>
      </c>
      <c r="F225" s="8" t="inlineStr">
        <is>
          <t>67318363</t>
        </is>
      </c>
      <c r="G225" s="8">
        <f>IFERROR(VLOOKUP(A225,Flete!$A:$E,5,0),"")</f>
        <v/>
      </c>
      <c r="H225" s="7">
        <f>IFERROR(VLOOKUP(F225,TRAOPE!$AA:$AB,2,0),"")</f>
        <v/>
      </c>
      <c r="I225" s="7" t="n">
        <v>10167749</v>
      </c>
      <c r="J225" s="7">
        <f>IFERROR(VLOOKUP(I225,Materiales!$A:$H,8,0),"")</f>
        <v/>
      </c>
      <c r="K225" s="9">
        <f>IFERROR(VLOOKUP(I225,Materiales!$A:$G,7,0),"")</f>
        <v/>
      </c>
      <c r="L225" s="8" t="inlineStr">
        <is>
          <t>20250425</t>
        </is>
      </c>
      <c r="M225" s="8" t="inlineStr">
        <is>
          <t>99991231</t>
        </is>
      </c>
      <c r="N225" s="10" t="n">
        <v>200</v>
      </c>
      <c r="O225" s="10">
        <f>IFERROR(VLOOKUP(A225,Flete!$A:$J,10,0),"")</f>
        <v/>
      </c>
      <c r="P225" s="8" t="inlineStr">
        <is>
          <t>TN</t>
        </is>
      </c>
      <c r="Q225" s="10">
        <f>IFERROR(IFERROR(VLOOKUP(A225,TRAOPE!$A:$U,21,0),VLOOKUP(B225,TRAOPE!$A:$U,21,0)),"")</f>
        <v/>
      </c>
      <c r="R225" s="8">
        <f>IFERROR(IFERROR(VLOOKUP(A225,TRAOPE!$A:$W,23,0),VLOOKUP(B225,TRAOPE!$A:$W,23,0)),"")</f>
        <v/>
      </c>
      <c r="S225" s="10">
        <f>IF(AND(P225="TN",R225="TN"),N225+N(O225),IF(G225&amp;""="1",N(K225)*N225,(N225+N(O225))*N(K225)))</f>
        <v/>
      </c>
      <c r="T225" s="10">
        <f>IF(Q225="","",Q225-S225)</f>
        <v/>
      </c>
    </row>
    <row r="226">
      <c r="A226" s="7">
        <f>CONCATENATE(C226,E226,F226,I226)</f>
        <v/>
      </c>
      <c r="B226" s="7">
        <f>CONCATENATE(C226,E226,I226)</f>
        <v/>
      </c>
      <c r="C226" s="8" t="n">
        <v>900006074</v>
      </c>
      <c r="D226" s="7">
        <f>IFERROR(VLOOKUP(C226,TRAOPE!$G:$H,2,0),"")</f>
        <v/>
      </c>
      <c r="E226" s="8" t="inlineStr">
        <is>
          <t>D845</t>
        </is>
      </c>
      <c r="F226" s="8" t="inlineStr">
        <is>
          <t>67319817</t>
        </is>
      </c>
      <c r="G226" s="8">
        <f>IFERROR(VLOOKUP(A226,Flete!$A:$E,5,0),"")</f>
        <v/>
      </c>
      <c r="H226" s="7">
        <f>IFERROR(VLOOKUP(F226,TRAOPE!$AA:$AB,2,0),"")</f>
        <v/>
      </c>
      <c r="I226" s="7" t="n">
        <v>10167749</v>
      </c>
      <c r="J226" s="7">
        <f>IFERROR(VLOOKUP(I226,Materiales!$A:$H,8,0),"")</f>
        <v/>
      </c>
      <c r="K226" s="9">
        <f>IFERROR(VLOOKUP(I226,Materiales!$A:$G,7,0),"")</f>
        <v/>
      </c>
      <c r="L226" s="8" t="inlineStr">
        <is>
          <t>20250509</t>
        </is>
      </c>
      <c r="M226" s="8" t="inlineStr">
        <is>
          <t>99991231</t>
        </is>
      </c>
      <c r="N226" s="10" t="n">
        <v>205</v>
      </c>
      <c r="O226" s="10">
        <f>IFERROR(VLOOKUP(A226,Flete!$A:$J,10,0),"")</f>
        <v/>
      </c>
      <c r="P226" s="8" t="inlineStr">
        <is>
          <t>TN</t>
        </is>
      </c>
      <c r="Q226" s="10">
        <f>IFERROR(IFERROR(VLOOKUP(A226,TRAOPE!$A:$U,21,0),VLOOKUP(B226,TRAOPE!$A:$U,21,0)),"")</f>
        <v/>
      </c>
      <c r="R226" s="8">
        <f>IFERROR(IFERROR(VLOOKUP(A226,TRAOPE!$A:$W,23,0),VLOOKUP(B226,TRAOPE!$A:$W,23,0)),"")</f>
        <v/>
      </c>
      <c r="S226" s="10">
        <f>IF(AND(P226="TN",R226="TN"),N226+N(O226),IF(G226&amp;""="1",N(K226)*N226,(N226+N(O226))*N(K226)))</f>
        <v/>
      </c>
      <c r="T226" s="10">
        <f>IF(Q226="","",Q226-S226)</f>
        <v/>
      </c>
    </row>
    <row r="227">
      <c r="A227" s="7">
        <f>CONCATENATE(C227,E227,F227,I227)</f>
        <v/>
      </c>
      <c r="B227" s="7">
        <f>CONCATENATE(C227,E227,I227)</f>
        <v/>
      </c>
      <c r="C227" s="8" t="n">
        <v>900006074</v>
      </c>
      <c r="D227" s="7">
        <f>IFERROR(VLOOKUP(C227,TRAOPE!$G:$H,2,0),"")</f>
        <v/>
      </c>
      <c r="E227" s="8" t="inlineStr">
        <is>
          <t>D845</t>
        </is>
      </c>
      <c r="F227" s="8" t="inlineStr">
        <is>
          <t>67341472</t>
        </is>
      </c>
      <c r="G227" s="8">
        <f>IFERROR(VLOOKUP(A227,Flete!$A:$E,5,0),"")</f>
        <v/>
      </c>
      <c r="H227" s="7">
        <f>IFERROR(VLOOKUP(F227,TRAOPE!$AA:$AB,2,0),"")</f>
        <v/>
      </c>
      <c r="I227" s="7" t="n">
        <v>10000536</v>
      </c>
      <c r="J227" s="7">
        <f>IFERROR(VLOOKUP(I227,Materiales!$A:$H,8,0),"")</f>
        <v/>
      </c>
      <c r="K227" s="9">
        <f>IFERROR(VLOOKUP(I227,Materiales!$A:$G,7,0),"")</f>
        <v/>
      </c>
      <c r="L227" s="8" t="inlineStr">
        <is>
          <t>20251015</t>
        </is>
      </c>
      <c r="M227" s="8" t="inlineStr">
        <is>
          <t>99991231</t>
        </is>
      </c>
      <c r="N227" s="10" t="n">
        <v>202</v>
      </c>
      <c r="O227" s="10">
        <f>IFERROR(VLOOKUP(A227,Flete!$A:$J,10,0),"")</f>
        <v/>
      </c>
      <c r="P227" s="8" t="inlineStr">
        <is>
          <t>TN</t>
        </is>
      </c>
      <c r="Q227" s="10">
        <f>IFERROR(IFERROR(VLOOKUP(A227,TRAOPE!$A:$U,21,0),VLOOKUP(B227,TRAOPE!$A:$U,21,0)),"")</f>
        <v/>
      </c>
      <c r="R227" s="8">
        <f>IFERROR(IFERROR(VLOOKUP(A227,TRAOPE!$A:$W,23,0),VLOOKUP(B227,TRAOPE!$A:$W,23,0)),"")</f>
        <v/>
      </c>
      <c r="S227" s="10">
        <f>IF(AND(P227="TN",R227="TN"),N227+N(O227),IF(G227&amp;""="1",N(K227)*N227,(N227+N(O227))*N(K227)))</f>
        <v/>
      </c>
      <c r="T227" s="10">
        <f>IF(Q227="","",Q227-S227)</f>
        <v/>
      </c>
    </row>
    <row r="228">
      <c r="A228" s="7">
        <f>CONCATENATE(C228,E228,F228,I228)</f>
        <v/>
      </c>
      <c r="B228" s="7">
        <f>CONCATENATE(C228,E228,I228)</f>
        <v/>
      </c>
      <c r="C228" s="8" t="n">
        <v>900006074</v>
      </c>
      <c r="D228" s="7">
        <f>IFERROR(VLOOKUP(C228,TRAOPE!$G:$H,2,0),"")</f>
        <v/>
      </c>
      <c r="E228" s="8" t="inlineStr">
        <is>
          <t>D845</t>
        </is>
      </c>
      <c r="F228" s="8" t="inlineStr">
        <is>
          <t>67341472</t>
        </is>
      </c>
      <c r="G228" s="8">
        <f>IFERROR(VLOOKUP(A228,Flete!$A:$E,5,0),"")</f>
        <v/>
      </c>
      <c r="H228" s="7">
        <f>IFERROR(VLOOKUP(F228,TRAOPE!$AA:$AB,2,0),"")</f>
        <v/>
      </c>
      <c r="I228" s="7" t="n">
        <v>10000578</v>
      </c>
      <c r="J228" s="7">
        <f>IFERROR(VLOOKUP(I228,Materiales!$A:$H,8,0),"")</f>
        <v/>
      </c>
      <c r="K228" s="9">
        <f>IFERROR(VLOOKUP(I228,Materiales!$A:$G,7,0),"")</f>
        <v/>
      </c>
      <c r="L228" s="8" t="inlineStr">
        <is>
          <t>20251015</t>
        </is>
      </c>
      <c r="M228" s="8" t="inlineStr">
        <is>
          <t>99991231</t>
        </is>
      </c>
      <c r="N228" s="10" t="n">
        <v>202</v>
      </c>
      <c r="O228" s="10">
        <f>IFERROR(VLOOKUP(A228,Flete!$A:$J,10,0),"")</f>
        <v/>
      </c>
      <c r="P228" s="8" t="inlineStr">
        <is>
          <t>TN</t>
        </is>
      </c>
      <c r="Q228" s="10">
        <f>IFERROR(IFERROR(VLOOKUP(A228,TRAOPE!$A:$U,21,0),VLOOKUP(B228,TRAOPE!$A:$U,21,0)),"")</f>
        <v/>
      </c>
      <c r="R228" s="8">
        <f>IFERROR(IFERROR(VLOOKUP(A228,TRAOPE!$A:$W,23,0),VLOOKUP(B228,TRAOPE!$A:$W,23,0)),"")</f>
        <v/>
      </c>
      <c r="S228" s="10">
        <f>IF(AND(P228="TN",R228="TN"),N228+N(O228),IF(G228&amp;""="1",N(K228)*N228,(N228+N(O228))*N(K228)))</f>
        <v/>
      </c>
      <c r="T228" s="10">
        <f>IF(Q228="","",Q228-S228)</f>
        <v/>
      </c>
    </row>
    <row r="229">
      <c r="A229" s="7">
        <f>CONCATENATE(C229,E229,F229,I229)</f>
        <v/>
      </c>
      <c r="B229" s="7">
        <f>CONCATENATE(C229,E229,I229)</f>
        <v/>
      </c>
      <c r="C229" s="8" t="n">
        <v>900006074</v>
      </c>
      <c r="D229" s="7">
        <f>IFERROR(VLOOKUP(C229,TRAOPE!$G:$H,2,0),"")</f>
        <v/>
      </c>
      <c r="E229" s="8" t="inlineStr">
        <is>
          <t>D845</t>
        </is>
      </c>
      <c r="F229" s="8" t="inlineStr">
        <is>
          <t>67341472</t>
        </is>
      </c>
      <c r="G229" s="8">
        <f>IFERROR(VLOOKUP(A229,Flete!$A:$E,5,0),"")</f>
        <v/>
      </c>
      <c r="H229" s="7">
        <f>IFERROR(VLOOKUP(F229,TRAOPE!$AA:$AB,2,0),"")</f>
        <v/>
      </c>
      <c r="I229" s="7" t="n">
        <v>10000617</v>
      </c>
      <c r="J229" s="7">
        <f>IFERROR(VLOOKUP(I229,Materiales!$A:$H,8,0),"")</f>
        <v/>
      </c>
      <c r="K229" s="9">
        <f>IFERROR(VLOOKUP(I229,Materiales!$A:$G,7,0),"")</f>
        <v/>
      </c>
      <c r="L229" s="8" t="inlineStr">
        <is>
          <t>20251015</t>
        </is>
      </c>
      <c r="M229" s="8" t="inlineStr">
        <is>
          <t>99991231</t>
        </is>
      </c>
      <c r="N229" s="10" t="n">
        <v>209</v>
      </c>
      <c r="O229" s="10">
        <f>IFERROR(VLOOKUP(A229,Flete!$A:$J,10,0),"")</f>
        <v/>
      </c>
      <c r="P229" s="8" t="inlineStr">
        <is>
          <t>TN</t>
        </is>
      </c>
      <c r="Q229" s="10">
        <f>IFERROR(IFERROR(VLOOKUP(A229,TRAOPE!$A:$U,21,0),VLOOKUP(B229,TRAOPE!$A:$U,21,0)),"")</f>
        <v/>
      </c>
      <c r="R229" s="8">
        <f>IFERROR(IFERROR(VLOOKUP(A229,TRAOPE!$A:$W,23,0),VLOOKUP(B229,TRAOPE!$A:$W,23,0)),"")</f>
        <v/>
      </c>
      <c r="S229" s="10">
        <f>IF(AND(P229="TN",R229="TN"),N229+N(O229),IF(G229&amp;""="1",N(K229)*N229,(N229+N(O229))*N(K229)))</f>
        <v/>
      </c>
      <c r="T229" s="10">
        <f>IF(Q229="","",Q229-S229)</f>
        <v/>
      </c>
    </row>
    <row r="230">
      <c r="A230" s="7">
        <f>CONCATENATE(C230,E230,F230,I230)</f>
        <v/>
      </c>
      <c r="B230" s="7">
        <f>CONCATENATE(C230,E230,I230)</f>
        <v/>
      </c>
      <c r="C230" s="8" t="n">
        <v>900006074</v>
      </c>
      <c r="D230" s="7">
        <f>IFERROR(VLOOKUP(C230,TRAOPE!$G:$H,2,0),"")</f>
        <v/>
      </c>
      <c r="E230" s="8" t="inlineStr">
        <is>
          <t>D845</t>
        </is>
      </c>
      <c r="F230" s="8" t="inlineStr">
        <is>
          <t>67341472</t>
        </is>
      </c>
      <c r="G230" s="8">
        <f>IFERROR(VLOOKUP(A230,Flete!$A:$E,5,0),"")</f>
        <v/>
      </c>
      <c r="H230" s="7">
        <f>IFERROR(VLOOKUP(F230,TRAOPE!$AA:$AB,2,0),"")</f>
        <v/>
      </c>
      <c r="I230" s="7" t="n">
        <v>10167749</v>
      </c>
      <c r="J230" s="7">
        <f>IFERROR(VLOOKUP(I230,Materiales!$A:$H,8,0),"")</f>
        <v/>
      </c>
      <c r="K230" s="9">
        <f>IFERROR(VLOOKUP(I230,Materiales!$A:$G,7,0),"")</f>
        <v/>
      </c>
      <c r="L230" s="8" t="inlineStr">
        <is>
          <t>20251015</t>
        </is>
      </c>
      <c r="M230" s="8" t="inlineStr">
        <is>
          <t>99991231</t>
        </is>
      </c>
      <c r="N230" s="10" t="n">
        <v>202</v>
      </c>
      <c r="O230" s="10">
        <f>IFERROR(VLOOKUP(A230,Flete!$A:$J,10,0),"")</f>
        <v/>
      </c>
      <c r="P230" s="8" t="inlineStr">
        <is>
          <t>TN</t>
        </is>
      </c>
      <c r="Q230" s="10">
        <f>IFERROR(IFERROR(VLOOKUP(A230,TRAOPE!$A:$U,21,0),VLOOKUP(B230,TRAOPE!$A:$U,21,0)),"")</f>
        <v/>
      </c>
      <c r="R230" s="8">
        <f>IFERROR(IFERROR(VLOOKUP(A230,TRAOPE!$A:$W,23,0),VLOOKUP(B230,TRAOPE!$A:$W,23,0)),"")</f>
        <v/>
      </c>
      <c r="S230" s="10">
        <f>IF(AND(P230="TN",R230="TN"),N230+N(O230),IF(G230&amp;""="1",N(K230)*N230,(N230+N(O230))*N(K230)))</f>
        <v/>
      </c>
      <c r="T230" s="10">
        <f>IF(Q230="","",Q230-S230)</f>
        <v/>
      </c>
    </row>
    <row r="231">
      <c r="A231" s="7">
        <f>CONCATENATE(C231,E231,F231,I231)</f>
        <v/>
      </c>
      <c r="B231" s="7">
        <f>CONCATENATE(C231,E231,I231)</f>
        <v/>
      </c>
      <c r="C231" s="8" t="n">
        <v>900006074</v>
      </c>
      <c r="D231" s="7">
        <f>IFERROR(VLOOKUP(C231,TRAOPE!$G:$H,2,0),"")</f>
        <v/>
      </c>
      <c r="E231" s="8" t="inlineStr">
        <is>
          <t>D845</t>
        </is>
      </c>
      <c r="F231" s="8" t="inlineStr">
        <is>
          <t>67346094</t>
        </is>
      </c>
      <c r="G231" s="8">
        <f>IFERROR(VLOOKUP(A231,Flete!$A:$E,5,0),"")</f>
        <v/>
      </c>
      <c r="H231" s="7">
        <f>IFERROR(VLOOKUP(F231,TRAOPE!$AA:$AB,2,0),"")</f>
        <v/>
      </c>
      <c r="I231" s="7" t="n">
        <v>10058501</v>
      </c>
      <c r="J231" s="7">
        <f>IFERROR(VLOOKUP(I231,Materiales!$A:$H,8,0),"")</f>
        <v/>
      </c>
      <c r="K231" s="9">
        <f>IFERROR(VLOOKUP(I231,Materiales!$A:$G,7,0),"")</f>
        <v/>
      </c>
      <c r="L231" s="8" t="inlineStr">
        <is>
          <t>20251031</t>
        </is>
      </c>
      <c r="M231" s="8" t="inlineStr">
        <is>
          <t>99991231</t>
        </is>
      </c>
      <c r="N231" s="10" t="n">
        <v>192</v>
      </c>
      <c r="O231" s="10">
        <f>IFERROR(VLOOKUP(A231,Flete!$A:$J,10,0),"")</f>
        <v/>
      </c>
      <c r="P231" s="8" t="inlineStr">
        <is>
          <t>TN</t>
        </is>
      </c>
      <c r="Q231" s="10">
        <f>IFERROR(IFERROR(VLOOKUP(A231,TRAOPE!$A:$U,21,0),VLOOKUP(B231,TRAOPE!$A:$U,21,0)),"")</f>
        <v/>
      </c>
      <c r="R231" s="8">
        <f>IFERROR(IFERROR(VLOOKUP(A231,TRAOPE!$A:$W,23,0),VLOOKUP(B231,TRAOPE!$A:$W,23,0)),"")</f>
        <v/>
      </c>
      <c r="S231" s="10">
        <f>IF(AND(P231="TN",R231="TN"),N231+N(O231),IF(G231&amp;""="1",N(K231)*N231,(N231+N(O231))*N(K231)))</f>
        <v/>
      </c>
      <c r="T231" s="10">
        <f>IF(Q231="","",Q231-S231)</f>
        <v/>
      </c>
    </row>
    <row r="232">
      <c r="A232" s="7">
        <f>CONCATENATE(C232,E232,F232,I232)</f>
        <v/>
      </c>
      <c r="B232" s="7">
        <f>CONCATENATE(C232,E232,I232)</f>
        <v/>
      </c>
      <c r="C232" s="8" t="n">
        <v>900006074</v>
      </c>
      <c r="D232" s="7">
        <f>IFERROR(VLOOKUP(C232,TRAOPE!$G:$H,2,0),"")</f>
        <v/>
      </c>
      <c r="E232" s="8" t="inlineStr">
        <is>
          <t>D845</t>
        </is>
      </c>
      <c r="F232" s="8" t="inlineStr">
        <is>
          <t>67346094</t>
        </is>
      </c>
      <c r="G232" s="8">
        <f>IFERROR(VLOOKUP(A232,Flete!$A:$E,5,0),"")</f>
        <v/>
      </c>
      <c r="H232" s="7">
        <f>IFERROR(VLOOKUP(F232,TRAOPE!$AA:$AB,2,0),"")</f>
        <v/>
      </c>
      <c r="I232" s="7" t="n">
        <v>10167749</v>
      </c>
      <c r="J232" s="7">
        <f>IFERROR(VLOOKUP(I232,Materiales!$A:$H,8,0),"")</f>
        <v/>
      </c>
      <c r="K232" s="9">
        <f>IFERROR(VLOOKUP(I232,Materiales!$A:$G,7,0),"")</f>
        <v/>
      </c>
      <c r="L232" s="8" t="inlineStr">
        <is>
          <t>20251031</t>
        </is>
      </c>
      <c r="M232" s="8" t="inlineStr">
        <is>
          <t>99991231</t>
        </is>
      </c>
      <c r="N232" s="10" t="n">
        <v>202</v>
      </c>
      <c r="O232" s="10">
        <f>IFERROR(VLOOKUP(A232,Flete!$A:$J,10,0),"")</f>
        <v/>
      </c>
      <c r="P232" s="8" t="inlineStr">
        <is>
          <t>TN</t>
        </is>
      </c>
      <c r="Q232" s="10">
        <f>IFERROR(IFERROR(VLOOKUP(A232,TRAOPE!$A:$U,21,0),VLOOKUP(B232,TRAOPE!$A:$U,21,0)),"")</f>
        <v/>
      </c>
      <c r="R232" s="8">
        <f>IFERROR(IFERROR(VLOOKUP(A232,TRAOPE!$A:$W,23,0),VLOOKUP(B232,TRAOPE!$A:$W,23,0)),"")</f>
        <v/>
      </c>
      <c r="S232" s="10">
        <f>IF(AND(P232="TN",R232="TN"),N232+N(O232),IF(G232&amp;""="1",N(K232)*N232,(N232+N(O232))*N(K232)))</f>
        <v/>
      </c>
      <c r="T232" s="10">
        <f>IF(Q232="","",Q232-S232)</f>
        <v/>
      </c>
    </row>
    <row r="233">
      <c r="A233" s="7">
        <f>CONCATENATE(C233,E233,F233,I233)</f>
        <v/>
      </c>
      <c r="B233" s="7">
        <f>CONCATENATE(C233,E233,I233)</f>
        <v/>
      </c>
      <c r="C233" s="8" t="n">
        <v>900006074</v>
      </c>
      <c r="D233" s="7">
        <f>IFERROR(VLOOKUP(C233,TRAOPE!$G:$H,2,0),"")</f>
        <v/>
      </c>
      <c r="E233" s="8" t="inlineStr">
        <is>
          <t>D845</t>
        </is>
      </c>
      <c r="F233" s="8" t="inlineStr">
        <is>
          <t>67348089</t>
        </is>
      </c>
      <c r="G233" s="8">
        <f>IFERROR(VLOOKUP(A233,Flete!$A:$E,5,0),"")</f>
        <v/>
      </c>
      <c r="H233" s="7">
        <f>IFERROR(VLOOKUP(F233,TRAOPE!$AA:$AB,2,0),"")</f>
        <v/>
      </c>
      <c r="I233" s="7" t="n">
        <v>10167749</v>
      </c>
      <c r="J233" s="7">
        <f>IFERROR(VLOOKUP(I233,Materiales!$A:$H,8,0),"")</f>
        <v/>
      </c>
      <c r="K233" s="9">
        <f>IFERROR(VLOOKUP(I233,Materiales!$A:$G,7,0),"")</f>
        <v/>
      </c>
      <c r="L233" s="8" t="inlineStr">
        <is>
          <t>20251118</t>
        </is>
      </c>
      <c r="M233" s="8" t="inlineStr">
        <is>
          <t>99991231</t>
        </is>
      </c>
      <c r="N233" s="10" t="n">
        <v>202</v>
      </c>
      <c r="O233" s="10">
        <f>IFERROR(VLOOKUP(A233,Flete!$A:$J,10,0),"")</f>
        <v/>
      </c>
      <c r="P233" s="8" t="inlineStr">
        <is>
          <t>TN</t>
        </is>
      </c>
      <c r="Q233" s="10">
        <f>IFERROR(IFERROR(VLOOKUP(A233,TRAOPE!$A:$U,21,0),VLOOKUP(B233,TRAOPE!$A:$U,21,0)),"")</f>
        <v/>
      </c>
      <c r="R233" s="8">
        <f>IFERROR(IFERROR(VLOOKUP(A233,TRAOPE!$A:$W,23,0),VLOOKUP(B233,TRAOPE!$A:$W,23,0)),"")</f>
        <v/>
      </c>
      <c r="S233" s="10">
        <f>IF(AND(P233="TN",R233="TN"),N233+N(O233),IF(G233&amp;""="1",N(K233)*N233,(N233+N(O233))*N(K233)))</f>
        <v/>
      </c>
      <c r="T233" s="10">
        <f>IF(Q233="","",Q233-S233)</f>
        <v/>
      </c>
    </row>
    <row r="234">
      <c r="A234" s="7">
        <f>CONCATENATE(C234,E234,F234,I234)</f>
        <v/>
      </c>
      <c r="B234" s="7">
        <f>CONCATENATE(C234,E234,I234)</f>
        <v/>
      </c>
      <c r="C234" s="8" t="n">
        <v>900006074</v>
      </c>
      <c r="D234" s="7">
        <f>IFERROR(VLOOKUP(C234,TRAOPE!$G:$H,2,0),"")</f>
        <v/>
      </c>
      <c r="E234" s="8" t="inlineStr">
        <is>
          <t>D845</t>
        </is>
      </c>
      <c r="F234" s="8" t="inlineStr">
        <is>
          <t>67348544</t>
        </is>
      </c>
      <c r="G234" s="8">
        <f>IFERROR(VLOOKUP(A234,Flete!$A:$E,5,0),"")</f>
        <v/>
      </c>
      <c r="H234" s="7">
        <f>IFERROR(VLOOKUP(F234,TRAOPE!$AA:$AB,2,0),"")</f>
        <v/>
      </c>
      <c r="I234" s="7" t="n">
        <v>10167749</v>
      </c>
      <c r="J234" s="7">
        <f>IFERROR(VLOOKUP(I234,Materiales!$A:$H,8,0),"")</f>
        <v/>
      </c>
      <c r="K234" s="9">
        <f>IFERROR(VLOOKUP(I234,Materiales!$A:$G,7,0),"")</f>
        <v/>
      </c>
      <c r="L234" s="8" t="inlineStr">
        <is>
          <t>20251118</t>
        </is>
      </c>
      <c r="M234" s="8" t="inlineStr">
        <is>
          <t>99991231</t>
        </is>
      </c>
      <c r="N234" s="10" t="n">
        <v>202</v>
      </c>
      <c r="O234" s="10">
        <f>IFERROR(VLOOKUP(A234,Flete!$A:$J,10,0),"")</f>
        <v/>
      </c>
      <c r="P234" s="8" t="inlineStr">
        <is>
          <t>TN</t>
        </is>
      </c>
      <c r="Q234" s="10">
        <f>IFERROR(IFERROR(VLOOKUP(A234,TRAOPE!$A:$U,21,0),VLOOKUP(B234,TRAOPE!$A:$U,21,0)),"")</f>
        <v/>
      </c>
      <c r="R234" s="8">
        <f>IFERROR(IFERROR(VLOOKUP(A234,TRAOPE!$A:$W,23,0),VLOOKUP(B234,TRAOPE!$A:$W,23,0)),"")</f>
        <v/>
      </c>
      <c r="S234" s="10">
        <f>IF(AND(P234="TN",R234="TN"),N234+N(O234),IF(G234&amp;""="1",N(K234)*N234,(N234+N(O234))*N(K234)))</f>
        <v/>
      </c>
      <c r="T234" s="10">
        <f>IF(Q234="","",Q234-S234)</f>
        <v/>
      </c>
    </row>
    <row r="235">
      <c r="A235" s="7">
        <f>CONCATENATE(C235,E235,F235,I235)</f>
        <v/>
      </c>
      <c r="B235" s="7">
        <f>CONCATENATE(C235,E235,I235)</f>
        <v/>
      </c>
      <c r="C235" s="8" t="n">
        <v>900006074</v>
      </c>
      <c r="D235" s="7">
        <f>IFERROR(VLOOKUP(C235,TRAOPE!$G:$H,2,0),"")</f>
        <v/>
      </c>
      <c r="E235" s="8" t="inlineStr">
        <is>
          <t>D845</t>
        </is>
      </c>
      <c r="F235" s="8" t="inlineStr">
        <is>
          <t>67354957</t>
        </is>
      </c>
      <c r="G235" s="8">
        <f>IFERROR(VLOOKUP(A235,Flete!$A:$E,5,0),"")</f>
        <v/>
      </c>
      <c r="H235" s="7">
        <f>IFERROR(VLOOKUP(F235,TRAOPE!$AA:$AB,2,0),"")</f>
        <v/>
      </c>
      <c r="I235" s="7" t="n">
        <v>10167749</v>
      </c>
      <c r="J235" s="7">
        <f>IFERROR(VLOOKUP(I235,Materiales!$A:$H,8,0),"")</f>
        <v/>
      </c>
      <c r="K235" s="9">
        <f>IFERROR(VLOOKUP(I235,Materiales!$A:$G,7,0),"")</f>
        <v/>
      </c>
      <c r="L235" s="8" t="inlineStr">
        <is>
          <t>20251128</t>
        </is>
      </c>
      <c r="M235" s="8" t="inlineStr">
        <is>
          <t>99991231</t>
        </is>
      </c>
      <c r="N235" s="10" t="n">
        <v>200</v>
      </c>
      <c r="O235" s="10">
        <f>IFERROR(VLOOKUP(A235,Flete!$A:$J,10,0),"")</f>
        <v/>
      </c>
      <c r="P235" s="8" t="inlineStr">
        <is>
          <t>TN</t>
        </is>
      </c>
      <c r="Q235" s="10">
        <f>IFERROR(IFERROR(VLOOKUP(A235,TRAOPE!$A:$U,21,0),VLOOKUP(B235,TRAOPE!$A:$U,21,0)),"")</f>
        <v/>
      </c>
      <c r="R235" s="8">
        <f>IFERROR(IFERROR(VLOOKUP(A235,TRAOPE!$A:$W,23,0),VLOOKUP(B235,TRAOPE!$A:$W,23,0)),"")</f>
        <v/>
      </c>
      <c r="S235" s="10">
        <f>IF(AND(P235="TN",R235="TN"),N235+N(O235),IF(G235&amp;""="1",N(K235)*N235,(N235+N(O235))*N(K235)))</f>
        <v/>
      </c>
      <c r="T235" s="10">
        <f>IF(Q235="","",Q235-S235)</f>
        <v/>
      </c>
    </row>
    <row r="236">
      <c r="A236" s="7">
        <f>CONCATENATE(C236,E236,F236,I236)</f>
        <v/>
      </c>
      <c r="B236" s="7">
        <f>CONCATENATE(C236,E236,I236)</f>
        <v/>
      </c>
      <c r="C236" s="8" t="n">
        <v>900006074</v>
      </c>
      <c r="D236" s="7">
        <f>IFERROR(VLOOKUP(C236,TRAOPE!$G:$H,2,0),"")</f>
        <v/>
      </c>
      <c r="E236" s="8" t="inlineStr">
        <is>
          <t>D845</t>
        </is>
      </c>
      <c r="F236" s="8" t="inlineStr">
        <is>
          <t>67355897</t>
        </is>
      </c>
      <c r="G236" s="8">
        <f>IFERROR(VLOOKUP(A236,Flete!$A:$E,5,0),"")</f>
        <v/>
      </c>
      <c r="H236" s="7">
        <f>IFERROR(VLOOKUP(F236,TRAOPE!$AA:$AB,2,0),"")</f>
        <v/>
      </c>
      <c r="I236" s="7" t="n">
        <v>10000536</v>
      </c>
      <c r="J236" s="7">
        <f>IFERROR(VLOOKUP(I236,Materiales!$A:$H,8,0),"")</f>
        <v/>
      </c>
      <c r="K236" s="9">
        <f>IFERROR(VLOOKUP(I236,Materiales!$A:$G,7,0),"")</f>
        <v/>
      </c>
      <c r="L236" s="8" t="inlineStr">
        <is>
          <t>20260123</t>
        </is>
      </c>
      <c r="M236" s="8" t="inlineStr">
        <is>
          <t>99991231</t>
        </is>
      </c>
      <c r="N236" s="10" t="n">
        <v>205</v>
      </c>
      <c r="O236" s="10">
        <f>IFERROR(VLOOKUP(A236,Flete!$A:$J,10,0),"")</f>
        <v/>
      </c>
      <c r="P236" s="8" t="inlineStr">
        <is>
          <t>TN</t>
        </is>
      </c>
      <c r="Q236" s="10">
        <f>IFERROR(IFERROR(VLOOKUP(A236,TRAOPE!$A:$U,21,0),VLOOKUP(B236,TRAOPE!$A:$U,21,0)),"")</f>
        <v/>
      </c>
      <c r="R236" s="8">
        <f>IFERROR(IFERROR(VLOOKUP(A236,TRAOPE!$A:$W,23,0),VLOOKUP(B236,TRAOPE!$A:$W,23,0)),"")</f>
        <v/>
      </c>
      <c r="S236" s="10">
        <f>IF(AND(P236="TN",R236="TN"),N236+N(O236),IF(G236&amp;""="1",N(K236)*N236,(N236+N(O236))*N(K236)))</f>
        <v/>
      </c>
      <c r="T236" s="10">
        <f>IF(Q236="","",Q236-S236)</f>
        <v/>
      </c>
    </row>
    <row r="237">
      <c r="A237" s="7">
        <f>CONCATENATE(C237,E237,F237,I237)</f>
        <v/>
      </c>
      <c r="B237" s="7">
        <f>CONCATENATE(C237,E237,I237)</f>
        <v/>
      </c>
      <c r="C237" s="8" t="n">
        <v>900006074</v>
      </c>
      <c r="D237" s="7">
        <f>IFERROR(VLOOKUP(C237,TRAOPE!$G:$H,2,0),"")</f>
        <v/>
      </c>
      <c r="E237" s="8" t="inlineStr">
        <is>
          <t>D845</t>
        </is>
      </c>
      <c r="F237" s="8" t="inlineStr">
        <is>
          <t>67355897</t>
        </is>
      </c>
      <c r="G237" s="8">
        <f>IFERROR(VLOOKUP(A237,Flete!$A:$E,5,0),"")</f>
        <v/>
      </c>
      <c r="H237" s="7">
        <f>IFERROR(VLOOKUP(F237,TRAOPE!$AA:$AB,2,0),"")</f>
        <v/>
      </c>
      <c r="I237" s="7" t="n">
        <v>10000578</v>
      </c>
      <c r="J237" s="7">
        <f>IFERROR(VLOOKUP(I237,Materiales!$A:$H,8,0),"")</f>
        <v/>
      </c>
      <c r="K237" s="9">
        <f>IFERROR(VLOOKUP(I237,Materiales!$A:$G,7,0),"")</f>
        <v/>
      </c>
      <c r="L237" s="8" t="inlineStr">
        <is>
          <t>20260123</t>
        </is>
      </c>
      <c r="M237" s="8" t="inlineStr">
        <is>
          <t>99991231</t>
        </is>
      </c>
      <c r="N237" s="10" t="n">
        <v>205</v>
      </c>
      <c r="O237" s="10">
        <f>IFERROR(VLOOKUP(A237,Flete!$A:$J,10,0),"")</f>
        <v/>
      </c>
      <c r="P237" s="8" t="inlineStr">
        <is>
          <t>TN</t>
        </is>
      </c>
      <c r="Q237" s="10">
        <f>IFERROR(IFERROR(VLOOKUP(A237,TRAOPE!$A:$U,21,0),VLOOKUP(B237,TRAOPE!$A:$U,21,0)),"")</f>
        <v/>
      </c>
      <c r="R237" s="8">
        <f>IFERROR(IFERROR(VLOOKUP(A237,TRAOPE!$A:$W,23,0),VLOOKUP(B237,TRAOPE!$A:$W,23,0)),"")</f>
        <v/>
      </c>
      <c r="S237" s="10">
        <f>IF(AND(P237="TN",R237="TN"),N237+N(O237),IF(G237&amp;""="1",N(K237)*N237,(N237+N(O237))*N(K237)))</f>
        <v/>
      </c>
      <c r="T237" s="10">
        <f>IF(Q237="","",Q237-S237)</f>
        <v/>
      </c>
    </row>
    <row r="238">
      <c r="A238" s="7">
        <f>CONCATENATE(C238,E238,F238,I238)</f>
        <v/>
      </c>
      <c r="B238" s="7">
        <f>CONCATENATE(C238,E238,I238)</f>
        <v/>
      </c>
      <c r="C238" s="8" t="n">
        <v>900006074</v>
      </c>
      <c r="D238" s="7">
        <f>IFERROR(VLOOKUP(C238,TRAOPE!$G:$H,2,0),"")</f>
        <v/>
      </c>
      <c r="E238" s="8" t="inlineStr">
        <is>
          <t>D845</t>
        </is>
      </c>
      <c r="F238" s="8" t="inlineStr">
        <is>
          <t>67355897</t>
        </is>
      </c>
      <c r="G238" s="8">
        <f>IFERROR(VLOOKUP(A238,Flete!$A:$E,5,0),"")</f>
        <v/>
      </c>
      <c r="H238" s="7">
        <f>IFERROR(VLOOKUP(F238,TRAOPE!$AA:$AB,2,0),"")</f>
        <v/>
      </c>
      <c r="I238" s="7" t="n">
        <v>10167749</v>
      </c>
      <c r="J238" s="7">
        <f>IFERROR(VLOOKUP(I238,Materiales!$A:$H,8,0),"")</f>
        <v/>
      </c>
      <c r="K238" s="9">
        <f>IFERROR(VLOOKUP(I238,Materiales!$A:$G,7,0),"")</f>
        <v/>
      </c>
      <c r="L238" s="8" t="inlineStr">
        <is>
          <t>20260123</t>
        </is>
      </c>
      <c r="M238" s="8" t="inlineStr">
        <is>
          <t>99991231</t>
        </is>
      </c>
      <c r="N238" s="10" t="n">
        <v>205</v>
      </c>
      <c r="O238" s="10">
        <f>IFERROR(VLOOKUP(A238,Flete!$A:$J,10,0),"")</f>
        <v/>
      </c>
      <c r="P238" s="8" t="inlineStr">
        <is>
          <t>TN</t>
        </is>
      </c>
      <c r="Q238" s="10">
        <f>IFERROR(IFERROR(VLOOKUP(A238,TRAOPE!$A:$U,21,0),VLOOKUP(B238,TRAOPE!$A:$U,21,0)),"")</f>
        <v/>
      </c>
      <c r="R238" s="8">
        <f>IFERROR(IFERROR(VLOOKUP(A238,TRAOPE!$A:$W,23,0),VLOOKUP(B238,TRAOPE!$A:$W,23,0)),"")</f>
        <v/>
      </c>
      <c r="S238" s="10">
        <f>IF(AND(P238="TN",R238="TN"),N238+N(O238),IF(G238&amp;""="1",N(K238)*N238,(N238+N(O238))*N(K238)))</f>
        <v/>
      </c>
      <c r="T238" s="10">
        <f>IF(Q238="","",Q238-S238)</f>
        <v/>
      </c>
    </row>
    <row r="239">
      <c r="A239" s="7">
        <f>CONCATENATE(C239,E239,F239,I239)</f>
        <v/>
      </c>
      <c r="B239" s="7">
        <f>CONCATENATE(C239,E239,I239)</f>
        <v/>
      </c>
      <c r="C239" s="8" t="n">
        <v>900006074</v>
      </c>
      <c r="D239" s="7">
        <f>IFERROR(VLOOKUP(C239,TRAOPE!$G:$H,2,0),"")</f>
        <v/>
      </c>
      <c r="E239" s="8" t="inlineStr">
        <is>
          <t>D845</t>
        </is>
      </c>
      <c r="F239" s="8" t="inlineStr">
        <is>
          <t>67374671</t>
        </is>
      </c>
      <c r="G239" s="8">
        <f>IFERROR(VLOOKUP(A239,Flete!$A:$E,5,0),"")</f>
        <v/>
      </c>
      <c r="H239" s="7">
        <f>IFERROR(VLOOKUP(F239,TRAOPE!$AA:$AB,2,0),"")</f>
        <v/>
      </c>
      <c r="I239" s="7" t="n">
        <v>10167749</v>
      </c>
      <c r="J239" s="7">
        <f>IFERROR(VLOOKUP(I239,Materiales!$A:$H,8,0),"")</f>
        <v/>
      </c>
      <c r="K239" s="9">
        <f>IFERROR(VLOOKUP(I239,Materiales!$A:$G,7,0),"")</f>
        <v/>
      </c>
      <c r="L239" s="8" t="inlineStr">
        <is>
          <t>20260417</t>
        </is>
      </c>
      <c r="M239" s="8" t="inlineStr">
        <is>
          <t>99991231</t>
        </is>
      </c>
      <c r="N239" s="10" t="n">
        <v>235</v>
      </c>
      <c r="O239" s="10">
        <f>IFERROR(VLOOKUP(A239,Flete!$A:$J,10,0),"")</f>
        <v/>
      </c>
      <c r="P239" s="8" t="inlineStr">
        <is>
          <t>TN</t>
        </is>
      </c>
      <c r="Q239" s="10">
        <f>IFERROR(IFERROR(VLOOKUP(A239,TRAOPE!$A:$U,21,0),VLOOKUP(B239,TRAOPE!$A:$U,21,0)),"")</f>
        <v/>
      </c>
      <c r="R239" s="8">
        <f>IFERROR(IFERROR(VLOOKUP(A239,TRAOPE!$A:$W,23,0),VLOOKUP(B239,TRAOPE!$A:$W,23,0)),"")</f>
        <v/>
      </c>
      <c r="S239" s="10">
        <f>IF(AND(P239="TN",R239="TN"),N239+N(O239),IF(G239&amp;""="1",N(K239)*N239,(N239+N(O239))*N(K239)))</f>
        <v/>
      </c>
      <c r="T239" s="10">
        <f>IF(Q239="","",Q239-S239)</f>
        <v/>
      </c>
    </row>
    <row r="240">
      <c r="A240" s="7">
        <f>CONCATENATE(C240,E240,F240,I240)</f>
        <v/>
      </c>
      <c r="B240" s="7">
        <f>CONCATENATE(C240,E240,I240)</f>
        <v/>
      </c>
      <c r="C240" s="8" t="n">
        <v>900009255</v>
      </c>
      <c r="D240" s="7">
        <f>IFERROR(VLOOKUP(C240,TRAOPE!$G:$H,2,0),"")</f>
        <v/>
      </c>
      <c r="E240" s="8" t="inlineStr">
        <is>
          <t>D845</t>
        </is>
      </c>
      <c r="F240" s="8" t="inlineStr">
        <is>
          <t>66436427</t>
        </is>
      </c>
      <c r="G240" s="8">
        <f>IFERROR(VLOOKUP(A240,Flete!$A:$E,5,0),"")</f>
        <v/>
      </c>
      <c r="H240" s="7">
        <f>IFERROR(VLOOKUP(F240,TRAOPE!$AA:$AB,2,0),"")</f>
        <v/>
      </c>
      <c r="I240" s="7" t="n">
        <v>10000578</v>
      </c>
      <c r="J240" s="7">
        <f>IFERROR(VLOOKUP(I240,Materiales!$A:$H,8,0),"")</f>
        <v/>
      </c>
      <c r="K240" s="9">
        <f>IFERROR(VLOOKUP(I240,Materiales!$A:$G,7,0),"")</f>
        <v/>
      </c>
      <c r="L240" s="8" t="inlineStr">
        <is>
          <t>20260211</t>
        </is>
      </c>
      <c r="M240" s="8" t="inlineStr">
        <is>
          <t>99991231</t>
        </is>
      </c>
      <c r="N240" s="10" t="n">
        <v>200</v>
      </c>
      <c r="O240" s="10">
        <f>IFERROR(VLOOKUP(A240,Flete!$A:$J,10,0),"")</f>
        <v/>
      </c>
      <c r="P240" s="8" t="inlineStr">
        <is>
          <t>TN</t>
        </is>
      </c>
      <c r="Q240" s="10">
        <f>IFERROR(IFERROR(VLOOKUP(A240,TRAOPE!$A:$U,21,0),VLOOKUP(B240,TRAOPE!$A:$U,21,0)),"")</f>
        <v/>
      </c>
      <c r="R240" s="8">
        <f>IFERROR(IFERROR(VLOOKUP(A240,TRAOPE!$A:$W,23,0),VLOOKUP(B240,TRAOPE!$A:$W,23,0)),"")</f>
        <v/>
      </c>
      <c r="S240" s="10">
        <f>IF(AND(P240="TN",R240="TN"),N240+N(O240),IF(G240&amp;""="1",N(K240)*N240,(N240+N(O240))*N(K240)))</f>
        <v/>
      </c>
      <c r="T240" s="10">
        <f>IF(Q240="","",Q240-S240)</f>
        <v/>
      </c>
    </row>
    <row r="241">
      <c r="A241" s="7">
        <f>CONCATENATE(C241,E241,F241,I241)</f>
        <v/>
      </c>
      <c r="B241" s="7">
        <f>CONCATENATE(C241,E241,I241)</f>
        <v/>
      </c>
      <c r="C241" s="8" t="n">
        <v>900009255</v>
      </c>
      <c r="D241" s="7">
        <f>IFERROR(VLOOKUP(C241,TRAOPE!$G:$H,2,0),"")</f>
        <v/>
      </c>
      <c r="E241" s="8" t="inlineStr">
        <is>
          <t>D845</t>
        </is>
      </c>
      <c r="F241" s="8" t="inlineStr">
        <is>
          <t>66436427</t>
        </is>
      </c>
      <c r="G241" s="8">
        <f>IFERROR(VLOOKUP(A241,Flete!$A:$E,5,0),"")</f>
        <v/>
      </c>
      <c r="H241" s="7">
        <f>IFERROR(VLOOKUP(F241,TRAOPE!$AA:$AB,2,0),"")</f>
        <v/>
      </c>
      <c r="I241" s="7" t="n">
        <v>10000617</v>
      </c>
      <c r="J241" s="7">
        <f>IFERROR(VLOOKUP(I241,Materiales!$A:$H,8,0),"")</f>
        <v/>
      </c>
      <c r="K241" s="9">
        <f>IFERROR(VLOOKUP(I241,Materiales!$A:$G,7,0),"")</f>
        <v/>
      </c>
      <c r="L241" s="8" t="inlineStr">
        <is>
          <t>20260211</t>
        </is>
      </c>
      <c r="M241" s="8" t="inlineStr">
        <is>
          <t>99991231</t>
        </is>
      </c>
      <c r="N241" s="10" t="n">
        <v>210</v>
      </c>
      <c r="O241" s="10">
        <f>IFERROR(VLOOKUP(A241,Flete!$A:$J,10,0),"")</f>
        <v/>
      </c>
      <c r="P241" s="8" t="inlineStr">
        <is>
          <t>TN</t>
        </is>
      </c>
      <c r="Q241" s="10">
        <f>IFERROR(IFERROR(VLOOKUP(A241,TRAOPE!$A:$U,21,0),VLOOKUP(B241,TRAOPE!$A:$U,21,0)),"")</f>
        <v/>
      </c>
      <c r="R241" s="8">
        <f>IFERROR(IFERROR(VLOOKUP(A241,TRAOPE!$A:$W,23,0),VLOOKUP(B241,TRAOPE!$A:$W,23,0)),"")</f>
        <v/>
      </c>
      <c r="S241" s="10">
        <f>IF(AND(P241="TN",R241="TN"),N241+N(O241),IF(G241&amp;""="1",N(K241)*N241,(N241+N(O241))*N(K241)))</f>
        <v/>
      </c>
      <c r="T241" s="10">
        <f>IF(Q241="","",Q241-S241)</f>
        <v/>
      </c>
    </row>
    <row r="242">
      <c r="A242" s="7">
        <f>CONCATENATE(C242,E242,F242,I242)</f>
        <v/>
      </c>
      <c r="B242" s="7">
        <f>CONCATENATE(C242,E242,I242)</f>
        <v/>
      </c>
      <c r="C242" s="8" t="n">
        <v>900009255</v>
      </c>
      <c r="D242" s="7">
        <f>IFERROR(VLOOKUP(C242,TRAOPE!$G:$H,2,0),"")</f>
        <v/>
      </c>
      <c r="E242" s="8" t="inlineStr">
        <is>
          <t>D845</t>
        </is>
      </c>
      <c r="F242" s="8" t="inlineStr">
        <is>
          <t>66436427</t>
        </is>
      </c>
      <c r="G242" s="8">
        <f>IFERROR(VLOOKUP(A242,Flete!$A:$E,5,0),"")</f>
        <v/>
      </c>
      <c r="H242" s="7">
        <f>IFERROR(VLOOKUP(F242,TRAOPE!$AA:$AB,2,0),"")</f>
        <v/>
      </c>
      <c r="I242" s="7" t="n">
        <v>10000656</v>
      </c>
      <c r="J242" s="7">
        <f>IFERROR(VLOOKUP(I242,Materiales!$A:$H,8,0),"")</f>
        <v/>
      </c>
      <c r="K242" s="9">
        <f>IFERROR(VLOOKUP(I242,Materiales!$A:$G,7,0),"")</f>
        <v/>
      </c>
      <c r="L242" s="8" t="inlineStr">
        <is>
          <t>20260211</t>
        </is>
      </c>
      <c r="M242" s="8" t="inlineStr">
        <is>
          <t>99991231</t>
        </is>
      </c>
      <c r="N242" s="10" t="n">
        <v>210</v>
      </c>
      <c r="O242" s="10">
        <f>IFERROR(VLOOKUP(A242,Flete!$A:$J,10,0),"")</f>
        <v/>
      </c>
      <c r="P242" s="8" t="inlineStr">
        <is>
          <t>TN</t>
        </is>
      </c>
      <c r="Q242" s="10">
        <f>IFERROR(IFERROR(VLOOKUP(A242,TRAOPE!$A:$U,21,0),VLOOKUP(B242,TRAOPE!$A:$U,21,0)),"")</f>
        <v/>
      </c>
      <c r="R242" s="8">
        <f>IFERROR(IFERROR(VLOOKUP(A242,TRAOPE!$A:$W,23,0),VLOOKUP(B242,TRAOPE!$A:$W,23,0)),"")</f>
        <v/>
      </c>
      <c r="S242" s="10">
        <f>IF(AND(P242="TN",R242="TN"),N242+N(O242),IF(G242&amp;""="1",N(K242)*N242,(N242+N(O242))*N(K242)))</f>
        <v/>
      </c>
      <c r="T242" s="10">
        <f>IF(Q242="","",Q242-S242)</f>
        <v/>
      </c>
    </row>
    <row r="243">
      <c r="A243" s="7">
        <f>CONCATENATE(C243,E243,F243,I243)</f>
        <v/>
      </c>
      <c r="B243" s="7">
        <f>CONCATENATE(C243,E243,I243)</f>
        <v/>
      </c>
      <c r="C243" s="8" t="n">
        <v>900009255</v>
      </c>
      <c r="D243" s="7">
        <f>IFERROR(VLOOKUP(C243,TRAOPE!$G:$H,2,0),"")</f>
        <v/>
      </c>
      <c r="E243" s="8" t="inlineStr">
        <is>
          <t>D845</t>
        </is>
      </c>
      <c r="F243" s="8" t="inlineStr">
        <is>
          <t>67074694</t>
        </is>
      </c>
      <c r="G243" s="8">
        <f>IFERROR(VLOOKUP(A243,Flete!$A:$E,5,0),"")</f>
        <v/>
      </c>
      <c r="H243" s="7">
        <f>IFERROR(VLOOKUP(F243,TRAOPE!$AA:$AB,2,0),"")</f>
        <v/>
      </c>
      <c r="I243" s="7" t="n">
        <v>10000536</v>
      </c>
      <c r="J243" s="7">
        <f>IFERROR(VLOOKUP(I243,Materiales!$A:$H,8,0),"")</f>
        <v/>
      </c>
      <c r="K243" s="9">
        <f>IFERROR(VLOOKUP(I243,Materiales!$A:$G,7,0),"")</f>
        <v/>
      </c>
      <c r="L243" s="8" t="inlineStr">
        <is>
          <t>20260506</t>
        </is>
      </c>
      <c r="M243" s="8" t="inlineStr">
        <is>
          <t>99991231</t>
        </is>
      </c>
      <c r="N243" s="10" t="n">
        <v>178</v>
      </c>
      <c r="O243" s="10">
        <f>IFERROR(VLOOKUP(A243,Flete!$A:$J,10,0),"")</f>
        <v/>
      </c>
      <c r="P243" s="8" t="inlineStr">
        <is>
          <t>TN</t>
        </is>
      </c>
      <c r="Q243" s="10">
        <f>IFERROR(IFERROR(VLOOKUP(A243,TRAOPE!$A:$U,21,0),VLOOKUP(B243,TRAOPE!$A:$U,21,0)),"")</f>
        <v/>
      </c>
      <c r="R243" s="8">
        <f>IFERROR(IFERROR(VLOOKUP(A243,TRAOPE!$A:$W,23,0),VLOOKUP(B243,TRAOPE!$A:$W,23,0)),"")</f>
        <v/>
      </c>
      <c r="S243" s="10">
        <f>IF(AND(P243="TN",R243="TN"),N243+N(O243),IF(G243&amp;""="1",N(K243)*N243,(N243+N(O243))*N(K243)))</f>
        <v/>
      </c>
      <c r="T243" s="10">
        <f>IF(Q243="","",Q243-S243)</f>
        <v/>
      </c>
    </row>
    <row r="244">
      <c r="A244" s="7">
        <f>CONCATENATE(C244,E244,F244,I244)</f>
        <v/>
      </c>
      <c r="B244" s="7">
        <f>CONCATENATE(C244,E244,I244)</f>
        <v/>
      </c>
      <c r="C244" s="8" t="n">
        <v>900009255</v>
      </c>
      <c r="D244" s="7">
        <f>IFERROR(VLOOKUP(C244,TRAOPE!$G:$H,2,0),"")</f>
        <v/>
      </c>
      <c r="E244" s="8" t="inlineStr">
        <is>
          <t>D845</t>
        </is>
      </c>
      <c r="F244" s="8" t="inlineStr">
        <is>
          <t>67074694</t>
        </is>
      </c>
      <c r="G244" s="8">
        <f>IFERROR(VLOOKUP(A244,Flete!$A:$E,5,0),"")</f>
        <v/>
      </c>
      <c r="H244" s="7">
        <f>IFERROR(VLOOKUP(F244,TRAOPE!$AA:$AB,2,0),"")</f>
        <v/>
      </c>
      <c r="I244" s="7" t="n">
        <v>10000578</v>
      </c>
      <c r="J244" s="7">
        <f>IFERROR(VLOOKUP(I244,Materiales!$A:$H,8,0),"")</f>
        <v/>
      </c>
      <c r="K244" s="9">
        <f>IFERROR(VLOOKUP(I244,Materiales!$A:$G,7,0),"")</f>
        <v/>
      </c>
      <c r="L244" s="8" t="inlineStr">
        <is>
          <t>20260506</t>
        </is>
      </c>
      <c r="M244" s="8" t="inlineStr">
        <is>
          <t>99991231</t>
        </is>
      </c>
      <c r="N244" s="10" t="n">
        <v>178</v>
      </c>
      <c r="O244" s="10">
        <f>IFERROR(VLOOKUP(A244,Flete!$A:$J,10,0),"")</f>
        <v/>
      </c>
      <c r="P244" s="8" t="inlineStr">
        <is>
          <t>TN</t>
        </is>
      </c>
      <c r="Q244" s="10">
        <f>IFERROR(IFERROR(VLOOKUP(A244,TRAOPE!$A:$U,21,0),VLOOKUP(B244,TRAOPE!$A:$U,21,0)),"")</f>
        <v/>
      </c>
      <c r="R244" s="8">
        <f>IFERROR(IFERROR(VLOOKUP(A244,TRAOPE!$A:$W,23,0),VLOOKUP(B244,TRAOPE!$A:$W,23,0)),"")</f>
        <v/>
      </c>
      <c r="S244" s="10">
        <f>IF(AND(P244="TN",R244="TN"),N244+N(O244),IF(G244&amp;""="1",N(K244)*N244,(N244+N(O244))*N(K244)))</f>
        <v/>
      </c>
      <c r="T244" s="10">
        <f>IF(Q244="","",Q244-S244)</f>
        <v/>
      </c>
    </row>
    <row r="245">
      <c r="A245" s="7">
        <f>CONCATENATE(C245,E245,F245,I245)</f>
        <v/>
      </c>
      <c r="B245" s="7">
        <f>CONCATENATE(C245,E245,I245)</f>
        <v/>
      </c>
      <c r="C245" s="8" t="n">
        <v>900009255</v>
      </c>
      <c r="D245" s="7">
        <f>IFERROR(VLOOKUP(C245,TRAOPE!$G:$H,2,0),"")</f>
        <v/>
      </c>
      <c r="E245" s="8" t="inlineStr">
        <is>
          <t>D845</t>
        </is>
      </c>
      <c r="F245" s="8" t="inlineStr">
        <is>
          <t>67074694</t>
        </is>
      </c>
      <c r="G245" s="8">
        <f>IFERROR(VLOOKUP(A245,Flete!$A:$E,5,0),"")</f>
        <v/>
      </c>
      <c r="H245" s="7">
        <f>IFERROR(VLOOKUP(F245,TRAOPE!$AA:$AB,2,0),"")</f>
        <v/>
      </c>
      <c r="I245" s="7" t="n">
        <v>10000617</v>
      </c>
      <c r="J245" s="7">
        <f>IFERROR(VLOOKUP(I245,Materiales!$A:$H,8,0),"")</f>
        <v/>
      </c>
      <c r="K245" s="9">
        <f>IFERROR(VLOOKUP(I245,Materiales!$A:$G,7,0),"")</f>
        <v/>
      </c>
      <c r="L245" s="8" t="inlineStr">
        <is>
          <t>20260506</t>
        </is>
      </c>
      <c r="M245" s="8" t="inlineStr">
        <is>
          <t>99991231</t>
        </is>
      </c>
      <c r="N245" s="10" t="n">
        <v>195</v>
      </c>
      <c r="O245" s="10">
        <f>IFERROR(VLOOKUP(A245,Flete!$A:$J,10,0),"")</f>
        <v/>
      </c>
      <c r="P245" s="8" t="inlineStr">
        <is>
          <t>TN</t>
        </is>
      </c>
      <c r="Q245" s="10">
        <f>IFERROR(IFERROR(VLOOKUP(A245,TRAOPE!$A:$U,21,0),VLOOKUP(B245,TRAOPE!$A:$U,21,0)),"")</f>
        <v/>
      </c>
      <c r="R245" s="8">
        <f>IFERROR(IFERROR(VLOOKUP(A245,TRAOPE!$A:$W,23,0),VLOOKUP(B245,TRAOPE!$A:$W,23,0)),"")</f>
        <v/>
      </c>
      <c r="S245" s="10">
        <f>IF(AND(P245="TN",R245="TN"),N245+N(O245),IF(G245&amp;""="1",N(K245)*N245,(N245+N(O245))*N(K245)))</f>
        <v/>
      </c>
      <c r="T245" s="10">
        <f>IF(Q245="","",Q245-S245)</f>
        <v/>
      </c>
    </row>
    <row r="246">
      <c r="A246" s="7">
        <f>CONCATENATE(C246,E246,F246,I246)</f>
        <v/>
      </c>
      <c r="B246" s="7">
        <f>CONCATENATE(C246,E246,I246)</f>
        <v/>
      </c>
      <c r="C246" s="8" t="n">
        <v>900009255</v>
      </c>
      <c r="D246" s="7">
        <f>IFERROR(VLOOKUP(C246,TRAOPE!$G:$H,2,0),"")</f>
        <v/>
      </c>
      <c r="E246" s="8" t="inlineStr">
        <is>
          <t>D845</t>
        </is>
      </c>
      <c r="F246" s="8" t="inlineStr">
        <is>
          <t>67074694</t>
        </is>
      </c>
      <c r="G246" s="8">
        <f>IFERROR(VLOOKUP(A246,Flete!$A:$E,5,0),"")</f>
        <v/>
      </c>
      <c r="H246" s="7">
        <f>IFERROR(VLOOKUP(F246,TRAOPE!$AA:$AB,2,0),"")</f>
        <v/>
      </c>
      <c r="I246" s="7" t="n">
        <v>10000656</v>
      </c>
      <c r="J246" s="7">
        <f>IFERROR(VLOOKUP(I246,Materiales!$A:$H,8,0),"")</f>
        <v/>
      </c>
      <c r="K246" s="9">
        <f>IFERROR(VLOOKUP(I246,Materiales!$A:$G,7,0),"")</f>
        <v/>
      </c>
      <c r="L246" s="8" t="inlineStr">
        <is>
          <t>20260506</t>
        </is>
      </c>
      <c r="M246" s="8" t="inlineStr">
        <is>
          <t>99991231</t>
        </is>
      </c>
      <c r="N246" s="10" t="n">
        <v>195</v>
      </c>
      <c r="O246" s="10">
        <f>IFERROR(VLOOKUP(A246,Flete!$A:$J,10,0),"")</f>
        <v/>
      </c>
      <c r="P246" s="8" t="inlineStr">
        <is>
          <t>TN</t>
        </is>
      </c>
      <c r="Q246" s="10">
        <f>IFERROR(IFERROR(VLOOKUP(A246,TRAOPE!$A:$U,21,0),VLOOKUP(B246,TRAOPE!$A:$U,21,0)),"")</f>
        <v/>
      </c>
      <c r="R246" s="8">
        <f>IFERROR(IFERROR(VLOOKUP(A246,TRAOPE!$A:$W,23,0),VLOOKUP(B246,TRAOPE!$A:$W,23,0)),"")</f>
        <v/>
      </c>
      <c r="S246" s="10">
        <f>IF(AND(P246="TN",R246="TN"),N246+N(O246),IF(G246&amp;""="1",N(K246)*N246,(N246+N(O246))*N(K246)))</f>
        <v/>
      </c>
      <c r="T246" s="10">
        <f>IF(Q246="","",Q246-S246)</f>
        <v/>
      </c>
    </row>
    <row r="247">
      <c r="A247" s="7">
        <f>CONCATENATE(C247,E247,F247,I247)</f>
        <v/>
      </c>
      <c r="B247" s="7">
        <f>CONCATENATE(C247,E247,I247)</f>
        <v/>
      </c>
      <c r="C247" s="8" t="n">
        <v>900009255</v>
      </c>
      <c r="D247" s="7">
        <f>IFERROR(VLOOKUP(C247,TRAOPE!$G:$H,2,0),"")</f>
        <v/>
      </c>
      <c r="E247" s="8" t="inlineStr">
        <is>
          <t>D845</t>
        </is>
      </c>
      <c r="F247" s="8" t="inlineStr">
        <is>
          <t>67074694</t>
        </is>
      </c>
      <c r="G247" s="8">
        <f>IFERROR(VLOOKUP(A247,Flete!$A:$E,5,0),"")</f>
        <v/>
      </c>
      <c r="H247" s="7">
        <f>IFERROR(VLOOKUP(F247,TRAOPE!$AA:$AB,2,0),"")</f>
        <v/>
      </c>
      <c r="I247" s="7" t="n">
        <v>10169508</v>
      </c>
      <c r="J247" s="7">
        <f>IFERROR(VLOOKUP(I247,Materiales!$A:$H,8,0),"")</f>
        <v/>
      </c>
      <c r="K247" s="9">
        <f>IFERROR(VLOOKUP(I247,Materiales!$A:$G,7,0),"")</f>
        <v/>
      </c>
      <c r="L247" s="8" t="inlineStr">
        <is>
          <t>20260506</t>
        </is>
      </c>
      <c r="M247" s="8" t="inlineStr">
        <is>
          <t>99991231</t>
        </is>
      </c>
      <c r="N247" s="10" t="n">
        <v>205</v>
      </c>
      <c r="O247" s="10">
        <f>IFERROR(VLOOKUP(A247,Flete!$A:$J,10,0),"")</f>
        <v/>
      </c>
      <c r="P247" s="8" t="inlineStr">
        <is>
          <t>TN</t>
        </is>
      </c>
      <c r="Q247" s="10">
        <f>IFERROR(IFERROR(VLOOKUP(A247,TRAOPE!$A:$U,21,0),VLOOKUP(B247,TRAOPE!$A:$U,21,0)),"")</f>
        <v/>
      </c>
      <c r="R247" s="8">
        <f>IFERROR(IFERROR(VLOOKUP(A247,TRAOPE!$A:$W,23,0),VLOOKUP(B247,TRAOPE!$A:$W,23,0)),"")</f>
        <v/>
      </c>
      <c r="S247" s="10">
        <f>IF(AND(P247="TN",R247="TN"),N247+N(O247),IF(G247&amp;""="1",N(K247)*N247,(N247+N(O247))*N(K247)))</f>
        <v/>
      </c>
      <c r="T247" s="10">
        <f>IF(Q247="","",Q247-S247)</f>
        <v/>
      </c>
    </row>
    <row r="248">
      <c r="A248" s="7">
        <f>CONCATENATE(C248,E248,F248,I248)</f>
        <v/>
      </c>
      <c r="B248" s="7">
        <f>CONCATENATE(C248,E248,I248)</f>
        <v/>
      </c>
      <c r="C248" s="8" t="n">
        <v>900009255</v>
      </c>
      <c r="D248" s="7">
        <f>IFERROR(VLOOKUP(C248,TRAOPE!$G:$H,2,0),"")</f>
        <v/>
      </c>
      <c r="E248" s="8" t="inlineStr">
        <is>
          <t>D845</t>
        </is>
      </c>
      <c r="F248" s="8" t="inlineStr">
        <is>
          <t>67169574</t>
        </is>
      </c>
      <c r="G248" s="8">
        <f>IFERROR(VLOOKUP(A248,Flete!$A:$E,5,0),"")</f>
        <v/>
      </c>
      <c r="H248" s="7">
        <f>IFERROR(VLOOKUP(F248,TRAOPE!$AA:$AB,2,0),"")</f>
        <v/>
      </c>
      <c r="I248" s="7" t="n">
        <v>10000656</v>
      </c>
      <c r="J248" s="7">
        <f>IFERROR(VLOOKUP(I248,Materiales!$A:$H,8,0),"")</f>
        <v/>
      </c>
      <c r="K248" s="9">
        <f>IFERROR(VLOOKUP(I248,Materiales!$A:$G,7,0),"")</f>
        <v/>
      </c>
      <c r="L248" s="8" t="inlineStr">
        <is>
          <t>20260810</t>
        </is>
      </c>
      <c r="M248" s="8" t="inlineStr">
        <is>
          <t>99991231</t>
        </is>
      </c>
      <c r="N248" s="10" t="n">
        <v>258</v>
      </c>
      <c r="O248" s="10">
        <f>IFERROR(VLOOKUP(A248,Flete!$A:$J,10,0),"")</f>
        <v/>
      </c>
      <c r="P248" s="8" t="inlineStr">
        <is>
          <t>TN</t>
        </is>
      </c>
      <c r="Q248" s="10">
        <f>IFERROR(IFERROR(VLOOKUP(A248,TRAOPE!$A:$U,21,0),VLOOKUP(B248,TRAOPE!$A:$U,21,0)),"")</f>
        <v/>
      </c>
      <c r="R248" s="8">
        <f>IFERROR(IFERROR(VLOOKUP(A248,TRAOPE!$A:$W,23,0),VLOOKUP(B248,TRAOPE!$A:$W,23,0)),"")</f>
        <v/>
      </c>
      <c r="S248" s="10">
        <f>IF(AND(P248="TN",R248="TN"),N248+N(O248),IF(G248&amp;""="1",N(K248)*N248,(N248+N(O248))*N(K248)))</f>
        <v/>
      </c>
      <c r="T248" s="10">
        <f>IF(Q248="","",Q248-S248)</f>
        <v/>
      </c>
    </row>
    <row r="249">
      <c r="A249" s="7">
        <f>CONCATENATE(C249,E249,F249,I249)</f>
        <v/>
      </c>
      <c r="B249" s="7">
        <f>CONCATENATE(C249,E249,I249)</f>
        <v/>
      </c>
      <c r="C249" s="8" t="n">
        <v>900009255</v>
      </c>
      <c r="D249" s="7">
        <f>IFERROR(VLOOKUP(C249,TRAOPE!$G:$H,2,0),"")</f>
        <v/>
      </c>
      <c r="E249" s="8" t="inlineStr">
        <is>
          <t>D845</t>
        </is>
      </c>
      <c r="F249" s="8" t="inlineStr">
        <is>
          <t>67318246</t>
        </is>
      </c>
      <c r="G249" s="8">
        <f>IFERROR(VLOOKUP(A249,Flete!$A:$E,5,0),"")</f>
        <v/>
      </c>
      <c r="H249" s="7">
        <f>IFERROR(VLOOKUP(F249,TRAOPE!$AA:$AB,2,0),"")</f>
        <v/>
      </c>
      <c r="I249" s="7" t="n">
        <v>10000536</v>
      </c>
      <c r="J249" s="7">
        <f>IFERROR(VLOOKUP(I249,Materiales!$A:$H,8,0),"")</f>
        <v/>
      </c>
      <c r="K249" s="9">
        <f>IFERROR(VLOOKUP(I249,Materiales!$A:$G,7,0),"")</f>
        <v/>
      </c>
      <c r="L249" s="8" t="inlineStr">
        <is>
          <t>20250604</t>
        </is>
      </c>
      <c r="M249" s="8" t="inlineStr">
        <is>
          <t>99991231</t>
        </is>
      </c>
      <c r="N249" s="10" t="n">
        <v>169</v>
      </c>
      <c r="O249" s="10">
        <f>IFERROR(VLOOKUP(A249,Flete!$A:$J,10,0),"")</f>
        <v/>
      </c>
      <c r="P249" s="8" t="inlineStr">
        <is>
          <t>TN</t>
        </is>
      </c>
      <c r="Q249" s="10">
        <f>IFERROR(IFERROR(VLOOKUP(A249,TRAOPE!$A:$U,21,0),VLOOKUP(B249,TRAOPE!$A:$U,21,0)),"")</f>
        <v/>
      </c>
      <c r="R249" s="8">
        <f>IFERROR(IFERROR(VLOOKUP(A249,TRAOPE!$A:$W,23,0),VLOOKUP(B249,TRAOPE!$A:$W,23,0)),"")</f>
        <v/>
      </c>
      <c r="S249" s="10">
        <f>IF(AND(P249="TN",R249="TN"),N249+N(O249),IF(G249&amp;""="1",N(K249)*N249,(N249+N(O249))*N(K249)))</f>
        <v/>
      </c>
      <c r="T249" s="10">
        <f>IF(Q249="","",Q249-S249)</f>
        <v/>
      </c>
    </row>
    <row r="250">
      <c r="A250" s="7">
        <f>CONCATENATE(C250,E250,F250,I250)</f>
        <v/>
      </c>
      <c r="B250" s="7">
        <f>CONCATENATE(C250,E250,I250)</f>
        <v/>
      </c>
      <c r="C250" s="8" t="n">
        <v>900009255</v>
      </c>
      <c r="D250" s="7">
        <f>IFERROR(VLOOKUP(C250,TRAOPE!$G:$H,2,0),"")</f>
        <v/>
      </c>
      <c r="E250" s="8" t="inlineStr">
        <is>
          <t>D845</t>
        </is>
      </c>
      <c r="F250" s="8" t="inlineStr">
        <is>
          <t>67318246</t>
        </is>
      </c>
      <c r="G250" s="8">
        <f>IFERROR(VLOOKUP(A250,Flete!$A:$E,5,0),"")</f>
        <v/>
      </c>
      <c r="H250" s="7">
        <f>IFERROR(VLOOKUP(F250,TRAOPE!$AA:$AB,2,0),"")</f>
        <v/>
      </c>
      <c r="I250" s="7" t="n">
        <v>10000578</v>
      </c>
      <c r="J250" s="7">
        <f>IFERROR(VLOOKUP(I250,Materiales!$A:$H,8,0),"")</f>
        <v/>
      </c>
      <c r="K250" s="9">
        <f>IFERROR(VLOOKUP(I250,Materiales!$A:$G,7,0),"")</f>
        <v/>
      </c>
      <c r="L250" s="8" t="inlineStr">
        <is>
          <t>20250604</t>
        </is>
      </c>
      <c r="M250" s="8" t="inlineStr">
        <is>
          <t>99991231</t>
        </is>
      </c>
      <c r="N250" s="10" t="n">
        <v>169</v>
      </c>
      <c r="O250" s="10">
        <f>IFERROR(VLOOKUP(A250,Flete!$A:$J,10,0),"")</f>
        <v/>
      </c>
      <c r="P250" s="8" t="inlineStr">
        <is>
          <t>TN</t>
        </is>
      </c>
      <c r="Q250" s="10">
        <f>IFERROR(IFERROR(VLOOKUP(A250,TRAOPE!$A:$U,21,0),VLOOKUP(B250,TRAOPE!$A:$U,21,0)),"")</f>
        <v/>
      </c>
      <c r="R250" s="8">
        <f>IFERROR(IFERROR(VLOOKUP(A250,TRAOPE!$A:$W,23,0),VLOOKUP(B250,TRAOPE!$A:$W,23,0)),"")</f>
        <v/>
      </c>
      <c r="S250" s="10">
        <f>IF(AND(P250="TN",R250="TN"),N250+N(O250),IF(G250&amp;""="1",N(K250)*N250,(N250+N(O250))*N(K250)))</f>
        <v/>
      </c>
      <c r="T250" s="10">
        <f>IF(Q250="","",Q250-S250)</f>
        <v/>
      </c>
    </row>
    <row r="251">
      <c r="A251" s="7">
        <f>CONCATENATE(C251,E251,F251,I251)</f>
        <v/>
      </c>
      <c r="B251" s="7">
        <f>CONCATENATE(C251,E251,I251)</f>
        <v/>
      </c>
      <c r="C251" s="8" t="n">
        <v>900009255</v>
      </c>
      <c r="D251" s="7">
        <f>IFERROR(VLOOKUP(C251,TRAOPE!$G:$H,2,0),"")</f>
        <v/>
      </c>
      <c r="E251" s="8" t="inlineStr">
        <is>
          <t>D845</t>
        </is>
      </c>
      <c r="F251" s="8" t="inlineStr">
        <is>
          <t>67318246</t>
        </is>
      </c>
      <c r="G251" s="8">
        <f>IFERROR(VLOOKUP(A251,Flete!$A:$E,5,0),"")</f>
        <v/>
      </c>
      <c r="H251" s="7">
        <f>IFERROR(VLOOKUP(F251,TRAOPE!$AA:$AB,2,0),"")</f>
        <v/>
      </c>
      <c r="I251" s="7" t="n">
        <v>10000617</v>
      </c>
      <c r="J251" s="7">
        <f>IFERROR(VLOOKUP(I251,Materiales!$A:$H,8,0),"")</f>
        <v/>
      </c>
      <c r="K251" s="9">
        <f>IFERROR(VLOOKUP(I251,Materiales!$A:$G,7,0),"")</f>
        <v/>
      </c>
      <c r="L251" s="8" t="inlineStr">
        <is>
          <t>20250604</t>
        </is>
      </c>
      <c r="M251" s="8" t="inlineStr">
        <is>
          <t>99991231</t>
        </is>
      </c>
      <c r="N251" s="10" t="n">
        <v>184</v>
      </c>
      <c r="O251" s="10">
        <f>IFERROR(VLOOKUP(A251,Flete!$A:$J,10,0),"")</f>
        <v/>
      </c>
      <c r="P251" s="8" t="inlineStr">
        <is>
          <t>TN</t>
        </is>
      </c>
      <c r="Q251" s="10">
        <f>IFERROR(IFERROR(VLOOKUP(A251,TRAOPE!$A:$U,21,0),VLOOKUP(B251,TRAOPE!$A:$U,21,0)),"")</f>
        <v/>
      </c>
      <c r="R251" s="8">
        <f>IFERROR(IFERROR(VLOOKUP(A251,TRAOPE!$A:$W,23,0),VLOOKUP(B251,TRAOPE!$A:$W,23,0)),"")</f>
        <v/>
      </c>
      <c r="S251" s="10">
        <f>IF(AND(P251="TN",R251="TN"),N251+N(O251),IF(G251&amp;""="1",N(K251)*N251,(N251+N(O251))*N(K251)))</f>
        <v/>
      </c>
      <c r="T251" s="10">
        <f>IF(Q251="","",Q251-S251)</f>
        <v/>
      </c>
    </row>
    <row r="252">
      <c r="A252" s="7">
        <f>CONCATENATE(C252,E252,F252,I252)</f>
        <v/>
      </c>
      <c r="B252" s="7">
        <f>CONCATENATE(C252,E252,I252)</f>
        <v/>
      </c>
      <c r="C252" s="8" t="n">
        <v>900009255</v>
      </c>
      <c r="D252" s="7">
        <f>IFERROR(VLOOKUP(C252,TRAOPE!$G:$H,2,0),"")</f>
        <v/>
      </c>
      <c r="E252" s="8" t="inlineStr">
        <is>
          <t>D845</t>
        </is>
      </c>
      <c r="F252" s="8" t="inlineStr">
        <is>
          <t>67318246</t>
        </is>
      </c>
      <c r="G252" s="8">
        <f>IFERROR(VLOOKUP(A252,Flete!$A:$E,5,0),"")</f>
        <v/>
      </c>
      <c r="H252" s="7">
        <f>IFERROR(VLOOKUP(F252,TRAOPE!$AA:$AB,2,0),"")</f>
        <v/>
      </c>
      <c r="I252" s="7" t="n">
        <v>10000656</v>
      </c>
      <c r="J252" s="7">
        <f>IFERROR(VLOOKUP(I252,Materiales!$A:$H,8,0),"")</f>
        <v/>
      </c>
      <c r="K252" s="9">
        <f>IFERROR(VLOOKUP(I252,Materiales!$A:$G,7,0),"")</f>
        <v/>
      </c>
      <c r="L252" s="8" t="inlineStr">
        <is>
          <t>20250604</t>
        </is>
      </c>
      <c r="M252" s="8" t="inlineStr">
        <is>
          <t>99991231</t>
        </is>
      </c>
      <c r="N252" s="10" t="n">
        <v>179</v>
      </c>
      <c r="O252" s="10">
        <f>IFERROR(VLOOKUP(A252,Flete!$A:$J,10,0),"")</f>
        <v/>
      </c>
      <c r="P252" s="8" t="inlineStr">
        <is>
          <t>TN</t>
        </is>
      </c>
      <c r="Q252" s="10">
        <f>IFERROR(IFERROR(VLOOKUP(A252,TRAOPE!$A:$U,21,0),VLOOKUP(B252,TRAOPE!$A:$U,21,0)),"")</f>
        <v/>
      </c>
      <c r="R252" s="8">
        <f>IFERROR(IFERROR(VLOOKUP(A252,TRAOPE!$A:$W,23,0),VLOOKUP(B252,TRAOPE!$A:$W,23,0)),"")</f>
        <v/>
      </c>
      <c r="S252" s="10">
        <f>IF(AND(P252="TN",R252="TN"),N252+N(O252),IF(G252&amp;""="1",N(K252)*N252,(N252+N(O252))*N(K252)))</f>
        <v/>
      </c>
      <c r="T252" s="10">
        <f>IF(Q252="","",Q252-S252)</f>
        <v/>
      </c>
    </row>
    <row r="253">
      <c r="A253" s="7">
        <f>CONCATENATE(C253,E253,F253,I253)</f>
        <v/>
      </c>
      <c r="B253" s="7">
        <f>CONCATENATE(C253,E253,I253)</f>
        <v/>
      </c>
      <c r="C253" s="8" t="n">
        <v>900009255</v>
      </c>
      <c r="D253" s="7">
        <f>IFERROR(VLOOKUP(C253,TRAOPE!$G:$H,2,0),"")</f>
        <v/>
      </c>
      <c r="E253" s="8" t="inlineStr">
        <is>
          <t>D845</t>
        </is>
      </c>
      <c r="F253" s="8" t="inlineStr">
        <is>
          <t>67327618</t>
        </is>
      </c>
      <c r="G253" s="8">
        <f>IFERROR(VLOOKUP(A253,Flete!$A:$E,5,0),"")</f>
        <v/>
      </c>
      <c r="H253" s="7">
        <f>IFERROR(VLOOKUP(F253,TRAOPE!$AA:$AB,2,0),"")</f>
        <v/>
      </c>
      <c r="I253" s="7" t="n">
        <v>10058507</v>
      </c>
      <c r="J253" s="7">
        <f>IFERROR(VLOOKUP(I253,Materiales!$A:$H,8,0),"")</f>
        <v/>
      </c>
      <c r="K253" s="9">
        <f>IFERROR(VLOOKUP(I253,Materiales!$A:$G,7,0),"")</f>
        <v/>
      </c>
      <c r="L253" s="8" t="inlineStr">
        <is>
          <t>20251209</t>
        </is>
      </c>
      <c r="M253" s="8" t="inlineStr">
        <is>
          <t>99991231</t>
        </is>
      </c>
      <c r="N253" s="10" t="n">
        <v>169</v>
      </c>
      <c r="O253" s="10">
        <f>IFERROR(VLOOKUP(A253,Flete!$A:$J,10,0),"")</f>
        <v/>
      </c>
      <c r="P253" s="8" t="inlineStr">
        <is>
          <t>TN</t>
        </is>
      </c>
      <c r="Q253" s="10">
        <f>IFERROR(IFERROR(VLOOKUP(A253,TRAOPE!$A:$U,21,0),VLOOKUP(B253,TRAOPE!$A:$U,21,0)),"")</f>
        <v/>
      </c>
      <c r="R253" s="8">
        <f>IFERROR(IFERROR(VLOOKUP(A253,TRAOPE!$A:$W,23,0),VLOOKUP(B253,TRAOPE!$A:$W,23,0)),"")</f>
        <v/>
      </c>
      <c r="S253" s="10">
        <f>IF(AND(P253="TN",R253="TN"),N253+N(O253),IF(G253&amp;""="1",N(K253)*N253,(N253+N(O253))*N(K253)))</f>
        <v/>
      </c>
      <c r="T253" s="10">
        <f>IF(Q253="","",Q253-S253)</f>
        <v/>
      </c>
    </row>
    <row r="254">
      <c r="A254" s="7">
        <f>CONCATENATE(C254,E254,F254,I254)</f>
        <v/>
      </c>
      <c r="B254" s="7">
        <f>CONCATENATE(C254,E254,I254)</f>
        <v/>
      </c>
      <c r="C254" s="8" t="n">
        <v>900009255</v>
      </c>
      <c r="D254" s="7">
        <f>IFERROR(VLOOKUP(C254,TRAOPE!$G:$H,2,0),"")</f>
        <v/>
      </c>
      <c r="E254" s="8" t="inlineStr">
        <is>
          <t>D845</t>
        </is>
      </c>
      <c r="F254" s="8" t="inlineStr">
        <is>
          <t>67356947</t>
        </is>
      </c>
      <c r="G254" s="8">
        <f>IFERROR(VLOOKUP(A254,Flete!$A:$E,5,0),"")</f>
        <v/>
      </c>
      <c r="H254" s="7">
        <f>IFERROR(VLOOKUP(F254,TRAOPE!$AA:$AB,2,0),"")</f>
        <v/>
      </c>
      <c r="I254" s="7" t="n">
        <v>10000536</v>
      </c>
      <c r="J254" s="7">
        <f>IFERROR(VLOOKUP(I254,Materiales!$A:$H,8,0),"")</f>
        <v/>
      </c>
      <c r="K254" s="9">
        <f>IFERROR(VLOOKUP(I254,Materiales!$A:$G,7,0),"")</f>
        <v/>
      </c>
      <c r="L254" s="8" t="inlineStr">
        <is>
          <t>20260507</t>
        </is>
      </c>
      <c r="M254" s="8" t="inlineStr">
        <is>
          <t>99991231</t>
        </is>
      </c>
      <c r="N254" s="10" t="n">
        <v>228</v>
      </c>
      <c r="O254" s="10">
        <f>IFERROR(VLOOKUP(A254,Flete!$A:$J,10,0),"")</f>
        <v/>
      </c>
      <c r="P254" s="8" t="inlineStr">
        <is>
          <t>TN</t>
        </is>
      </c>
      <c r="Q254" s="10">
        <f>IFERROR(IFERROR(VLOOKUP(A254,TRAOPE!$A:$U,21,0),VLOOKUP(B254,TRAOPE!$A:$U,21,0)),"")</f>
        <v/>
      </c>
      <c r="R254" s="8">
        <f>IFERROR(IFERROR(VLOOKUP(A254,TRAOPE!$A:$W,23,0),VLOOKUP(B254,TRAOPE!$A:$W,23,0)),"")</f>
        <v/>
      </c>
      <c r="S254" s="10">
        <f>IF(AND(P254="TN",R254="TN"),N254+N(O254),IF(G254&amp;""="1",N(K254)*N254,(N254+N(O254))*N(K254)))</f>
        <v/>
      </c>
      <c r="T254" s="10">
        <f>IF(Q254="","",Q254-S254)</f>
        <v/>
      </c>
    </row>
    <row r="255">
      <c r="A255" s="7">
        <f>CONCATENATE(C255,E255,F255,I255)</f>
        <v/>
      </c>
      <c r="B255" s="7">
        <f>CONCATENATE(C255,E255,I255)</f>
        <v/>
      </c>
      <c r="C255" s="8" t="n">
        <v>900009255</v>
      </c>
      <c r="D255" s="7">
        <f>IFERROR(VLOOKUP(C255,TRAOPE!$G:$H,2,0),"")</f>
        <v/>
      </c>
      <c r="E255" s="8" t="inlineStr">
        <is>
          <t>D845</t>
        </is>
      </c>
      <c r="F255" s="8" t="inlineStr">
        <is>
          <t>67356947</t>
        </is>
      </c>
      <c r="G255" s="8">
        <f>IFERROR(VLOOKUP(A255,Flete!$A:$E,5,0),"")</f>
        <v/>
      </c>
      <c r="H255" s="7">
        <f>IFERROR(VLOOKUP(F255,TRAOPE!$AA:$AB,2,0),"")</f>
        <v/>
      </c>
      <c r="I255" s="7" t="n">
        <v>10000578</v>
      </c>
      <c r="J255" s="7">
        <f>IFERROR(VLOOKUP(I255,Materiales!$A:$H,8,0),"")</f>
        <v/>
      </c>
      <c r="K255" s="9">
        <f>IFERROR(VLOOKUP(I255,Materiales!$A:$G,7,0),"")</f>
        <v/>
      </c>
      <c r="L255" s="8" t="inlineStr">
        <is>
          <t>20260507</t>
        </is>
      </c>
      <c r="M255" s="8" t="inlineStr">
        <is>
          <t>99991231</t>
        </is>
      </c>
      <c r="N255" s="10" t="n">
        <v>228</v>
      </c>
      <c r="O255" s="10">
        <f>IFERROR(VLOOKUP(A255,Flete!$A:$J,10,0),"")</f>
        <v/>
      </c>
      <c r="P255" s="8" t="inlineStr">
        <is>
          <t>TN</t>
        </is>
      </c>
      <c r="Q255" s="10">
        <f>IFERROR(IFERROR(VLOOKUP(A255,TRAOPE!$A:$U,21,0),VLOOKUP(B255,TRAOPE!$A:$U,21,0)),"")</f>
        <v/>
      </c>
      <c r="R255" s="8">
        <f>IFERROR(IFERROR(VLOOKUP(A255,TRAOPE!$A:$W,23,0),VLOOKUP(B255,TRAOPE!$A:$W,23,0)),"")</f>
        <v/>
      </c>
      <c r="S255" s="10">
        <f>IF(AND(P255="TN",R255="TN"),N255+N(O255),IF(G255&amp;""="1",N(K255)*N255,(N255+N(O255))*N(K255)))</f>
        <v/>
      </c>
      <c r="T255" s="10">
        <f>IF(Q255="","",Q255-S255)</f>
        <v/>
      </c>
    </row>
    <row r="256">
      <c r="A256" s="7">
        <f>CONCATENATE(C256,E256,F256,I256)</f>
        <v/>
      </c>
      <c r="B256" s="7">
        <f>CONCATENATE(C256,E256,I256)</f>
        <v/>
      </c>
      <c r="C256" s="8" t="n">
        <v>900009255</v>
      </c>
      <c r="D256" s="7">
        <f>IFERROR(VLOOKUP(C256,TRAOPE!$G:$H,2,0),"")</f>
        <v/>
      </c>
      <c r="E256" s="8" t="inlineStr">
        <is>
          <t>D845</t>
        </is>
      </c>
      <c r="F256" s="8" t="inlineStr">
        <is>
          <t>67356947</t>
        </is>
      </c>
      <c r="G256" s="8">
        <f>IFERROR(VLOOKUP(A256,Flete!$A:$E,5,0),"")</f>
        <v/>
      </c>
      <c r="H256" s="7">
        <f>IFERROR(VLOOKUP(F256,TRAOPE!$AA:$AB,2,0),"")</f>
        <v/>
      </c>
      <c r="I256" s="7" t="n">
        <v>10000617</v>
      </c>
      <c r="J256" s="7">
        <f>IFERROR(VLOOKUP(I256,Materiales!$A:$H,8,0),"")</f>
        <v/>
      </c>
      <c r="K256" s="9">
        <f>IFERROR(VLOOKUP(I256,Materiales!$A:$G,7,0),"")</f>
        <v/>
      </c>
      <c r="L256" s="8" t="inlineStr">
        <is>
          <t>20260507</t>
        </is>
      </c>
      <c r="M256" s="8" t="inlineStr">
        <is>
          <t>99991231</t>
        </is>
      </c>
      <c r="N256" s="10" t="n">
        <v>240</v>
      </c>
      <c r="O256" s="10">
        <f>IFERROR(VLOOKUP(A256,Flete!$A:$J,10,0),"")</f>
        <v/>
      </c>
      <c r="P256" s="8" t="inlineStr">
        <is>
          <t>TN</t>
        </is>
      </c>
      <c r="Q256" s="10">
        <f>IFERROR(IFERROR(VLOOKUP(A256,TRAOPE!$A:$U,21,0),VLOOKUP(B256,TRAOPE!$A:$U,21,0)),"")</f>
        <v/>
      </c>
      <c r="R256" s="8">
        <f>IFERROR(IFERROR(VLOOKUP(A256,TRAOPE!$A:$W,23,0),VLOOKUP(B256,TRAOPE!$A:$W,23,0)),"")</f>
        <v/>
      </c>
      <c r="S256" s="10">
        <f>IF(AND(P256="TN",R256="TN"),N256+N(O256),IF(G256&amp;""="1",N(K256)*N256,(N256+N(O256))*N(K256)))</f>
        <v/>
      </c>
      <c r="T256" s="10">
        <f>IF(Q256="","",Q256-S256)</f>
        <v/>
      </c>
    </row>
    <row r="257">
      <c r="A257" s="7">
        <f>CONCATENATE(C257,E257,F257,I257)</f>
        <v/>
      </c>
      <c r="B257" s="7">
        <f>CONCATENATE(C257,E257,I257)</f>
        <v/>
      </c>
      <c r="C257" s="8" t="n">
        <v>900009255</v>
      </c>
      <c r="D257" s="7">
        <f>IFERROR(VLOOKUP(C257,TRAOPE!$G:$H,2,0),"")</f>
        <v/>
      </c>
      <c r="E257" s="8" t="inlineStr">
        <is>
          <t>D845</t>
        </is>
      </c>
      <c r="F257" s="8" t="inlineStr">
        <is>
          <t>67356947</t>
        </is>
      </c>
      <c r="G257" s="8">
        <f>IFERROR(VLOOKUP(A257,Flete!$A:$E,5,0),"")</f>
        <v/>
      </c>
      <c r="H257" s="7">
        <f>IFERROR(VLOOKUP(F257,TRAOPE!$AA:$AB,2,0),"")</f>
        <v/>
      </c>
      <c r="I257" s="7" t="n">
        <v>10000656</v>
      </c>
      <c r="J257" s="7">
        <f>IFERROR(VLOOKUP(I257,Materiales!$A:$H,8,0),"")</f>
        <v/>
      </c>
      <c r="K257" s="9">
        <f>IFERROR(VLOOKUP(I257,Materiales!$A:$G,7,0),"")</f>
        <v/>
      </c>
      <c r="L257" s="8" t="inlineStr">
        <is>
          <t>20260507</t>
        </is>
      </c>
      <c r="M257" s="8" t="inlineStr">
        <is>
          <t>99991231</t>
        </is>
      </c>
      <c r="N257" s="10" t="n">
        <v>240</v>
      </c>
      <c r="O257" s="10">
        <f>IFERROR(VLOOKUP(A257,Flete!$A:$J,10,0),"")</f>
        <v/>
      </c>
      <c r="P257" s="8" t="inlineStr">
        <is>
          <t>TN</t>
        </is>
      </c>
      <c r="Q257" s="10">
        <f>IFERROR(IFERROR(VLOOKUP(A257,TRAOPE!$A:$U,21,0),VLOOKUP(B257,TRAOPE!$A:$U,21,0)),"")</f>
        <v/>
      </c>
      <c r="R257" s="8">
        <f>IFERROR(IFERROR(VLOOKUP(A257,TRAOPE!$A:$W,23,0),VLOOKUP(B257,TRAOPE!$A:$W,23,0)),"")</f>
        <v/>
      </c>
      <c r="S257" s="10">
        <f>IF(AND(P257="TN",R257="TN"),N257+N(O257),IF(G257&amp;""="1",N(K257)*N257,(N257+N(O257))*N(K257)))</f>
        <v/>
      </c>
      <c r="T257" s="10">
        <f>IF(Q257="","",Q257-S257)</f>
        <v/>
      </c>
    </row>
    <row r="258">
      <c r="A258" s="7">
        <f>CONCATENATE(C258,E258,F258,I258)</f>
        <v/>
      </c>
      <c r="B258" s="7">
        <f>CONCATENATE(C258,E258,I258)</f>
        <v/>
      </c>
      <c r="C258" s="8" t="n">
        <v>900009255</v>
      </c>
      <c r="D258" s="7">
        <f>IFERROR(VLOOKUP(C258,TRAOPE!$G:$H,2,0),"")</f>
        <v/>
      </c>
      <c r="E258" s="8" t="inlineStr">
        <is>
          <t>D845</t>
        </is>
      </c>
      <c r="F258" s="8" t="inlineStr">
        <is>
          <t>67356947</t>
        </is>
      </c>
      <c r="G258" s="8">
        <f>IFERROR(VLOOKUP(A258,Flete!$A:$E,5,0),"")</f>
        <v/>
      </c>
      <c r="H258" s="7">
        <f>IFERROR(VLOOKUP(F258,TRAOPE!$AA:$AB,2,0),"")</f>
        <v/>
      </c>
      <c r="I258" s="7" t="n">
        <v>10169508</v>
      </c>
      <c r="J258" s="7">
        <f>IFERROR(VLOOKUP(I258,Materiales!$A:$H,8,0),"")</f>
        <v/>
      </c>
      <c r="K258" s="9">
        <f>IFERROR(VLOOKUP(I258,Materiales!$A:$G,7,0),"")</f>
        <v/>
      </c>
      <c r="L258" s="8" t="inlineStr">
        <is>
          <t>20260507</t>
        </is>
      </c>
      <c r="M258" s="8" t="inlineStr">
        <is>
          <t>99991231</t>
        </is>
      </c>
      <c r="N258" s="10" t="n">
        <v>237.6</v>
      </c>
      <c r="O258" s="10">
        <f>IFERROR(VLOOKUP(A258,Flete!$A:$J,10,0),"")</f>
        <v/>
      </c>
      <c r="P258" s="8" t="inlineStr">
        <is>
          <t>TN</t>
        </is>
      </c>
      <c r="Q258" s="10">
        <f>IFERROR(IFERROR(VLOOKUP(A258,TRAOPE!$A:$U,21,0),VLOOKUP(B258,TRAOPE!$A:$U,21,0)),"")</f>
        <v/>
      </c>
      <c r="R258" s="8">
        <f>IFERROR(IFERROR(VLOOKUP(A258,TRAOPE!$A:$W,23,0),VLOOKUP(B258,TRAOPE!$A:$W,23,0)),"")</f>
        <v/>
      </c>
      <c r="S258" s="10">
        <f>IF(AND(P258="TN",R258="TN"),N258+N(O258),IF(G258&amp;""="1",N(K258)*N258,(N258+N(O258))*N(K258)))</f>
        <v/>
      </c>
      <c r="T258" s="10">
        <f>IF(Q258="","",Q258-S258)</f>
        <v/>
      </c>
    </row>
    <row r="259">
      <c r="A259" s="7">
        <f>CONCATENATE(C259,E259,F259,I259)</f>
        <v/>
      </c>
      <c r="B259" s="7">
        <f>CONCATENATE(C259,E259,I259)</f>
        <v/>
      </c>
      <c r="C259" s="8" t="n">
        <v>900009255</v>
      </c>
      <c r="D259" s="7">
        <f>IFERROR(VLOOKUP(C259,TRAOPE!$G:$H,2,0),"")</f>
        <v/>
      </c>
      <c r="E259" s="8" t="inlineStr">
        <is>
          <t>D845</t>
        </is>
      </c>
      <c r="F259" s="8" t="inlineStr">
        <is>
          <t>67360650</t>
        </is>
      </c>
      <c r="G259" s="8">
        <f>IFERROR(VLOOKUP(A259,Flete!$A:$E,5,0),"")</f>
        <v/>
      </c>
      <c r="H259" s="7">
        <f>IFERROR(VLOOKUP(F259,TRAOPE!$AA:$AB,2,0),"")</f>
        <v/>
      </c>
      <c r="I259" s="7" t="n">
        <v>10000536</v>
      </c>
      <c r="J259" s="7">
        <f>IFERROR(VLOOKUP(I259,Materiales!$A:$H,8,0),"")</f>
        <v/>
      </c>
      <c r="K259" s="9">
        <f>IFERROR(VLOOKUP(I259,Materiales!$A:$G,7,0),"")</f>
        <v/>
      </c>
      <c r="L259" s="8" t="inlineStr">
        <is>
          <t>20260320</t>
        </is>
      </c>
      <c r="M259" s="8" t="inlineStr">
        <is>
          <t>99991231</t>
        </is>
      </c>
      <c r="N259" s="10" t="n">
        <v>179</v>
      </c>
      <c r="O259" s="10">
        <f>IFERROR(VLOOKUP(A259,Flete!$A:$J,10,0),"")</f>
        <v/>
      </c>
      <c r="P259" s="8" t="inlineStr">
        <is>
          <t>TN</t>
        </is>
      </c>
      <c r="Q259" s="10">
        <f>IFERROR(IFERROR(VLOOKUP(A259,TRAOPE!$A:$U,21,0),VLOOKUP(B259,TRAOPE!$A:$U,21,0)),"")</f>
        <v/>
      </c>
      <c r="R259" s="8">
        <f>IFERROR(IFERROR(VLOOKUP(A259,TRAOPE!$A:$W,23,0),VLOOKUP(B259,TRAOPE!$A:$W,23,0)),"")</f>
        <v/>
      </c>
      <c r="S259" s="10">
        <f>IF(AND(P259="TN",R259="TN"),N259+N(O259),IF(G259&amp;""="1",N(K259)*N259,(N259+N(O259))*N(K259)))</f>
        <v/>
      </c>
      <c r="T259" s="10">
        <f>IF(Q259="","",Q259-S259)</f>
        <v/>
      </c>
    </row>
    <row r="260">
      <c r="A260" s="7">
        <f>CONCATENATE(C260,E260,F260,I260)</f>
        <v/>
      </c>
      <c r="B260" s="7">
        <f>CONCATENATE(C260,E260,I260)</f>
        <v/>
      </c>
      <c r="C260" s="8" t="n">
        <v>900009255</v>
      </c>
      <c r="D260" s="7">
        <f>IFERROR(VLOOKUP(C260,TRAOPE!$G:$H,2,0),"")</f>
        <v/>
      </c>
      <c r="E260" s="8" t="inlineStr">
        <is>
          <t>D845</t>
        </is>
      </c>
      <c r="F260" s="8" t="inlineStr">
        <is>
          <t>67360650</t>
        </is>
      </c>
      <c r="G260" s="8">
        <f>IFERROR(VLOOKUP(A260,Flete!$A:$E,5,0),"")</f>
        <v/>
      </c>
      <c r="H260" s="7">
        <f>IFERROR(VLOOKUP(F260,TRAOPE!$AA:$AB,2,0),"")</f>
        <v/>
      </c>
      <c r="I260" s="7" t="n">
        <v>10000578</v>
      </c>
      <c r="J260" s="7">
        <f>IFERROR(VLOOKUP(I260,Materiales!$A:$H,8,0),"")</f>
        <v/>
      </c>
      <c r="K260" s="9">
        <f>IFERROR(VLOOKUP(I260,Materiales!$A:$G,7,0),"")</f>
        <v/>
      </c>
      <c r="L260" s="8" t="inlineStr">
        <is>
          <t>20260320</t>
        </is>
      </c>
      <c r="M260" s="8" t="inlineStr">
        <is>
          <t>99991231</t>
        </is>
      </c>
      <c r="N260" s="10" t="n">
        <v>179</v>
      </c>
      <c r="O260" s="10">
        <f>IFERROR(VLOOKUP(A260,Flete!$A:$J,10,0),"")</f>
        <v/>
      </c>
      <c r="P260" s="8" t="inlineStr">
        <is>
          <t>TN</t>
        </is>
      </c>
      <c r="Q260" s="10">
        <f>IFERROR(IFERROR(VLOOKUP(A260,TRAOPE!$A:$U,21,0),VLOOKUP(B260,TRAOPE!$A:$U,21,0)),"")</f>
        <v/>
      </c>
      <c r="R260" s="8">
        <f>IFERROR(IFERROR(VLOOKUP(A260,TRAOPE!$A:$W,23,0),VLOOKUP(B260,TRAOPE!$A:$W,23,0)),"")</f>
        <v/>
      </c>
      <c r="S260" s="10">
        <f>IF(AND(P260="TN",R260="TN"),N260+N(O260),IF(G260&amp;""="1",N(K260)*N260,(N260+N(O260))*N(K260)))</f>
        <v/>
      </c>
      <c r="T260" s="10">
        <f>IF(Q260="","",Q260-S260)</f>
        <v/>
      </c>
    </row>
    <row r="261">
      <c r="A261" s="7">
        <f>CONCATENATE(C261,E261,F261,I261)</f>
        <v/>
      </c>
      <c r="B261" s="7">
        <f>CONCATENATE(C261,E261,I261)</f>
        <v/>
      </c>
      <c r="C261" s="8" t="n">
        <v>900009255</v>
      </c>
      <c r="D261" s="7">
        <f>IFERROR(VLOOKUP(C261,TRAOPE!$G:$H,2,0),"")</f>
        <v/>
      </c>
      <c r="E261" s="8" t="inlineStr">
        <is>
          <t>D845</t>
        </is>
      </c>
      <c r="F261" s="8" t="inlineStr">
        <is>
          <t>67360650</t>
        </is>
      </c>
      <c r="G261" s="8">
        <f>IFERROR(VLOOKUP(A261,Flete!$A:$E,5,0),"")</f>
        <v/>
      </c>
      <c r="H261" s="7">
        <f>IFERROR(VLOOKUP(F261,TRAOPE!$AA:$AB,2,0),"")</f>
        <v/>
      </c>
      <c r="I261" s="7" t="n">
        <v>10000617</v>
      </c>
      <c r="J261" s="7">
        <f>IFERROR(VLOOKUP(I261,Materiales!$A:$H,8,0),"")</f>
        <v/>
      </c>
      <c r="K261" s="9">
        <f>IFERROR(VLOOKUP(I261,Materiales!$A:$G,7,0),"")</f>
        <v/>
      </c>
      <c r="L261" s="8" t="inlineStr">
        <is>
          <t>20260320</t>
        </is>
      </c>
      <c r="M261" s="8" t="inlineStr">
        <is>
          <t>99991231</t>
        </is>
      </c>
      <c r="N261" s="10" t="n">
        <v>195</v>
      </c>
      <c r="O261" s="10">
        <f>IFERROR(VLOOKUP(A261,Flete!$A:$J,10,0),"")</f>
        <v/>
      </c>
      <c r="P261" s="8" t="inlineStr">
        <is>
          <t>TN</t>
        </is>
      </c>
      <c r="Q261" s="10">
        <f>IFERROR(IFERROR(VLOOKUP(A261,TRAOPE!$A:$U,21,0),VLOOKUP(B261,TRAOPE!$A:$U,21,0)),"")</f>
        <v/>
      </c>
      <c r="R261" s="8">
        <f>IFERROR(IFERROR(VLOOKUP(A261,TRAOPE!$A:$W,23,0),VLOOKUP(B261,TRAOPE!$A:$W,23,0)),"")</f>
        <v/>
      </c>
      <c r="S261" s="10">
        <f>IF(AND(P261="TN",R261="TN"),N261+N(O261),IF(G261&amp;""="1",N(K261)*N261,(N261+N(O261))*N(K261)))</f>
        <v/>
      </c>
      <c r="T261" s="10">
        <f>IF(Q261="","",Q261-S261)</f>
        <v/>
      </c>
    </row>
    <row r="262">
      <c r="A262" s="7">
        <f>CONCATENATE(C262,E262,F262,I262)</f>
        <v/>
      </c>
      <c r="B262" s="7">
        <f>CONCATENATE(C262,E262,I262)</f>
        <v/>
      </c>
      <c r="C262" s="8" t="n">
        <v>900009255</v>
      </c>
      <c r="D262" s="7">
        <f>IFERROR(VLOOKUP(C262,TRAOPE!$G:$H,2,0),"")</f>
        <v/>
      </c>
      <c r="E262" s="8" t="inlineStr">
        <is>
          <t>D845</t>
        </is>
      </c>
      <c r="F262" s="8" t="inlineStr">
        <is>
          <t>67360650</t>
        </is>
      </c>
      <c r="G262" s="8">
        <f>IFERROR(VLOOKUP(A262,Flete!$A:$E,5,0),"")</f>
        <v/>
      </c>
      <c r="H262" s="7">
        <f>IFERROR(VLOOKUP(F262,TRAOPE!$AA:$AB,2,0),"")</f>
        <v/>
      </c>
      <c r="I262" s="7" t="n">
        <v>10000656</v>
      </c>
      <c r="J262" s="7">
        <f>IFERROR(VLOOKUP(I262,Materiales!$A:$H,8,0),"")</f>
        <v/>
      </c>
      <c r="K262" s="9">
        <f>IFERROR(VLOOKUP(I262,Materiales!$A:$G,7,0),"")</f>
        <v/>
      </c>
      <c r="L262" s="8" t="inlineStr">
        <is>
          <t>20260320</t>
        </is>
      </c>
      <c r="M262" s="8" t="inlineStr">
        <is>
          <t>99991231</t>
        </is>
      </c>
      <c r="N262" s="10" t="n">
        <v>195</v>
      </c>
      <c r="O262" s="10">
        <f>IFERROR(VLOOKUP(A262,Flete!$A:$J,10,0),"")</f>
        <v/>
      </c>
      <c r="P262" s="8" t="inlineStr">
        <is>
          <t>TN</t>
        </is>
      </c>
      <c r="Q262" s="10">
        <f>IFERROR(IFERROR(VLOOKUP(A262,TRAOPE!$A:$U,21,0),VLOOKUP(B262,TRAOPE!$A:$U,21,0)),"")</f>
        <v/>
      </c>
      <c r="R262" s="8">
        <f>IFERROR(IFERROR(VLOOKUP(A262,TRAOPE!$A:$W,23,0),VLOOKUP(B262,TRAOPE!$A:$W,23,0)),"")</f>
        <v/>
      </c>
      <c r="S262" s="10">
        <f>IF(AND(P262="TN",R262="TN"),N262+N(O262),IF(G262&amp;""="1",N(K262)*N262,(N262+N(O262))*N(K262)))</f>
        <v/>
      </c>
      <c r="T262" s="10">
        <f>IF(Q262="","",Q262-S262)</f>
        <v/>
      </c>
    </row>
    <row r="263">
      <c r="A263" s="7">
        <f>CONCATENATE(C263,E263,F263,I263)</f>
        <v/>
      </c>
      <c r="B263" s="7">
        <f>CONCATENATE(C263,E263,I263)</f>
        <v/>
      </c>
      <c r="C263" s="8" t="n">
        <v>900009255</v>
      </c>
      <c r="D263" s="7">
        <f>IFERROR(VLOOKUP(C263,TRAOPE!$G:$H,2,0),"")</f>
        <v/>
      </c>
      <c r="E263" s="8" t="inlineStr">
        <is>
          <t>D845</t>
        </is>
      </c>
      <c r="F263" s="8" t="inlineStr">
        <is>
          <t>67360650</t>
        </is>
      </c>
      <c r="G263" s="8">
        <f>IFERROR(VLOOKUP(A263,Flete!$A:$E,5,0),"")</f>
        <v/>
      </c>
      <c r="H263" s="7">
        <f>IFERROR(VLOOKUP(F263,TRAOPE!$AA:$AB,2,0),"")</f>
        <v/>
      </c>
      <c r="I263" s="7" t="n">
        <v>10169508</v>
      </c>
      <c r="J263" s="7">
        <f>IFERROR(VLOOKUP(I263,Materiales!$A:$H,8,0),"")</f>
        <v/>
      </c>
      <c r="K263" s="9">
        <f>IFERROR(VLOOKUP(I263,Materiales!$A:$G,7,0),"")</f>
        <v/>
      </c>
      <c r="L263" s="8" t="inlineStr">
        <is>
          <t>20260217</t>
        </is>
      </c>
      <c r="M263" s="8" t="inlineStr">
        <is>
          <t>99991231</t>
        </is>
      </c>
      <c r="N263" s="10" t="n">
        <v>205</v>
      </c>
      <c r="O263" s="10">
        <f>IFERROR(VLOOKUP(A263,Flete!$A:$J,10,0),"")</f>
        <v/>
      </c>
      <c r="P263" s="8" t="inlineStr">
        <is>
          <t>TN</t>
        </is>
      </c>
      <c r="Q263" s="10">
        <f>IFERROR(IFERROR(VLOOKUP(A263,TRAOPE!$A:$U,21,0),VLOOKUP(B263,TRAOPE!$A:$U,21,0)),"")</f>
        <v/>
      </c>
      <c r="R263" s="8">
        <f>IFERROR(IFERROR(VLOOKUP(A263,TRAOPE!$A:$W,23,0),VLOOKUP(B263,TRAOPE!$A:$W,23,0)),"")</f>
        <v/>
      </c>
      <c r="S263" s="10">
        <f>IF(AND(P263="TN",R263="TN"),N263+N(O263),IF(G263&amp;""="1",N(K263)*N263,(N263+N(O263))*N(K263)))</f>
        <v/>
      </c>
      <c r="T263" s="10">
        <f>IF(Q263="","",Q263-S263)</f>
        <v/>
      </c>
    </row>
    <row r="264">
      <c r="A264" s="7">
        <f>CONCATENATE(C264,E264,F264,I264)</f>
        <v/>
      </c>
      <c r="B264" s="7">
        <f>CONCATENATE(C264,E264,I264)</f>
        <v/>
      </c>
      <c r="C264" s="8" t="n">
        <v>900009255</v>
      </c>
      <c r="D264" s="7">
        <f>IFERROR(VLOOKUP(C264,TRAOPE!$G:$H,2,0),"")</f>
        <v/>
      </c>
      <c r="E264" s="8" t="inlineStr">
        <is>
          <t>D845</t>
        </is>
      </c>
      <c r="F264" s="8" t="inlineStr">
        <is>
          <t>67362709</t>
        </is>
      </c>
      <c r="G264" s="8">
        <f>IFERROR(VLOOKUP(A264,Flete!$A:$E,5,0),"")</f>
        <v/>
      </c>
      <c r="H264" s="7">
        <f>IFERROR(VLOOKUP(F264,TRAOPE!$AA:$AB,2,0),"")</f>
        <v/>
      </c>
      <c r="I264" s="7" t="n">
        <v>10000536</v>
      </c>
      <c r="J264" s="7">
        <f>IFERROR(VLOOKUP(I264,Materiales!$A:$H,8,0),"")</f>
        <v/>
      </c>
      <c r="K264" s="9">
        <f>IFERROR(VLOOKUP(I264,Materiales!$A:$G,7,0),"")</f>
        <v/>
      </c>
      <c r="L264" s="8" t="inlineStr">
        <is>
          <t>20260709</t>
        </is>
      </c>
      <c r="M264" s="8" t="inlineStr">
        <is>
          <t>99991231</t>
        </is>
      </c>
      <c r="N264" s="10" t="n">
        <v>184</v>
      </c>
      <c r="O264" s="10">
        <f>IFERROR(VLOOKUP(A264,Flete!$A:$J,10,0),"")</f>
        <v/>
      </c>
      <c r="P264" s="8" t="inlineStr">
        <is>
          <t>TN</t>
        </is>
      </c>
      <c r="Q264" s="10">
        <f>IFERROR(IFERROR(VLOOKUP(A264,TRAOPE!$A:$U,21,0),VLOOKUP(B264,TRAOPE!$A:$U,21,0)),"")</f>
        <v/>
      </c>
      <c r="R264" s="8">
        <f>IFERROR(IFERROR(VLOOKUP(A264,TRAOPE!$A:$W,23,0),VLOOKUP(B264,TRAOPE!$A:$W,23,0)),"")</f>
        <v/>
      </c>
      <c r="S264" s="10">
        <f>IF(AND(P264="TN",R264="TN"),N264+N(O264),IF(G264&amp;""="1",N(K264)*N264,(N264+N(O264))*N(K264)))</f>
        <v/>
      </c>
      <c r="T264" s="10">
        <f>IF(Q264="","",Q264-S264)</f>
        <v/>
      </c>
    </row>
    <row r="265">
      <c r="A265" s="7">
        <f>CONCATENATE(C265,E265,F265,I265)</f>
        <v/>
      </c>
      <c r="B265" s="7">
        <f>CONCATENATE(C265,E265,I265)</f>
        <v/>
      </c>
      <c r="C265" s="8" t="n">
        <v>900009255</v>
      </c>
      <c r="D265" s="7">
        <f>IFERROR(VLOOKUP(C265,TRAOPE!$G:$H,2,0),"")</f>
        <v/>
      </c>
      <c r="E265" s="8" t="inlineStr">
        <is>
          <t>D845</t>
        </is>
      </c>
      <c r="F265" s="8" t="inlineStr">
        <is>
          <t>67362709</t>
        </is>
      </c>
      <c r="G265" s="8">
        <f>IFERROR(VLOOKUP(A265,Flete!$A:$E,5,0),"")</f>
        <v/>
      </c>
      <c r="H265" s="7">
        <f>IFERROR(VLOOKUP(F265,TRAOPE!$AA:$AB,2,0),"")</f>
        <v/>
      </c>
      <c r="I265" s="7" t="n">
        <v>10000578</v>
      </c>
      <c r="J265" s="7">
        <f>IFERROR(VLOOKUP(I265,Materiales!$A:$H,8,0),"")</f>
        <v/>
      </c>
      <c r="K265" s="9">
        <f>IFERROR(VLOOKUP(I265,Materiales!$A:$G,7,0),"")</f>
        <v/>
      </c>
      <c r="L265" s="8" t="inlineStr">
        <is>
          <t>20260709</t>
        </is>
      </c>
      <c r="M265" s="8" t="inlineStr">
        <is>
          <t>99991231</t>
        </is>
      </c>
      <c r="N265" s="10" t="n">
        <v>184</v>
      </c>
      <c r="O265" s="10">
        <f>IFERROR(VLOOKUP(A265,Flete!$A:$J,10,0),"")</f>
        <v/>
      </c>
      <c r="P265" s="8" t="inlineStr">
        <is>
          <t>TN</t>
        </is>
      </c>
      <c r="Q265" s="10">
        <f>IFERROR(IFERROR(VLOOKUP(A265,TRAOPE!$A:$U,21,0),VLOOKUP(B265,TRAOPE!$A:$U,21,0)),"")</f>
        <v/>
      </c>
      <c r="R265" s="8">
        <f>IFERROR(IFERROR(VLOOKUP(A265,TRAOPE!$A:$W,23,0),VLOOKUP(B265,TRAOPE!$A:$W,23,0)),"")</f>
        <v/>
      </c>
      <c r="S265" s="10">
        <f>IF(AND(P265="TN",R265="TN"),N265+N(O265),IF(G265&amp;""="1",N(K265)*N265,(N265+N(O265))*N(K265)))</f>
        <v/>
      </c>
      <c r="T265" s="10">
        <f>IF(Q265="","",Q265-S265)</f>
        <v/>
      </c>
    </row>
    <row r="266">
      <c r="A266" s="7">
        <f>CONCATENATE(C266,E266,F266,I266)</f>
        <v/>
      </c>
      <c r="B266" s="7">
        <f>CONCATENATE(C266,E266,I266)</f>
        <v/>
      </c>
      <c r="C266" s="8" t="n">
        <v>900009255</v>
      </c>
      <c r="D266" s="7">
        <f>IFERROR(VLOOKUP(C266,TRAOPE!$G:$H,2,0),"")</f>
        <v/>
      </c>
      <c r="E266" s="8" t="inlineStr">
        <is>
          <t>D845</t>
        </is>
      </c>
      <c r="F266" s="8" t="inlineStr">
        <is>
          <t>67362709</t>
        </is>
      </c>
      <c r="G266" s="8">
        <f>IFERROR(VLOOKUP(A266,Flete!$A:$E,5,0),"")</f>
        <v/>
      </c>
      <c r="H266" s="7">
        <f>IFERROR(VLOOKUP(F266,TRAOPE!$AA:$AB,2,0),"")</f>
        <v/>
      </c>
      <c r="I266" s="7" t="n">
        <v>10000617</v>
      </c>
      <c r="J266" s="7">
        <f>IFERROR(VLOOKUP(I266,Materiales!$A:$H,8,0),"")</f>
        <v/>
      </c>
      <c r="K266" s="9">
        <f>IFERROR(VLOOKUP(I266,Materiales!$A:$G,7,0),"")</f>
        <v/>
      </c>
      <c r="L266" s="8" t="inlineStr">
        <is>
          <t>20260709</t>
        </is>
      </c>
      <c r="M266" s="8" t="inlineStr">
        <is>
          <t>99991231</t>
        </is>
      </c>
      <c r="N266" s="10" t="n">
        <v>200</v>
      </c>
      <c r="O266" s="10">
        <f>IFERROR(VLOOKUP(A266,Flete!$A:$J,10,0),"")</f>
        <v/>
      </c>
      <c r="P266" s="8" t="inlineStr">
        <is>
          <t>TN</t>
        </is>
      </c>
      <c r="Q266" s="10">
        <f>IFERROR(IFERROR(VLOOKUP(A266,TRAOPE!$A:$U,21,0),VLOOKUP(B266,TRAOPE!$A:$U,21,0)),"")</f>
        <v/>
      </c>
      <c r="R266" s="8">
        <f>IFERROR(IFERROR(VLOOKUP(A266,TRAOPE!$A:$W,23,0),VLOOKUP(B266,TRAOPE!$A:$W,23,0)),"")</f>
        <v/>
      </c>
      <c r="S266" s="10">
        <f>IF(AND(P266="TN",R266="TN"),N266+N(O266),IF(G266&amp;""="1",N(K266)*N266,(N266+N(O266))*N(K266)))</f>
        <v/>
      </c>
      <c r="T266" s="10">
        <f>IF(Q266="","",Q266-S266)</f>
        <v/>
      </c>
    </row>
    <row r="267">
      <c r="A267" s="7">
        <f>CONCATENATE(C267,E267,F267,I267)</f>
        <v/>
      </c>
      <c r="B267" s="7">
        <f>CONCATENATE(C267,E267,I267)</f>
        <v/>
      </c>
      <c r="C267" s="8" t="n">
        <v>900009255</v>
      </c>
      <c r="D267" s="7">
        <f>IFERROR(VLOOKUP(C267,TRAOPE!$G:$H,2,0),"")</f>
        <v/>
      </c>
      <c r="E267" s="8" t="inlineStr">
        <is>
          <t>D845</t>
        </is>
      </c>
      <c r="F267" s="8" t="inlineStr">
        <is>
          <t>67362709</t>
        </is>
      </c>
      <c r="G267" s="8">
        <f>IFERROR(VLOOKUP(A267,Flete!$A:$E,5,0),"")</f>
        <v/>
      </c>
      <c r="H267" s="7">
        <f>IFERROR(VLOOKUP(F267,TRAOPE!$AA:$AB,2,0),"")</f>
        <v/>
      </c>
      <c r="I267" s="7" t="n">
        <v>10000656</v>
      </c>
      <c r="J267" s="7">
        <f>IFERROR(VLOOKUP(I267,Materiales!$A:$H,8,0),"")</f>
        <v/>
      </c>
      <c r="K267" s="9">
        <f>IFERROR(VLOOKUP(I267,Materiales!$A:$G,7,0),"")</f>
        <v/>
      </c>
      <c r="L267" s="8" t="inlineStr">
        <is>
          <t>20260709</t>
        </is>
      </c>
      <c r="M267" s="8" t="inlineStr">
        <is>
          <t>99991231</t>
        </is>
      </c>
      <c r="N267" s="10" t="n">
        <v>197</v>
      </c>
      <c r="O267" s="10">
        <f>IFERROR(VLOOKUP(A267,Flete!$A:$J,10,0),"")</f>
        <v/>
      </c>
      <c r="P267" s="8" t="inlineStr">
        <is>
          <t>TN</t>
        </is>
      </c>
      <c r="Q267" s="10">
        <f>IFERROR(IFERROR(VLOOKUP(A267,TRAOPE!$A:$U,21,0),VLOOKUP(B267,TRAOPE!$A:$U,21,0)),"")</f>
        <v/>
      </c>
      <c r="R267" s="8">
        <f>IFERROR(IFERROR(VLOOKUP(A267,TRAOPE!$A:$W,23,0),VLOOKUP(B267,TRAOPE!$A:$W,23,0)),"")</f>
        <v/>
      </c>
      <c r="S267" s="10">
        <f>IF(AND(P267="TN",R267="TN"),N267+N(O267),IF(G267&amp;""="1",N(K267)*N267,(N267+N(O267))*N(K267)))</f>
        <v/>
      </c>
      <c r="T267" s="10">
        <f>IF(Q267="","",Q267-S267)</f>
        <v/>
      </c>
    </row>
    <row r="268">
      <c r="A268" s="7">
        <f>CONCATENATE(C268,E268,F268,I268)</f>
        <v/>
      </c>
      <c r="B268" s="7">
        <f>CONCATENATE(C268,E268,I268)</f>
        <v/>
      </c>
      <c r="C268" s="8" t="n">
        <v>900009255</v>
      </c>
      <c r="D268" s="7">
        <f>IFERROR(VLOOKUP(C268,TRAOPE!$G:$H,2,0),"")</f>
        <v/>
      </c>
      <c r="E268" s="8" t="inlineStr">
        <is>
          <t>D845</t>
        </is>
      </c>
      <c r="F268" s="8" t="inlineStr">
        <is>
          <t>67362709</t>
        </is>
      </c>
      <c r="G268" s="8">
        <f>IFERROR(VLOOKUP(A268,Flete!$A:$E,5,0),"")</f>
        <v/>
      </c>
      <c r="H268" s="7">
        <f>IFERROR(VLOOKUP(F268,TRAOPE!$AA:$AB,2,0),"")</f>
        <v/>
      </c>
      <c r="I268" s="7" t="n">
        <v>10058501</v>
      </c>
      <c r="J268" s="7">
        <f>IFERROR(VLOOKUP(I268,Materiales!$A:$H,8,0),"")</f>
        <v/>
      </c>
      <c r="K268" s="9">
        <f>IFERROR(VLOOKUP(I268,Materiales!$A:$G,7,0),"")</f>
        <v/>
      </c>
      <c r="L268" s="8" t="inlineStr">
        <is>
          <t>20260709</t>
        </is>
      </c>
      <c r="M268" s="8" t="inlineStr">
        <is>
          <t>99991231</t>
        </is>
      </c>
      <c r="N268" s="10" t="n">
        <v>196</v>
      </c>
      <c r="O268" s="10">
        <f>IFERROR(VLOOKUP(A268,Flete!$A:$J,10,0),"")</f>
        <v/>
      </c>
      <c r="P268" s="8" t="inlineStr">
        <is>
          <t>TN</t>
        </is>
      </c>
      <c r="Q268" s="10">
        <f>IFERROR(IFERROR(VLOOKUP(A268,TRAOPE!$A:$U,21,0),VLOOKUP(B268,TRAOPE!$A:$U,21,0)),"")</f>
        <v/>
      </c>
      <c r="R268" s="8">
        <f>IFERROR(IFERROR(VLOOKUP(A268,TRAOPE!$A:$W,23,0),VLOOKUP(B268,TRAOPE!$A:$W,23,0)),"")</f>
        <v/>
      </c>
      <c r="S268" s="10">
        <f>IF(AND(P268="TN",R268="TN"),N268+N(O268),IF(G268&amp;""="1",N(K268)*N268,(N268+N(O268))*N(K268)))</f>
        <v/>
      </c>
      <c r="T268" s="10">
        <f>IF(Q268="","",Q268-S268)</f>
        <v/>
      </c>
    </row>
    <row r="269">
      <c r="A269" s="7">
        <f>CONCATENATE(C269,E269,F269,I269)</f>
        <v/>
      </c>
      <c r="B269" s="7">
        <f>CONCATENATE(C269,E269,I269)</f>
        <v/>
      </c>
      <c r="C269" s="8" t="n">
        <v>900009255</v>
      </c>
      <c r="D269" s="7">
        <f>IFERROR(VLOOKUP(C269,TRAOPE!$G:$H,2,0),"")</f>
        <v/>
      </c>
      <c r="E269" s="8" t="inlineStr">
        <is>
          <t>D845</t>
        </is>
      </c>
      <c r="F269" s="8" t="inlineStr">
        <is>
          <t>67362709</t>
        </is>
      </c>
      <c r="G269" s="8">
        <f>IFERROR(VLOOKUP(A269,Flete!$A:$E,5,0),"")</f>
        <v/>
      </c>
      <c r="H269" s="7">
        <f>IFERROR(VLOOKUP(F269,TRAOPE!$AA:$AB,2,0),"")</f>
        <v/>
      </c>
      <c r="I269" s="7" t="n">
        <v>10167749</v>
      </c>
      <c r="J269" s="7">
        <f>IFERROR(VLOOKUP(I269,Materiales!$A:$H,8,0),"")</f>
        <v/>
      </c>
      <c r="K269" s="9">
        <f>IFERROR(VLOOKUP(I269,Materiales!$A:$G,7,0),"")</f>
        <v/>
      </c>
      <c r="L269" s="8" t="inlineStr">
        <is>
          <t>20260709</t>
        </is>
      </c>
      <c r="M269" s="8" t="inlineStr">
        <is>
          <t>99991231</t>
        </is>
      </c>
      <c r="N269" s="10" t="n">
        <v>207</v>
      </c>
      <c r="O269" s="10">
        <f>IFERROR(VLOOKUP(A269,Flete!$A:$J,10,0),"")</f>
        <v/>
      </c>
      <c r="P269" s="8" t="inlineStr">
        <is>
          <t>TN</t>
        </is>
      </c>
      <c r="Q269" s="10">
        <f>IFERROR(IFERROR(VLOOKUP(A269,TRAOPE!$A:$U,21,0),VLOOKUP(B269,TRAOPE!$A:$U,21,0)),"")</f>
        <v/>
      </c>
      <c r="R269" s="8">
        <f>IFERROR(IFERROR(VLOOKUP(A269,TRAOPE!$A:$W,23,0),VLOOKUP(B269,TRAOPE!$A:$W,23,0)),"")</f>
        <v/>
      </c>
      <c r="S269" s="10">
        <f>IF(AND(P269="TN",R269="TN"),N269+N(O269),IF(G269&amp;""="1",N(K269)*N269,(N269+N(O269))*N(K269)))</f>
        <v/>
      </c>
      <c r="T269" s="10">
        <f>IF(Q269="","",Q269-S269)</f>
        <v/>
      </c>
    </row>
    <row r="270">
      <c r="A270" s="7">
        <f>CONCATENATE(C270,E270,F270,I270)</f>
        <v/>
      </c>
      <c r="B270" s="7">
        <f>CONCATENATE(C270,E270,I270)</f>
        <v/>
      </c>
      <c r="C270" s="8" t="n">
        <v>900009255</v>
      </c>
      <c r="D270" s="7">
        <f>IFERROR(VLOOKUP(C270,TRAOPE!$G:$H,2,0),"")</f>
        <v/>
      </c>
      <c r="E270" s="8" t="inlineStr">
        <is>
          <t>D845</t>
        </is>
      </c>
      <c r="F270" s="8" t="inlineStr">
        <is>
          <t>67362709</t>
        </is>
      </c>
      <c r="G270" s="8">
        <f>IFERROR(VLOOKUP(A270,Flete!$A:$E,5,0),"")</f>
        <v/>
      </c>
      <c r="H270" s="7">
        <f>IFERROR(VLOOKUP(F270,TRAOPE!$AA:$AB,2,0),"")</f>
        <v/>
      </c>
      <c r="I270" s="7" t="n">
        <v>10169508</v>
      </c>
      <c r="J270" s="7">
        <f>IFERROR(VLOOKUP(I270,Materiales!$A:$H,8,0),"")</f>
        <v/>
      </c>
      <c r="K270" s="9">
        <f>IFERROR(VLOOKUP(I270,Materiales!$A:$G,7,0),"")</f>
        <v/>
      </c>
      <c r="L270" s="8" t="inlineStr">
        <is>
          <t>20260709</t>
        </is>
      </c>
      <c r="M270" s="8" t="inlineStr">
        <is>
          <t>99991231</t>
        </is>
      </c>
      <c r="N270" s="10" t="n">
        <v>212</v>
      </c>
      <c r="O270" s="10">
        <f>IFERROR(VLOOKUP(A270,Flete!$A:$J,10,0),"")</f>
        <v/>
      </c>
      <c r="P270" s="8" t="inlineStr">
        <is>
          <t>TN</t>
        </is>
      </c>
      <c r="Q270" s="10">
        <f>IFERROR(IFERROR(VLOOKUP(A270,TRAOPE!$A:$U,21,0),VLOOKUP(B270,TRAOPE!$A:$U,21,0)),"")</f>
        <v/>
      </c>
      <c r="R270" s="8">
        <f>IFERROR(IFERROR(VLOOKUP(A270,TRAOPE!$A:$W,23,0),VLOOKUP(B270,TRAOPE!$A:$W,23,0)),"")</f>
        <v/>
      </c>
      <c r="S270" s="10">
        <f>IF(AND(P270="TN",R270="TN"),N270+N(O270),IF(G270&amp;""="1",N(K270)*N270,(N270+N(O270))*N(K270)))</f>
        <v/>
      </c>
      <c r="T270" s="10">
        <f>IF(Q270="","",Q270-S270)</f>
        <v/>
      </c>
    </row>
    <row r="271">
      <c r="A271" s="7">
        <f>CONCATENATE(C271,E271,F271,I271)</f>
        <v/>
      </c>
      <c r="B271" s="7">
        <f>CONCATENATE(C271,E271,I271)</f>
        <v/>
      </c>
      <c r="C271" s="8" t="n">
        <v>900009255</v>
      </c>
      <c r="D271" s="7">
        <f>IFERROR(VLOOKUP(C271,TRAOPE!$G:$H,2,0),"")</f>
        <v/>
      </c>
      <c r="E271" s="8" t="inlineStr">
        <is>
          <t>D845</t>
        </is>
      </c>
      <c r="F271" s="8" t="inlineStr">
        <is>
          <t>67367506</t>
        </is>
      </c>
      <c r="G271" s="8">
        <f>IFERROR(VLOOKUP(A271,Flete!$A:$E,5,0),"")</f>
        <v/>
      </c>
      <c r="H271" s="7">
        <f>IFERROR(VLOOKUP(F271,TRAOPE!$AA:$AB,2,0),"")</f>
        <v/>
      </c>
      <c r="I271" s="7" t="n">
        <v>10000536</v>
      </c>
      <c r="J271" s="7">
        <f>IFERROR(VLOOKUP(I271,Materiales!$A:$H,8,0),"")</f>
        <v/>
      </c>
      <c r="K271" s="9">
        <f>IFERROR(VLOOKUP(I271,Materiales!$A:$G,7,0),"")</f>
        <v/>
      </c>
      <c r="L271" s="8" t="inlineStr">
        <is>
          <t>20260320</t>
        </is>
      </c>
      <c r="M271" s="8" t="inlineStr">
        <is>
          <t>99991231</t>
        </is>
      </c>
      <c r="N271" s="10" t="n">
        <v>179</v>
      </c>
      <c r="O271" s="10">
        <f>IFERROR(VLOOKUP(A271,Flete!$A:$J,10,0),"")</f>
        <v/>
      </c>
      <c r="P271" s="8" t="inlineStr">
        <is>
          <t>TN</t>
        </is>
      </c>
      <c r="Q271" s="10">
        <f>IFERROR(IFERROR(VLOOKUP(A271,TRAOPE!$A:$U,21,0),VLOOKUP(B271,TRAOPE!$A:$U,21,0)),"")</f>
        <v/>
      </c>
      <c r="R271" s="8">
        <f>IFERROR(IFERROR(VLOOKUP(A271,TRAOPE!$A:$W,23,0),VLOOKUP(B271,TRAOPE!$A:$W,23,0)),"")</f>
        <v/>
      </c>
      <c r="S271" s="10">
        <f>IF(AND(P271="TN",R271="TN"),N271+N(O271),IF(G271&amp;""="1",N(K271)*N271,(N271+N(O271))*N(K271)))</f>
        <v/>
      </c>
      <c r="T271" s="10">
        <f>IF(Q271="","",Q271-S271)</f>
        <v/>
      </c>
    </row>
    <row r="272">
      <c r="A272" s="7">
        <f>CONCATENATE(C272,E272,F272,I272)</f>
        <v/>
      </c>
      <c r="B272" s="7">
        <f>CONCATENATE(C272,E272,I272)</f>
        <v/>
      </c>
      <c r="C272" s="8" t="n">
        <v>900009255</v>
      </c>
      <c r="D272" s="7">
        <f>IFERROR(VLOOKUP(C272,TRAOPE!$G:$H,2,0),"")</f>
        <v/>
      </c>
      <c r="E272" s="8" t="inlineStr">
        <is>
          <t>D845</t>
        </is>
      </c>
      <c r="F272" s="8" t="inlineStr">
        <is>
          <t>67367506</t>
        </is>
      </c>
      <c r="G272" s="8">
        <f>IFERROR(VLOOKUP(A272,Flete!$A:$E,5,0),"")</f>
        <v/>
      </c>
      <c r="H272" s="7">
        <f>IFERROR(VLOOKUP(F272,TRAOPE!$AA:$AB,2,0),"")</f>
        <v/>
      </c>
      <c r="I272" s="7" t="n">
        <v>10000578</v>
      </c>
      <c r="J272" s="7">
        <f>IFERROR(VLOOKUP(I272,Materiales!$A:$H,8,0),"")</f>
        <v/>
      </c>
      <c r="K272" s="9">
        <f>IFERROR(VLOOKUP(I272,Materiales!$A:$G,7,0),"")</f>
        <v/>
      </c>
      <c r="L272" s="8" t="inlineStr">
        <is>
          <t>20260320</t>
        </is>
      </c>
      <c r="M272" s="8" t="inlineStr">
        <is>
          <t>99991231</t>
        </is>
      </c>
      <c r="N272" s="10" t="n">
        <v>179</v>
      </c>
      <c r="O272" s="10">
        <f>IFERROR(VLOOKUP(A272,Flete!$A:$J,10,0),"")</f>
        <v/>
      </c>
      <c r="P272" s="8" t="inlineStr">
        <is>
          <t>TN</t>
        </is>
      </c>
      <c r="Q272" s="10">
        <f>IFERROR(IFERROR(VLOOKUP(A272,TRAOPE!$A:$U,21,0),VLOOKUP(B272,TRAOPE!$A:$U,21,0)),"")</f>
        <v/>
      </c>
      <c r="R272" s="8">
        <f>IFERROR(IFERROR(VLOOKUP(A272,TRAOPE!$A:$W,23,0),VLOOKUP(B272,TRAOPE!$A:$W,23,0)),"")</f>
        <v/>
      </c>
      <c r="S272" s="10">
        <f>IF(AND(P272="TN",R272="TN"),N272+N(O272),IF(G272&amp;""="1",N(K272)*N272,(N272+N(O272))*N(K272)))</f>
        <v/>
      </c>
      <c r="T272" s="10">
        <f>IF(Q272="","",Q272-S272)</f>
        <v/>
      </c>
    </row>
    <row r="273">
      <c r="A273" s="7">
        <f>CONCATENATE(C273,E273,F273,I273)</f>
        <v/>
      </c>
      <c r="B273" s="7">
        <f>CONCATENATE(C273,E273,I273)</f>
        <v/>
      </c>
      <c r="C273" s="8" t="n">
        <v>900009255</v>
      </c>
      <c r="D273" s="7">
        <f>IFERROR(VLOOKUP(C273,TRAOPE!$G:$H,2,0),"")</f>
        <v/>
      </c>
      <c r="E273" s="8" t="inlineStr">
        <is>
          <t>D845</t>
        </is>
      </c>
      <c r="F273" s="8" t="inlineStr">
        <is>
          <t>67367506</t>
        </is>
      </c>
      <c r="G273" s="8">
        <f>IFERROR(VLOOKUP(A273,Flete!$A:$E,5,0),"")</f>
        <v/>
      </c>
      <c r="H273" s="7">
        <f>IFERROR(VLOOKUP(F273,TRAOPE!$AA:$AB,2,0),"")</f>
        <v/>
      </c>
      <c r="I273" s="7" t="n">
        <v>10000617</v>
      </c>
      <c r="J273" s="7">
        <f>IFERROR(VLOOKUP(I273,Materiales!$A:$H,8,0),"")</f>
        <v/>
      </c>
      <c r="K273" s="9">
        <f>IFERROR(VLOOKUP(I273,Materiales!$A:$G,7,0),"")</f>
        <v/>
      </c>
      <c r="L273" s="8" t="inlineStr">
        <is>
          <t>20260320</t>
        </is>
      </c>
      <c r="M273" s="8" t="inlineStr">
        <is>
          <t>99991231</t>
        </is>
      </c>
      <c r="N273" s="10" t="n">
        <v>195</v>
      </c>
      <c r="O273" s="10">
        <f>IFERROR(VLOOKUP(A273,Flete!$A:$J,10,0),"")</f>
        <v/>
      </c>
      <c r="P273" s="8" t="inlineStr">
        <is>
          <t>TN</t>
        </is>
      </c>
      <c r="Q273" s="10">
        <f>IFERROR(IFERROR(VLOOKUP(A273,TRAOPE!$A:$U,21,0),VLOOKUP(B273,TRAOPE!$A:$U,21,0)),"")</f>
        <v/>
      </c>
      <c r="R273" s="8">
        <f>IFERROR(IFERROR(VLOOKUP(A273,TRAOPE!$A:$W,23,0),VLOOKUP(B273,TRAOPE!$A:$W,23,0)),"")</f>
        <v/>
      </c>
      <c r="S273" s="10">
        <f>IF(AND(P273="TN",R273="TN"),N273+N(O273),IF(G273&amp;""="1",N(K273)*N273,(N273+N(O273))*N(K273)))</f>
        <v/>
      </c>
      <c r="T273" s="10">
        <f>IF(Q273="","",Q273-S273)</f>
        <v/>
      </c>
    </row>
    <row r="274">
      <c r="A274" s="7">
        <f>CONCATENATE(C274,E274,F274,I274)</f>
        <v/>
      </c>
      <c r="B274" s="7">
        <f>CONCATENATE(C274,E274,I274)</f>
        <v/>
      </c>
      <c r="C274" s="8" t="n">
        <v>900009255</v>
      </c>
      <c r="D274" s="7">
        <f>IFERROR(VLOOKUP(C274,TRAOPE!$G:$H,2,0),"")</f>
        <v/>
      </c>
      <c r="E274" s="8" t="inlineStr">
        <is>
          <t>D845</t>
        </is>
      </c>
      <c r="F274" s="8" t="inlineStr">
        <is>
          <t>67367506</t>
        </is>
      </c>
      <c r="G274" s="8">
        <f>IFERROR(VLOOKUP(A274,Flete!$A:$E,5,0),"")</f>
        <v/>
      </c>
      <c r="H274" s="7">
        <f>IFERROR(VLOOKUP(F274,TRAOPE!$AA:$AB,2,0),"")</f>
        <v/>
      </c>
      <c r="I274" s="7" t="n">
        <v>10000656</v>
      </c>
      <c r="J274" s="7">
        <f>IFERROR(VLOOKUP(I274,Materiales!$A:$H,8,0),"")</f>
        <v/>
      </c>
      <c r="K274" s="9">
        <f>IFERROR(VLOOKUP(I274,Materiales!$A:$G,7,0),"")</f>
        <v/>
      </c>
      <c r="L274" s="8" t="inlineStr">
        <is>
          <t>20260320</t>
        </is>
      </c>
      <c r="M274" s="8" t="inlineStr">
        <is>
          <t>99991231</t>
        </is>
      </c>
      <c r="N274" s="10" t="n">
        <v>195</v>
      </c>
      <c r="O274" s="10">
        <f>IFERROR(VLOOKUP(A274,Flete!$A:$J,10,0),"")</f>
        <v/>
      </c>
      <c r="P274" s="8" t="inlineStr">
        <is>
          <t>TN</t>
        </is>
      </c>
      <c r="Q274" s="10">
        <f>IFERROR(IFERROR(VLOOKUP(A274,TRAOPE!$A:$U,21,0),VLOOKUP(B274,TRAOPE!$A:$U,21,0)),"")</f>
        <v/>
      </c>
      <c r="R274" s="8">
        <f>IFERROR(IFERROR(VLOOKUP(A274,TRAOPE!$A:$W,23,0),VLOOKUP(B274,TRAOPE!$A:$W,23,0)),"")</f>
        <v/>
      </c>
      <c r="S274" s="10">
        <f>IF(AND(P274="TN",R274="TN"),N274+N(O274),IF(G274&amp;""="1",N(K274)*N274,(N274+N(O274))*N(K274)))</f>
        <v/>
      </c>
      <c r="T274" s="10">
        <f>IF(Q274="","",Q274-S274)</f>
        <v/>
      </c>
    </row>
    <row r="275">
      <c r="A275" s="7">
        <f>CONCATENATE(C275,E275,F275,I275)</f>
        <v/>
      </c>
      <c r="B275" s="7">
        <f>CONCATENATE(C275,E275,I275)</f>
        <v/>
      </c>
      <c r="C275" s="8" t="n">
        <v>900009255</v>
      </c>
      <c r="D275" s="7">
        <f>IFERROR(VLOOKUP(C275,TRAOPE!$G:$H,2,0),"")</f>
        <v/>
      </c>
      <c r="E275" s="8" t="inlineStr">
        <is>
          <t>D845</t>
        </is>
      </c>
      <c r="F275" s="8" t="inlineStr">
        <is>
          <t>67374671</t>
        </is>
      </c>
      <c r="G275" s="8">
        <f>IFERROR(VLOOKUP(A275,Flete!$A:$E,5,0),"")</f>
        <v/>
      </c>
      <c r="H275" s="7">
        <f>IFERROR(VLOOKUP(F275,TRAOPE!$AA:$AB,2,0),"")</f>
        <v/>
      </c>
      <c r="I275" s="7" t="n">
        <v>10058501</v>
      </c>
      <c r="J275" s="7">
        <f>IFERROR(VLOOKUP(I275,Materiales!$A:$H,8,0),"")</f>
        <v/>
      </c>
      <c r="K275" s="9">
        <f>IFERROR(VLOOKUP(I275,Materiales!$A:$G,7,0),"")</f>
        <v/>
      </c>
      <c r="L275" s="8" t="inlineStr">
        <is>
          <t>20260804</t>
        </is>
      </c>
      <c r="M275" s="8" t="inlineStr">
        <is>
          <t>99991231</t>
        </is>
      </c>
      <c r="N275" s="10" t="n">
        <v>218</v>
      </c>
      <c r="O275" s="10">
        <f>IFERROR(VLOOKUP(A275,Flete!$A:$J,10,0),"")</f>
        <v/>
      </c>
      <c r="P275" s="8" t="inlineStr">
        <is>
          <t>TN</t>
        </is>
      </c>
      <c r="Q275" s="10">
        <f>IFERROR(IFERROR(VLOOKUP(A275,TRAOPE!$A:$U,21,0),VLOOKUP(B275,TRAOPE!$A:$U,21,0)),"")</f>
        <v/>
      </c>
      <c r="R275" s="8">
        <f>IFERROR(IFERROR(VLOOKUP(A275,TRAOPE!$A:$W,23,0),VLOOKUP(B275,TRAOPE!$A:$W,23,0)),"")</f>
        <v/>
      </c>
      <c r="S275" s="10">
        <f>IF(AND(P275="TN",R275="TN"),N275+N(O275),IF(G275&amp;""="1",N(K275)*N275,(N275+N(O275))*N(K275)))</f>
        <v/>
      </c>
      <c r="T275" s="10">
        <f>IF(Q275="","",Q275-S275)</f>
        <v/>
      </c>
    </row>
    <row r="276">
      <c r="A276" s="7">
        <f>CONCATENATE(C276,E276,F276,I276)</f>
        <v/>
      </c>
      <c r="B276" s="7">
        <f>CONCATENATE(C276,E276,I276)</f>
        <v/>
      </c>
      <c r="C276" s="8" t="n">
        <v>900009256</v>
      </c>
      <c r="D276" s="7">
        <f>IFERROR(VLOOKUP(C276,TRAOPE!$G:$H,2,0),"")</f>
        <v/>
      </c>
      <c r="E276" s="8" t="inlineStr">
        <is>
          <t>D845</t>
        </is>
      </c>
      <c r="F276" s="8" t="inlineStr">
        <is>
          <t>67367506</t>
        </is>
      </c>
      <c r="G276" s="8">
        <f>IFERROR(VLOOKUP(A276,Flete!$A:$E,5,0),"")</f>
        <v/>
      </c>
      <c r="H276" s="7">
        <f>IFERROR(VLOOKUP(F276,TRAOPE!$AA:$AB,2,0),"")</f>
        <v/>
      </c>
      <c r="I276" s="7" t="n">
        <v>10000536</v>
      </c>
      <c r="J276" s="7">
        <f>IFERROR(VLOOKUP(I276,Materiales!$A:$H,8,0),"")</f>
        <v/>
      </c>
      <c r="K276" s="9">
        <f>IFERROR(VLOOKUP(I276,Materiales!$A:$G,7,0),"")</f>
        <v/>
      </c>
      <c r="L276" s="8" t="inlineStr">
        <is>
          <t>20260320</t>
        </is>
      </c>
      <c r="M276" s="8" t="inlineStr">
        <is>
          <t>99991231</t>
        </is>
      </c>
      <c r="N276" s="10" t="n">
        <v>181.5</v>
      </c>
      <c r="O276" s="10">
        <f>IFERROR(VLOOKUP(A276,Flete!$A:$J,10,0),"")</f>
        <v/>
      </c>
      <c r="P276" s="8" t="inlineStr">
        <is>
          <t>TN</t>
        </is>
      </c>
      <c r="Q276" s="10">
        <f>IFERROR(IFERROR(VLOOKUP(A276,TRAOPE!$A:$U,21,0),VLOOKUP(B276,TRAOPE!$A:$U,21,0)),"")</f>
        <v/>
      </c>
      <c r="R276" s="8">
        <f>IFERROR(IFERROR(VLOOKUP(A276,TRAOPE!$A:$W,23,0),VLOOKUP(B276,TRAOPE!$A:$W,23,0)),"")</f>
        <v/>
      </c>
      <c r="S276" s="10">
        <f>IF(AND(P276="TN",R276="TN"),N276+N(O276),IF(G276&amp;""="1",N(K276)*N276,(N276+N(O276))*N(K276)))</f>
        <v/>
      </c>
      <c r="T276" s="10">
        <f>IF(Q276="","",Q276-S276)</f>
        <v/>
      </c>
    </row>
    <row r="277">
      <c r="A277" s="7">
        <f>CONCATENATE(C277,E277,F277,I277)</f>
        <v/>
      </c>
      <c r="B277" s="7">
        <f>CONCATENATE(C277,E277,I277)</f>
        <v/>
      </c>
      <c r="C277" s="8" t="n">
        <v>900009256</v>
      </c>
      <c r="D277" s="7">
        <f>IFERROR(VLOOKUP(C277,TRAOPE!$G:$H,2,0),"")</f>
        <v/>
      </c>
      <c r="E277" s="8" t="inlineStr">
        <is>
          <t>D845</t>
        </is>
      </c>
      <c r="F277" s="8" t="inlineStr">
        <is>
          <t>67367506</t>
        </is>
      </c>
      <c r="G277" s="8">
        <f>IFERROR(VLOOKUP(A277,Flete!$A:$E,5,0),"")</f>
        <v/>
      </c>
      <c r="H277" s="7">
        <f>IFERROR(VLOOKUP(F277,TRAOPE!$AA:$AB,2,0),"")</f>
        <v/>
      </c>
      <c r="I277" s="7" t="n">
        <v>10000578</v>
      </c>
      <c r="J277" s="7">
        <f>IFERROR(VLOOKUP(I277,Materiales!$A:$H,8,0),"")</f>
        <v/>
      </c>
      <c r="K277" s="9">
        <f>IFERROR(VLOOKUP(I277,Materiales!$A:$G,7,0),"")</f>
        <v/>
      </c>
      <c r="L277" s="8" t="inlineStr">
        <is>
          <t>20260320</t>
        </is>
      </c>
      <c r="M277" s="8" t="inlineStr">
        <is>
          <t>99991231</t>
        </is>
      </c>
      <c r="N277" s="10" t="n">
        <v>181.5</v>
      </c>
      <c r="O277" s="10">
        <f>IFERROR(VLOOKUP(A277,Flete!$A:$J,10,0),"")</f>
        <v/>
      </c>
      <c r="P277" s="8" t="inlineStr">
        <is>
          <t>TN</t>
        </is>
      </c>
      <c r="Q277" s="10">
        <f>IFERROR(IFERROR(VLOOKUP(A277,TRAOPE!$A:$U,21,0),VLOOKUP(B277,TRAOPE!$A:$U,21,0)),"")</f>
        <v/>
      </c>
      <c r="R277" s="8">
        <f>IFERROR(IFERROR(VLOOKUP(A277,TRAOPE!$A:$W,23,0),VLOOKUP(B277,TRAOPE!$A:$W,23,0)),"")</f>
        <v/>
      </c>
      <c r="S277" s="10">
        <f>IF(AND(P277="TN",R277="TN"),N277+N(O277),IF(G277&amp;""="1",N(K277)*N277,(N277+N(O277))*N(K277)))</f>
        <v/>
      </c>
      <c r="T277" s="10">
        <f>IF(Q277="","",Q277-S277)</f>
        <v/>
      </c>
    </row>
    <row r="278">
      <c r="A278" s="7">
        <f>CONCATENATE(C278,E278,F278,I278)</f>
        <v/>
      </c>
      <c r="B278" s="7">
        <f>CONCATENATE(C278,E278,I278)</f>
        <v/>
      </c>
      <c r="C278" s="8" t="n">
        <v>900009256</v>
      </c>
      <c r="D278" s="7">
        <f>IFERROR(VLOOKUP(C278,TRAOPE!$G:$H,2,0),"")</f>
        <v/>
      </c>
      <c r="E278" s="8" t="inlineStr">
        <is>
          <t>D845</t>
        </is>
      </c>
      <c r="F278" s="8" t="inlineStr">
        <is>
          <t>67367506</t>
        </is>
      </c>
      <c r="G278" s="8">
        <f>IFERROR(VLOOKUP(A278,Flete!$A:$E,5,0),"")</f>
        <v/>
      </c>
      <c r="H278" s="7">
        <f>IFERROR(VLOOKUP(F278,TRAOPE!$AA:$AB,2,0),"")</f>
        <v/>
      </c>
      <c r="I278" s="7" t="n">
        <v>10000617</v>
      </c>
      <c r="J278" s="7">
        <f>IFERROR(VLOOKUP(I278,Materiales!$A:$H,8,0),"")</f>
        <v/>
      </c>
      <c r="K278" s="9">
        <f>IFERROR(VLOOKUP(I278,Materiales!$A:$G,7,0),"")</f>
        <v/>
      </c>
      <c r="L278" s="8" t="inlineStr">
        <is>
          <t>20260320</t>
        </is>
      </c>
      <c r="M278" s="8" t="inlineStr">
        <is>
          <t>99991231</t>
        </is>
      </c>
      <c r="N278" s="10" t="n">
        <v>196.9</v>
      </c>
      <c r="O278" s="10">
        <f>IFERROR(VLOOKUP(A278,Flete!$A:$J,10,0),"")</f>
        <v/>
      </c>
      <c r="P278" s="8" t="inlineStr">
        <is>
          <t>TN</t>
        </is>
      </c>
      <c r="Q278" s="10">
        <f>IFERROR(IFERROR(VLOOKUP(A278,TRAOPE!$A:$U,21,0),VLOOKUP(B278,TRAOPE!$A:$U,21,0)),"")</f>
        <v/>
      </c>
      <c r="R278" s="8">
        <f>IFERROR(IFERROR(VLOOKUP(A278,TRAOPE!$A:$W,23,0),VLOOKUP(B278,TRAOPE!$A:$W,23,0)),"")</f>
        <v/>
      </c>
      <c r="S278" s="10">
        <f>IF(AND(P278="TN",R278="TN"),N278+N(O278),IF(G278&amp;""="1",N(K278)*N278,(N278+N(O278))*N(K278)))</f>
        <v/>
      </c>
      <c r="T278" s="10">
        <f>IF(Q278="","",Q278-S278)</f>
        <v/>
      </c>
    </row>
    <row r="279">
      <c r="A279" s="7">
        <f>CONCATENATE(C279,E279,F279,I279)</f>
        <v/>
      </c>
      <c r="B279" s="7">
        <f>CONCATENATE(C279,E279,I279)</f>
        <v/>
      </c>
      <c r="C279" s="8" t="n">
        <v>900009256</v>
      </c>
      <c r="D279" s="7">
        <f>IFERROR(VLOOKUP(C279,TRAOPE!$G:$H,2,0),"")</f>
        <v/>
      </c>
      <c r="E279" s="8" t="inlineStr">
        <is>
          <t>D845</t>
        </is>
      </c>
      <c r="F279" s="8" t="inlineStr">
        <is>
          <t>67367506</t>
        </is>
      </c>
      <c r="G279" s="8">
        <f>IFERROR(VLOOKUP(A279,Flete!$A:$E,5,0),"")</f>
        <v/>
      </c>
      <c r="H279" s="7">
        <f>IFERROR(VLOOKUP(F279,TRAOPE!$AA:$AB,2,0),"")</f>
        <v/>
      </c>
      <c r="I279" s="7" t="n">
        <v>10000656</v>
      </c>
      <c r="J279" s="7">
        <f>IFERROR(VLOOKUP(I279,Materiales!$A:$H,8,0),"")</f>
        <v/>
      </c>
      <c r="K279" s="9">
        <f>IFERROR(VLOOKUP(I279,Materiales!$A:$G,7,0),"")</f>
        <v/>
      </c>
      <c r="L279" s="8" t="inlineStr">
        <is>
          <t>20260320</t>
        </is>
      </c>
      <c r="M279" s="8" t="inlineStr">
        <is>
          <t>99991231</t>
        </is>
      </c>
      <c r="N279" s="10" t="n">
        <v>198</v>
      </c>
      <c r="O279" s="10">
        <f>IFERROR(VLOOKUP(A279,Flete!$A:$J,10,0),"")</f>
        <v/>
      </c>
      <c r="P279" s="8" t="inlineStr">
        <is>
          <t>TN</t>
        </is>
      </c>
      <c r="Q279" s="10">
        <f>IFERROR(IFERROR(VLOOKUP(A279,TRAOPE!$A:$U,21,0),VLOOKUP(B279,TRAOPE!$A:$U,21,0)),"")</f>
        <v/>
      </c>
      <c r="R279" s="8">
        <f>IFERROR(IFERROR(VLOOKUP(A279,TRAOPE!$A:$W,23,0),VLOOKUP(B279,TRAOPE!$A:$W,23,0)),"")</f>
        <v/>
      </c>
      <c r="S279" s="10">
        <f>IF(AND(P279="TN",R279="TN"),N279+N(O279),IF(G279&amp;""="1",N(K279)*N279,(N279+N(O279))*N(K279)))</f>
        <v/>
      </c>
      <c r="T279" s="10">
        <f>IF(Q279="","",Q279-S279)</f>
        <v/>
      </c>
    </row>
    <row r="280">
      <c r="A280" s="7">
        <f>CONCATENATE(C280,E280,F280,I280)</f>
        <v/>
      </c>
      <c r="B280" s="7">
        <f>CONCATENATE(C280,E280,I280)</f>
        <v/>
      </c>
      <c r="C280" s="8" t="n">
        <v>900005260</v>
      </c>
      <c r="D280" s="7">
        <f>IFERROR(VLOOKUP(C280,TRAOPE!$G:$H,2,0),"")</f>
        <v/>
      </c>
      <c r="E280" s="8" t="inlineStr">
        <is>
          <t>D845</t>
        </is>
      </c>
      <c r="F280" s="8" t="inlineStr">
        <is>
          <t>66436427</t>
        </is>
      </c>
      <c r="G280" s="8">
        <f>IFERROR(VLOOKUP(A280,Flete!$A:$E,5,0),"")</f>
        <v/>
      </c>
      <c r="H280" s="7">
        <f>IFERROR(VLOOKUP(F280,TRAOPE!$AA:$AB,2,0),"")</f>
        <v/>
      </c>
      <c r="I280" s="7" t="n">
        <v>10000578</v>
      </c>
      <c r="J280" s="7">
        <f>IFERROR(VLOOKUP(I280,Materiales!$A:$H,8,0),"")</f>
        <v/>
      </c>
      <c r="K280" s="9">
        <f>IFERROR(VLOOKUP(I280,Materiales!$A:$G,7,0),"")</f>
        <v/>
      </c>
      <c r="L280" s="8" t="inlineStr">
        <is>
          <t>20250505</t>
        </is>
      </c>
      <c r="M280" s="8" t="inlineStr">
        <is>
          <t>20250507</t>
        </is>
      </c>
      <c r="N280" s="10" t="n">
        <v>190</v>
      </c>
      <c r="O280" s="10">
        <f>IFERROR(VLOOKUP(A280,Flete!$A:$J,10,0),"")</f>
        <v/>
      </c>
      <c r="P280" s="8" t="inlineStr">
        <is>
          <t>TN</t>
        </is>
      </c>
      <c r="Q280" s="10">
        <f>IFERROR(IFERROR(VLOOKUP(A280,TRAOPE!$A:$U,21,0),VLOOKUP(B280,TRAOPE!$A:$U,21,0)),"")</f>
        <v/>
      </c>
      <c r="R280" s="8">
        <f>IFERROR(IFERROR(VLOOKUP(A280,TRAOPE!$A:$W,23,0),VLOOKUP(B280,TRAOPE!$A:$W,23,0)),"")</f>
        <v/>
      </c>
      <c r="S280" s="10">
        <f>IF(AND(P280="TN",R280="TN"),N280+N(O280),IF(G280&amp;""="1",N(K280)*N280,(N280+N(O280))*N(K280)))</f>
        <v/>
      </c>
      <c r="T280" s="10">
        <f>IF(Q280="","",Q280-S280)</f>
        <v/>
      </c>
    </row>
    <row r="281">
      <c r="A281" s="7">
        <f>CONCATENATE(C281,E281,F281,I281)</f>
        <v/>
      </c>
      <c r="B281" s="7">
        <f>CONCATENATE(C281,E281,I281)</f>
        <v/>
      </c>
      <c r="C281" s="8" t="n">
        <v>900005260</v>
      </c>
      <c r="D281" s="7">
        <f>IFERROR(VLOOKUP(C281,TRAOPE!$G:$H,2,0),"")</f>
        <v/>
      </c>
      <c r="E281" s="8" t="inlineStr">
        <is>
          <t>D845</t>
        </is>
      </c>
      <c r="F281" s="8" t="inlineStr">
        <is>
          <t>66436427</t>
        </is>
      </c>
      <c r="G281" s="8">
        <f>IFERROR(VLOOKUP(A281,Flete!$A:$E,5,0),"")</f>
        <v/>
      </c>
      <c r="H281" s="7">
        <f>IFERROR(VLOOKUP(F281,TRAOPE!$AA:$AB,2,0),"")</f>
        <v/>
      </c>
      <c r="I281" s="7" t="n">
        <v>10000617</v>
      </c>
      <c r="J281" s="7">
        <f>IFERROR(VLOOKUP(I281,Materiales!$A:$H,8,0),"")</f>
        <v/>
      </c>
      <c r="K281" s="9">
        <f>IFERROR(VLOOKUP(I281,Materiales!$A:$G,7,0),"")</f>
        <v/>
      </c>
      <c r="L281" s="8" t="inlineStr">
        <is>
          <t>20250505</t>
        </is>
      </c>
      <c r="M281" s="8" t="inlineStr">
        <is>
          <t>20250507</t>
        </is>
      </c>
      <c r="N281" s="10" t="n">
        <v>200</v>
      </c>
      <c r="O281" s="10">
        <f>IFERROR(VLOOKUP(A281,Flete!$A:$J,10,0),"")</f>
        <v/>
      </c>
      <c r="P281" s="8" t="inlineStr">
        <is>
          <t>TN</t>
        </is>
      </c>
      <c r="Q281" s="10">
        <f>IFERROR(IFERROR(VLOOKUP(A281,TRAOPE!$A:$U,21,0),VLOOKUP(B281,TRAOPE!$A:$U,21,0)),"")</f>
        <v/>
      </c>
      <c r="R281" s="8">
        <f>IFERROR(IFERROR(VLOOKUP(A281,TRAOPE!$A:$W,23,0),VLOOKUP(B281,TRAOPE!$A:$W,23,0)),"")</f>
        <v/>
      </c>
      <c r="S281" s="10">
        <f>IF(AND(P281="TN",R281="TN"),N281+N(O281),IF(G281&amp;""="1",N(K281)*N281,(N281+N(O281))*N(K281)))</f>
        <v/>
      </c>
      <c r="T281" s="10">
        <f>IF(Q281="","",Q281-S281)</f>
        <v/>
      </c>
    </row>
    <row r="282">
      <c r="A282" s="7">
        <f>CONCATENATE(C282,E282,F282,I282)</f>
        <v/>
      </c>
      <c r="B282" s="7">
        <f>CONCATENATE(C282,E282,I282)</f>
        <v/>
      </c>
      <c r="C282" s="8" t="n">
        <v>900005260</v>
      </c>
      <c r="D282" s="7">
        <f>IFERROR(VLOOKUP(C282,TRAOPE!$G:$H,2,0),"")</f>
        <v/>
      </c>
      <c r="E282" s="8" t="inlineStr">
        <is>
          <t>D845</t>
        </is>
      </c>
      <c r="F282" s="8" t="inlineStr">
        <is>
          <t>66436427</t>
        </is>
      </c>
      <c r="G282" s="8">
        <f>IFERROR(VLOOKUP(A282,Flete!$A:$E,5,0),"")</f>
        <v/>
      </c>
      <c r="H282" s="7">
        <f>IFERROR(VLOOKUP(F282,TRAOPE!$AA:$AB,2,0),"")</f>
        <v/>
      </c>
      <c r="I282" s="7" t="n">
        <v>10000656</v>
      </c>
      <c r="J282" s="7">
        <f>IFERROR(VLOOKUP(I282,Materiales!$A:$H,8,0),"")</f>
        <v/>
      </c>
      <c r="K282" s="9">
        <f>IFERROR(VLOOKUP(I282,Materiales!$A:$G,7,0),"")</f>
        <v/>
      </c>
      <c r="L282" s="8" t="inlineStr">
        <is>
          <t>20250505</t>
        </is>
      </c>
      <c r="M282" s="8" t="inlineStr">
        <is>
          <t>20250507</t>
        </is>
      </c>
      <c r="N282" s="10" t="n">
        <v>200</v>
      </c>
      <c r="O282" s="10">
        <f>IFERROR(VLOOKUP(A282,Flete!$A:$J,10,0),"")</f>
        <v/>
      </c>
      <c r="P282" s="8" t="inlineStr">
        <is>
          <t>TN</t>
        </is>
      </c>
      <c r="Q282" s="10">
        <f>IFERROR(IFERROR(VLOOKUP(A282,TRAOPE!$A:$U,21,0),VLOOKUP(B282,TRAOPE!$A:$U,21,0)),"")</f>
        <v/>
      </c>
      <c r="R282" s="8">
        <f>IFERROR(IFERROR(VLOOKUP(A282,TRAOPE!$A:$W,23,0),VLOOKUP(B282,TRAOPE!$A:$W,23,0)),"")</f>
        <v/>
      </c>
      <c r="S282" s="10">
        <f>IF(AND(P282="TN",R282="TN"),N282+N(O282),IF(G282&amp;""="1",N(K282)*N282,(N282+N(O282))*N(K282)))</f>
        <v/>
      </c>
      <c r="T282" s="10">
        <f>IF(Q282="","",Q282-S282)</f>
        <v/>
      </c>
    </row>
    <row r="283">
      <c r="A283" s="7">
        <f>CONCATENATE(C283,E283,F283,I283)</f>
        <v/>
      </c>
      <c r="B283" s="7">
        <f>CONCATENATE(C283,E283,I283)</f>
        <v/>
      </c>
      <c r="C283" s="8" t="n">
        <v>900005260</v>
      </c>
      <c r="D283" s="7">
        <f>IFERROR(VLOOKUP(C283,TRAOPE!$G:$H,2,0),"")</f>
        <v/>
      </c>
      <c r="E283" s="8" t="inlineStr">
        <is>
          <t>D845</t>
        </is>
      </c>
      <c r="F283" s="8" t="inlineStr">
        <is>
          <t>67169574</t>
        </is>
      </c>
      <c r="G283" s="8">
        <f>IFERROR(VLOOKUP(A283,Flete!$A:$E,5,0),"")</f>
        <v/>
      </c>
      <c r="H283" s="7">
        <f>IFERROR(VLOOKUP(F283,TRAOPE!$AA:$AB,2,0),"")</f>
        <v/>
      </c>
      <c r="I283" s="7" t="n">
        <v>10000536</v>
      </c>
      <c r="J283" s="7">
        <f>IFERROR(VLOOKUP(I283,Materiales!$A:$H,8,0),"")</f>
        <v/>
      </c>
      <c r="K283" s="9">
        <f>IFERROR(VLOOKUP(I283,Materiales!$A:$G,7,0),"")</f>
        <v/>
      </c>
      <c r="L283" s="8" t="inlineStr">
        <is>
          <t>20240813</t>
        </is>
      </c>
      <c r="M283" s="8" t="inlineStr">
        <is>
          <t>20241108</t>
        </is>
      </c>
      <c r="N283" s="10" t="n">
        <v>158</v>
      </c>
      <c r="O283" s="10">
        <f>IFERROR(VLOOKUP(A283,Flete!$A:$J,10,0),"")</f>
        <v/>
      </c>
      <c r="P283" s="8" t="inlineStr">
        <is>
          <t>TN</t>
        </is>
      </c>
      <c r="Q283" s="10">
        <f>IFERROR(IFERROR(VLOOKUP(A283,TRAOPE!$A:$U,21,0),VLOOKUP(B283,TRAOPE!$A:$U,21,0)),"")</f>
        <v/>
      </c>
      <c r="R283" s="8">
        <f>IFERROR(IFERROR(VLOOKUP(A283,TRAOPE!$A:$W,23,0),VLOOKUP(B283,TRAOPE!$A:$W,23,0)),"")</f>
        <v/>
      </c>
      <c r="S283" s="10">
        <f>IF(AND(P283="TN",R283="TN"),N283+N(O283),IF(G283&amp;""="1",N(K283)*N283,(N283+N(O283))*N(K283)))</f>
        <v/>
      </c>
      <c r="T283" s="10">
        <f>IF(Q283="","",Q283-S283)</f>
        <v/>
      </c>
    </row>
    <row r="284">
      <c r="A284" s="7">
        <f>CONCATENATE(C284,E284,F284,I284)</f>
        <v/>
      </c>
      <c r="B284" s="7">
        <f>CONCATENATE(C284,E284,I284)</f>
        <v/>
      </c>
      <c r="C284" s="8" t="n">
        <v>900005260</v>
      </c>
      <c r="D284" s="7">
        <f>IFERROR(VLOOKUP(C284,TRAOPE!$G:$H,2,0),"")</f>
        <v/>
      </c>
      <c r="E284" s="8" t="inlineStr">
        <is>
          <t>D845</t>
        </is>
      </c>
      <c r="F284" s="8" t="inlineStr">
        <is>
          <t>67169574</t>
        </is>
      </c>
      <c r="G284" s="8">
        <f>IFERROR(VLOOKUP(A284,Flete!$A:$E,5,0),"")</f>
        <v/>
      </c>
      <c r="H284" s="7">
        <f>IFERROR(VLOOKUP(F284,TRAOPE!$AA:$AB,2,0),"")</f>
        <v/>
      </c>
      <c r="I284" s="7" t="n">
        <v>10000578</v>
      </c>
      <c r="J284" s="7">
        <f>IFERROR(VLOOKUP(I284,Materiales!$A:$H,8,0),"")</f>
        <v/>
      </c>
      <c r="K284" s="9">
        <f>IFERROR(VLOOKUP(I284,Materiales!$A:$G,7,0),"")</f>
        <v/>
      </c>
      <c r="L284" s="8" t="inlineStr">
        <is>
          <t>20240425</t>
        </is>
      </c>
      <c r="M284" s="8" t="inlineStr">
        <is>
          <t>20240814</t>
        </is>
      </c>
      <c r="N284" s="10" t="n">
        <v>158</v>
      </c>
      <c r="O284" s="10">
        <f>IFERROR(VLOOKUP(A284,Flete!$A:$J,10,0),"")</f>
        <v/>
      </c>
      <c r="P284" s="8" t="inlineStr">
        <is>
          <t>TN</t>
        </is>
      </c>
      <c r="Q284" s="10">
        <f>IFERROR(IFERROR(VLOOKUP(A284,TRAOPE!$A:$U,21,0),VLOOKUP(B284,TRAOPE!$A:$U,21,0)),"")</f>
        <v/>
      </c>
      <c r="R284" s="8">
        <f>IFERROR(IFERROR(VLOOKUP(A284,TRAOPE!$A:$W,23,0),VLOOKUP(B284,TRAOPE!$A:$W,23,0)),"")</f>
        <v/>
      </c>
      <c r="S284" s="10">
        <f>IF(AND(P284="TN",R284="TN"),N284+N(O284),IF(G284&amp;""="1",N(K284)*N284,(N284+N(O284))*N(K284)))</f>
        <v/>
      </c>
      <c r="T284" s="10">
        <f>IF(Q284="","",Q284-S284)</f>
        <v/>
      </c>
    </row>
    <row r="285">
      <c r="A285" s="7">
        <f>CONCATENATE(C285,E285,F285,I285)</f>
        <v/>
      </c>
      <c r="B285" s="7">
        <f>CONCATENATE(C285,E285,I285)</f>
        <v/>
      </c>
      <c r="C285" s="8" t="n">
        <v>900005260</v>
      </c>
      <c r="D285" s="7">
        <f>IFERROR(VLOOKUP(C285,TRAOPE!$G:$H,2,0),"")</f>
        <v/>
      </c>
      <c r="E285" s="8" t="inlineStr">
        <is>
          <t>D845</t>
        </is>
      </c>
      <c r="F285" s="8" t="inlineStr">
        <is>
          <t>67169574</t>
        </is>
      </c>
      <c r="G285" s="8">
        <f>IFERROR(VLOOKUP(A285,Flete!$A:$E,5,0),"")</f>
        <v/>
      </c>
      <c r="H285" s="7">
        <f>IFERROR(VLOOKUP(F285,TRAOPE!$AA:$AB,2,0),"")</f>
        <v/>
      </c>
      <c r="I285" s="7" t="n">
        <v>10000617</v>
      </c>
      <c r="J285" s="7">
        <f>IFERROR(VLOOKUP(I285,Materiales!$A:$H,8,0),"")</f>
        <v/>
      </c>
      <c r="K285" s="9">
        <f>IFERROR(VLOOKUP(I285,Materiales!$A:$G,7,0),"")</f>
        <v/>
      </c>
      <c r="L285" s="8" t="inlineStr">
        <is>
          <t>20250505</t>
        </is>
      </c>
      <c r="M285" s="8" t="inlineStr">
        <is>
          <t>20250507</t>
        </is>
      </c>
      <c r="N285" s="10" t="n">
        <v>168</v>
      </c>
      <c r="O285" s="10">
        <f>IFERROR(VLOOKUP(A285,Flete!$A:$J,10,0),"")</f>
        <v/>
      </c>
      <c r="P285" s="8" t="inlineStr">
        <is>
          <t>TN</t>
        </is>
      </c>
      <c r="Q285" s="10">
        <f>IFERROR(IFERROR(VLOOKUP(A285,TRAOPE!$A:$U,21,0),VLOOKUP(B285,TRAOPE!$A:$U,21,0)),"")</f>
        <v/>
      </c>
      <c r="R285" s="8">
        <f>IFERROR(IFERROR(VLOOKUP(A285,TRAOPE!$A:$W,23,0),VLOOKUP(B285,TRAOPE!$A:$W,23,0)),"")</f>
        <v/>
      </c>
      <c r="S285" s="10">
        <f>IF(AND(P285="TN",R285="TN"),N285+N(O285),IF(G285&amp;""="1",N(K285)*N285,(N285+N(O285))*N(K285)))</f>
        <v/>
      </c>
      <c r="T285" s="10">
        <f>IF(Q285="","",Q285-S285)</f>
        <v/>
      </c>
    </row>
    <row r="286">
      <c r="A286" s="7">
        <f>CONCATENATE(C286,E286,F286,I286)</f>
        <v/>
      </c>
      <c r="B286" s="7">
        <f>CONCATENATE(C286,E286,I286)</f>
        <v/>
      </c>
      <c r="C286" s="8" t="n">
        <v>900005260</v>
      </c>
      <c r="D286" s="7">
        <f>IFERROR(VLOOKUP(C286,TRAOPE!$G:$H,2,0),"")</f>
        <v/>
      </c>
      <c r="E286" s="8" t="inlineStr">
        <is>
          <t>D845</t>
        </is>
      </c>
      <c r="F286" s="8" t="inlineStr">
        <is>
          <t>67169574</t>
        </is>
      </c>
      <c r="G286" s="8">
        <f>IFERROR(VLOOKUP(A286,Flete!$A:$E,5,0),"")</f>
        <v/>
      </c>
      <c r="H286" s="7">
        <f>IFERROR(VLOOKUP(F286,TRAOPE!$AA:$AB,2,0),"")</f>
        <v/>
      </c>
      <c r="I286" s="7" t="n">
        <v>10000656</v>
      </c>
      <c r="J286" s="7">
        <f>IFERROR(VLOOKUP(I286,Materiales!$A:$H,8,0),"")</f>
        <v/>
      </c>
      <c r="K286" s="9">
        <f>IFERROR(VLOOKUP(I286,Materiales!$A:$G,7,0),"")</f>
        <v/>
      </c>
      <c r="L286" s="8" t="inlineStr">
        <is>
          <t>20240425</t>
        </is>
      </c>
      <c r="M286" s="8" t="inlineStr">
        <is>
          <t>20240814</t>
        </is>
      </c>
      <c r="N286" s="10" t="n">
        <v>166</v>
      </c>
      <c r="O286" s="10">
        <f>IFERROR(VLOOKUP(A286,Flete!$A:$J,10,0),"")</f>
        <v/>
      </c>
      <c r="P286" s="8" t="inlineStr">
        <is>
          <t>TN</t>
        </is>
      </c>
      <c r="Q286" s="10">
        <f>IFERROR(IFERROR(VLOOKUP(A286,TRAOPE!$A:$U,21,0),VLOOKUP(B286,TRAOPE!$A:$U,21,0)),"")</f>
        <v/>
      </c>
      <c r="R286" s="8">
        <f>IFERROR(IFERROR(VLOOKUP(A286,TRAOPE!$A:$W,23,0),VLOOKUP(B286,TRAOPE!$A:$W,23,0)),"")</f>
        <v/>
      </c>
      <c r="S286" s="10">
        <f>IF(AND(P286="TN",R286="TN"),N286+N(O286),IF(G286&amp;""="1",N(K286)*N286,(N286+N(O286))*N(K286)))</f>
        <v/>
      </c>
      <c r="T286" s="10">
        <f>IF(Q286="","",Q286-S286)</f>
        <v/>
      </c>
    </row>
    <row r="287">
      <c r="A287" s="7">
        <f>CONCATENATE(C287,E287,F287,I287)</f>
        <v/>
      </c>
      <c r="B287" s="7">
        <f>CONCATENATE(C287,E287,I287)</f>
        <v/>
      </c>
      <c r="C287" s="8" t="n">
        <v>900005260</v>
      </c>
      <c r="D287" s="7">
        <f>IFERROR(VLOOKUP(C287,TRAOPE!$G:$H,2,0),"")</f>
        <v/>
      </c>
      <c r="E287" s="8" t="inlineStr">
        <is>
          <t>D845</t>
        </is>
      </c>
      <c r="F287" s="8" t="inlineStr">
        <is>
          <t>67169574</t>
        </is>
      </c>
      <c r="G287" s="8">
        <f>IFERROR(VLOOKUP(A287,Flete!$A:$E,5,0),"")</f>
        <v/>
      </c>
      <c r="H287" s="7">
        <f>IFERROR(VLOOKUP(F287,TRAOPE!$AA:$AB,2,0),"")</f>
        <v/>
      </c>
      <c r="I287" s="7" t="n">
        <v>10058501</v>
      </c>
      <c r="J287" s="7">
        <f>IFERROR(VLOOKUP(I287,Materiales!$A:$H,8,0),"")</f>
        <v/>
      </c>
      <c r="K287" s="9">
        <f>IFERROR(VLOOKUP(I287,Materiales!$A:$G,7,0),"")</f>
        <v/>
      </c>
      <c r="L287" s="8" t="inlineStr">
        <is>
          <t>20250505</t>
        </is>
      </c>
      <c r="M287" s="8" t="inlineStr">
        <is>
          <t>20250507</t>
        </is>
      </c>
      <c r="N287" s="10" t="n">
        <v>151</v>
      </c>
      <c r="O287" s="10">
        <f>IFERROR(VLOOKUP(A287,Flete!$A:$J,10,0),"")</f>
        <v/>
      </c>
      <c r="P287" s="8" t="inlineStr">
        <is>
          <t>TN</t>
        </is>
      </c>
      <c r="Q287" s="10">
        <f>IFERROR(IFERROR(VLOOKUP(A287,TRAOPE!$A:$U,21,0),VLOOKUP(B287,TRAOPE!$A:$U,21,0)),"")</f>
        <v/>
      </c>
      <c r="R287" s="8">
        <f>IFERROR(IFERROR(VLOOKUP(A287,TRAOPE!$A:$W,23,0),VLOOKUP(B287,TRAOPE!$A:$W,23,0)),"")</f>
        <v/>
      </c>
      <c r="S287" s="10">
        <f>IF(AND(P287="TN",R287="TN"),N287+N(O287),IF(G287&amp;""="1",N(K287)*N287,(N287+N(O287))*N(K287)))</f>
        <v/>
      </c>
      <c r="T287" s="10">
        <f>IF(Q287="","",Q287-S287)</f>
        <v/>
      </c>
    </row>
    <row r="288">
      <c r="A288" s="7">
        <f>CONCATENATE(C288,E288,F288,I288)</f>
        <v/>
      </c>
      <c r="B288" s="7">
        <f>CONCATENATE(C288,E288,I288)</f>
        <v/>
      </c>
      <c r="C288" s="8" t="n">
        <v>900005260</v>
      </c>
      <c r="D288" s="7">
        <f>IFERROR(VLOOKUP(C288,TRAOPE!$G:$H,2,0),"")</f>
        <v/>
      </c>
      <c r="E288" s="8" t="inlineStr">
        <is>
          <t>D845</t>
        </is>
      </c>
      <c r="F288" s="8" t="inlineStr">
        <is>
          <t>67169574</t>
        </is>
      </c>
      <c r="G288" s="8">
        <f>IFERROR(VLOOKUP(A288,Flete!$A:$E,5,0),"")</f>
        <v/>
      </c>
      <c r="H288" s="7">
        <f>IFERROR(VLOOKUP(F288,TRAOPE!$AA:$AB,2,0),"")</f>
        <v/>
      </c>
      <c r="I288" s="7" t="n">
        <v>10167749</v>
      </c>
      <c r="J288" s="7">
        <f>IFERROR(VLOOKUP(I288,Materiales!$A:$H,8,0),"")</f>
        <v/>
      </c>
      <c r="K288" s="9">
        <f>IFERROR(VLOOKUP(I288,Materiales!$A:$G,7,0),"")</f>
        <v/>
      </c>
      <c r="L288" s="8" t="inlineStr">
        <is>
          <t>20250505</t>
        </is>
      </c>
      <c r="M288" s="8" t="inlineStr">
        <is>
          <t>20250507</t>
        </is>
      </c>
      <c r="N288" s="10" t="n">
        <v>161</v>
      </c>
      <c r="O288" s="10">
        <f>IFERROR(VLOOKUP(A288,Flete!$A:$J,10,0),"")</f>
        <v/>
      </c>
      <c r="P288" s="8" t="inlineStr">
        <is>
          <t>TN</t>
        </is>
      </c>
      <c r="Q288" s="10">
        <f>IFERROR(IFERROR(VLOOKUP(A288,TRAOPE!$A:$U,21,0),VLOOKUP(B288,TRAOPE!$A:$U,21,0)),"")</f>
        <v/>
      </c>
      <c r="R288" s="8">
        <f>IFERROR(IFERROR(VLOOKUP(A288,TRAOPE!$A:$W,23,0),VLOOKUP(B288,TRAOPE!$A:$W,23,0)),"")</f>
        <v/>
      </c>
      <c r="S288" s="10">
        <f>IF(AND(P288="TN",R288="TN"),N288+N(O288),IF(G288&amp;""="1",N(K288)*N288,(N288+N(O288))*N(K288)))</f>
        <v/>
      </c>
      <c r="T288" s="10">
        <f>IF(Q288="","",Q288-S288)</f>
        <v/>
      </c>
    </row>
    <row r="289">
      <c r="A289" s="7">
        <f>CONCATENATE(C289,E289,F289,I289)</f>
        <v/>
      </c>
      <c r="B289" s="7">
        <f>CONCATENATE(C289,E289,I289)</f>
        <v/>
      </c>
      <c r="C289" s="8" t="n">
        <v>900005260</v>
      </c>
      <c r="D289" s="7">
        <f>IFERROR(VLOOKUP(C289,TRAOPE!$G:$H,2,0),"")</f>
        <v/>
      </c>
      <c r="E289" s="8" t="inlineStr">
        <is>
          <t>D845</t>
        </is>
      </c>
      <c r="F289" s="8" t="inlineStr">
        <is>
          <t>67197543</t>
        </is>
      </c>
      <c r="G289" s="8">
        <f>IFERROR(VLOOKUP(A289,Flete!$A:$E,5,0),"")</f>
        <v/>
      </c>
      <c r="H289" s="7">
        <f>IFERROR(VLOOKUP(F289,TRAOPE!$AA:$AB,2,0),"")</f>
        <v/>
      </c>
      <c r="I289" s="7" t="n">
        <v>10167749</v>
      </c>
      <c r="J289" s="7">
        <f>IFERROR(VLOOKUP(I289,Materiales!$A:$H,8,0),"")</f>
        <v/>
      </c>
      <c r="K289" s="9">
        <f>IFERROR(VLOOKUP(I289,Materiales!$A:$G,7,0),"")</f>
        <v/>
      </c>
      <c r="L289" s="8" t="inlineStr">
        <is>
          <t>20240813</t>
        </is>
      </c>
      <c r="M289" s="8" t="inlineStr">
        <is>
          <t>20241108</t>
        </is>
      </c>
      <c r="N289" s="10" t="n">
        <v>165</v>
      </c>
      <c r="O289" s="10">
        <f>IFERROR(VLOOKUP(A289,Flete!$A:$J,10,0),"")</f>
        <v/>
      </c>
      <c r="P289" s="8" t="inlineStr">
        <is>
          <t>TN</t>
        </is>
      </c>
      <c r="Q289" s="10">
        <f>IFERROR(IFERROR(VLOOKUP(A289,TRAOPE!$A:$U,21,0),VLOOKUP(B289,TRAOPE!$A:$U,21,0)),"")</f>
        <v/>
      </c>
      <c r="R289" s="8">
        <f>IFERROR(IFERROR(VLOOKUP(A289,TRAOPE!$A:$W,23,0),VLOOKUP(B289,TRAOPE!$A:$W,23,0)),"")</f>
        <v/>
      </c>
      <c r="S289" s="10">
        <f>IF(AND(P289="TN",R289="TN"),N289+N(O289),IF(G289&amp;""="1",N(K289)*N289,(N289+N(O289))*N(K289)))</f>
        <v/>
      </c>
      <c r="T289" s="10">
        <f>IF(Q289="","",Q289-S289)</f>
        <v/>
      </c>
    </row>
    <row r="290">
      <c r="A290" s="7">
        <f>CONCATENATE(C290,E290,F290,I290)</f>
        <v/>
      </c>
      <c r="B290" s="7">
        <f>CONCATENATE(C290,E290,I290)</f>
        <v/>
      </c>
      <c r="C290" s="8" t="n">
        <v>900005260</v>
      </c>
      <c r="D290" s="7">
        <f>IFERROR(VLOOKUP(C290,TRAOPE!$G:$H,2,0),"")</f>
        <v/>
      </c>
      <c r="E290" s="8" t="inlineStr">
        <is>
          <t>D845</t>
        </is>
      </c>
      <c r="F290" s="8" t="inlineStr">
        <is>
          <t>67200086</t>
        </is>
      </c>
      <c r="G290" s="8">
        <f>IFERROR(VLOOKUP(A290,Flete!$A:$E,5,0),"")</f>
        <v/>
      </c>
      <c r="H290" s="7">
        <f>IFERROR(VLOOKUP(F290,TRAOPE!$AA:$AB,2,0),"")</f>
        <v/>
      </c>
      <c r="I290" s="7" t="n">
        <v>10000536</v>
      </c>
      <c r="J290" s="7">
        <f>IFERROR(VLOOKUP(I290,Materiales!$A:$H,8,0),"")</f>
        <v/>
      </c>
      <c r="K290" s="9">
        <f>IFERROR(VLOOKUP(I290,Materiales!$A:$G,7,0),"")</f>
        <v/>
      </c>
      <c r="L290" s="8" t="inlineStr">
        <is>
          <t>20240425</t>
        </is>
      </c>
      <c r="M290" s="8" t="inlineStr">
        <is>
          <t>20240814</t>
        </is>
      </c>
      <c r="N290" s="10" t="n">
        <v>161</v>
      </c>
      <c r="O290" s="10">
        <f>IFERROR(VLOOKUP(A290,Flete!$A:$J,10,0),"")</f>
        <v/>
      </c>
      <c r="P290" s="8" t="inlineStr">
        <is>
          <t>TN</t>
        </is>
      </c>
      <c r="Q290" s="10">
        <f>IFERROR(IFERROR(VLOOKUP(A290,TRAOPE!$A:$U,21,0),VLOOKUP(B290,TRAOPE!$A:$U,21,0)),"")</f>
        <v/>
      </c>
      <c r="R290" s="8">
        <f>IFERROR(IFERROR(VLOOKUP(A290,TRAOPE!$A:$W,23,0),VLOOKUP(B290,TRAOPE!$A:$W,23,0)),"")</f>
        <v/>
      </c>
      <c r="S290" s="10">
        <f>IF(AND(P290="TN",R290="TN"),N290+N(O290),IF(G290&amp;""="1",N(K290)*N290,(N290+N(O290))*N(K290)))</f>
        <v/>
      </c>
      <c r="T290" s="10">
        <f>IF(Q290="","",Q290-S290)</f>
        <v/>
      </c>
    </row>
    <row r="291">
      <c r="A291" s="7">
        <f>CONCATENATE(C291,E291,F291,I291)</f>
        <v/>
      </c>
      <c r="B291" s="7">
        <f>CONCATENATE(C291,E291,I291)</f>
        <v/>
      </c>
      <c r="C291" s="8" t="n">
        <v>900005260</v>
      </c>
      <c r="D291" s="7">
        <f>IFERROR(VLOOKUP(C291,TRAOPE!$G:$H,2,0),"")</f>
        <v/>
      </c>
      <c r="E291" s="8" t="inlineStr">
        <is>
          <t>D845</t>
        </is>
      </c>
      <c r="F291" s="8" t="inlineStr">
        <is>
          <t>67200086</t>
        </is>
      </c>
      <c r="G291" s="8">
        <f>IFERROR(VLOOKUP(A291,Flete!$A:$E,5,0),"")</f>
        <v/>
      </c>
      <c r="H291" s="7">
        <f>IFERROR(VLOOKUP(F291,TRAOPE!$AA:$AB,2,0),"")</f>
        <v/>
      </c>
      <c r="I291" s="7" t="n">
        <v>10000578</v>
      </c>
      <c r="J291" s="7">
        <f>IFERROR(VLOOKUP(I291,Materiales!$A:$H,8,0),"")</f>
        <v/>
      </c>
      <c r="K291" s="9">
        <f>IFERROR(VLOOKUP(I291,Materiales!$A:$G,7,0),"")</f>
        <v/>
      </c>
      <c r="L291" s="8" t="inlineStr">
        <is>
          <t>20240425</t>
        </is>
      </c>
      <c r="M291" s="8" t="inlineStr">
        <is>
          <t>20240814</t>
        </is>
      </c>
      <c r="N291" s="10" t="n">
        <v>161</v>
      </c>
      <c r="O291" s="10">
        <f>IFERROR(VLOOKUP(A291,Flete!$A:$J,10,0),"")</f>
        <v/>
      </c>
      <c r="P291" s="8" t="inlineStr">
        <is>
          <t>TN</t>
        </is>
      </c>
      <c r="Q291" s="10">
        <f>IFERROR(IFERROR(VLOOKUP(A291,TRAOPE!$A:$U,21,0),VLOOKUP(B291,TRAOPE!$A:$U,21,0)),"")</f>
        <v/>
      </c>
      <c r="R291" s="8">
        <f>IFERROR(IFERROR(VLOOKUP(A291,TRAOPE!$A:$W,23,0),VLOOKUP(B291,TRAOPE!$A:$W,23,0)),"")</f>
        <v/>
      </c>
      <c r="S291" s="10">
        <f>IF(AND(P291="TN",R291="TN"),N291+N(O291),IF(G291&amp;""="1",N(K291)*N291,(N291+N(O291))*N(K291)))</f>
        <v/>
      </c>
      <c r="T291" s="10">
        <f>IF(Q291="","",Q291-S291)</f>
        <v/>
      </c>
    </row>
    <row r="292">
      <c r="A292" s="7">
        <f>CONCATENATE(C292,E292,F292,I292)</f>
        <v/>
      </c>
      <c r="B292" s="7">
        <f>CONCATENATE(C292,E292,I292)</f>
        <v/>
      </c>
      <c r="C292" s="8" t="n">
        <v>900005260</v>
      </c>
      <c r="D292" s="7">
        <f>IFERROR(VLOOKUP(C292,TRAOPE!$G:$H,2,0),"")</f>
        <v/>
      </c>
      <c r="E292" s="8" t="inlineStr">
        <is>
          <t>D845</t>
        </is>
      </c>
      <c r="F292" s="8" t="inlineStr">
        <is>
          <t>67200086</t>
        </is>
      </c>
      <c r="G292" s="8">
        <f>IFERROR(VLOOKUP(A292,Flete!$A:$E,5,0),"")</f>
        <v/>
      </c>
      <c r="H292" s="7">
        <f>IFERROR(VLOOKUP(F292,TRAOPE!$AA:$AB,2,0),"")</f>
        <v/>
      </c>
      <c r="I292" s="7" t="n">
        <v>10000617</v>
      </c>
      <c r="J292" s="7">
        <f>IFERROR(VLOOKUP(I292,Materiales!$A:$H,8,0),"")</f>
        <v/>
      </c>
      <c r="K292" s="9">
        <f>IFERROR(VLOOKUP(I292,Materiales!$A:$G,7,0),"")</f>
        <v/>
      </c>
      <c r="L292" s="8" t="inlineStr">
        <is>
          <t>20240425</t>
        </is>
      </c>
      <c r="M292" s="8" t="inlineStr">
        <is>
          <t>20240814</t>
        </is>
      </c>
      <c r="N292" s="10" t="n">
        <v>171</v>
      </c>
      <c r="O292" s="10">
        <f>IFERROR(VLOOKUP(A292,Flete!$A:$J,10,0),"")</f>
        <v/>
      </c>
      <c r="P292" s="8" t="inlineStr">
        <is>
          <t>TN</t>
        </is>
      </c>
      <c r="Q292" s="10">
        <f>IFERROR(IFERROR(VLOOKUP(A292,TRAOPE!$A:$U,21,0),VLOOKUP(B292,TRAOPE!$A:$U,21,0)),"")</f>
        <v/>
      </c>
      <c r="R292" s="8">
        <f>IFERROR(IFERROR(VLOOKUP(A292,TRAOPE!$A:$W,23,0),VLOOKUP(B292,TRAOPE!$A:$W,23,0)),"")</f>
        <v/>
      </c>
      <c r="S292" s="10">
        <f>IF(AND(P292="TN",R292="TN"),N292+N(O292),IF(G292&amp;""="1",N(K292)*N292,(N292+N(O292))*N(K292)))</f>
        <v/>
      </c>
      <c r="T292" s="10">
        <f>IF(Q292="","",Q292-S292)</f>
        <v/>
      </c>
    </row>
    <row r="293">
      <c r="A293" s="7">
        <f>CONCATENATE(C293,E293,F293,I293)</f>
        <v/>
      </c>
      <c r="B293" s="7">
        <f>CONCATENATE(C293,E293,I293)</f>
        <v/>
      </c>
      <c r="C293" s="8" t="n">
        <v>900005260</v>
      </c>
      <c r="D293" s="7">
        <f>IFERROR(VLOOKUP(C293,TRAOPE!$G:$H,2,0),"")</f>
        <v/>
      </c>
      <c r="E293" s="8" t="inlineStr">
        <is>
          <t>D845</t>
        </is>
      </c>
      <c r="F293" s="8" t="inlineStr">
        <is>
          <t>67200086</t>
        </is>
      </c>
      <c r="G293" s="8">
        <f>IFERROR(VLOOKUP(A293,Flete!$A:$E,5,0),"")</f>
        <v/>
      </c>
      <c r="H293" s="7">
        <f>IFERROR(VLOOKUP(F293,TRAOPE!$AA:$AB,2,0),"")</f>
        <v/>
      </c>
      <c r="I293" s="7" t="n">
        <v>10000656</v>
      </c>
      <c r="J293" s="7">
        <f>IFERROR(VLOOKUP(I293,Materiales!$A:$H,8,0),"")</f>
        <v/>
      </c>
      <c r="K293" s="9">
        <f>IFERROR(VLOOKUP(I293,Materiales!$A:$G,7,0),"")</f>
        <v/>
      </c>
      <c r="L293" s="8" t="inlineStr">
        <is>
          <t>20240425</t>
        </is>
      </c>
      <c r="M293" s="8" t="inlineStr">
        <is>
          <t>20240814</t>
        </is>
      </c>
      <c r="N293" s="10" t="n">
        <v>169</v>
      </c>
      <c r="O293" s="10">
        <f>IFERROR(VLOOKUP(A293,Flete!$A:$J,10,0),"")</f>
        <v/>
      </c>
      <c r="P293" s="8" t="inlineStr">
        <is>
          <t>TN</t>
        </is>
      </c>
      <c r="Q293" s="10">
        <f>IFERROR(IFERROR(VLOOKUP(A293,TRAOPE!$A:$U,21,0),VLOOKUP(B293,TRAOPE!$A:$U,21,0)),"")</f>
        <v/>
      </c>
      <c r="R293" s="8">
        <f>IFERROR(IFERROR(VLOOKUP(A293,TRAOPE!$A:$W,23,0),VLOOKUP(B293,TRAOPE!$A:$W,23,0)),"")</f>
        <v/>
      </c>
      <c r="S293" s="10">
        <f>IF(AND(P293="TN",R293="TN"),N293+N(O293),IF(G293&amp;""="1",N(K293)*N293,(N293+N(O293))*N(K293)))</f>
        <v/>
      </c>
      <c r="T293" s="10">
        <f>IF(Q293="","",Q293-S293)</f>
        <v/>
      </c>
    </row>
    <row r="294">
      <c r="A294" s="7">
        <f>CONCATENATE(C294,E294,F294,I294)</f>
        <v/>
      </c>
      <c r="B294" s="7">
        <f>CONCATENATE(C294,E294,I294)</f>
        <v/>
      </c>
      <c r="C294" s="8" t="n">
        <v>900005260</v>
      </c>
      <c r="D294" s="7">
        <f>IFERROR(VLOOKUP(C294,TRAOPE!$G:$H,2,0),"")</f>
        <v/>
      </c>
      <c r="E294" s="8" t="inlineStr">
        <is>
          <t>D845</t>
        </is>
      </c>
      <c r="F294" s="8" t="inlineStr">
        <is>
          <t>67200086</t>
        </is>
      </c>
      <c r="G294" s="8">
        <f>IFERROR(VLOOKUP(A294,Flete!$A:$E,5,0),"")</f>
        <v/>
      </c>
      <c r="H294" s="7">
        <f>IFERROR(VLOOKUP(F294,TRAOPE!$AA:$AB,2,0),"")</f>
        <v/>
      </c>
      <c r="I294" s="7" t="n">
        <v>10058501</v>
      </c>
      <c r="J294" s="7">
        <f>IFERROR(VLOOKUP(I294,Materiales!$A:$H,8,0),"")</f>
        <v/>
      </c>
      <c r="K294" s="9">
        <f>IFERROR(VLOOKUP(I294,Materiales!$A:$G,7,0),"")</f>
        <v/>
      </c>
      <c r="L294" s="8" t="inlineStr">
        <is>
          <t>20240425</t>
        </is>
      </c>
      <c r="M294" s="8" t="inlineStr">
        <is>
          <t>20240814</t>
        </is>
      </c>
      <c r="N294" s="10" t="n">
        <v>153</v>
      </c>
      <c r="O294" s="10">
        <f>IFERROR(VLOOKUP(A294,Flete!$A:$J,10,0),"")</f>
        <v/>
      </c>
      <c r="P294" s="8" t="inlineStr">
        <is>
          <t>TN</t>
        </is>
      </c>
      <c r="Q294" s="10">
        <f>IFERROR(IFERROR(VLOOKUP(A294,TRAOPE!$A:$U,21,0),VLOOKUP(B294,TRAOPE!$A:$U,21,0)),"")</f>
        <v/>
      </c>
      <c r="R294" s="8">
        <f>IFERROR(IFERROR(VLOOKUP(A294,TRAOPE!$A:$W,23,0),VLOOKUP(B294,TRAOPE!$A:$W,23,0)),"")</f>
        <v/>
      </c>
      <c r="S294" s="10">
        <f>IF(AND(P294="TN",R294="TN"),N294+N(O294),IF(G294&amp;""="1",N(K294)*N294,(N294+N(O294))*N(K294)))</f>
        <v/>
      </c>
      <c r="T294" s="10">
        <f>IF(Q294="","",Q294-S294)</f>
        <v/>
      </c>
    </row>
    <row r="295">
      <c r="A295" s="7">
        <f>CONCATENATE(C295,E295,F295,I295)</f>
        <v/>
      </c>
      <c r="B295" s="7">
        <f>CONCATENATE(C295,E295,I295)</f>
        <v/>
      </c>
      <c r="C295" s="8" t="n">
        <v>900005260</v>
      </c>
      <c r="D295" s="7">
        <f>IFERROR(VLOOKUP(C295,TRAOPE!$G:$H,2,0),"")</f>
        <v/>
      </c>
      <c r="E295" s="8" t="inlineStr">
        <is>
          <t>D845</t>
        </is>
      </c>
      <c r="F295" s="8" t="inlineStr">
        <is>
          <t>67200086</t>
        </is>
      </c>
      <c r="G295" s="8">
        <f>IFERROR(VLOOKUP(A295,Flete!$A:$E,5,0),"")</f>
        <v/>
      </c>
      <c r="H295" s="7">
        <f>IFERROR(VLOOKUP(F295,TRAOPE!$AA:$AB,2,0),"")</f>
        <v/>
      </c>
      <c r="I295" s="7" t="n">
        <v>10167749</v>
      </c>
      <c r="J295" s="7">
        <f>IFERROR(VLOOKUP(I295,Materiales!$A:$H,8,0),"")</f>
        <v/>
      </c>
      <c r="K295" s="9">
        <f>IFERROR(VLOOKUP(I295,Materiales!$A:$G,7,0),"")</f>
        <v/>
      </c>
      <c r="L295" s="8" t="inlineStr">
        <is>
          <t>20240425</t>
        </is>
      </c>
      <c r="M295" s="8" t="inlineStr">
        <is>
          <t>20240814</t>
        </is>
      </c>
      <c r="N295" s="10" t="n">
        <v>164</v>
      </c>
      <c r="O295" s="10">
        <f>IFERROR(VLOOKUP(A295,Flete!$A:$J,10,0),"")</f>
        <v/>
      </c>
      <c r="P295" s="8" t="inlineStr">
        <is>
          <t>TN</t>
        </is>
      </c>
      <c r="Q295" s="10">
        <f>IFERROR(IFERROR(VLOOKUP(A295,TRAOPE!$A:$U,21,0),VLOOKUP(B295,TRAOPE!$A:$U,21,0)),"")</f>
        <v/>
      </c>
      <c r="R295" s="8">
        <f>IFERROR(IFERROR(VLOOKUP(A295,TRAOPE!$A:$W,23,0),VLOOKUP(B295,TRAOPE!$A:$W,23,0)),"")</f>
        <v/>
      </c>
      <c r="S295" s="10">
        <f>IF(AND(P295="TN",R295="TN"),N295+N(O295),IF(G295&amp;""="1",N(K295)*N295,(N295+N(O295))*N(K295)))</f>
        <v/>
      </c>
      <c r="T295" s="10">
        <f>IF(Q295="","",Q295-S295)</f>
        <v/>
      </c>
    </row>
    <row r="296">
      <c r="A296" s="7">
        <f>CONCATENATE(C296,E296,F296,I296)</f>
        <v/>
      </c>
      <c r="B296" s="7">
        <f>CONCATENATE(C296,E296,I296)</f>
        <v/>
      </c>
      <c r="C296" s="8" t="n">
        <v>900005260</v>
      </c>
      <c r="D296" s="7">
        <f>IFERROR(VLOOKUP(C296,TRAOPE!$G:$H,2,0),"")</f>
        <v/>
      </c>
      <c r="E296" s="8" t="inlineStr">
        <is>
          <t>D845</t>
        </is>
      </c>
      <c r="F296" s="8" t="inlineStr">
        <is>
          <t>67200086</t>
        </is>
      </c>
      <c r="G296" s="8">
        <f>IFERROR(VLOOKUP(A296,Flete!$A:$E,5,0),"")</f>
        <v/>
      </c>
      <c r="H296" s="7">
        <f>IFERROR(VLOOKUP(F296,TRAOPE!$AA:$AB,2,0),"")</f>
        <v/>
      </c>
      <c r="I296" s="7" t="n">
        <v>10169508</v>
      </c>
      <c r="J296" s="7">
        <f>IFERROR(VLOOKUP(I296,Materiales!$A:$H,8,0),"")</f>
        <v/>
      </c>
      <c r="K296" s="9">
        <f>IFERROR(VLOOKUP(I296,Materiales!$A:$G,7,0),"")</f>
        <v/>
      </c>
      <c r="L296" s="8" t="inlineStr">
        <is>
          <t>20240425</t>
        </is>
      </c>
      <c r="M296" s="8" t="inlineStr">
        <is>
          <t>20240814</t>
        </is>
      </c>
      <c r="N296" s="10" t="n">
        <v>174</v>
      </c>
      <c r="O296" s="10">
        <f>IFERROR(VLOOKUP(A296,Flete!$A:$J,10,0),"")</f>
        <v/>
      </c>
      <c r="P296" s="8" t="inlineStr">
        <is>
          <t>TN</t>
        </is>
      </c>
      <c r="Q296" s="10">
        <f>IFERROR(IFERROR(VLOOKUP(A296,TRAOPE!$A:$U,21,0),VLOOKUP(B296,TRAOPE!$A:$U,21,0)),"")</f>
        <v/>
      </c>
      <c r="R296" s="8">
        <f>IFERROR(IFERROR(VLOOKUP(A296,TRAOPE!$A:$W,23,0),VLOOKUP(B296,TRAOPE!$A:$W,23,0)),"")</f>
        <v/>
      </c>
      <c r="S296" s="10">
        <f>IF(AND(P296="TN",R296="TN"),N296+N(O296),IF(G296&amp;""="1",N(K296)*N296,(N296+N(O296))*N(K296)))</f>
        <v/>
      </c>
      <c r="T296" s="10">
        <f>IF(Q296="","",Q296-S296)</f>
        <v/>
      </c>
    </row>
    <row r="297">
      <c r="A297" s="7">
        <f>CONCATENATE(C297,E297,F297,I297)</f>
        <v/>
      </c>
      <c r="B297" s="7">
        <f>CONCATENATE(C297,E297,I297)</f>
        <v/>
      </c>
      <c r="C297" s="8" t="n">
        <v>900005260</v>
      </c>
      <c r="D297" s="7">
        <f>IFERROR(VLOOKUP(C297,TRAOPE!$G:$H,2,0),"")</f>
        <v/>
      </c>
      <c r="E297" s="8" t="inlineStr">
        <is>
          <t>D845</t>
        </is>
      </c>
      <c r="F297" s="8" t="inlineStr">
        <is>
          <t>67230766</t>
        </is>
      </c>
      <c r="G297" s="8">
        <f>IFERROR(VLOOKUP(A297,Flete!$A:$E,5,0),"")</f>
        <v/>
      </c>
      <c r="H297" s="7">
        <f>IFERROR(VLOOKUP(F297,TRAOPE!$AA:$AB,2,0),"")</f>
        <v/>
      </c>
      <c r="I297" s="7" t="n">
        <v>10058501</v>
      </c>
      <c r="J297" s="7">
        <f>IFERROR(VLOOKUP(I297,Materiales!$A:$H,8,0),"")</f>
        <v/>
      </c>
      <c r="K297" s="9">
        <f>IFERROR(VLOOKUP(I297,Materiales!$A:$G,7,0),"")</f>
        <v/>
      </c>
      <c r="L297" s="8" t="inlineStr">
        <is>
          <t>20240425</t>
        </is>
      </c>
      <c r="M297" s="8" t="inlineStr">
        <is>
          <t>20240814</t>
        </is>
      </c>
      <c r="N297" s="10" t="n">
        <v>151</v>
      </c>
      <c r="O297" s="10">
        <f>IFERROR(VLOOKUP(A297,Flete!$A:$J,10,0),"")</f>
        <v/>
      </c>
      <c r="P297" s="8" t="inlineStr">
        <is>
          <t>TN</t>
        </is>
      </c>
      <c r="Q297" s="10">
        <f>IFERROR(IFERROR(VLOOKUP(A297,TRAOPE!$A:$U,21,0),VLOOKUP(B297,TRAOPE!$A:$U,21,0)),"")</f>
        <v/>
      </c>
      <c r="R297" s="8">
        <f>IFERROR(IFERROR(VLOOKUP(A297,TRAOPE!$A:$W,23,0),VLOOKUP(B297,TRAOPE!$A:$W,23,0)),"")</f>
        <v/>
      </c>
      <c r="S297" s="10">
        <f>IF(AND(P297="TN",R297="TN"),N297+N(O297),IF(G297&amp;""="1",N(K297)*N297,(N297+N(O297))*N(K297)))</f>
        <v/>
      </c>
      <c r="T297" s="10">
        <f>IF(Q297="","",Q297-S297)</f>
        <v/>
      </c>
    </row>
    <row r="298">
      <c r="A298" s="7">
        <f>CONCATENATE(C298,E298,F298,I298)</f>
        <v/>
      </c>
      <c r="B298" s="7">
        <f>CONCATENATE(C298,E298,I298)</f>
        <v/>
      </c>
      <c r="C298" s="8" t="n">
        <v>900005260</v>
      </c>
      <c r="D298" s="7">
        <f>IFERROR(VLOOKUP(C298,TRAOPE!$G:$H,2,0),"")</f>
        <v/>
      </c>
      <c r="E298" s="8" t="inlineStr">
        <is>
          <t>D845</t>
        </is>
      </c>
      <c r="F298" s="8" t="inlineStr">
        <is>
          <t>67230766</t>
        </is>
      </c>
      <c r="G298" s="8">
        <f>IFERROR(VLOOKUP(A298,Flete!$A:$E,5,0),"")</f>
        <v/>
      </c>
      <c r="H298" s="7">
        <f>IFERROR(VLOOKUP(F298,TRAOPE!$AA:$AB,2,0),"")</f>
        <v/>
      </c>
      <c r="I298" s="7" t="n">
        <v>10167749</v>
      </c>
      <c r="J298" s="7">
        <f>IFERROR(VLOOKUP(I298,Materiales!$A:$H,8,0),"")</f>
        <v/>
      </c>
      <c r="K298" s="9">
        <f>IFERROR(VLOOKUP(I298,Materiales!$A:$G,7,0),"")</f>
        <v/>
      </c>
      <c r="L298" s="8" t="inlineStr">
        <is>
          <t>20250505</t>
        </is>
      </c>
      <c r="M298" s="8" t="inlineStr">
        <is>
          <t>20250507</t>
        </is>
      </c>
      <c r="N298" s="10" t="n">
        <v>193</v>
      </c>
      <c r="O298" s="10">
        <f>IFERROR(VLOOKUP(A298,Flete!$A:$J,10,0),"")</f>
        <v/>
      </c>
      <c r="P298" s="8" t="inlineStr">
        <is>
          <t>TN</t>
        </is>
      </c>
      <c r="Q298" s="10">
        <f>IFERROR(IFERROR(VLOOKUP(A298,TRAOPE!$A:$U,21,0),VLOOKUP(B298,TRAOPE!$A:$U,21,0)),"")</f>
        <v/>
      </c>
      <c r="R298" s="8">
        <f>IFERROR(IFERROR(VLOOKUP(A298,TRAOPE!$A:$W,23,0),VLOOKUP(B298,TRAOPE!$A:$W,23,0)),"")</f>
        <v/>
      </c>
      <c r="S298" s="10">
        <f>IF(AND(P298="TN",R298="TN"),N298+N(O298),IF(G298&amp;""="1",N(K298)*N298,(N298+N(O298))*N(K298)))</f>
        <v/>
      </c>
      <c r="T298" s="10">
        <f>IF(Q298="","",Q298-S298)</f>
        <v/>
      </c>
    </row>
    <row r="299">
      <c r="A299" s="7">
        <f>CONCATENATE(C299,E299,F299,I299)</f>
        <v/>
      </c>
      <c r="B299" s="7">
        <f>CONCATENATE(C299,E299,I299)</f>
        <v/>
      </c>
      <c r="C299" s="8" t="n">
        <v>900005260</v>
      </c>
      <c r="D299" s="7">
        <f>IFERROR(VLOOKUP(C299,TRAOPE!$G:$H,2,0),"")</f>
        <v/>
      </c>
      <c r="E299" s="8" t="inlineStr">
        <is>
          <t>D845</t>
        </is>
      </c>
      <c r="F299" s="8" t="inlineStr">
        <is>
          <t>67231138</t>
        </is>
      </c>
      <c r="G299" s="8">
        <f>IFERROR(VLOOKUP(A299,Flete!$A:$E,5,0),"")</f>
        <v/>
      </c>
      <c r="H299" s="7">
        <f>IFERROR(VLOOKUP(F299,TRAOPE!$AA:$AB,2,0),"")</f>
        <v/>
      </c>
      <c r="I299" s="7" t="n">
        <v>10058501</v>
      </c>
      <c r="J299" s="7">
        <f>IFERROR(VLOOKUP(I299,Materiales!$A:$H,8,0),"")</f>
        <v/>
      </c>
      <c r="K299" s="9">
        <f>IFERROR(VLOOKUP(I299,Materiales!$A:$G,7,0),"")</f>
        <v/>
      </c>
      <c r="L299" s="8" t="inlineStr">
        <is>
          <t>20240425</t>
        </is>
      </c>
      <c r="M299" s="8" t="inlineStr">
        <is>
          <t>20240814</t>
        </is>
      </c>
      <c r="N299" s="10" t="n">
        <v>151</v>
      </c>
      <c r="O299" s="10">
        <f>IFERROR(VLOOKUP(A299,Flete!$A:$J,10,0),"")</f>
        <v/>
      </c>
      <c r="P299" s="8" t="inlineStr">
        <is>
          <t>TN</t>
        </is>
      </c>
      <c r="Q299" s="10">
        <f>IFERROR(IFERROR(VLOOKUP(A299,TRAOPE!$A:$U,21,0),VLOOKUP(B299,TRAOPE!$A:$U,21,0)),"")</f>
        <v/>
      </c>
      <c r="R299" s="8">
        <f>IFERROR(IFERROR(VLOOKUP(A299,TRAOPE!$A:$W,23,0),VLOOKUP(B299,TRAOPE!$A:$W,23,0)),"")</f>
        <v/>
      </c>
      <c r="S299" s="10">
        <f>IF(AND(P299="TN",R299="TN"),N299+N(O299),IF(G299&amp;""="1",N(K299)*N299,(N299+N(O299))*N(K299)))</f>
        <v/>
      </c>
      <c r="T299" s="10">
        <f>IF(Q299="","",Q299-S299)</f>
        <v/>
      </c>
    </row>
    <row r="300">
      <c r="A300" s="7">
        <f>CONCATENATE(C300,E300,F300,I300)</f>
        <v/>
      </c>
      <c r="B300" s="7">
        <f>CONCATENATE(C300,E300,I300)</f>
        <v/>
      </c>
      <c r="C300" s="8" t="n">
        <v>900005260</v>
      </c>
      <c r="D300" s="7">
        <f>IFERROR(VLOOKUP(C300,TRAOPE!$G:$H,2,0),"")</f>
        <v/>
      </c>
      <c r="E300" s="8" t="inlineStr">
        <is>
          <t>D845</t>
        </is>
      </c>
      <c r="F300" s="8" t="inlineStr">
        <is>
          <t>67231138</t>
        </is>
      </c>
      <c r="G300" s="8">
        <f>IFERROR(VLOOKUP(A300,Flete!$A:$E,5,0),"")</f>
        <v/>
      </c>
      <c r="H300" s="7">
        <f>IFERROR(VLOOKUP(F300,TRAOPE!$AA:$AB,2,0),"")</f>
        <v/>
      </c>
      <c r="I300" s="7" t="n">
        <v>10167749</v>
      </c>
      <c r="J300" s="7">
        <f>IFERROR(VLOOKUP(I300,Materiales!$A:$H,8,0),"")</f>
        <v/>
      </c>
      <c r="K300" s="9">
        <f>IFERROR(VLOOKUP(I300,Materiales!$A:$G,7,0),"")</f>
        <v/>
      </c>
      <c r="L300" s="8" t="inlineStr">
        <is>
          <t>20250505</t>
        </is>
      </c>
      <c r="M300" s="8" t="inlineStr">
        <is>
          <t>20250507</t>
        </is>
      </c>
      <c r="N300" s="10" t="n">
        <v>193</v>
      </c>
      <c r="O300" s="10">
        <f>IFERROR(VLOOKUP(A300,Flete!$A:$J,10,0),"")</f>
        <v/>
      </c>
      <c r="P300" s="8" t="inlineStr">
        <is>
          <t>TN</t>
        </is>
      </c>
      <c r="Q300" s="10">
        <f>IFERROR(IFERROR(VLOOKUP(A300,TRAOPE!$A:$U,21,0),VLOOKUP(B300,TRAOPE!$A:$U,21,0)),"")</f>
        <v/>
      </c>
      <c r="R300" s="8">
        <f>IFERROR(IFERROR(VLOOKUP(A300,TRAOPE!$A:$W,23,0),VLOOKUP(B300,TRAOPE!$A:$W,23,0)),"")</f>
        <v/>
      </c>
      <c r="S300" s="10">
        <f>IF(AND(P300="TN",R300="TN"),N300+N(O300),IF(G300&amp;""="1",N(K300)*N300,(N300+N(O300))*N(K300)))</f>
        <v/>
      </c>
      <c r="T300" s="10">
        <f>IF(Q300="","",Q300-S300)</f>
        <v/>
      </c>
    </row>
    <row r="301">
      <c r="A301" s="7">
        <f>CONCATENATE(C301,E301,F301,I301)</f>
        <v/>
      </c>
      <c r="B301" s="7">
        <f>CONCATENATE(C301,E301,I301)</f>
        <v/>
      </c>
      <c r="C301" s="8" t="n">
        <v>900005260</v>
      </c>
      <c r="D301" s="7">
        <f>IFERROR(VLOOKUP(C301,TRAOPE!$G:$H,2,0),"")</f>
        <v/>
      </c>
      <c r="E301" s="8" t="inlineStr">
        <is>
          <t>D845</t>
        </is>
      </c>
      <c r="F301" s="8" t="inlineStr">
        <is>
          <t>67231528</t>
        </is>
      </c>
      <c r="G301" s="8">
        <f>IFERROR(VLOOKUP(A301,Flete!$A:$E,5,0),"")</f>
        <v/>
      </c>
      <c r="H301" s="7">
        <f>IFERROR(VLOOKUP(F301,TRAOPE!$AA:$AB,2,0),"")</f>
        <v/>
      </c>
      <c r="I301" s="7" t="n">
        <v>10058501</v>
      </c>
      <c r="J301" s="7">
        <f>IFERROR(VLOOKUP(I301,Materiales!$A:$H,8,0),"")</f>
        <v/>
      </c>
      <c r="K301" s="9">
        <f>IFERROR(VLOOKUP(I301,Materiales!$A:$G,7,0),"")</f>
        <v/>
      </c>
      <c r="L301" s="8" t="inlineStr">
        <is>
          <t>20240425</t>
        </is>
      </c>
      <c r="M301" s="8" t="inlineStr">
        <is>
          <t>20240814</t>
        </is>
      </c>
      <c r="N301" s="10" t="n">
        <v>151</v>
      </c>
      <c r="O301" s="10">
        <f>IFERROR(VLOOKUP(A301,Flete!$A:$J,10,0),"")</f>
        <v/>
      </c>
      <c r="P301" s="8" t="inlineStr">
        <is>
          <t>TN</t>
        </is>
      </c>
      <c r="Q301" s="10">
        <f>IFERROR(IFERROR(VLOOKUP(A301,TRAOPE!$A:$U,21,0),VLOOKUP(B301,TRAOPE!$A:$U,21,0)),"")</f>
        <v/>
      </c>
      <c r="R301" s="8">
        <f>IFERROR(IFERROR(VLOOKUP(A301,TRAOPE!$A:$W,23,0),VLOOKUP(B301,TRAOPE!$A:$W,23,0)),"")</f>
        <v/>
      </c>
      <c r="S301" s="10">
        <f>IF(AND(P301="TN",R301="TN"),N301+N(O301),IF(G301&amp;""="1",N(K301)*N301,(N301+N(O301))*N(K301)))</f>
        <v/>
      </c>
      <c r="T301" s="10">
        <f>IF(Q301="","",Q301-S301)</f>
        <v/>
      </c>
    </row>
    <row r="302">
      <c r="A302" s="7">
        <f>CONCATENATE(C302,E302,F302,I302)</f>
        <v/>
      </c>
      <c r="B302" s="7">
        <f>CONCATENATE(C302,E302,I302)</f>
        <v/>
      </c>
      <c r="C302" s="8" t="n">
        <v>900005260</v>
      </c>
      <c r="D302" s="7">
        <f>IFERROR(VLOOKUP(C302,TRAOPE!$G:$H,2,0),"")</f>
        <v/>
      </c>
      <c r="E302" s="8" t="inlineStr">
        <is>
          <t>D845</t>
        </is>
      </c>
      <c r="F302" s="8" t="inlineStr">
        <is>
          <t>67241390</t>
        </is>
      </c>
      <c r="G302" s="8">
        <f>IFERROR(VLOOKUP(A302,Flete!$A:$E,5,0),"")</f>
        <v/>
      </c>
      <c r="H302" s="7">
        <f>IFERROR(VLOOKUP(F302,TRAOPE!$AA:$AB,2,0),"")</f>
        <v/>
      </c>
      <c r="I302" s="7" t="n">
        <v>10217514</v>
      </c>
      <c r="J302" s="7">
        <f>IFERROR(VLOOKUP(I302,Materiales!$A:$H,8,0),"")</f>
        <v/>
      </c>
      <c r="K302" s="9">
        <f>IFERROR(VLOOKUP(I302,Materiales!$A:$G,7,0),"")</f>
        <v/>
      </c>
      <c r="L302" s="8" t="inlineStr">
        <is>
          <t>20250505</t>
        </is>
      </c>
      <c r="M302" s="8" t="inlineStr">
        <is>
          <t>20250507</t>
        </is>
      </c>
      <c r="N302" s="10" t="n">
        <v>80</v>
      </c>
      <c r="O302" s="10">
        <f>IFERROR(VLOOKUP(A302,Flete!$A:$J,10,0),"")</f>
        <v/>
      </c>
      <c r="P302" s="8" t="inlineStr">
        <is>
          <t>M3</t>
        </is>
      </c>
      <c r="Q302" s="10">
        <f>IFERROR(IFERROR(VLOOKUP(A302,TRAOPE!$A:$U,21,0),VLOOKUP(B302,TRAOPE!$A:$U,21,0)),"")</f>
        <v/>
      </c>
      <c r="R302" s="8">
        <f>IFERROR(IFERROR(VLOOKUP(A302,TRAOPE!$A:$W,23,0),VLOOKUP(B302,TRAOPE!$A:$W,23,0)),"")</f>
        <v/>
      </c>
      <c r="S302" s="10">
        <f>IF(AND(P302="TN",R302="TN"),N302+N(O302),IF(G302&amp;""="1",N(K302)*N302,(N302+N(O302))*N(K302)))</f>
        <v/>
      </c>
      <c r="T302" s="10">
        <f>IF(Q302="","",Q302-S302)</f>
        <v/>
      </c>
    </row>
    <row r="303">
      <c r="A303" s="7">
        <f>CONCATENATE(C303,E303,F303,I303)</f>
        <v/>
      </c>
      <c r="B303" s="7">
        <f>CONCATENATE(C303,E303,I303)</f>
        <v/>
      </c>
      <c r="C303" s="8" t="n">
        <v>900005260</v>
      </c>
      <c r="D303" s="7">
        <f>IFERROR(VLOOKUP(C303,TRAOPE!$G:$H,2,0),"")</f>
        <v/>
      </c>
      <c r="E303" s="8" t="inlineStr">
        <is>
          <t>D845</t>
        </is>
      </c>
      <c r="F303" s="8" t="inlineStr">
        <is>
          <t>67241945</t>
        </is>
      </c>
      <c r="G303" s="8">
        <f>IFERROR(VLOOKUP(A303,Flete!$A:$E,5,0),"")</f>
        <v/>
      </c>
      <c r="H303" s="7">
        <f>IFERROR(VLOOKUP(F303,TRAOPE!$AA:$AB,2,0),"")</f>
        <v/>
      </c>
      <c r="I303" s="7" t="n">
        <v>10000617</v>
      </c>
      <c r="J303" s="7">
        <f>IFERROR(VLOOKUP(I303,Materiales!$A:$H,8,0),"")</f>
        <v/>
      </c>
      <c r="K303" s="9">
        <f>IFERROR(VLOOKUP(I303,Materiales!$A:$G,7,0),"")</f>
        <v/>
      </c>
      <c r="L303" s="8" t="inlineStr">
        <is>
          <t>20250505</t>
        </is>
      </c>
      <c r="M303" s="8" t="inlineStr">
        <is>
          <t>20250507</t>
        </is>
      </c>
      <c r="N303" s="10" t="n">
        <v>200</v>
      </c>
      <c r="O303" s="10">
        <f>IFERROR(VLOOKUP(A303,Flete!$A:$J,10,0),"")</f>
        <v/>
      </c>
      <c r="P303" s="8" t="inlineStr">
        <is>
          <t>TN</t>
        </is>
      </c>
      <c r="Q303" s="10">
        <f>IFERROR(IFERROR(VLOOKUP(A303,TRAOPE!$A:$U,21,0),VLOOKUP(B303,TRAOPE!$A:$U,21,0)),"")</f>
        <v/>
      </c>
      <c r="R303" s="8">
        <f>IFERROR(IFERROR(VLOOKUP(A303,TRAOPE!$A:$W,23,0),VLOOKUP(B303,TRAOPE!$A:$W,23,0)),"")</f>
        <v/>
      </c>
      <c r="S303" s="10">
        <f>IF(AND(P303="TN",R303="TN"),N303+N(O303),IF(G303&amp;""="1",N(K303)*N303,(N303+N(O303))*N(K303)))</f>
        <v/>
      </c>
      <c r="T303" s="10">
        <f>IF(Q303="","",Q303-S303)</f>
        <v/>
      </c>
    </row>
    <row r="304">
      <c r="A304" s="7">
        <f>CONCATENATE(C304,E304,F304,I304)</f>
        <v/>
      </c>
      <c r="B304" s="7">
        <f>CONCATENATE(C304,E304,I304)</f>
        <v/>
      </c>
      <c r="C304" s="8" t="n">
        <v>900005260</v>
      </c>
      <c r="D304" s="7">
        <f>IFERROR(VLOOKUP(C304,TRAOPE!$G:$H,2,0),"")</f>
        <v/>
      </c>
      <c r="E304" s="8" t="inlineStr">
        <is>
          <t>D845</t>
        </is>
      </c>
      <c r="F304" s="8" t="inlineStr">
        <is>
          <t>67241945</t>
        </is>
      </c>
      <c r="G304" s="8">
        <f>IFERROR(VLOOKUP(A304,Flete!$A:$E,5,0),"")</f>
        <v/>
      </c>
      <c r="H304" s="7">
        <f>IFERROR(VLOOKUP(F304,TRAOPE!$AA:$AB,2,0),"")</f>
        <v/>
      </c>
      <c r="I304" s="7" t="n">
        <v>10167749</v>
      </c>
      <c r="J304" s="7">
        <f>IFERROR(VLOOKUP(I304,Materiales!$A:$H,8,0),"")</f>
        <v/>
      </c>
      <c r="K304" s="9">
        <f>IFERROR(VLOOKUP(I304,Materiales!$A:$G,7,0),"")</f>
        <v/>
      </c>
      <c r="L304" s="8" t="inlineStr">
        <is>
          <t>20250528</t>
        </is>
      </c>
      <c r="M304" s="8" t="inlineStr">
        <is>
          <t>20250710</t>
        </is>
      </c>
      <c r="N304" s="10" t="n">
        <v>193</v>
      </c>
      <c r="O304" s="10">
        <f>IFERROR(VLOOKUP(A304,Flete!$A:$J,10,0),"")</f>
        <v/>
      </c>
      <c r="P304" s="8" t="inlineStr">
        <is>
          <t>TN</t>
        </is>
      </c>
      <c r="Q304" s="10">
        <f>IFERROR(IFERROR(VLOOKUP(A304,TRAOPE!$A:$U,21,0),VLOOKUP(B304,TRAOPE!$A:$U,21,0)),"")</f>
        <v/>
      </c>
      <c r="R304" s="8">
        <f>IFERROR(IFERROR(VLOOKUP(A304,TRAOPE!$A:$W,23,0),VLOOKUP(B304,TRAOPE!$A:$W,23,0)),"")</f>
        <v/>
      </c>
      <c r="S304" s="10">
        <f>IF(AND(P304="TN",R304="TN"),N304+N(O304),IF(G304&amp;""="1",N(K304)*N304,(N304+N(O304))*N(K304)))</f>
        <v/>
      </c>
      <c r="T304" s="10">
        <f>IF(Q304="","",Q304-S304)</f>
        <v/>
      </c>
    </row>
    <row r="305">
      <c r="A305" s="7">
        <f>CONCATENATE(C305,E305,F305,I305)</f>
        <v/>
      </c>
      <c r="B305" s="7">
        <f>CONCATENATE(C305,E305,I305)</f>
        <v/>
      </c>
      <c r="C305" s="8" t="n">
        <v>900005260</v>
      </c>
      <c r="D305" s="7">
        <f>IFERROR(VLOOKUP(C305,TRAOPE!$G:$H,2,0),"")</f>
        <v/>
      </c>
      <c r="E305" s="8" t="inlineStr">
        <is>
          <t>D845</t>
        </is>
      </c>
      <c r="F305" s="8" t="inlineStr">
        <is>
          <t>67283393</t>
        </is>
      </c>
      <c r="G305" s="8">
        <f>IFERROR(VLOOKUP(A305,Flete!$A:$E,5,0),"")</f>
        <v/>
      </c>
      <c r="H305" s="7">
        <f>IFERROR(VLOOKUP(F305,TRAOPE!$AA:$AB,2,0),"")</f>
        <v/>
      </c>
      <c r="I305" s="7" t="n">
        <v>10167749</v>
      </c>
      <c r="J305" s="7">
        <f>IFERROR(VLOOKUP(I305,Materiales!$A:$H,8,0),"")</f>
        <v/>
      </c>
      <c r="K305" s="9">
        <f>IFERROR(VLOOKUP(I305,Materiales!$A:$G,7,0),"")</f>
        <v/>
      </c>
      <c r="L305" s="8" t="inlineStr">
        <is>
          <t>20250505</t>
        </is>
      </c>
      <c r="M305" s="8" t="inlineStr">
        <is>
          <t>20250507</t>
        </is>
      </c>
      <c r="N305" s="10" t="n">
        <v>195</v>
      </c>
      <c r="O305" s="10">
        <f>IFERROR(VLOOKUP(A305,Flete!$A:$J,10,0),"")</f>
        <v/>
      </c>
      <c r="P305" s="8" t="inlineStr">
        <is>
          <t>TN</t>
        </is>
      </c>
      <c r="Q305" s="10">
        <f>IFERROR(IFERROR(VLOOKUP(A305,TRAOPE!$A:$U,21,0),VLOOKUP(B305,TRAOPE!$A:$U,21,0)),"")</f>
        <v/>
      </c>
      <c r="R305" s="8">
        <f>IFERROR(IFERROR(VLOOKUP(A305,TRAOPE!$A:$W,23,0),VLOOKUP(B305,TRAOPE!$A:$W,23,0)),"")</f>
        <v/>
      </c>
      <c r="S305" s="10">
        <f>IF(AND(P305="TN",R305="TN"),N305+N(O305),IF(G305&amp;""="1",N(K305)*N305,(N305+N(O305))*N(K305)))</f>
        <v/>
      </c>
      <c r="T305" s="10">
        <f>IF(Q305="","",Q305-S305)</f>
        <v/>
      </c>
    </row>
    <row r="306">
      <c r="A306" s="7">
        <f>CONCATENATE(C306,E306,F306,I306)</f>
        <v/>
      </c>
      <c r="B306" s="7">
        <f>CONCATENATE(C306,E306,I306)</f>
        <v/>
      </c>
      <c r="C306" s="8" t="n">
        <v>900005260</v>
      </c>
      <c r="D306" s="7">
        <f>IFERROR(VLOOKUP(C306,TRAOPE!$G:$H,2,0),"")</f>
        <v/>
      </c>
      <c r="E306" s="8" t="inlineStr">
        <is>
          <t>D845</t>
        </is>
      </c>
      <c r="F306" s="8" t="inlineStr">
        <is>
          <t>67293767</t>
        </is>
      </c>
      <c r="G306" s="8">
        <f>IFERROR(VLOOKUP(A306,Flete!$A:$E,5,0),"")</f>
        <v/>
      </c>
      <c r="H306" s="7">
        <f>IFERROR(VLOOKUP(F306,TRAOPE!$AA:$AB,2,0),"")</f>
        <v/>
      </c>
      <c r="I306" s="7" t="n">
        <v>10217514</v>
      </c>
      <c r="J306" s="7">
        <f>IFERROR(VLOOKUP(I306,Materiales!$A:$H,8,0),"")</f>
        <v/>
      </c>
      <c r="K306" s="9">
        <f>IFERROR(VLOOKUP(I306,Materiales!$A:$G,7,0),"")</f>
        <v/>
      </c>
      <c r="L306" s="8" t="inlineStr">
        <is>
          <t>20250505</t>
        </is>
      </c>
      <c r="M306" s="8" t="inlineStr">
        <is>
          <t>20250507</t>
        </is>
      </c>
      <c r="N306" s="10" t="n">
        <v>100</v>
      </c>
      <c r="O306" s="10">
        <f>IFERROR(VLOOKUP(A306,Flete!$A:$J,10,0),"")</f>
        <v/>
      </c>
      <c r="P306" s="8" t="inlineStr">
        <is>
          <t>M3</t>
        </is>
      </c>
      <c r="Q306" s="10">
        <f>IFERROR(IFERROR(VLOOKUP(A306,TRAOPE!$A:$U,21,0),VLOOKUP(B306,TRAOPE!$A:$U,21,0)),"")</f>
        <v/>
      </c>
      <c r="R306" s="8">
        <f>IFERROR(IFERROR(VLOOKUP(A306,TRAOPE!$A:$W,23,0),VLOOKUP(B306,TRAOPE!$A:$W,23,0)),"")</f>
        <v/>
      </c>
      <c r="S306" s="10">
        <f>IF(AND(P306="TN",R306="TN"),N306+N(O306),IF(G306&amp;""="1",N(K306)*N306,(N306+N(O306))*N(K306)))</f>
        <v/>
      </c>
      <c r="T306" s="10">
        <f>IF(Q306="","",Q306-S306)</f>
        <v/>
      </c>
    </row>
    <row r="307">
      <c r="A307" s="7">
        <f>CONCATENATE(C307,E307,F307,I307)</f>
        <v/>
      </c>
      <c r="B307" s="7">
        <f>CONCATENATE(C307,E307,I307)</f>
        <v/>
      </c>
      <c r="C307" s="8" t="n">
        <v>900005260</v>
      </c>
      <c r="D307" s="7">
        <f>IFERROR(VLOOKUP(C307,TRAOPE!$G:$H,2,0),"")</f>
        <v/>
      </c>
      <c r="E307" s="8" t="inlineStr">
        <is>
          <t>D845</t>
        </is>
      </c>
      <c r="F307" s="8" t="inlineStr">
        <is>
          <t>67302210</t>
        </is>
      </c>
      <c r="G307" s="8">
        <f>IFERROR(VLOOKUP(A307,Flete!$A:$E,5,0),"")</f>
        <v/>
      </c>
      <c r="H307" s="7">
        <f>IFERROR(VLOOKUP(F307,TRAOPE!$AA:$AB,2,0),"")</f>
        <v/>
      </c>
      <c r="I307" s="7" t="n">
        <v>10217514</v>
      </c>
      <c r="J307" s="7">
        <f>IFERROR(VLOOKUP(I307,Materiales!$A:$H,8,0),"")</f>
        <v/>
      </c>
      <c r="K307" s="9">
        <f>IFERROR(VLOOKUP(I307,Materiales!$A:$G,7,0),"")</f>
        <v/>
      </c>
      <c r="L307" s="8" t="inlineStr">
        <is>
          <t>20250505</t>
        </is>
      </c>
      <c r="M307" s="8" t="inlineStr">
        <is>
          <t>20250507</t>
        </is>
      </c>
      <c r="N307" s="10" t="n">
        <v>80</v>
      </c>
      <c r="O307" s="10">
        <f>IFERROR(VLOOKUP(A307,Flete!$A:$J,10,0),"")</f>
        <v/>
      </c>
      <c r="P307" s="8" t="inlineStr">
        <is>
          <t>M3</t>
        </is>
      </c>
      <c r="Q307" s="10">
        <f>IFERROR(IFERROR(VLOOKUP(A307,TRAOPE!$A:$U,21,0),VLOOKUP(B307,TRAOPE!$A:$U,21,0)),"")</f>
        <v/>
      </c>
      <c r="R307" s="8">
        <f>IFERROR(IFERROR(VLOOKUP(A307,TRAOPE!$A:$W,23,0),VLOOKUP(B307,TRAOPE!$A:$W,23,0)),"")</f>
        <v/>
      </c>
      <c r="S307" s="10">
        <f>IF(AND(P307="TN",R307="TN"),N307+N(O307),IF(G307&amp;""="1",N(K307)*N307,(N307+N(O307))*N(K307)))</f>
        <v/>
      </c>
      <c r="T307" s="10">
        <f>IF(Q307="","",Q307-S307)</f>
        <v/>
      </c>
    </row>
    <row r="308">
      <c r="A308" s="7">
        <f>CONCATENATE(C308,E308,F308,I308)</f>
        <v/>
      </c>
      <c r="B308" s="7">
        <f>CONCATENATE(C308,E308,I308)</f>
        <v/>
      </c>
      <c r="C308" s="8" t="n">
        <v>900005260</v>
      </c>
      <c r="D308" s="7">
        <f>IFERROR(VLOOKUP(C308,TRAOPE!$G:$H,2,0),"")</f>
        <v/>
      </c>
      <c r="E308" s="8" t="inlineStr">
        <is>
          <t>D845</t>
        </is>
      </c>
      <c r="F308" s="8" t="inlineStr">
        <is>
          <t>67318363</t>
        </is>
      </c>
      <c r="G308" s="8">
        <f>IFERROR(VLOOKUP(A308,Flete!$A:$E,5,0),"")</f>
        <v/>
      </c>
      <c r="H308" s="7">
        <f>IFERROR(VLOOKUP(F308,TRAOPE!$AA:$AB,2,0),"")</f>
        <v/>
      </c>
      <c r="I308" s="7" t="n">
        <v>10167749</v>
      </c>
      <c r="J308" s="7">
        <f>IFERROR(VLOOKUP(I308,Materiales!$A:$H,8,0),"")</f>
        <v/>
      </c>
      <c r="K308" s="9">
        <f>IFERROR(VLOOKUP(I308,Materiales!$A:$G,7,0),"")</f>
        <v/>
      </c>
      <c r="L308" s="8" t="inlineStr">
        <is>
          <t>20250505</t>
        </is>
      </c>
      <c r="M308" s="8" t="inlineStr">
        <is>
          <t>20250507</t>
        </is>
      </c>
      <c r="N308" s="10" t="n">
        <v>200</v>
      </c>
      <c r="O308" s="10">
        <f>IFERROR(VLOOKUP(A308,Flete!$A:$J,10,0),"")</f>
        <v/>
      </c>
      <c r="P308" s="8" t="inlineStr">
        <is>
          <t>TN</t>
        </is>
      </c>
      <c r="Q308" s="10">
        <f>IFERROR(IFERROR(VLOOKUP(A308,TRAOPE!$A:$U,21,0),VLOOKUP(B308,TRAOPE!$A:$U,21,0)),"")</f>
        <v/>
      </c>
      <c r="R308" s="8">
        <f>IFERROR(IFERROR(VLOOKUP(A308,TRAOPE!$A:$W,23,0),VLOOKUP(B308,TRAOPE!$A:$W,23,0)),"")</f>
        <v/>
      </c>
      <c r="S308" s="10">
        <f>IF(AND(P308="TN",R308="TN"),N308+N(O308),IF(G308&amp;""="1",N(K308)*N308,(N308+N(O308))*N(K308)))</f>
        <v/>
      </c>
      <c r="T308" s="10">
        <f>IF(Q308="","",Q308-S308)</f>
        <v/>
      </c>
    </row>
    <row r="309">
      <c r="A309" s="7">
        <f>CONCATENATE(C309,E309,F309,I309)</f>
        <v/>
      </c>
      <c r="B309" s="7">
        <f>CONCATENATE(C309,E309,I309)</f>
        <v/>
      </c>
      <c r="C309" s="8" t="n">
        <v>900006074</v>
      </c>
      <c r="D309" s="7">
        <f>IFERROR(VLOOKUP(C309,TRAOPE!$G:$H,2,0),"")</f>
        <v/>
      </c>
      <c r="E309" s="8" t="inlineStr">
        <is>
          <t>D845</t>
        </is>
      </c>
      <c r="F309" s="8" t="inlineStr">
        <is>
          <t>65005139</t>
        </is>
      </c>
      <c r="G309" s="8">
        <f>IFERROR(VLOOKUP(A309,Flete!$A:$E,5,0),"")</f>
        <v/>
      </c>
      <c r="H309" s="7">
        <f>IFERROR(VLOOKUP(F309,TRAOPE!$AA:$AB,2,0),"")</f>
        <v/>
      </c>
      <c r="I309" s="7" t="n">
        <v>10000536</v>
      </c>
      <c r="J309" s="7">
        <f>IFERROR(VLOOKUP(I309,Materiales!$A:$H,8,0),"")</f>
        <v/>
      </c>
      <c r="K309" s="9">
        <f>IFERROR(VLOOKUP(I309,Materiales!$A:$G,7,0),"")</f>
        <v/>
      </c>
      <c r="L309" s="8" t="inlineStr">
        <is>
          <t>20240425</t>
        </is>
      </c>
      <c r="M309" s="8" t="inlineStr">
        <is>
          <t>20240814</t>
        </is>
      </c>
      <c r="N309" s="10" t="n">
        <v>158</v>
      </c>
      <c r="O309" s="10">
        <f>IFERROR(VLOOKUP(A309,Flete!$A:$J,10,0),"")</f>
        <v/>
      </c>
      <c r="P309" s="8" t="inlineStr">
        <is>
          <t>TN</t>
        </is>
      </c>
      <c r="Q309" s="10">
        <f>IFERROR(IFERROR(VLOOKUP(A309,TRAOPE!$A:$U,21,0),VLOOKUP(B309,TRAOPE!$A:$U,21,0)),"")</f>
        <v/>
      </c>
      <c r="R309" s="8">
        <f>IFERROR(IFERROR(VLOOKUP(A309,TRAOPE!$A:$W,23,0),VLOOKUP(B309,TRAOPE!$A:$W,23,0)),"")</f>
        <v/>
      </c>
      <c r="S309" s="10">
        <f>IF(AND(P309="TN",R309="TN"),N309+N(O309),IF(G309&amp;""="1",N(K309)*N309,(N309+N(O309))*N(K309)))</f>
        <v/>
      </c>
      <c r="T309" s="10">
        <f>IF(Q309="","",Q309-S309)</f>
        <v/>
      </c>
    </row>
    <row r="310">
      <c r="A310" s="7">
        <f>CONCATENATE(C310,E310,F310,I310)</f>
        <v/>
      </c>
      <c r="B310" s="7">
        <f>CONCATENATE(C310,E310,I310)</f>
        <v/>
      </c>
      <c r="C310" s="8" t="n">
        <v>900006074</v>
      </c>
      <c r="D310" s="7">
        <f>IFERROR(VLOOKUP(C310,TRAOPE!$G:$H,2,0),"")</f>
        <v/>
      </c>
      <c r="E310" s="8" t="inlineStr">
        <is>
          <t>D845</t>
        </is>
      </c>
      <c r="F310" s="8" t="inlineStr">
        <is>
          <t>65005139</t>
        </is>
      </c>
      <c r="G310" s="8">
        <f>IFERROR(VLOOKUP(A310,Flete!$A:$E,5,0),"")</f>
        <v/>
      </c>
      <c r="H310" s="7">
        <f>IFERROR(VLOOKUP(F310,TRAOPE!$AA:$AB,2,0),"")</f>
        <v/>
      </c>
      <c r="I310" s="7" t="n">
        <v>10000578</v>
      </c>
      <c r="J310" s="7">
        <f>IFERROR(VLOOKUP(I310,Materiales!$A:$H,8,0),"")</f>
        <v/>
      </c>
      <c r="K310" s="9">
        <f>IFERROR(VLOOKUP(I310,Materiales!$A:$G,7,0),"")</f>
        <v/>
      </c>
      <c r="L310" s="8" t="inlineStr">
        <is>
          <t>20240425</t>
        </is>
      </c>
      <c r="M310" s="8" t="inlineStr">
        <is>
          <t>20240814</t>
        </is>
      </c>
      <c r="N310" s="10" t="n">
        <v>158</v>
      </c>
      <c r="O310" s="10">
        <f>IFERROR(VLOOKUP(A310,Flete!$A:$J,10,0),"")</f>
        <v/>
      </c>
      <c r="P310" s="8" t="inlineStr">
        <is>
          <t>TN</t>
        </is>
      </c>
      <c r="Q310" s="10">
        <f>IFERROR(IFERROR(VLOOKUP(A310,TRAOPE!$A:$U,21,0),VLOOKUP(B310,TRAOPE!$A:$U,21,0)),"")</f>
        <v/>
      </c>
      <c r="R310" s="8">
        <f>IFERROR(IFERROR(VLOOKUP(A310,TRAOPE!$A:$W,23,0),VLOOKUP(B310,TRAOPE!$A:$W,23,0)),"")</f>
        <v/>
      </c>
      <c r="S310" s="10">
        <f>IF(AND(P310="TN",R310="TN"),N310+N(O310),IF(G310&amp;""="1",N(K310)*N310,(N310+N(O310))*N(K310)))</f>
        <v/>
      </c>
      <c r="T310" s="10">
        <f>IF(Q310="","",Q310-S310)</f>
        <v/>
      </c>
    </row>
    <row r="311">
      <c r="A311" s="7">
        <f>CONCATENATE(C311,E311,F311,I311)</f>
        <v/>
      </c>
      <c r="B311" s="7">
        <f>CONCATENATE(C311,E311,I311)</f>
        <v/>
      </c>
      <c r="C311" s="8" t="n">
        <v>900006074</v>
      </c>
      <c r="D311" s="7">
        <f>IFERROR(VLOOKUP(C311,TRAOPE!$G:$H,2,0),"")</f>
        <v/>
      </c>
      <c r="E311" s="8" t="inlineStr">
        <is>
          <t>D845</t>
        </is>
      </c>
      <c r="F311" s="8" t="inlineStr">
        <is>
          <t>65005139</t>
        </is>
      </c>
      <c r="G311" s="8">
        <f>IFERROR(VLOOKUP(A311,Flete!$A:$E,5,0),"")</f>
        <v/>
      </c>
      <c r="H311" s="7">
        <f>IFERROR(VLOOKUP(F311,TRAOPE!$AA:$AB,2,0),"")</f>
        <v/>
      </c>
      <c r="I311" s="7" t="n">
        <v>10000617</v>
      </c>
      <c r="J311" s="7">
        <f>IFERROR(VLOOKUP(I311,Materiales!$A:$H,8,0),"")</f>
        <v/>
      </c>
      <c r="K311" s="9">
        <f>IFERROR(VLOOKUP(I311,Materiales!$A:$G,7,0),"")</f>
        <v/>
      </c>
      <c r="L311" s="8" t="inlineStr">
        <is>
          <t>20240425</t>
        </is>
      </c>
      <c r="M311" s="8" t="inlineStr">
        <is>
          <t>20240814</t>
        </is>
      </c>
      <c r="N311" s="10" t="n">
        <v>168</v>
      </c>
      <c r="O311" s="10">
        <f>IFERROR(VLOOKUP(A311,Flete!$A:$J,10,0),"")</f>
        <v/>
      </c>
      <c r="P311" s="8" t="inlineStr">
        <is>
          <t>TN</t>
        </is>
      </c>
      <c r="Q311" s="10">
        <f>IFERROR(IFERROR(VLOOKUP(A311,TRAOPE!$A:$U,21,0),VLOOKUP(B311,TRAOPE!$A:$U,21,0)),"")</f>
        <v/>
      </c>
      <c r="R311" s="8">
        <f>IFERROR(IFERROR(VLOOKUP(A311,TRAOPE!$A:$W,23,0),VLOOKUP(B311,TRAOPE!$A:$W,23,0)),"")</f>
        <v/>
      </c>
      <c r="S311" s="10">
        <f>IF(AND(P311="TN",R311="TN"),N311+N(O311),IF(G311&amp;""="1",N(K311)*N311,(N311+N(O311))*N(K311)))</f>
        <v/>
      </c>
      <c r="T311" s="10">
        <f>IF(Q311="","",Q311-S311)</f>
        <v/>
      </c>
    </row>
    <row r="312">
      <c r="A312" s="7">
        <f>CONCATENATE(C312,E312,F312,I312)</f>
        <v/>
      </c>
      <c r="B312" s="7">
        <f>CONCATENATE(C312,E312,I312)</f>
        <v/>
      </c>
      <c r="C312" s="8" t="n">
        <v>900006074</v>
      </c>
      <c r="D312" s="7">
        <f>IFERROR(VLOOKUP(C312,TRAOPE!$G:$H,2,0),"")</f>
        <v/>
      </c>
      <c r="E312" s="8" t="inlineStr">
        <is>
          <t>D845</t>
        </is>
      </c>
      <c r="F312" s="8" t="inlineStr">
        <is>
          <t>65005139</t>
        </is>
      </c>
      <c r="G312" s="8">
        <f>IFERROR(VLOOKUP(A312,Flete!$A:$E,5,0),"")</f>
        <v/>
      </c>
      <c r="H312" s="7">
        <f>IFERROR(VLOOKUP(F312,TRAOPE!$AA:$AB,2,0),"")</f>
        <v/>
      </c>
      <c r="I312" s="7" t="n">
        <v>10000656</v>
      </c>
      <c r="J312" s="7">
        <f>IFERROR(VLOOKUP(I312,Materiales!$A:$H,8,0),"")</f>
        <v/>
      </c>
      <c r="K312" s="9">
        <f>IFERROR(VLOOKUP(I312,Materiales!$A:$G,7,0),"")</f>
        <v/>
      </c>
      <c r="L312" s="8" t="inlineStr">
        <is>
          <t>20240425</t>
        </is>
      </c>
      <c r="M312" s="8" t="inlineStr">
        <is>
          <t>20240814</t>
        </is>
      </c>
      <c r="N312" s="10" t="n">
        <v>166</v>
      </c>
      <c r="O312" s="10">
        <f>IFERROR(VLOOKUP(A312,Flete!$A:$J,10,0),"")</f>
        <v/>
      </c>
      <c r="P312" s="8" t="inlineStr">
        <is>
          <t>TN</t>
        </is>
      </c>
      <c r="Q312" s="10">
        <f>IFERROR(IFERROR(VLOOKUP(A312,TRAOPE!$A:$U,21,0),VLOOKUP(B312,TRAOPE!$A:$U,21,0)),"")</f>
        <v/>
      </c>
      <c r="R312" s="8">
        <f>IFERROR(IFERROR(VLOOKUP(A312,TRAOPE!$A:$W,23,0),VLOOKUP(B312,TRAOPE!$A:$W,23,0)),"")</f>
        <v/>
      </c>
      <c r="S312" s="10">
        <f>IF(AND(P312="TN",R312="TN"),N312+N(O312),IF(G312&amp;""="1",N(K312)*N312,(N312+N(O312))*N(K312)))</f>
        <v/>
      </c>
      <c r="T312" s="10">
        <f>IF(Q312="","",Q312-S312)</f>
        <v/>
      </c>
    </row>
    <row r="313">
      <c r="A313" s="7">
        <f>CONCATENATE(C313,E313,F313,I313)</f>
        <v/>
      </c>
      <c r="B313" s="7">
        <f>CONCATENATE(C313,E313,I313)</f>
        <v/>
      </c>
      <c r="C313" s="8" t="n">
        <v>900006074</v>
      </c>
      <c r="D313" s="7">
        <f>IFERROR(VLOOKUP(C313,TRAOPE!$G:$H,2,0),"")</f>
        <v/>
      </c>
      <c r="E313" s="8" t="inlineStr">
        <is>
          <t>D845</t>
        </is>
      </c>
      <c r="F313" s="8" t="inlineStr">
        <is>
          <t>65005139</t>
        </is>
      </c>
      <c r="G313" s="8">
        <f>IFERROR(VLOOKUP(A313,Flete!$A:$E,5,0),"")</f>
        <v/>
      </c>
      <c r="H313" s="7">
        <f>IFERROR(VLOOKUP(F313,TRAOPE!$AA:$AB,2,0),"")</f>
        <v/>
      </c>
      <c r="I313" s="7" t="n">
        <v>10058501</v>
      </c>
      <c r="J313" s="7">
        <f>IFERROR(VLOOKUP(I313,Materiales!$A:$H,8,0),"")</f>
        <v/>
      </c>
      <c r="K313" s="9">
        <f>IFERROR(VLOOKUP(I313,Materiales!$A:$G,7,0),"")</f>
        <v/>
      </c>
      <c r="L313" s="8" t="inlineStr">
        <is>
          <t>20240425</t>
        </is>
      </c>
      <c r="M313" s="8" t="inlineStr">
        <is>
          <t>20240814</t>
        </is>
      </c>
      <c r="N313" s="10" t="n">
        <v>151</v>
      </c>
      <c r="O313" s="10">
        <f>IFERROR(VLOOKUP(A313,Flete!$A:$J,10,0),"")</f>
        <v/>
      </c>
      <c r="P313" s="8" t="inlineStr">
        <is>
          <t>TN</t>
        </is>
      </c>
      <c r="Q313" s="10">
        <f>IFERROR(IFERROR(VLOOKUP(A313,TRAOPE!$A:$U,21,0),VLOOKUP(B313,TRAOPE!$A:$U,21,0)),"")</f>
        <v/>
      </c>
      <c r="R313" s="8">
        <f>IFERROR(IFERROR(VLOOKUP(A313,TRAOPE!$A:$W,23,0),VLOOKUP(B313,TRAOPE!$A:$W,23,0)),"")</f>
        <v/>
      </c>
      <c r="S313" s="10">
        <f>IF(AND(P313="TN",R313="TN"),N313+N(O313),IF(G313&amp;""="1",N(K313)*N313,(N313+N(O313))*N(K313)))</f>
        <v/>
      </c>
      <c r="T313" s="10">
        <f>IF(Q313="","",Q313-S313)</f>
        <v/>
      </c>
    </row>
    <row r="314">
      <c r="A314" s="7">
        <f>CONCATENATE(C314,E314,F314,I314)</f>
        <v/>
      </c>
      <c r="B314" s="7">
        <f>CONCATENATE(C314,E314,I314)</f>
        <v/>
      </c>
      <c r="C314" s="8" t="n">
        <v>900006074</v>
      </c>
      <c r="D314" s="7">
        <f>IFERROR(VLOOKUP(C314,TRAOPE!$G:$H,2,0),"")</f>
        <v/>
      </c>
      <c r="E314" s="8" t="inlineStr">
        <is>
          <t>D845</t>
        </is>
      </c>
      <c r="F314" s="8" t="inlineStr">
        <is>
          <t>65005139</t>
        </is>
      </c>
      <c r="G314" s="8">
        <f>IFERROR(VLOOKUP(A314,Flete!$A:$E,5,0),"")</f>
        <v/>
      </c>
      <c r="H314" s="7">
        <f>IFERROR(VLOOKUP(F314,TRAOPE!$AA:$AB,2,0),"")</f>
        <v/>
      </c>
      <c r="I314" s="7" t="n">
        <v>10167749</v>
      </c>
      <c r="J314" s="7">
        <f>IFERROR(VLOOKUP(I314,Materiales!$A:$H,8,0),"")</f>
        <v/>
      </c>
      <c r="K314" s="9">
        <f>IFERROR(VLOOKUP(I314,Materiales!$A:$G,7,0),"")</f>
        <v/>
      </c>
      <c r="L314" s="8" t="inlineStr">
        <is>
          <t>20240425</t>
        </is>
      </c>
      <c r="M314" s="8" t="inlineStr">
        <is>
          <t>20240814</t>
        </is>
      </c>
      <c r="N314" s="10" t="n">
        <v>161</v>
      </c>
      <c r="O314" s="10">
        <f>IFERROR(VLOOKUP(A314,Flete!$A:$J,10,0),"")</f>
        <v/>
      </c>
      <c r="P314" s="8" t="inlineStr">
        <is>
          <t>TN</t>
        </is>
      </c>
      <c r="Q314" s="10">
        <f>IFERROR(IFERROR(VLOOKUP(A314,TRAOPE!$A:$U,21,0),VLOOKUP(B314,TRAOPE!$A:$U,21,0)),"")</f>
        <v/>
      </c>
      <c r="R314" s="8">
        <f>IFERROR(IFERROR(VLOOKUP(A314,TRAOPE!$A:$W,23,0),VLOOKUP(B314,TRAOPE!$A:$W,23,0)),"")</f>
        <v/>
      </c>
      <c r="S314" s="10">
        <f>IF(AND(P314="TN",R314="TN"),N314+N(O314),IF(G314&amp;""="1",N(K314)*N314,(N314+N(O314))*N(K314)))</f>
        <v/>
      </c>
      <c r="T314" s="10">
        <f>IF(Q314="","",Q314-S314)</f>
        <v/>
      </c>
    </row>
    <row r="315">
      <c r="A315" s="7">
        <f>CONCATENATE(C315,E315,F315,I315)</f>
        <v/>
      </c>
      <c r="B315" s="7">
        <f>CONCATENATE(C315,E315,I315)</f>
        <v/>
      </c>
      <c r="C315" s="8" t="n">
        <v>900006074</v>
      </c>
      <c r="D315" s="7">
        <f>IFERROR(VLOOKUP(C315,TRAOPE!$G:$H,2,0),"")</f>
        <v/>
      </c>
      <c r="E315" s="8" t="inlineStr">
        <is>
          <t>D845</t>
        </is>
      </c>
      <c r="F315" s="8" t="inlineStr">
        <is>
          <t>67197543</t>
        </is>
      </c>
      <c r="G315" s="8">
        <f>IFERROR(VLOOKUP(A315,Flete!$A:$E,5,0),"")</f>
        <v/>
      </c>
      <c r="H315" s="7">
        <f>IFERROR(VLOOKUP(F315,TRAOPE!$AA:$AB,2,0),"")</f>
        <v/>
      </c>
      <c r="I315" s="7" t="n">
        <v>10167749</v>
      </c>
      <c r="J315" s="7">
        <f>IFERROR(VLOOKUP(I315,Materiales!$A:$H,8,0),"")</f>
        <v/>
      </c>
      <c r="K315" s="9">
        <f>IFERROR(VLOOKUP(I315,Materiales!$A:$G,7,0),"")</f>
        <v/>
      </c>
      <c r="L315" s="8" t="inlineStr">
        <is>
          <t>20250505</t>
        </is>
      </c>
      <c r="M315" s="8" t="inlineStr">
        <is>
          <t>20250507</t>
        </is>
      </c>
      <c r="N315" s="10" t="n">
        <v>161</v>
      </c>
      <c r="O315" s="10">
        <f>IFERROR(VLOOKUP(A315,Flete!$A:$J,10,0),"")</f>
        <v/>
      </c>
      <c r="P315" s="8" t="inlineStr">
        <is>
          <t>TN</t>
        </is>
      </c>
      <c r="Q315" s="10">
        <f>IFERROR(IFERROR(VLOOKUP(A315,TRAOPE!$A:$U,21,0),VLOOKUP(B315,TRAOPE!$A:$U,21,0)),"")</f>
        <v/>
      </c>
      <c r="R315" s="8">
        <f>IFERROR(IFERROR(VLOOKUP(A315,TRAOPE!$A:$W,23,0),VLOOKUP(B315,TRAOPE!$A:$W,23,0)),"")</f>
        <v/>
      </c>
      <c r="S315" s="10">
        <f>IF(AND(P315="TN",R315="TN"),N315+N(O315),IF(G315&amp;""="1",N(K315)*N315,(N315+N(O315))*N(K315)))</f>
        <v/>
      </c>
      <c r="T315" s="10">
        <f>IF(Q315="","",Q315-S315)</f>
        <v/>
      </c>
    </row>
    <row r="316">
      <c r="A316" s="7">
        <f>CONCATENATE(C316,E316,F316,I316)</f>
        <v/>
      </c>
      <c r="B316" s="7">
        <f>CONCATENATE(C316,E316,I316)</f>
        <v/>
      </c>
      <c r="C316" s="8" t="n">
        <v>900006074</v>
      </c>
      <c r="D316" s="7">
        <f>IFERROR(VLOOKUP(C316,TRAOPE!$G:$H,2,0),"")</f>
        <v/>
      </c>
      <c r="E316" s="8" t="inlineStr">
        <is>
          <t>D845</t>
        </is>
      </c>
      <c r="F316" s="8" t="inlineStr">
        <is>
          <t>67230766</t>
        </is>
      </c>
      <c r="G316" s="8">
        <f>IFERROR(VLOOKUP(A316,Flete!$A:$E,5,0),"")</f>
        <v/>
      </c>
      <c r="H316" s="7">
        <f>IFERROR(VLOOKUP(F316,TRAOPE!$AA:$AB,2,0),"")</f>
        <v/>
      </c>
      <c r="I316" s="7" t="n">
        <v>10058501</v>
      </c>
      <c r="J316" s="7">
        <f>IFERROR(VLOOKUP(I316,Materiales!$A:$H,8,0),"")</f>
        <v/>
      </c>
      <c r="K316" s="9">
        <f>IFERROR(VLOOKUP(I316,Materiales!$A:$G,7,0),"")</f>
        <v/>
      </c>
      <c r="L316" s="8" t="inlineStr">
        <is>
          <t>20240425</t>
        </is>
      </c>
      <c r="M316" s="8" t="inlineStr">
        <is>
          <t>20240814</t>
        </is>
      </c>
      <c r="N316" s="10" t="n">
        <v>151</v>
      </c>
      <c r="O316" s="10">
        <f>IFERROR(VLOOKUP(A316,Flete!$A:$J,10,0),"")</f>
        <v/>
      </c>
      <c r="P316" s="8" t="inlineStr">
        <is>
          <t>TN</t>
        </is>
      </c>
      <c r="Q316" s="10">
        <f>IFERROR(IFERROR(VLOOKUP(A316,TRAOPE!$A:$U,21,0),VLOOKUP(B316,TRAOPE!$A:$U,21,0)),"")</f>
        <v/>
      </c>
      <c r="R316" s="8">
        <f>IFERROR(IFERROR(VLOOKUP(A316,TRAOPE!$A:$W,23,0),VLOOKUP(B316,TRAOPE!$A:$W,23,0)),"")</f>
        <v/>
      </c>
      <c r="S316" s="10">
        <f>IF(AND(P316="TN",R316="TN"),N316+N(O316),IF(G316&amp;""="1",N(K316)*N316,(N316+N(O316))*N(K316)))</f>
        <v/>
      </c>
      <c r="T316" s="10">
        <f>IF(Q316="","",Q316-S316)</f>
        <v/>
      </c>
    </row>
    <row r="317">
      <c r="A317" s="7">
        <f>CONCATENATE(C317,E317,F317,I317)</f>
        <v/>
      </c>
      <c r="B317" s="7">
        <f>CONCATENATE(C317,E317,I317)</f>
        <v/>
      </c>
      <c r="C317" s="8" t="n">
        <v>900006074</v>
      </c>
      <c r="D317" s="7">
        <f>IFERROR(VLOOKUP(C317,TRAOPE!$G:$H,2,0),"")</f>
        <v/>
      </c>
      <c r="E317" s="8" t="inlineStr">
        <is>
          <t>D845</t>
        </is>
      </c>
      <c r="F317" s="8" t="inlineStr">
        <is>
          <t>67230766</t>
        </is>
      </c>
      <c r="G317" s="8">
        <f>IFERROR(VLOOKUP(A317,Flete!$A:$E,5,0),"")</f>
        <v/>
      </c>
      <c r="H317" s="7">
        <f>IFERROR(VLOOKUP(F317,TRAOPE!$AA:$AB,2,0),"")</f>
        <v/>
      </c>
      <c r="I317" s="7" t="n">
        <v>10167749</v>
      </c>
      <c r="J317" s="7">
        <f>IFERROR(VLOOKUP(I317,Materiales!$A:$H,8,0),"")</f>
        <v/>
      </c>
      <c r="K317" s="9">
        <f>IFERROR(VLOOKUP(I317,Materiales!$A:$G,7,0),"")</f>
        <v/>
      </c>
      <c r="L317" s="8" t="inlineStr">
        <is>
          <t>20240425</t>
        </is>
      </c>
      <c r="M317" s="8" t="inlineStr">
        <is>
          <t>20240814</t>
        </is>
      </c>
      <c r="N317" s="10" t="n">
        <v>161</v>
      </c>
      <c r="O317" s="10">
        <f>IFERROR(VLOOKUP(A317,Flete!$A:$J,10,0),"")</f>
        <v/>
      </c>
      <c r="P317" s="8" t="inlineStr">
        <is>
          <t>TN</t>
        </is>
      </c>
      <c r="Q317" s="10">
        <f>IFERROR(IFERROR(VLOOKUP(A317,TRAOPE!$A:$U,21,0),VLOOKUP(B317,TRAOPE!$A:$U,21,0)),"")</f>
        <v/>
      </c>
      <c r="R317" s="8">
        <f>IFERROR(IFERROR(VLOOKUP(A317,TRAOPE!$A:$W,23,0),VLOOKUP(B317,TRAOPE!$A:$W,23,0)),"")</f>
        <v/>
      </c>
      <c r="S317" s="10">
        <f>IF(AND(P317="TN",R317="TN"),N317+N(O317),IF(G317&amp;""="1",N(K317)*N317,(N317+N(O317))*N(K317)))</f>
        <v/>
      </c>
      <c r="T317" s="10">
        <f>IF(Q317="","",Q317-S317)</f>
        <v/>
      </c>
    </row>
    <row r="318">
      <c r="A318" s="7">
        <f>CONCATENATE(C318,E318,F318,I318)</f>
        <v/>
      </c>
      <c r="B318" s="7">
        <f>CONCATENATE(C318,E318,I318)</f>
        <v/>
      </c>
      <c r="C318" s="8" t="n">
        <v>900006074</v>
      </c>
      <c r="D318" s="7">
        <f>IFERROR(VLOOKUP(C318,TRAOPE!$G:$H,2,0),"")</f>
        <v/>
      </c>
      <c r="E318" s="8" t="inlineStr">
        <is>
          <t>D845</t>
        </is>
      </c>
      <c r="F318" s="8" t="inlineStr">
        <is>
          <t>67231138</t>
        </is>
      </c>
      <c r="G318" s="8">
        <f>IFERROR(VLOOKUP(A318,Flete!$A:$E,5,0),"")</f>
        <v/>
      </c>
      <c r="H318" s="7">
        <f>IFERROR(VLOOKUP(F318,TRAOPE!$AA:$AB,2,0),"")</f>
        <v/>
      </c>
      <c r="I318" s="7" t="n">
        <v>10058501</v>
      </c>
      <c r="J318" s="7">
        <f>IFERROR(VLOOKUP(I318,Materiales!$A:$H,8,0),"")</f>
        <v/>
      </c>
      <c r="K318" s="9">
        <f>IFERROR(VLOOKUP(I318,Materiales!$A:$G,7,0),"")</f>
        <v/>
      </c>
      <c r="L318" s="8" t="inlineStr">
        <is>
          <t>20240425</t>
        </is>
      </c>
      <c r="M318" s="8" t="inlineStr">
        <is>
          <t>20240814</t>
        </is>
      </c>
      <c r="N318" s="10" t="n">
        <v>151</v>
      </c>
      <c r="O318" s="10">
        <f>IFERROR(VLOOKUP(A318,Flete!$A:$J,10,0),"")</f>
        <v/>
      </c>
      <c r="P318" s="8" t="inlineStr">
        <is>
          <t>TN</t>
        </is>
      </c>
      <c r="Q318" s="10">
        <f>IFERROR(IFERROR(VLOOKUP(A318,TRAOPE!$A:$U,21,0),VLOOKUP(B318,TRAOPE!$A:$U,21,0)),"")</f>
        <v/>
      </c>
      <c r="R318" s="8">
        <f>IFERROR(IFERROR(VLOOKUP(A318,TRAOPE!$A:$W,23,0),VLOOKUP(B318,TRAOPE!$A:$W,23,0)),"")</f>
        <v/>
      </c>
      <c r="S318" s="10">
        <f>IF(AND(P318="TN",R318="TN"),N318+N(O318),IF(G318&amp;""="1",N(K318)*N318,(N318+N(O318))*N(K318)))</f>
        <v/>
      </c>
      <c r="T318" s="10">
        <f>IF(Q318="","",Q318-S318)</f>
        <v/>
      </c>
    </row>
    <row r="319">
      <c r="A319" s="7">
        <f>CONCATENATE(C319,E319,F319,I319)</f>
        <v/>
      </c>
      <c r="B319" s="7">
        <f>CONCATENATE(C319,E319,I319)</f>
        <v/>
      </c>
      <c r="C319" s="8" t="n">
        <v>900006074</v>
      </c>
      <c r="D319" s="7">
        <f>IFERROR(VLOOKUP(C319,TRAOPE!$G:$H,2,0),"")</f>
        <v/>
      </c>
      <c r="E319" s="8" t="inlineStr">
        <is>
          <t>D845</t>
        </is>
      </c>
      <c r="F319" s="8" t="inlineStr">
        <is>
          <t>67231138</t>
        </is>
      </c>
      <c r="G319" s="8">
        <f>IFERROR(VLOOKUP(A319,Flete!$A:$E,5,0),"")</f>
        <v/>
      </c>
      <c r="H319" s="7">
        <f>IFERROR(VLOOKUP(F319,TRAOPE!$AA:$AB,2,0),"")</f>
        <v/>
      </c>
      <c r="I319" s="7" t="n">
        <v>10167749</v>
      </c>
      <c r="J319" s="7">
        <f>IFERROR(VLOOKUP(I319,Materiales!$A:$H,8,0),"")</f>
        <v/>
      </c>
      <c r="K319" s="9">
        <f>IFERROR(VLOOKUP(I319,Materiales!$A:$G,7,0),"")</f>
        <v/>
      </c>
      <c r="L319" s="8" t="inlineStr">
        <is>
          <t>20240425</t>
        </is>
      </c>
      <c r="M319" s="8" t="inlineStr">
        <is>
          <t>20240814</t>
        </is>
      </c>
      <c r="N319" s="10" t="n">
        <v>161</v>
      </c>
      <c r="O319" s="10">
        <f>IFERROR(VLOOKUP(A319,Flete!$A:$J,10,0),"")</f>
        <v/>
      </c>
      <c r="P319" s="8" t="inlineStr">
        <is>
          <t>TN</t>
        </is>
      </c>
      <c r="Q319" s="10">
        <f>IFERROR(IFERROR(VLOOKUP(A319,TRAOPE!$A:$U,21,0),VLOOKUP(B319,TRAOPE!$A:$U,21,0)),"")</f>
        <v/>
      </c>
      <c r="R319" s="8">
        <f>IFERROR(IFERROR(VLOOKUP(A319,TRAOPE!$A:$W,23,0),VLOOKUP(B319,TRAOPE!$A:$W,23,0)),"")</f>
        <v/>
      </c>
      <c r="S319" s="10">
        <f>IF(AND(P319="TN",R319="TN"),N319+N(O319),IF(G319&amp;""="1",N(K319)*N319,(N319+N(O319))*N(K319)))</f>
        <v/>
      </c>
      <c r="T319" s="10">
        <f>IF(Q319="","",Q319-S319)</f>
        <v/>
      </c>
    </row>
    <row r="320">
      <c r="A320" s="7">
        <f>CONCATENATE(C320,E320,F320,I320)</f>
        <v/>
      </c>
      <c r="B320" s="7">
        <f>CONCATENATE(C320,E320,I320)</f>
        <v/>
      </c>
      <c r="C320" s="8" t="n">
        <v>900006074</v>
      </c>
      <c r="D320" s="7">
        <f>IFERROR(VLOOKUP(C320,TRAOPE!$G:$H,2,0),"")</f>
        <v/>
      </c>
      <c r="E320" s="8" t="inlineStr">
        <is>
          <t>D845</t>
        </is>
      </c>
      <c r="F320" s="8" t="inlineStr">
        <is>
          <t>67241102</t>
        </is>
      </c>
      <c r="G320" s="8">
        <f>IFERROR(VLOOKUP(A320,Flete!$A:$E,5,0),"")</f>
        <v/>
      </c>
      <c r="H320" s="7">
        <f>IFERROR(VLOOKUP(F320,TRAOPE!$AA:$AB,2,0),"")</f>
        <v/>
      </c>
      <c r="I320" s="7" t="n">
        <v>10167749</v>
      </c>
      <c r="J320" s="7">
        <f>IFERROR(VLOOKUP(I320,Materiales!$A:$H,8,0),"")</f>
        <v/>
      </c>
      <c r="K320" s="9">
        <f>IFERROR(VLOOKUP(I320,Materiales!$A:$G,7,0),"")</f>
        <v/>
      </c>
      <c r="L320" s="8" t="inlineStr">
        <is>
          <t>20240425</t>
        </is>
      </c>
      <c r="M320" s="8" t="inlineStr">
        <is>
          <t>20240814</t>
        </is>
      </c>
      <c r="N320" s="10" t="n">
        <v>177</v>
      </c>
      <c r="O320" s="10">
        <f>IFERROR(VLOOKUP(A320,Flete!$A:$J,10,0),"")</f>
        <v/>
      </c>
      <c r="P320" s="8" t="inlineStr">
        <is>
          <t>TN</t>
        </is>
      </c>
      <c r="Q320" s="10">
        <f>IFERROR(IFERROR(VLOOKUP(A320,TRAOPE!$A:$U,21,0),VLOOKUP(B320,TRAOPE!$A:$U,21,0)),"")</f>
        <v/>
      </c>
      <c r="R320" s="8">
        <f>IFERROR(IFERROR(VLOOKUP(A320,TRAOPE!$A:$W,23,0),VLOOKUP(B320,TRAOPE!$A:$W,23,0)),"")</f>
        <v/>
      </c>
      <c r="S320" s="10">
        <f>IF(AND(P320="TN",R320="TN"),N320+N(O320),IF(G320&amp;""="1",N(K320)*N320,(N320+N(O320))*N(K320)))</f>
        <v/>
      </c>
      <c r="T320" s="10">
        <f>IF(Q320="","",Q320-S320)</f>
        <v/>
      </c>
    </row>
    <row r="321">
      <c r="A321" s="7">
        <f>CONCATENATE(C321,E321,F321,I321)</f>
        <v/>
      </c>
      <c r="B321" s="7">
        <f>CONCATENATE(C321,E321,I321)</f>
        <v/>
      </c>
      <c r="C321" s="8" t="n">
        <v>900006074</v>
      </c>
      <c r="D321" s="7">
        <f>IFERROR(VLOOKUP(C321,TRAOPE!$G:$H,2,0),"")</f>
        <v/>
      </c>
      <c r="E321" s="8" t="inlineStr">
        <is>
          <t>D845</t>
        </is>
      </c>
      <c r="F321" s="8" t="inlineStr">
        <is>
          <t>67247681</t>
        </is>
      </c>
      <c r="G321" s="8">
        <f>IFERROR(VLOOKUP(A321,Flete!$A:$E,5,0),"")</f>
        <v/>
      </c>
      <c r="H321" s="7">
        <f>IFERROR(VLOOKUP(F321,TRAOPE!$AA:$AB,2,0),"")</f>
        <v/>
      </c>
      <c r="I321" s="7" t="n">
        <v>10167749</v>
      </c>
      <c r="J321" s="7">
        <f>IFERROR(VLOOKUP(I321,Materiales!$A:$H,8,0),"")</f>
        <v/>
      </c>
      <c r="K321" s="9">
        <f>IFERROR(VLOOKUP(I321,Materiales!$A:$G,7,0),"")</f>
        <v/>
      </c>
      <c r="L321" s="8" t="inlineStr">
        <is>
          <t>20240813</t>
        </is>
      </c>
      <c r="M321" s="8" t="inlineStr">
        <is>
          <t>20241108</t>
        </is>
      </c>
      <c r="N321" s="10" t="n">
        <v>161</v>
      </c>
      <c r="O321" s="10">
        <f>IFERROR(VLOOKUP(A321,Flete!$A:$J,10,0),"")</f>
        <v/>
      </c>
      <c r="P321" s="8" t="inlineStr">
        <is>
          <t>TN</t>
        </is>
      </c>
      <c r="Q321" s="10">
        <f>IFERROR(IFERROR(VLOOKUP(A321,TRAOPE!$A:$U,21,0),VLOOKUP(B321,TRAOPE!$A:$U,21,0)),"")</f>
        <v/>
      </c>
      <c r="R321" s="8">
        <f>IFERROR(IFERROR(VLOOKUP(A321,TRAOPE!$A:$W,23,0),VLOOKUP(B321,TRAOPE!$A:$W,23,0)),"")</f>
        <v/>
      </c>
      <c r="S321" s="10">
        <f>IF(AND(P321="TN",R321="TN"),N321+N(O321),IF(G321&amp;""="1",N(K321)*N321,(N321+N(O321))*N(K321)))</f>
        <v/>
      </c>
      <c r="T321" s="10">
        <f>IF(Q321="","",Q321-S321)</f>
        <v/>
      </c>
    </row>
    <row r="322">
      <c r="A322" s="7">
        <f>CONCATENATE(C322,E322,F322,I322)</f>
        <v/>
      </c>
      <c r="B322" s="7">
        <f>CONCATENATE(C322,E322,I322)</f>
        <v/>
      </c>
      <c r="C322" s="8" t="n">
        <v>900006074</v>
      </c>
      <c r="D322" s="7">
        <f>IFERROR(VLOOKUP(C322,TRAOPE!$G:$H,2,0),"")</f>
        <v/>
      </c>
      <c r="E322" s="8" t="inlineStr">
        <is>
          <t>D845</t>
        </is>
      </c>
      <c r="F322" s="8" t="inlineStr">
        <is>
          <t>67257001</t>
        </is>
      </c>
      <c r="G322" s="8">
        <f>IFERROR(VLOOKUP(A322,Flete!$A:$E,5,0),"")</f>
        <v/>
      </c>
      <c r="H322" s="7">
        <f>IFERROR(VLOOKUP(F322,TRAOPE!$AA:$AB,2,0),"")</f>
        <v/>
      </c>
      <c r="I322" s="7" t="n">
        <v>10000536</v>
      </c>
      <c r="J322" s="7">
        <f>IFERROR(VLOOKUP(I322,Materiales!$A:$H,8,0),"")</f>
        <v/>
      </c>
      <c r="K322" s="9">
        <f>IFERROR(VLOOKUP(I322,Materiales!$A:$G,7,0),"")</f>
        <v/>
      </c>
      <c r="L322" s="8" t="inlineStr">
        <is>
          <t>20250505</t>
        </is>
      </c>
      <c r="M322" s="8" t="inlineStr">
        <is>
          <t>20250507</t>
        </is>
      </c>
      <c r="N322" s="10" t="n">
        <v>201</v>
      </c>
      <c r="O322" s="10">
        <f>IFERROR(VLOOKUP(A322,Flete!$A:$J,10,0),"")</f>
        <v/>
      </c>
      <c r="P322" s="8" t="inlineStr">
        <is>
          <t>TN</t>
        </is>
      </c>
      <c r="Q322" s="10">
        <f>IFERROR(IFERROR(VLOOKUP(A322,TRAOPE!$A:$U,21,0),VLOOKUP(B322,TRAOPE!$A:$U,21,0)),"")</f>
        <v/>
      </c>
      <c r="R322" s="8">
        <f>IFERROR(IFERROR(VLOOKUP(A322,TRAOPE!$A:$W,23,0),VLOOKUP(B322,TRAOPE!$A:$W,23,0)),"")</f>
        <v/>
      </c>
      <c r="S322" s="10">
        <f>IF(AND(P322="TN",R322="TN"),N322+N(O322),IF(G322&amp;""="1",N(K322)*N322,(N322+N(O322))*N(K322)))</f>
        <v/>
      </c>
      <c r="T322" s="10">
        <f>IF(Q322="","",Q322-S322)</f>
        <v/>
      </c>
    </row>
    <row r="323">
      <c r="A323" s="7">
        <f>CONCATENATE(C323,E323,F323,I323)</f>
        <v/>
      </c>
      <c r="B323" s="7">
        <f>CONCATENATE(C323,E323,I323)</f>
        <v/>
      </c>
      <c r="C323" s="8" t="n">
        <v>900006074</v>
      </c>
      <c r="D323" s="7">
        <f>IFERROR(VLOOKUP(C323,TRAOPE!$G:$H,2,0),"")</f>
        <v/>
      </c>
      <c r="E323" s="8" t="inlineStr">
        <is>
          <t>D845</t>
        </is>
      </c>
      <c r="F323" s="8" t="inlineStr">
        <is>
          <t>67257001</t>
        </is>
      </c>
      <c r="G323" s="8">
        <f>IFERROR(VLOOKUP(A323,Flete!$A:$E,5,0),"")</f>
        <v/>
      </c>
      <c r="H323" s="7">
        <f>IFERROR(VLOOKUP(F323,TRAOPE!$AA:$AB,2,0),"")</f>
        <v/>
      </c>
      <c r="I323" s="7" t="n">
        <v>10167749</v>
      </c>
      <c r="J323" s="7">
        <f>IFERROR(VLOOKUP(I323,Materiales!$A:$H,8,0),"")</f>
        <v/>
      </c>
      <c r="K323" s="9">
        <f>IFERROR(VLOOKUP(I323,Materiales!$A:$G,7,0),"")</f>
        <v/>
      </c>
      <c r="L323" s="8" t="inlineStr">
        <is>
          <t>20240813</t>
        </is>
      </c>
      <c r="M323" s="8" t="inlineStr">
        <is>
          <t>20241108</t>
        </is>
      </c>
      <c r="N323" s="10" t="n">
        <v>167</v>
      </c>
      <c r="O323" s="10">
        <f>IFERROR(VLOOKUP(A323,Flete!$A:$J,10,0),"")</f>
        <v/>
      </c>
      <c r="P323" s="8" t="inlineStr">
        <is>
          <t>TN</t>
        </is>
      </c>
      <c r="Q323" s="10">
        <f>IFERROR(IFERROR(VLOOKUP(A323,TRAOPE!$A:$U,21,0),VLOOKUP(B323,TRAOPE!$A:$U,21,0)),"")</f>
        <v/>
      </c>
      <c r="R323" s="8">
        <f>IFERROR(IFERROR(VLOOKUP(A323,TRAOPE!$A:$W,23,0),VLOOKUP(B323,TRAOPE!$A:$W,23,0)),"")</f>
        <v/>
      </c>
      <c r="S323" s="10">
        <f>IF(AND(P323="TN",R323="TN"),N323+N(O323),IF(G323&amp;""="1",N(K323)*N323,(N323+N(O323))*N(K323)))</f>
        <v/>
      </c>
      <c r="T323" s="10">
        <f>IF(Q323="","",Q323-S323)</f>
        <v/>
      </c>
    </row>
    <row r="324">
      <c r="A324" s="7">
        <f>CONCATENATE(C324,E324,F324,I324)</f>
        <v/>
      </c>
      <c r="B324" s="7">
        <f>CONCATENATE(C324,E324,I324)</f>
        <v/>
      </c>
      <c r="C324" s="8" t="n">
        <v>900006074</v>
      </c>
      <c r="D324" s="7">
        <f>IFERROR(VLOOKUP(C324,TRAOPE!$G:$H,2,0),"")</f>
        <v/>
      </c>
      <c r="E324" s="8" t="inlineStr">
        <is>
          <t>D845</t>
        </is>
      </c>
      <c r="F324" s="8" t="inlineStr">
        <is>
          <t>67277494</t>
        </is>
      </c>
      <c r="G324" s="8">
        <f>IFERROR(VLOOKUP(A324,Flete!$A:$E,5,0),"")</f>
        <v/>
      </c>
      <c r="H324" s="7">
        <f>IFERROR(VLOOKUP(F324,TRAOPE!$AA:$AB,2,0),"")</f>
        <v/>
      </c>
      <c r="I324" s="7" t="n">
        <v>10000617</v>
      </c>
      <c r="J324" s="7">
        <f>IFERROR(VLOOKUP(I324,Materiales!$A:$H,8,0),"")</f>
        <v/>
      </c>
      <c r="K324" s="9">
        <f>IFERROR(VLOOKUP(I324,Materiales!$A:$G,7,0),"")</f>
        <v/>
      </c>
      <c r="L324" s="8" t="inlineStr">
        <is>
          <t>20240813</t>
        </is>
      </c>
      <c r="M324" s="8" t="inlineStr">
        <is>
          <t>20241108</t>
        </is>
      </c>
      <c r="N324" s="10" t="n">
        <v>173</v>
      </c>
      <c r="O324" s="10">
        <f>IFERROR(VLOOKUP(A324,Flete!$A:$J,10,0),"")</f>
        <v/>
      </c>
      <c r="P324" s="8" t="inlineStr">
        <is>
          <t>TN</t>
        </is>
      </c>
      <c r="Q324" s="10">
        <f>IFERROR(IFERROR(VLOOKUP(A324,TRAOPE!$A:$U,21,0),VLOOKUP(B324,TRAOPE!$A:$U,21,0)),"")</f>
        <v/>
      </c>
      <c r="R324" s="8">
        <f>IFERROR(IFERROR(VLOOKUP(A324,TRAOPE!$A:$W,23,0),VLOOKUP(B324,TRAOPE!$A:$W,23,0)),"")</f>
        <v/>
      </c>
      <c r="S324" s="10">
        <f>IF(AND(P324="TN",R324="TN"),N324+N(O324),IF(G324&amp;""="1",N(K324)*N324,(N324+N(O324))*N(K324)))</f>
        <v/>
      </c>
      <c r="T324" s="10">
        <f>IF(Q324="","",Q324-S324)</f>
        <v/>
      </c>
    </row>
    <row r="325">
      <c r="A325" s="7">
        <f>CONCATENATE(C325,E325,F325,I325)</f>
        <v/>
      </c>
      <c r="B325" s="7">
        <f>CONCATENATE(C325,E325,I325)</f>
        <v/>
      </c>
      <c r="C325" s="8" t="n">
        <v>900006074</v>
      </c>
      <c r="D325" s="7">
        <f>IFERROR(VLOOKUP(C325,TRAOPE!$G:$H,2,0),"")</f>
        <v/>
      </c>
      <c r="E325" s="8" t="inlineStr">
        <is>
          <t>D845</t>
        </is>
      </c>
      <c r="F325" s="8" t="inlineStr">
        <is>
          <t>67277494</t>
        </is>
      </c>
      <c r="G325" s="8">
        <f>IFERROR(VLOOKUP(A325,Flete!$A:$E,5,0),"")</f>
        <v/>
      </c>
      <c r="H325" s="7">
        <f>IFERROR(VLOOKUP(F325,TRAOPE!$AA:$AB,2,0),"")</f>
        <v/>
      </c>
      <c r="I325" s="7" t="n">
        <v>10167749</v>
      </c>
      <c r="J325" s="7">
        <f>IFERROR(VLOOKUP(I325,Materiales!$A:$H,8,0),"")</f>
        <v/>
      </c>
      <c r="K325" s="9">
        <f>IFERROR(VLOOKUP(I325,Materiales!$A:$G,7,0),"")</f>
        <v/>
      </c>
      <c r="L325" s="8" t="inlineStr">
        <is>
          <t>20240813</t>
        </is>
      </c>
      <c r="M325" s="8" t="inlineStr">
        <is>
          <t>20241108</t>
        </is>
      </c>
      <c r="N325" s="10" t="n">
        <v>165</v>
      </c>
      <c r="O325" s="10">
        <f>IFERROR(VLOOKUP(A325,Flete!$A:$J,10,0),"")</f>
        <v/>
      </c>
      <c r="P325" s="8" t="inlineStr">
        <is>
          <t>TN</t>
        </is>
      </c>
      <c r="Q325" s="10">
        <f>IFERROR(IFERROR(VLOOKUP(A325,TRAOPE!$A:$U,21,0),VLOOKUP(B325,TRAOPE!$A:$U,21,0)),"")</f>
        <v/>
      </c>
      <c r="R325" s="8">
        <f>IFERROR(IFERROR(VLOOKUP(A325,TRAOPE!$A:$W,23,0),VLOOKUP(B325,TRAOPE!$A:$W,23,0)),"")</f>
        <v/>
      </c>
      <c r="S325" s="10">
        <f>IF(AND(P325="TN",R325="TN"),N325+N(O325),IF(G325&amp;""="1",N(K325)*N325,(N325+N(O325))*N(K325)))</f>
        <v/>
      </c>
      <c r="T325" s="10">
        <f>IF(Q325="","",Q325-S325)</f>
        <v/>
      </c>
    </row>
    <row r="326">
      <c r="A326" s="7">
        <f>CONCATENATE(C326,E326,F326,I326)</f>
        <v/>
      </c>
      <c r="B326" s="7">
        <f>CONCATENATE(C326,E326,I326)</f>
        <v/>
      </c>
      <c r="C326" s="8" t="n">
        <v>900006074</v>
      </c>
      <c r="D326" s="7">
        <f>IFERROR(VLOOKUP(C326,TRAOPE!$G:$H,2,0),"")</f>
        <v/>
      </c>
      <c r="E326" s="8" t="inlineStr">
        <is>
          <t>D845</t>
        </is>
      </c>
      <c r="F326" s="8" t="inlineStr">
        <is>
          <t>67283393</t>
        </is>
      </c>
      <c r="G326" s="8">
        <f>IFERROR(VLOOKUP(A326,Flete!$A:$E,5,0),"")</f>
        <v/>
      </c>
      <c r="H326" s="7">
        <f>IFERROR(VLOOKUP(F326,TRAOPE!$AA:$AB,2,0),"")</f>
        <v/>
      </c>
      <c r="I326" s="7" t="n">
        <v>10058501</v>
      </c>
      <c r="J326" s="7">
        <f>IFERROR(VLOOKUP(I326,Materiales!$A:$H,8,0),"")</f>
        <v/>
      </c>
      <c r="K326" s="9">
        <f>IFERROR(VLOOKUP(I326,Materiales!$A:$G,7,0),"")</f>
        <v/>
      </c>
      <c r="L326" s="8" t="inlineStr">
        <is>
          <t>20240813</t>
        </is>
      </c>
      <c r="M326" s="8" t="inlineStr">
        <is>
          <t>20241108</t>
        </is>
      </c>
      <c r="N326" s="10" t="n">
        <v>158</v>
      </c>
      <c r="O326" s="10">
        <f>IFERROR(VLOOKUP(A326,Flete!$A:$J,10,0),"")</f>
        <v/>
      </c>
      <c r="P326" s="8" t="inlineStr">
        <is>
          <t>TN</t>
        </is>
      </c>
      <c r="Q326" s="10">
        <f>IFERROR(IFERROR(VLOOKUP(A326,TRAOPE!$A:$U,21,0),VLOOKUP(B326,TRAOPE!$A:$U,21,0)),"")</f>
        <v/>
      </c>
      <c r="R326" s="8">
        <f>IFERROR(IFERROR(VLOOKUP(A326,TRAOPE!$A:$W,23,0),VLOOKUP(B326,TRAOPE!$A:$W,23,0)),"")</f>
        <v/>
      </c>
      <c r="S326" s="10">
        <f>IF(AND(P326="TN",R326="TN"),N326+N(O326),IF(G326&amp;""="1",N(K326)*N326,(N326+N(O326))*N(K326)))</f>
        <v/>
      </c>
      <c r="T326" s="10">
        <f>IF(Q326="","",Q326-S326)</f>
        <v/>
      </c>
    </row>
    <row r="327">
      <c r="A327" s="7">
        <f>CONCATENATE(C327,E327,F327,I327)</f>
        <v/>
      </c>
      <c r="B327" s="7">
        <f>CONCATENATE(C327,E327,I327)</f>
        <v/>
      </c>
      <c r="C327" s="8" t="n">
        <v>900006074</v>
      </c>
      <c r="D327" s="7">
        <f>IFERROR(VLOOKUP(C327,TRAOPE!$G:$H,2,0),"")</f>
        <v/>
      </c>
      <c r="E327" s="8" t="inlineStr">
        <is>
          <t>D845</t>
        </is>
      </c>
      <c r="F327" s="8" t="inlineStr">
        <is>
          <t>67283393</t>
        </is>
      </c>
      <c r="G327" s="8">
        <f>IFERROR(VLOOKUP(A327,Flete!$A:$E,5,0),"")</f>
        <v/>
      </c>
      <c r="H327" s="7">
        <f>IFERROR(VLOOKUP(F327,TRAOPE!$AA:$AB,2,0),"")</f>
        <v/>
      </c>
      <c r="I327" s="7" t="n">
        <v>10167749</v>
      </c>
      <c r="J327" s="7">
        <f>IFERROR(VLOOKUP(I327,Materiales!$A:$H,8,0),"")</f>
        <v/>
      </c>
      <c r="K327" s="9">
        <f>IFERROR(VLOOKUP(I327,Materiales!$A:$G,7,0),"")</f>
        <v/>
      </c>
      <c r="L327" s="8" t="inlineStr">
        <is>
          <t>20250505</t>
        </is>
      </c>
      <c r="M327" s="8" t="inlineStr">
        <is>
          <t>20250507</t>
        </is>
      </c>
      <c r="N327" s="10" t="n">
        <v>195</v>
      </c>
      <c r="O327" s="10">
        <f>IFERROR(VLOOKUP(A327,Flete!$A:$J,10,0),"")</f>
        <v/>
      </c>
      <c r="P327" s="8" t="inlineStr">
        <is>
          <t>TN</t>
        </is>
      </c>
      <c r="Q327" s="10">
        <f>IFERROR(IFERROR(VLOOKUP(A327,TRAOPE!$A:$U,21,0),VLOOKUP(B327,TRAOPE!$A:$U,21,0)),"")</f>
        <v/>
      </c>
      <c r="R327" s="8">
        <f>IFERROR(IFERROR(VLOOKUP(A327,TRAOPE!$A:$W,23,0),VLOOKUP(B327,TRAOPE!$A:$W,23,0)),"")</f>
        <v/>
      </c>
      <c r="S327" s="10">
        <f>IF(AND(P327="TN",R327="TN"),N327+N(O327),IF(G327&amp;""="1",N(K327)*N327,(N327+N(O327))*N(K327)))</f>
        <v/>
      </c>
      <c r="T327" s="10">
        <f>IF(Q327="","",Q327-S327)</f>
        <v/>
      </c>
    </row>
    <row r="328">
      <c r="A328" s="7">
        <f>CONCATENATE(C328,E328,F328,I328)</f>
        <v/>
      </c>
      <c r="B328" s="7">
        <f>CONCATENATE(C328,E328,I328)</f>
        <v/>
      </c>
      <c r="C328" s="8" t="n">
        <v>900006074</v>
      </c>
      <c r="D328" s="7">
        <f>IFERROR(VLOOKUP(C328,TRAOPE!$G:$H,2,0),"")</f>
        <v/>
      </c>
      <c r="E328" s="8" t="inlineStr">
        <is>
          <t>D845</t>
        </is>
      </c>
      <c r="F328" s="8" t="inlineStr">
        <is>
          <t>67298518</t>
        </is>
      </c>
      <c r="G328" s="8">
        <f>IFERROR(VLOOKUP(A328,Flete!$A:$E,5,0),"")</f>
        <v/>
      </c>
      <c r="H328" s="7">
        <f>IFERROR(VLOOKUP(F328,TRAOPE!$AA:$AB,2,0),"")</f>
        <v/>
      </c>
      <c r="I328" s="7" t="n">
        <v>10167749</v>
      </c>
      <c r="J328" s="7">
        <f>IFERROR(VLOOKUP(I328,Materiales!$A:$H,8,0),"")</f>
        <v/>
      </c>
      <c r="K328" s="9">
        <f>IFERROR(VLOOKUP(I328,Materiales!$A:$G,7,0),"")</f>
        <v/>
      </c>
      <c r="L328" s="8" t="inlineStr">
        <is>
          <t>20250505</t>
        </is>
      </c>
      <c r="M328" s="8" t="inlineStr">
        <is>
          <t>20250507</t>
        </is>
      </c>
      <c r="N328" s="10" t="n">
        <v>205</v>
      </c>
      <c r="O328" s="10">
        <f>IFERROR(VLOOKUP(A328,Flete!$A:$J,10,0),"")</f>
        <v/>
      </c>
      <c r="P328" s="8" t="inlineStr">
        <is>
          <t>TN</t>
        </is>
      </c>
      <c r="Q328" s="10">
        <f>IFERROR(IFERROR(VLOOKUP(A328,TRAOPE!$A:$U,21,0),VLOOKUP(B328,TRAOPE!$A:$U,21,0)),"")</f>
        <v/>
      </c>
      <c r="R328" s="8">
        <f>IFERROR(IFERROR(VLOOKUP(A328,TRAOPE!$A:$W,23,0),VLOOKUP(B328,TRAOPE!$A:$W,23,0)),"")</f>
        <v/>
      </c>
      <c r="S328" s="10">
        <f>IF(AND(P328="TN",R328="TN"),N328+N(O328),IF(G328&amp;""="1",N(K328)*N328,(N328+N(O328))*N(K328)))</f>
        <v/>
      </c>
      <c r="T328" s="10">
        <f>IF(Q328="","",Q328-S328)</f>
        <v/>
      </c>
    </row>
    <row r="329">
      <c r="A329" s="7">
        <f>CONCATENATE(C329,E329,F329,I329)</f>
        <v/>
      </c>
      <c r="B329" s="7">
        <f>CONCATENATE(C329,E329,I329)</f>
        <v/>
      </c>
      <c r="C329" s="8" t="n">
        <v>900006074</v>
      </c>
      <c r="D329" s="7">
        <f>IFERROR(VLOOKUP(C329,TRAOPE!$G:$H,2,0),"")</f>
        <v/>
      </c>
      <c r="E329" s="8" t="inlineStr">
        <is>
          <t>D845</t>
        </is>
      </c>
      <c r="F329" s="8" t="inlineStr">
        <is>
          <t>67318363</t>
        </is>
      </c>
      <c r="G329" s="8">
        <f>IFERROR(VLOOKUP(A329,Flete!$A:$E,5,0),"")</f>
        <v/>
      </c>
      <c r="H329" s="7">
        <f>IFERROR(VLOOKUP(F329,TRAOPE!$AA:$AB,2,0),"")</f>
        <v/>
      </c>
      <c r="I329" s="7" t="n">
        <v>10167749</v>
      </c>
      <c r="J329" s="7">
        <f>IFERROR(VLOOKUP(I329,Materiales!$A:$H,8,0),"")</f>
        <v/>
      </c>
      <c r="K329" s="9">
        <f>IFERROR(VLOOKUP(I329,Materiales!$A:$G,7,0),"")</f>
        <v/>
      </c>
      <c r="L329" s="8" t="inlineStr">
        <is>
          <t>20250505</t>
        </is>
      </c>
      <c r="M329" s="8" t="inlineStr">
        <is>
          <t>20250507</t>
        </is>
      </c>
      <c r="N329" s="10" t="n">
        <v>200</v>
      </c>
      <c r="O329" s="10">
        <f>IFERROR(VLOOKUP(A329,Flete!$A:$J,10,0),"")</f>
        <v/>
      </c>
      <c r="P329" s="8" t="inlineStr">
        <is>
          <t>TN</t>
        </is>
      </c>
      <c r="Q329" s="10">
        <f>IFERROR(IFERROR(VLOOKUP(A329,TRAOPE!$A:$U,21,0),VLOOKUP(B329,TRAOPE!$A:$U,21,0)),"")</f>
        <v/>
      </c>
      <c r="R329" s="8">
        <f>IFERROR(IFERROR(VLOOKUP(A329,TRAOPE!$A:$W,23,0),VLOOKUP(B329,TRAOPE!$A:$W,23,0)),"")</f>
        <v/>
      </c>
      <c r="S329" s="10">
        <f>IF(AND(P329="TN",R329="TN"),N329+N(O329),IF(G329&amp;""="1",N(K329)*N329,(N329+N(O329))*N(K329)))</f>
        <v/>
      </c>
      <c r="T329" s="10">
        <f>IF(Q329="","",Q329-S329)</f>
        <v/>
      </c>
    </row>
    <row r="330">
      <c r="A330" s="7">
        <f>CONCATENATE(C330,E330,F330,I330)</f>
        <v/>
      </c>
      <c r="B330" s="7">
        <f>CONCATENATE(C330,E330,I330)</f>
        <v/>
      </c>
      <c r="C330" s="8" t="n">
        <v>900006074</v>
      </c>
      <c r="D330" s="7">
        <f>IFERROR(VLOOKUP(C330,TRAOPE!$G:$H,2,0),"")</f>
        <v/>
      </c>
      <c r="E330" s="8" t="inlineStr">
        <is>
          <t>D845</t>
        </is>
      </c>
      <c r="F330" s="8" t="inlineStr">
        <is>
          <t>67319817</t>
        </is>
      </c>
      <c r="G330" s="8">
        <f>IFERROR(VLOOKUP(A330,Flete!$A:$E,5,0),"")</f>
        <v/>
      </c>
      <c r="H330" s="7">
        <f>IFERROR(VLOOKUP(F330,TRAOPE!$AA:$AB,2,0),"")</f>
        <v/>
      </c>
      <c r="I330" s="7" t="n">
        <v>10167749</v>
      </c>
      <c r="J330" s="7">
        <f>IFERROR(VLOOKUP(I330,Materiales!$A:$H,8,0),"")</f>
        <v/>
      </c>
      <c r="K330" s="9">
        <f>IFERROR(VLOOKUP(I330,Materiales!$A:$G,7,0),"")</f>
        <v/>
      </c>
      <c r="L330" s="8" t="inlineStr">
        <is>
          <t>20250528</t>
        </is>
      </c>
      <c r="M330" s="8" t="inlineStr">
        <is>
          <t>20250710</t>
        </is>
      </c>
      <c r="N330" s="10" t="n">
        <v>205</v>
      </c>
      <c r="O330" s="10">
        <f>IFERROR(VLOOKUP(A330,Flete!$A:$J,10,0),"")</f>
        <v/>
      </c>
      <c r="P330" s="8" t="inlineStr">
        <is>
          <t>TN</t>
        </is>
      </c>
      <c r="Q330" s="10">
        <f>IFERROR(IFERROR(VLOOKUP(A330,TRAOPE!$A:$U,21,0),VLOOKUP(B330,TRAOPE!$A:$U,21,0)),"")</f>
        <v/>
      </c>
      <c r="R330" s="8">
        <f>IFERROR(IFERROR(VLOOKUP(A330,TRAOPE!$A:$W,23,0),VLOOKUP(B330,TRAOPE!$A:$W,23,0)),"")</f>
        <v/>
      </c>
      <c r="S330" s="10">
        <f>IF(AND(P330="TN",R330="TN"),N330+N(O330),IF(G330&amp;""="1",N(K330)*N330,(N330+N(O330))*N(K330)))</f>
        <v/>
      </c>
      <c r="T330" s="10">
        <f>IF(Q330="","",Q330-S330)</f>
        <v/>
      </c>
    </row>
    <row r="331">
      <c r="A331" s="7">
        <f>CONCATENATE(C331,E331,F331,I331)</f>
        <v/>
      </c>
      <c r="B331" s="7">
        <f>CONCATENATE(C331,E331,I331)</f>
        <v/>
      </c>
      <c r="C331" s="8" t="n">
        <v>900008838</v>
      </c>
      <c r="D331" s="7">
        <f>IFERROR(VLOOKUP(C331,TRAOPE!$G:$H,2,0),"")</f>
        <v/>
      </c>
      <c r="E331" s="8" t="inlineStr">
        <is>
          <t>D845</t>
        </is>
      </c>
      <c r="F331" s="8" t="inlineStr">
        <is>
          <t>67241102</t>
        </is>
      </c>
      <c r="G331" s="8">
        <f>IFERROR(VLOOKUP(A331,Flete!$A:$E,5,0),"")</f>
        <v/>
      </c>
      <c r="H331" s="7">
        <f>IFERROR(VLOOKUP(F331,TRAOPE!$AA:$AB,2,0),"")</f>
        <v/>
      </c>
      <c r="I331" s="7" t="n">
        <v>10167749</v>
      </c>
      <c r="J331" s="7">
        <f>IFERROR(VLOOKUP(I331,Materiales!$A:$H,8,0),"")</f>
        <v/>
      </c>
      <c r="K331" s="9">
        <f>IFERROR(VLOOKUP(I331,Materiales!$A:$G,7,0),"")</f>
        <v/>
      </c>
      <c r="L331" s="8" t="inlineStr">
        <is>
          <t>20240425</t>
        </is>
      </c>
      <c r="M331" s="8" t="inlineStr">
        <is>
          <t>20240814</t>
        </is>
      </c>
      <c r="N331" s="10" t="n">
        <v>187</v>
      </c>
      <c r="O331" s="10">
        <f>IFERROR(VLOOKUP(A331,Flete!$A:$J,10,0),"")</f>
        <v/>
      </c>
      <c r="P331" s="8" t="inlineStr">
        <is>
          <t>TN</t>
        </is>
      </c>
      <c r="Q331" s="10">
        <f>IFERROR(IFERROR(VLOOKUP(A331,TRAOPE!$A:$U,21,0),VLOOKUP(B331,TRAOPE!$A:$U,21,0)),"")</f>
        <v/>
      </c>
      <c r="R331" s="8">
        <f>IFERROR(IFERROR(VLOOKUP(A331,TRAOPE!$A:$W,23,0),VLOOKUP(B331,TRAOPE!$A:$W,23,0)),"")</f>
        <v/>
      </c>
      <c r="S331" s="10">
        <f>IF(AND(P331="TN",R331="TN"),N331+N(O331),IF(G331&amp;""="1",N(K331)*N331,(N331+N(O331))*N(K331)))</f>
        <v/>
      </c>
      <c r="T331" s="10">
        <f>IF(Q331="","",Q331-S331)</f>
        <v/>
      </c>
    </row>
    <row r="332">
      <c r="A332" s="7">
        <f>CONCATENATE(C332,E332,F332,I332)</f>
        <v/>
      </c>
      <c r="B332" s="7">
        <f>CONCATENATE(C332,E332,I332)</f>
        <v/>
      </c>
      <c r="C332" s="8" t="n">
        <v>900009255</v>
      </c>
      <c r="D332" s="7">
        <f>IFERROR(VLOOKUP(C332,TRAOPE!$G:$H,2,0),"")</f>
        <v/>
      </c>
      <c r="E332" s="8" t="inlineStr">
        <is>
          <t>D845</t>
        </is>
      </c>
      <c r="F332" s="8" t="inlineStr">
        <is>
          <t>67318246</t>
        </is>
      </c>
      <c r="G332" s="8">
        <f>IFERROR(VLOOKUP(A332,Flete!$A:$E,5,0),"")</f>
        <v/>
      </c>
      <c r="H332" s="7">
        <f>IFERROR(VLOOKUP(F332,TRAOPE!$AA:$AB,2,0),"")</f>
        <v/>
      </c>
      <c r="I332" s="7" t="n">
        <v>10000536</v>
      </c>
      <c r="J332" s="7">
        <f>IFERROR(VLOOKUP(I332,Materiales!$A:$H,8,0),"")</f>
        <v/>
      </c>
      <c r="K332" s="9">
        <f>IFERROR(VLOOKUP(I332,Materiales!$A:$G,7,0),"")</f>
        <v/>
      </c>
      <c r="L332" s="8" t="inlineStr">
        <is>
          <t>20250528</t>
        </is>
      </c>
      <c r="M332" s="8" t="inlineStr">
        <is>
          <t>20250710</t>
        </is>
      </c>
      <c r="N332" s="10" t="n">
        <v>169</v>
      </c>
      <c r="O332" s="10">
        <f>IFERROR(VLOOKUP(A332,Flete!$A:$J,10,0),"")</f>
        <v/>
      </c>
      <c r="P332" s="8" t="inlineStr">
        <is>
          <t>TN</t>
        </is>
      </c>
      <c r="Q332" s="10">
        <f>IFERROR(IFERROR(VLOOKUP(A332,TRAOPE!$A:$U,21,0),VLOOKUP(B332,TRAOPE!$A:$U,21,0)),"")</f>
        <v/>
      </c>
      <c r="R332" s="8">
        <f>IFERROR(IFERROR(VLOOKUP(A332,TRAOPE!$A:$W,23,0),VLOOKUP(B332,TRAOPE!$A:$W,23,0)),"")</f>
        <v/>
      </c>
      <c r="S332" s="10">
        <f>IF(AND(P332="TN",R332="TN"),N332+N(O332),IF(G332&amp;""="1",N(K332)*N332,(N332+N(O332))*N(K332)))</f>
        <v/>
      </c>
      <c r="T332" s="10">
        <f>IF(Q332="","",Q332-S332)</f>
        <v/>
      </c>
    </row>
    <row r="333">
      <c r="A333" s="7">
        <f>CONCATENATE(C333,E333,F333,I333)</f>
        <v/>
      </c>
      <c r="B333" s="7">
        <f>CONCATENATE(C333,E333,I333)</f>
        <v/>
      </c>
      <c r="C333" s="8" t="n">
        <v>900009255</v>
      </c>
      <c r="D333" s="7">
        <f>IFERROR(VLOOKUP(C333,TRAOPE!$G:$H,2,0),"")</f>
        <v/>
      </c>
      <c r="E333" s="8" t="inlineStr">
        <is>
          <t>D845</t>
        </is>
      </c>
      <c r="F333" s="8" t="inlineStr">
        <is>
          <t>67318246</t>
        </is>
      </c>
      <c r="G333" s="8">
        <f>IFERROR(VLOOKUP(A333,Flete!$A:$E,5,0),"")</f>
        <v/>
      </c>
      <c r="H333" s="7">
        <f>IFERROR(VLOOKUP(F333,TRAOPE!$AA:$AB,2,0),"")</f>
        <v/>
      </c>
      <c r="I333" s="7" t="n">
        <v>10000578</v>
      </c>
      <c r="J333" s="7">
        <f>IFERROR(VLOOKUP(I333,Materiales!$A:$H,8,0),"")</f>
        <v/>
      </c>
      <c r="K333" s="9">
        <f>IFERROR(VLOOKUP(I333,Materiales!$A:$G,7,0),"")</f>
        <v/>
      </c>
      <c r="L333" s="8" t="inlineStr">
        <is>
          <t>20250528</t>
        </is>
      </c>
      <c r="M333" s="8" t="inlineStr">
        <is>
          <t>20250710</t>
        </is>
      </c>
      <c r="N333" s="10" t="n">
        <v>169</v>
      </c>
      <c r="O333" s="10">
        <f>IFERROR(VLOOKUP(A333,Flete!$A:$J,10,0),"")</f>
        <v/>
      </c>
      <c r="P333" s="8" t="inlineStr">
        <is>
          <t>TN</t>
        </is>
      </c>
      <c r="Q333" s="10">
        <f>IFERROR(IFERROR(VLOOKUP(A333,TRAOPE!$A:$U,21,0),VLOOKUP(B333,TRAOPE!$A:$U,21,0)),"")</f>
        <v/>
      </c>
      <c r="R333" s="8">
        <f>IFERROR(IFERROR(VLOOKUP(A333,TRAOPE!$A:$W,23,0),VLOOKUP(B333,TRAOPE!$A:$W,23,0)),"")</f>
        <v/>
      </c>
      <c r="S333" s="10">
        <f>IF(AND(P333="TN",R333="TN"),N333+N(O333),IF(G333&amp;""="1",N(K333)*N333,(N333+N(O333))*N(K333)))</f>
        <v/>
      </c>
      <c r="T333" s="10">
        <f>IF(Q333="","",Q333-S333)</f>
        <v/>
      </c>
    </row>
    <row r="334">
      <c r="A334" s="7">
        <f>CONCATENATE(C334,E334,F334,I334)</f>
        <v/>
      </c>
      <c r="B334" s="7">
        <f>CONCATENATE(C334,E334,I334)</f>
        <v/>
      </c>
      <c r="C334" s="8" t="n">
        <v>900009255</v>
      </c>
      <c r="D334" s="7">
        <f>IFERROR(VLOOKUP(C334,TRAOPE!$G:$H,2,0),"")</f>
        <v/>
      </c>
      <c r="E334" s="8" t="inlineStr">
        <is>
          <t>D845</t>
        </is>
      </c>
      <c r="F334" s="8" t="inlineStr">
        <is>
          <t>67318246</t>
        </is>
      </c>
      <c r="G334" s="8">
        <f>IFERROR(VLOOKUP(A334,Flete!$A:$E,5,0),"")</f>
        <v/>
      </c>
      <c r="H334" s="7">
        <f>IFERROR(VLOOKUP(F334,TRAOPE!$AA:$AB,2,0),"")</f>
        <v/>
      </c>
      <c r="I334" s="7" t="n">
        <v>10000617</v>
      </c>
      <c r="J334" s="7">
        <f>IFERROR(VLOOKUP(I334,Materiales!$A:$H,8,0),"")</f>
        <v/>
      </c>
      <c r="K334" s="9">
        <f>IFERROR(VLOOKUP(I334,Materiales!$A:$G,7,0),"")</f>
        <v/>
      </c>
      <c r="L334" s="8" t="inlineStr">
        <is>
          <t>20250528</t>
        </is>
      </c>
      <c r="M334" s="8" t="inlineStr">
        <is>
          <t>20250710</t>
        </is>
      </c>
      <c r="N334" s="10" t="n">
        <v>184</v>
      </c>
      <c r="O334" s="10">
        <f>IFERROR(VLOOKUP(A334,Flete!$A:$J,10,0),"")</f>
        <v/>
      </c>
      <c r="P334" s="8" t="inlineStr">
        <is>
          <t>TN</t>
        </is>
      </c>
      <c r="Q334" s="10">
        <f>IFERROR(IFERROR(VLOOKUP(A334,TRAOPE!$A:$U,21,0),VLOOKUP(B334,TRAOPE!$A:$U,21,0)),"")</f>
        <v/>
      </c>
      <c r="R334" s="8">
        <f>IFERROR(IFERROR(VLOOKUP(A334,TRAOPE!$A:$W,23,0),VLOOKUP(B334,TRAOPE!$A:$W,23,0)),"")</f>
        <v/>
      </c>
      <c r="S334" s="10">
        <f>IF(AND(P334="TN",R334="TN"),N334+N(O334),IF(G334&amp;""="1",N(K334)*N334,(N334+N(O334))*N(K334)))</f>
        <v/>
      </c>
      <c r="T334" s="10">
        <f>IF(Q334="","",Q334-S334)</f>
        <v/>
      </c>
    </row>
    <row r="335">
      <c r="A335" s="7">
        <f>CONCATENATE(C335,E335,F335,I335)</f>
        <v/>
      </c>
      <c r="B335" s="7">
        <f>CONCATENATE(C335,E335,I335)</f>
        <v/>
      </c>
      <c r="C335" s="8" t="n">
        <v>900009255</v>
      </c>
      <c r="D335" s="7">
        <f>IFERROR(VLOOKUP(C335,TRAOPE!$G:$H,2,0),"")</f>
        <v/>
      </c>
      <c r="E335" s="8" t="inlineStr">
        <is>
          <t>D845</t>
        </is>
      </c>
      <c r="F335" s="8" t="inlineStr">
        <is>
          <t>67318246</t>
        </is>
      </c>
      <c r="G335" s="8">
        <f>IFERROR(VLOOKUP(A335,Flete!$A:$E,5,0),"")</f>
        <v/>
      </c>
      <c r="H335" s="7">
        <f>IFERROR(VLOOKUP(F335,TRAOPE!$AA:$AB,2,0),"")</f>
        <v/>
      </c>
      <c r="I335" s="7" t="n">
        <v>10000656</v>
      </c>
      <c r="J335" s="7">
        <f>IFERROR(VLOOKUP(I335,Materiales!$A:$H,8,0),"")</f>
        <v/>
      </c>
      <c r="K335" s="9">
        <f>IFERROR(VLOOKUP(I335,Materiales!$A:$G,7,0),"")</f>
        <v/>
      </c>
      <c r="L335" s="8" t="inlineStr">
        <is>
          <t>20250528</t>
        </is>
      </c>
      <c r="M335" s="8" t="inlineStr">
        <is>
          <t>20250710</t>
        </is>
      </c>
      <c r="N335" s="10" t="n">
        <v>179</v>
      </c>
      <c r="O335" s="10">
        <f>IFERROR(VLOOKUP(A335,Flete!$A:$J,10,0),"")</f>
        <v/>
      </c>
      <c r="P335" s="8" t="inlineStr">
        <is>
          <t>TN</t>
        </is>
      </c>
      <c r="Q335" s="10">
        <f>IFERROR(IFERROR(VLOOKUP(A335,TRAOPE!$A:$U,21,0),VLOOKUP(B335,TRAOPE!$A:$U,21,0)),"")</f>
        <v/>
      </c>
      <c r="R335" s="8">
        <f>IFERROR(IFERROR(VLOOKUP(A335,TRAOPE!$A:$W,23,0),VLOOKUP(B335,TRAOPE!$A:$W,23,0)),"")</f>
        <v/>
      </c>
      <c r="S335" s="10">
        <f>IF(AND(P335="TN",R335="TN"),N335+N(O335),IF(G335&amp;""="1",N(K335)*N335,(N335+N(O335))*N(K335)))</f>
        <v/>
      </c>
      <c r="T335" s="10">
        <f>IF(Q335="","",Q335-S335)</f>
        <v/>
      </c>
    </row>
    <row r="336">
      <c r="A336" s="7">
        <f>CONCATENATE(C336,E336,F336,I336)</f>
        <v/>
      </c>
      <c r="B336" s="7">
        <f>CONCATENATE(C336,E336,I336)</f>
        <v/>
      </c>
      <c r="C336" s="8" t="n">
        <v>900009255</v>
      </c>
      <c r="D336" s="7">
        <f>IFERROR(VLOOKUP(C336,TRAOPE!$G:$H,2,0),"")</f>
        <v/>
      </c>
      <c r="E336" s="8" t="inlineStr">
        <is>
          <t>D845</t>
        </is>
      </c>
      <c r="F336" s="8" t="inlineStr">
        <is>
          <t>67318246</t>
        </is>
      </c>
      <c r="G336" s="8">
        <f>IFERROR(VLOOKUP(A336,Flete!$A:$E,5,0),"")</f>
        <v/>
      </c>
      <c r="H336" s="7">
        <f>IFERROR(VLOOKUP(F336,TRAOPE!$AA:$AB,2,0),"")</f>
        <v/>
      </c>
      <c r="I336" s="7" t="n">
        <v>10169508</v>
      </c>
      <c r="J336" s="7">
        <f>IFERROR(VLOOKUP(I336,Materiales!$A:$H,8,0),"")</f>
        <v/>
      </c>
      <c r="K336" s="9">
        <f>IFERROR(VLOOKUP(I336,Materiales!$A:$G,7,0),"")</f>
        <v/>
      </c>
      <c r="L336" s="8" t="inlineStr">
        <is>
          <t>20250528</t>
        </is>
      </c>
      <c r="M336" s="8" t="inlineStr">
        <is>
          <t>20250710</t>
        </is>
      </c>
      <c r="N336" s="10" t="n">
        <v>194</v>
      </c>
      <c r="O336" s="10">
        <f>IFERROR(VLOOKUP(A336,Flete!$A:$J,10,0),"")</f>
        <v/>
      </c>
      <c r="P336" s="8" t="inlineStr">
        <is>
          <t>TN</t>
        </is>
      </c>
      <c r="Q336" s="10">
        <f>IFERROR(IFERROR(VLOOKUP(A336,TRAOPE!$A:$U,21,0),VLOOKUP(B336,TRAOPE!$A:$U,21,0)),"")</f>
        <v/>
      </c>
      <c r="R336" s="8">
        <f>IFERROR(IFERROR(VLOOKUP(A336,TRAOPE!$A:$W,23,0),VLOOKUP(B336,TRAOPE!$A:$W,23,0)),"")</f>
        <v/>
      </c>
      <c r="S336" s="10">
        <f>IF(AND(P336="TN",R336="TN"),N336+N(O336),IF(G336&amp;""="1",N(K336)*N336,(N336+N(O336))*N(K336)))</f>
        <v/>
      </c>
      <c r="T336" s="10">
        <f>IF(Q336="","",Q336-S336)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900003571</t>
        </is>
      </c>
      <c r="B2" t="inlineStr">
        <is>
          <t>D845</t>
        </is>
      </c>
      <c r="C2" t="inlineStr">
        <is>
          <t>66389450</t>
        </is>
      </c>
      <c r="D2" t="inlineStr">
        <is>
          <t>10000578</t>
        </is>
      </c>
      <c r="E2" t="inlineStr"/>
      <c r="F2" s="11" t="n">
        <v>75</v>
      </c>
      <c r="G2" t="inlineStr"/>
      <c r="I2" t="inlineStr">
        <is>
          <t>TN</t>
        </is>
      </c>
      <c r="J2" t="inlineStr"/>
      <c r="K2" t="inlineStr">
        <is>
          <t>20190601</t>
        </is>
      </c>
      <c r="L2" t="inlineStr">
        <is>
          <t>20230219</t>
        </is>
      </c>
    </row>
    <row r="3">
      <c r="A3" t="inlineStr">
        <is>
          <t>900003571</t>
        </is>
      </c>
      <c r="B3" t="inlineStr">
        <is>
          <t>D845</t>
        </is>
      </c>
      <c r="C3" t="inlineStr">
        <is>
          <t>66779741</t>
        </is>
      </c>
      <c r="D3" t="inlineStr">
        <is>
          <t>10026100</t>
        </is>
      </c>
      <c r="E3" t="inlineStr"/>
      <c r="F3" s="11" t="n">
        <v>66</v>
      </c>
      <c r="G3" t="inlineStr"/>
      <c r="I3" t="inlineStr">
        <is>
          <t>TN</t>
        </is>
      </c>
      <c r="J3" t="inlineStr"/>
      <c r="K3" t="inlineStr">
        <is>
          <t>20190524</t>
        </is>
      </c>
      <c r="L3" t="inlineStr">
        <is>
          <t>20230219</t>
        </is>
      </c>
    </row>
    <row r="4">
      <c r="A4" t="inlineStr">
        <is>
          <t>900003571</t>
        </is>
      </c>
      <c r="B4" t="inlineStr">
        <is>
          <t>D845</t>
        </is>
      </c>
      <c r="C4" t="inlineStr">
        <is>
          <t>66827900</t>
        </is>
      </c>
      <c r="D4" t="inlineStr">
        <is>
          <t>10000578</t>
        </is>
      </c>
      <c r="E4" t="inlineStr"/>
      <c r="F4" s="11" t="n">
        <v>82</v>
      </c>
      <c r="G4" t="inlineStr"/>
      <c r="I4" t="inlineStr">
        <is>
          <t>TN</t>
        </is>
      </c>
      <c r="J4" t="inlineStr"/>
      <c r="K4" t="inlineStr">
        <is>
          <t>20190601</t>
        </is>
      </c>
      <c r="L4" t="inlineStr">
        <is>
          <t>20230219</t>
        </is>
      </c>
    </row>
    <row r="5">
      <c r="A5" t="inlineStr">
        <is>
          <t>900005260</t>
        </is>
      </c>
      <c r="B5" t="inlineStr">
        <is>
          <t>D845</t>
        </is>
      </c>
      <c r="C5" t="inlineStr">
        <is>
          <t>66256509</t>
        </is>
      </c>
      <c r="D5" t="inlineStr">
        <is>
          <t>10000536</t>
        </is>
      </c>
      <c r="E5" t="inlineStr"/>
      <c r="F5" s="11" t="n">
        <v>78.75</v>
      </c>
      <c r="G5" t="inlineStr"/>
      <c r="I5" t="inlineStr">
        <is>
          <t>TN</t>
        </is>
      </c>
      <c r="J5" t="inlineStr"/>
      <c r="K5" t="inlineStr">
        <is>
          <t>20200918</t>
        </is>
      </c>
      <c r="L5" t="inlineStr">
        <is>
          <t>20230219</t>
        </is>
      </c>
    </row>
    <row r="6">
      <c r="A6" t="inlineStr">
        <is>
          <t>900005260</t>
        </is>
      </c>
      <c r="B6" t="inlineStr">
        <is>
          <t>D845</t>
        </is>
      </c>
      <c r="C6" t="inlineStr">
        <is>
          <t>66256509</t>
        </is>
      </c>
      <c r="D6" t="inlineStr">
        <is>
          <t>10000578</t>
        </is>
      </c>
      <c r="E6" t="inlineStr"/>
      <c r="F6" s="11" t="n">
        <v>81.8</v>
      </c>
      <c r="G6" t="inlineStr"/>
      <c r="I6" t="inlineStr">
        <is>
          <t>TN</t>
        </is>
      </c>
      <c r="J6" t="inlineStr"/>
      <c r="K6" t="inlineStr">
        <is>
          <t>20200918</t>
        </is>
      </c>
      <c r="L6" t="inlineStr">
        <is>
          <t>20230219</t>
        </is>
      </c>
    </row>
    <row r="7">
      <c r="A7" t="inlineStr">
        <is>
          <t>900005260</t>
        </is>
      </c>
      <c r="B7" t="inlineStr">
        <is>
          <t>D845</t>
        </is>
      </c>
      <c r="C7" t="inlineStr">
        <is>
          <t>66256509</t>
        </is>
      </c>
      <c r="D7" t="inlineStr">
        <is>
          <t>10000617</t>
        </is>
      </c>
      <c r="E7" t="inlineStr"/>
      <c r="F7" s="11" t="n">
        <v>95.55</v>
      </c>
      <c r="G7" t="inlineStr"/>
      <c r="I7" t="inlineStr">
        <is>
          <t>TN</t>
        </is>
      </c>
      <c r="J7" t="inlineStr"/>
      <c r="K7" t="inlineStr">
        <is>
          <t>20200918</t>
        </is>
      </c>
      <c r="L7" t="inlineStr">
        <is>
          <t>20230219</t>
        </is>
      </c>
    </row>
    <row r="8">
      <c r="A8" t="inlineStr">
        <is>
          <t>900005260</t>
        </is>
      </c>
      <c r="B8" t="inlineStr">
        <is>
          <t>D845</t>
        </is>
      </c>
      <c r="C8" t="inlineStr">
        <is>
          <t>66256509</t>
        </is>
      </c>
      <c r="D8" t="inlineStr">
        <is>
          <t>10000656</t>
        </is>
      </c>
      <c r="E8" t="inlineStr"/>
      <c r="F8" s="11" t="n">
        <v>75</v>
      </c>
      <c r="G8" t="inlineStr"/>
      <c r="I8" t="inlineStr">
        <is>
          <t>TN</t>
        </is>
      </c>
      <c r="J8" t="inlineStr"/>
      <c r="K8" t="inlineStr">
        <is>
          <t>20200918</t>
        </is>
      </c>
      <c r="L8" t="inlineStr">
        <is>
          <t>20230219</t>
        </is>
      </c>
    </row>
    <row r="9">
      <c r="A9" t="inlineStr">
        <is>
          <t>900005260</t>
        </is>
      </c>
      <c r="B9" t="inlineStr">
        <is>
          <t>D845</t>
        </is>
      </c>
      <c r="C9" t="inlineStr">
        <is>
          <t>66389450</t>
        </is>
      </c>
      <c r="D9" t="inlineStr">
        <is>
          <t>10000536</t>
        </is>
      </c>
      <c r="E9" t="inlineStr"/>
      <c r="F9" s="11" t="n">
        <v>78.75</v>
      </c>
      <c r="G9" t="inlineStr"/>
      <c r="I9" t="inlineStr">
        <is>
          <t>TN</t>
        </is>
      </c>
      <c r="J9" t="inlineStr"/>
      <c r="K9" t="inlineStr">
        <is>
          <t>20200817</t>
        </is>
      </c>
      <c r="L9" t="inlineStr">
        <is>
          <t>20230219</t>
        </is>
      </c>
    </row>
    <row r="10">
      <c r="A10" t="inlineStr">
        <is>
          <t>900005260</t>
        </is>
      </c>
      <c r="B10" t="inlineStr">
        <is>
          <t>D845</t>
        </is>
      </c>
      <c r="C10" t="inlineStr">
        <is>
          <t>66389450</t>
        </is>
      </c>
      <c r="D10" t="inlineStr">
        <is>
          <t>10000578</t>
        </is>
      </c>
      <c r="E10" t="inlineStr"/>
      <c r="F10" s="11" t="n">
        <v>81.8</v>
      </c>
      <c r="G10" t="inlineStr"/>
      <c r="I10" t="inlineStr">
        <is>
          <t>TN</t>
        </is>
      </c>
      <c r="J10" t="inlineStr"/>
      <c r="K10" t="inlineStr">
        <is>
          <t>20200817</t>
        </is>
      </c>
      <c r="L10" t="inlineStr">
        <is>
          <t>20230219</t>
        </is>
      </c>
    </row>
    <row r="11">
      <c r="A11" t="inlineStr">
        <is>
          <t>900005260</t>
        </is>
      </c>
      <c r="B11" t="inlineStr">
        <is>
          <t>D845</t>
        </is>
      </c>
      <c r="C11" t="inlineStr">
        <is>
          <t>66389450</t>
        </is>
      </c>
      <c r="D11" t="inlineStr">
        <is>
          <t>10000617</t>
        </is>
      </c>
      <c r="E11" t="inlineStr"/>
      <c r="F11" s="11" t="n">
        <v>95.55</v>
      </c>
      <c r="G11" t="inlineStr"/>
      <c r="I11" t="inlineStr">
        <is>
          <t>TN</t>
        </is>
      </c>
      <c r="J11" t="inlineStr"/>
      <c r="K11" t="inlineStr">
        <is>
          <t>20200817</t>
        </is>
      </c>
      <c r="L11" t="inlineStr">
        <is>
          <t>20230219</t>
        </is>
      </c>
    </row>
    <row r="12">
      <c r="A12" t="inlineStr">
        <is>
          <t>900005260</t>
        </is>
      </c>
      <c r="B12" t="inlineStr">
        <is>
          <t>D845</t>
        </is>
      </c>
      <c r="C12" t="inlineStr">
        <is>
          <t>66389450</t>
        </is>
      </c>
      <c r="D12" t="inlineStr">
        <is>
          <t>10000656</t>
        </is>
      </c>
      <c r="E12" t="inlineStr"/>
      <c r="F12" s="11" t="n">
        <v>75</v>
      </c>
      <c r="G12" t="inlineStr"/>
      <c r="I12" t="inlineStr">
        <is>
          <t>TN</t>
        </is>
      </c>
      <c r="J12" t="inlineStr"/>
      <c r="K12" t="inlineStr">
        <is>
          <t>20200817</t>
        </is>
      </c>
      <c r="L12" t="inlineStr">
        <is>
          <t>20230219</t>
        </is>
      </c>
    </row>
    <row r="13">
      <c r="A13" t="inlineStr">
        <is>
          <t>900005260</t>
        </is>
      </c>
      <c r="B13" t="inlineStr">
        <is>
          <t>D845</t>
        </is>
      </c>
      <c r="C13" t="inlineStr">
        <is>
          <t>66704967</t>
        </is>
      </c>
      <c r="D13" t="inlineStr">
        <is>
          <t>10000536</t>
        </is>
      </c>
      <c r="E13" t="inlineStr"/>
      <c r="F13" s="11" t="n">
        <v>80</v>
      </c>
      <c r="G13" t="inlineStr"/>
      <c r="I13" t="inlineStr">
        <is>
          <t>TN</t>
        </is>
      </c>
      <c r="J13" t="inlineStr"/>
      <c r="K13" t="inlineStr">
        <is>
          <t>20190808</t>
        </is>
      </c>
      <c r="L13" t="inlineStr">
        <is>
          <t>20230219</t>
        </is>
      </c>
    </row>
    <row r="14">
      <c r="A14" t="inlineStr">
        <is>
          <t>900005260</t>
        </is>
      </c>
      <c r="B14" t="inlineStr">
        <is>
          <t>D845</t>
        </is>
      </c>
      <c r="C14" t="inlineStr">
        <is>
          <t>66704967</t>
        </is>
      </c>
      <c r="D14" t="inlineStr">
        <is>
          <t>10167749</t>
        </is>
      </c>
      <c r="E14" t="inlineStr"/>
      <c r="F14" s="11" t="n">
        <v>80</v>
      </c>
      <c r="G14" t="inlineStr"/>
      <c r="I14" t="inlineStr">
        <is>
          <t>TN</t>
        </is>
      </c>
      <c r="J14" t="inlineStr"/>
      <c r="K14" t="inlineStr">
        <is>
          <t>20201001</t>
        </is>
      </c>
      <c r="L14" t="inlineStr">
        <is>
          <t>20230219</t>
        </is>
      </c>
    </row>
    <row r="15">
      <c r="A15" t="inlineStr">
        <is>
          <t>900005260</t>
        </is>
      </c>
      <c r="B15" t="inlineStr">
        <is>
          <t>D845</t>
        </is>
      </c>
      <c r="C15" t="inlineStr">
        <is>
          <t>66779121</t>
        </is>
      </c>
      <c r="D15" t="inlineStr">
        <is>
          <t>10000536</t>
        </is>
      </c>
      <c r="E15" t="inlineStr"/>
      <c r="F15" s="11" t="n">
        <v>74.90000000000001</v>
      </c>
      <c r="G15" t="inlineStr"/>
      <c r="I15" t="inlineStr">
        <is>
          <t>TN</t>
        </is>
      </c>
      <c r="J15" t="inlineStr"/>
      <c r="K15" t="inlineStr">
        <is>
          <t>20190716</t>
        </is>
      </c>
      <c r="L15" t="inlineStr">
        <is>
          <t>20230219</t>
        </is>
      </c>
    </row>
    <row r="16">
      <c r="A16" t="inlineStr">
        <is>
          <t>900005260</t>
        </is>
      </c>
      <c r="B16" t="inlineStr">
        <is>
          <t>D845</t>
        </is>
      </c>
      <c r="C16" t="inlineStr">
        <is>
          <t>66779121</t>
        </is>
      </c>
      <c r="D16" t="inlineStr">
        <is>
          <t>10000578</t>
        </is>
      </c>
      <c r="E16" t="inlineStr"/>
      <c r="F16" s="11" t="n">
        <v>74.90000000000001</v>
      </c>
      <c r="G16" t="inlineStr"/>
      <c r="I16" t="inlineStr">
        <is>
          <t>TN</t>
        </is>
      </c>
      <c r="J16" t="inlineStr"/>
      <c r="K16" t="inlineStr">
        <is>
          <t>20190716</t>
        </is>
      </c>
      <c r="L16" t="inlineStr">
        <is>
          <t>20230219</t>
        </is>
      </c>
    </row>
    <row r="17">
      <c r="A17" t="inlineStr">
        <is>
          <t>900005260</t>
        </is>
      </c>
      <c r="B17" t="inlineStr">
        <is>
          <t>D845</t>
        </is>
      </c>
      <c r="C17" t="inlineStr">
        <is>
          <t>66779121</t>
        </is>
      </c>
      <c r="D17" t="inlineStr">
        <is>
          <t>10000617</t>
        </is>
      </c>
      <c r="E17" t="inlineStr"/>
      <c r="F17" s="11" t="n">
        <v>88.90000000000001</v>
      </c>
      <c r="G17" t="inlineStr"/>
      <c r="I17" t="inlineStr">
        <is>
          <t>TN</t>
        </is>
      </c>
      <c r="J17" t="inlineStr"/>
      <c r="K17" t="inlineStr">
        <is>
          <t>20190716</t>
        </is>
      </c>
      <c r="L17" t="inlineStr">
        <is>
          <t>20230219</t>
        </is>
      </c>
    </row>
    <row r="18">
      <c r="A18" t="inlineStr">
        <is>
          <t>900005260</t>
        </is>
      </c>
      <c r="B18" t="inlineStr">
        <is>
          <t>D845</t>
        </is>
      </c>
      <c r="C18" t="inlineStr">
        <is>
          <t>66795131</t>
        </is>
      </c>
      <c r="D18" t="inlineStr">
        <is>
          <t>10167749</t>
        </is>
      </c>
      <c r="E18" t="inlineStr"/>
      <c r="F18" s="11" t="n">
        <v>72</v>
      </c>
      <c r="G18" t="inlineStr"/>
      <c r="I18" t="inlineStr">
        <is>
          <t>TN</t>
        </is>
      </c>
      <c r="J18" t="inlineStr"/>
      <c r="K18" t="inlineStr">
        <is>
          <t>20190701</t>
        </is>
      </c>
      <c r="L18" t="inlineStr">
        <is>
          <t>20230219</t>
        </is>
      </c>
    </row>
    <row r="19">
      <c r="A19" t="inlineStr">
        <is>
          <t>900005260</t>
        </is>
      </c>
      <c r="B19" t="inlineStr">
        <is>
          <t>D845</t>
        </is>
      </c>
      <c r="C19" t="inlineStr">
        <is>
          <t>66827900</t>
        </is>
      </c>
      <c r="D19" t="inlineStr">
        <is>
          <t>10000617</t>
        </is>
      </c>
      <c r="E19" t="inlineStr"/>
      <c r="F19" s="11" t="n">
        <v>97</v>
      </c>
      <c r="G19" t="inlineStr"/>
      <c r="I19" t="inlineStr">
        <is>
          <t>TN</t>
        </is>
      </c>
      <c r="J19" t="inlineStr"/>
      <c r="K19" t="inlineStr">
        <is>
          <t>20190601</t>
        </is>
      </c>
      <c r="L19" t="inlineStr">
        <is>
          <t>20230219</t>
        </is>
      </c>
    </row>
    <row r="20">
      <c r="A20" t="inlineStr">
        <is>
          <t>900005260</t>
        </is>
      </c>
      <c r="B20" t="inlineStr">
        <is>
          <t>D845</t>
        </is>
      </c>
      <c r="C20" t="inlineStr">
        <is>
          <t>66924118</t>
        </is>
      </c>
      <c r="D20" t="inlineStr">
        <is>
          <t>10167749</t>
        </is>
      </c>
      <c r="E20" t="inlineStr"/>
      <c r="F20" s="11" t="n">
        <v>85</v>
      </c>
      <c r="G20" t="inlineStr"/>
      <c r="I20" t="inlineStr">
        <is>
          <t>TN</t>
        </is>
      </c>
      <c r="J20" t="inlineStr"/>
      <c r="K20" t="inlineStr">
        <is>
          <t>20210112</t>
        </is>
      </c>
      <c r="L20" t="inlineStr">
        <is>
          <t>20230219</t>
        </is>
      </c>
    </row>
    <row r="21">
      <c r="A21" t="inlineStr">
        <is>
          <t>900005260</t>
        </is>
      </c>
      <c r="B21" t="inlineStr">
        <is>
          <t>D845</t>
        </is>
      </c>
      <c r="C21" t="inlineStr">
        <is>
          <t>66924118</t>
        </is>
      </c>
      <c r="D21" t="inlineStr">
        <is>
          <t>10178270</t>
        </is>
      </c>
      <c r="E21" t="inlineStr"/>
      <c r="F21" s="11" t="n">
        <v>68</v>
      </c>
      <c r="G21" t="inlineStr"/>
      <c r="I21" t="inlineStr">
        <is>
          <t>TN</t>
        </is>
      </c>
      <c r="J21" t="inlineStr"/>
      <c r="K21" t="inlineStr">
        <is>
          <t>20210112</t>
        </is>
      </c>
      <c r="L21" t="inlineStr">
        <is>
          <t>20230219</t>
        </is>
      </c>
    </row>
    <row r="22">
      <c r="A22" t="inlineStr">
        <is>
          <t>900005260</t>
        </is>
      </c>
      <c r="B22" t="inlineStr">
        <is>
          <t>D845</t>
        </is>
      </c>
      <c r="C22" t="inlineStr">
        <is>
          <t>66998149</t>
        </is>
      </c>
      <c r="D22" t="inlineStr">
        <is>
          <t>10000536</t>
        </is>
      </c>
      <c r="E22" t="inlineStr"/>
      <c r="F22" s="11" t="n">
        <v>112.5</v>
      </c>
      <c r="G22" t="inlineStr"/>
      <c r="I22" t="inlineStr">
        <is>
          <t>TN</t>
        </is>
      </c>
      <c r="J22" t="inlineStr"/>
      <c r="K22" t="inlineStr">
        <is>
          <t>20220201</t>
        </is>
      </c>
      <c r="L22" t="inlineStr">
        <is>
          <t>20230219</t>
        </is>
      </c>
    </row>
    <row r="23">
      <c r="A23" t="inlineStr">
        <is>
          <t>900005260</t>
        </is>
      </c>
      <c r="B23" t="inlineStr">
        <is>
          <t>D845</t>
        </is>
      </c>
      <c r="C23" t="inlineStr">
        <is>
          <t>66998149</t>
        </is>
      </c>
      <c r="D23" t="inlineStr">
        <is>
          <t>10000578</t>
        </is>
      </c>
      <c r="E23" t="inlineStr"/>
      <c r="F23" s="11" t="n">
        <v>112.5</v>
      </c>
      <c r="G23" t="inlineStr"/>
      <c r="I23" t="inlineStr">
        <is>
          <t>TN</t>
        </is>
      </c>
      <c r="J23" t="inlineStr"/>
      <c r="K23" t="inlineStr">
        <is>
          <t>20220201</t>
        </is>
      </c>
      <c r="L23" t="inlineStr">
        <is>
          <t>20230219</t>
        </is>
      </c>
    </row>
    <row r="24">
      <c r="A24" t="inlineStr">
        <is>
          <t>900005260</t>
        </is>
      </c>
      <c r="B24" t="inlineStr">
        <is>
          <t>D845</t>
        </is>
      </c>
      <c r="C24" t="inlineStr">
        <is>
          <t>66998149</t>
        </is>
      </c>
      <c r="D24" t="inlineStr">
        <is>
          <t>10000617</t>
        </is>
      </c>
      <c r="E24" t="inlineStr"/>
      <c r="F24" s="11" t="n">
        <v>123</v>
      </c>
      <c r="G24" t="inlineStr"/>
      <c r="I24" t="inlineStr">
        <is>
          <t>TN</t>
        </is>
      </c>
      <c r="J24" t="inlineStr"/>
      <c r="K24" t="inlineStr">
        <is>
          <t>20220201</t>
        </is>
      </c>
      <c r="L24" t="inlineStr">
        <is>
          <t>20230219</t>
        </is>
      </c>
    </row>
    <row r="25">
      <c r="A25" t="inlineStr">
        <is>
          <t>900005260</t>
        </is>
      </c>
      <c r="B25" t="inlineStr">
        <is>
          <t>D845</t>
        </is>
      </c>
      <c r="C25" t="inlineStr">
        <is>
          <t>66998149</t>
        </is>
      </c>
      <c r="D25" t="inlineStr">
        <is>
          <t>10000656</t>
        </is>
      </c>
      <c r="E25" t="inlineStr"/>
      <c r="F25" s="11" t="n">
        <v>121</v>
      </c>
      <c r="G25" t="inlineStr"/>
      <c r="I25" t="inlineStr">
        <is>
          <t>TN</t>
        </is>
      </c>
      <c r="J25" t="inlineStr"/>
      <c r="K25" t="inlineStr">
        <is>
          <t>20220201</t>
        </is>
      </c>
      <c r="L25" t="inlineStr">
        <is>
          <t>20230219</t>
        </is>
      </c>
    </row>
    <row r="26">
      <c r="A26" t="inlineStr">
        <is>
          <t>900005260</t>
        </is>
      </c>
      <c r="B26" t="inlineStr">
        <is>
          <t>D845</t>
        </is>
      </c>
      <c r="C26" t="inlineStr">
        <is>
          <t>66998149</t>
        </is>
      </c>
      <c r="D26" t="inlineStr">
        <is>
          <t>10167749</t>
        </is>
      </c>
      <c r="E26" t="inlineStr"/>
      <c r="F26" s="11" t="n">
        <v>115.5</v>
      </c>
      <c r="G26" t="inlineStr"/>
      <c r="I26" t="inlineStr">
        <is>
          <t>TN</t>
        </is>
      </c>
      <c r="J26" t="inlineStr"/>
      <c r="K26" t="inlineStr">
        <is>
          <t>20220201</t>
        </is>
      </c>
      <c r="L26" t="inlineStr">
        <is>
          <t>20230219</t>
        </is>
      </c>
    </row>
    <row r="27">
      <c r="A27" t="inlineStr">
        <is>
          <t>900005260</t>
        </is>
      </c>
      <c r="B27" t="inlineStr">
        <is>
          <t>D845</t>
        </is>
      </c>
      <c r="C27" t="inlineStr">
        <is>
          <t>66998149</t>
        </is>
      </c>
      <c r="D27" t="inlineStr">
        <is>
          <t>10178270</t>
        </is>
      </c>
      <c r="E27" t="inlineStr"/>
      <c r="F27" s="11" t="n">
        <v>95</v>
      </c>
      <c r="G27" t="inlineStr"/>
      <c r="I27" t="inlineStr">
        <is>
          <t>TN</t>
        </is>
      </c>
      <c r="J27" t="inlineStr"/>
      <c r="K27" t="inlineStr">
        <is>
          <t>20220201</t>
        </is>
      </c>
      <c r="L27" t="inlineStr">
        <is>
          <t>20230219</t>
        </is>
      </c>
    </row>
    <row r="28">
      <c r="A28" t="inlineStr">
        <is>
          <t>900005260</t>
        </is>
      </c>
      <c r="B28" t="inlineStr">
        <is>
          <t>D845</t>
        </is>
      </c>
      <c r="C28" t="inlineStr">
        <is>
          <t>65005139</t>
        </is>
      </c>
      <c r="D28" t="inlineStr">
        <is>
          <t>10000536</t>
        </is>
      </c>
      <c r="E28" t="inlineStr"/>
      <c r="F28" s="11" t="n">
        <v>190</v>
      </c>
      <c r="G28" t="inlineStr"/>
      <c r="I28" t="inlineStr">
        <is>
          <t>TN</t>
        </is>
      </c>
      <c r="J28" t="inlineStr"/>
      <c r="K28" t="inlineStr">
        <is>
          <t>20191211</t>
        </is>
      </c>
      <c r="L28" t="inlineStr">
        <is>
          <t>20251031</t>
        </is>
      </c>
    </row>
    <row r="29">
      <c r="A29" t="inlineStr">
        <is>
          <t>900005260</t>
        </is>
      </c>
      <c r="B29" t="inlineStr">
        <is>
          <t>D845</t>
        </is>
      </c>
      <c r="C29" t="inlineStr">
        <is>
          <t>65005139</t>
        </is>
      </c>
      <c r="D29" t="inlineStr">
        <is>
          <t>10000578</t>
        </is>
      </c>
      <c r="E29" t="inlineStr"/>
      <c r="F29" s="11" t="n">
        <v>190</v>
      </c>
      <c r="G29" t="inlineStr"/>
      <c r="I29" t="inlineStr">
        <is>
          <t>TN</t>
        </is>
      </c>
      <c r="J29" t="inlineStr"/>
      <c r="K29" t="inlineStr">
        <is>
          <t>20191211</t>
        </is>
      </c>
      <c r="L29" t="inlineStr">
        <is>
          <t>20251031</t>
        </is>
      </c>
    </row>
    <row r="30">
      <c r="A30" t="inlineStr">
        <is>
          <t>900005260</t>
        </is>
      </c>
      <c r="B30" t="inlineStr">
        <is>
          <t>D845</t>
        </is>
      </c>
      <c r="C30" t="inlineStr">
        <is>
          <t>65005139</t>
        </is>
      </c>
      <c r="D30" t="inlineStr">
        <is>
          <t>10000617</t>
        </is>
      </c>
      <c r="E30" t="inlineStr"/>
      <c r="F30" s="11" t="n">
        <v>200</v>
      </c>
      <c r="G30" t="inlineStr"/>
      <c r="I30" t="inlineStr">
        <is>
          <t>TN</t>
        </is>
      </c>
      <c r="J30" t="inlineStr"/>
      <c r="K30" t="inlineStr">
        <is>
          <t>20191211</t>
        </is>
      </c>
      <c r="L30" t="inlineStr">
        <is>
          <t>20251031</t>
        </is>
      </c>
    </row>
    <row r="31">
      <c r="A31" t="inlineStr">
        <is>
          <t>900005260</t>
        </is>
      </c>
      <c r="B31" t="inlineStr">
        <is>
          <t>D845</t>
        </is>
      </c>
      <c r="C31" t="inlineStr">
        <is>
          <t>65005139</t>
        </is>
      </c>
      <c r="D31" t="inlineStr">
        <is>
          <t>10000656</t>
        </is>
      </c>
      <c r="E31" t="inlineStr"/>
      <c r="F31" s="11" t="n">
        <v>200</v>
      </c>
      <c r="G31" t="inlineStr"/>
      <c r="I31" t="inlineStr">
        <is>
          <t>TN</t>
        </is>
      </c>
      <c r="J31" t="inlineStr"/>
      <c r="K31" t="inlineStr">
        <is>
          <t>20191211</t>
        </is>
      </c>
      <c r="L31" t="inlineStr">
        <is>
          <t>20251031</t>
        </is>
      </c>
    </row>
    <row r="32">
      <c r="A32" t="inlineStr">
        <is>
          <t>900005260</t>
        </is>
      </c>
      <c r="B32" t="inlineStr">
        <is>
          <t>D845</t>
        </is>
      </c>
      <c r="C32" t="inlineStr">
        <is>
          <t>65005139</t>
        </is>
      </c>
      <c r="D32" t="inlineStr">
        <is>
          <t>10169508</t>
        </is>
      </c>
      <c r="E32" t="inlineStr"/>
      <c r="F32" s="11" t="n">
        <v>205</v>
      </c>
      <c r="G32" t="inlineStr"/>
      <c r="I32" t="inlineStr">
        <is>
          <t>TN</t>
        </is>
      </c>
      <c r="J32" t="inlineStr"/>
      <c r="K32" t="inlineStr">
        <is>
          <t>20191211</t>
        </is>
      </c>
      <c r="L32" t="inlineStr">
        <is>
          <t>20251031</t>
        </is>
      </c>
    </row>
    <row r="33">
      <c r="A33" t="inlineStr">
        <is>
          <t>900005260</t>
        </is>
      </c>
      <c r="B33" t="inlineStr">
        <is>
          <t>D845</t>
        </is>
      </c>
      <c r="C33" t="inlineStr">
        <is>
          <t>65784713</t>
        </is>
      </c>
      <c r="D33" t="inlineStr">
        <is>
          <t>10000536</t>
        </is>
      </c>
      <c r="E33" t="inlineStr"/>
      <c r="F33" s="11" t="n">
        <v>130</v>
      </c>
      <c r="G33" t="inlineStr"/>
      <c r="I33" t="inlineStr">
        <is>
          <t>TN</t>
        </is>
      </c>
      <c r="J33" t="inlineStr"/>
      <c r="K33" t="inlineStr">
        <is>
          <t>20191211</t>
        </is>
      </c>
      <c r="L33" t="inlineStr">
        <is>
          <t>20251031</t>
        </is>
      </c>
    </row>
    <row r="34">
      <c r="A34" t="inlineStr">
        <is>
          <t>900005260</t>
        </is>
      </c>
      <c r="B34" t="inlineStr">
        <is>
          <t>D845</t>
        </is>
      </c>
      <c r="C34" t="inlineStr">
        <is>
          <t>65784713</t>
        </is>
      </c>
      <c r="D34" t="inlineStr">
        <is>
          <t>10000578</t>
        </is>
      </c>
      <c r="E34" t="inlineStr"/>
      <c r="F34" s="11" t="n">
        <v>158</v>
      </c>
      <c r="G34" t="inlineStr"/>
      <c r="I34" t="inlineStr">
        <is>
          <t>TN</t>
        </is>
      </c>
      <c r="J34" t="inlineStr"/>
      <c r="K34" t="inlineStr">
        <is>
          <t>20191211</t>
        </is>
      </c>
      <c r="L34" t="inlineStr">
        <is>
          <t>20251031</t>
        </is>
      </c>
    </row>
    <row r="35">
      <c r="A35" t="inlineStr">
        <is>
          <t>900005260</t>
        </is>
      </c>
      <c r="B35" t="inlineStr">
        <is>
          <t>D845</t>
        </is>
      </c>
      <c r="C35" t="inlineStr">
        <is>
          <t>65784713</t>
        </is>
      </c>
      <c r="D35" t="inlineStr">
        <is>
          <t>10000656</t>
        </is>
      </c>
      <c r="E35" t="inlineStr"/>
      <c r="F35" s="11" t="n">
        <v>165.9</v>
      </c>
      <c r="G35" t="inlineStr"/>
      <c r="I35" t="inlineStr">
        <is>
          <t>TN</t>
        </is>
      </c>
      <c r="J35" t="inlineStr"/>
      <c r="K35" t="inlineStr">
        <is>
          <t>20191211</t>
        </is>
      </c>
      <c r="L35" t="inlineStr">
        <is>
          <t>20251031</t>
        </is>
      </c>
    </row>
    <row r="36">
      <c r="A36" t="inlineStr">
        <is>
          <t>900005260</t>
        </is>
      </c>
      <c r="B36" t="inlineStr">
        <is>
          <t>D845</t>
        </is>
      </c>
      <c r="C36" t="inlineStr">
        <is>
          <t>65784713</t>
        </is>
      </c>
      <c r="D36" t="inlineStr">
        <is>
          <t>10169508</t>
        </is>
      </c>
      <c r="E36" t="inlineStr"/>
      <c r="F36" s="11" t="n">
        <v>171</v>
      </c>
      <c r="G36" t="inlineStr"/>
      <c r="I36" t="inlineStr">
        <is>
          <t>TN</t>
        </is>
      </c>
      <c r="J36" t="inlineStr"/>
      <c r="K36" t="inlineStr">
        <is>
          <t>20191211</t>
        </is>
      </c>
      <c r="L36" t="inlineStr">
        <is>
          <t>20251031</t>
        </is>
      </c>
    </row>
    <row r="37">
      <c r="A37" t="inlineStr">
        <is>
          <t>900005260</t>
        </is>
      </c>
      <c r="B37" t="inlineStr">
        <is>
          <t>D845</t>
        </is>
      </c>
      <c r="C37" t="inlineStr">
        <is>
          <t>66436427</t>
        </is>
      </c>
      <c r="D37" t="inlineStr">
        <is>
          <t>10000578</t>
        </is>
      </c>
      <c r="E37" t="inlineStr"/>
      <c r="F37" s="11" t="n">
        <v>190</v>
      </c>
      <c r="G37" t="inlineStr"/>
      <c r="I37" t="inlineStr">
        <is>
          <t>TN</t>
        </is>
      </c>
      <c r="J37" t="inlineStr"/>
      <c r="K37" t="inlineStr">
        <is>
          <t>20191211</t>
        </is>
      </c>
      <c r="L37" t="inlineStr">
        <is>
          <t>20251031</t>
        </is>
      </c>
    </row>
    <row r="38">
      <c r="A38" t="inlineStr">
        <is>
          <t>900005260</t>
        </is>
      </c>
      <c r="B38" t="inlineStr">
        <is>
          <t>D845</t>
        </is>
      </c>
      <c r="C38" t="inlineStr">
        <is>
          <t>66436427</t>
        </is>
      </c>
      <c r="D38" t="inlineStr">
        <is>
          <t>10000656</t>
        </is>
      </c>
      <c r="E38" t="inlineStr"/>
      <c r="F38" s="11" t="n">
        <v>200</v>
      </c>
      <c r="G38" t="inlineStr"/>
      <c r="I38" t="inlineStr">
        <is>
          <t>TN</t>
        </is>
      </c>
      <c r="J38" t="inlineStr"/>
      <c r="K38" t="inlineStr">
        <is>
          <t>20191211</t>
        </is>
      </c>
      <c r="L38" t="inlineStr">
        <is>
          <t>20251031</t>
        </is>
      </c>
    </row>
    <row r="39">
      <c r="A39" t="inlineStr">
        <is>
          <t>900005260</t>
        </is>
      </c>
      <c r="B39" t="inlineStr">
        <is>
          <t>D845</t>
        </is>
      </c>
      <c r="C39" t="inlineStr">
        <is>
          <t>67133076</t>
        </is>
      </c>
      <c r="D39" t="inlineStr">
        <is>
          <t>10058501</t>
        </is>
      </c>
      <c r="E39" t="inlineStr"/>
      <c r="F39" s="11" t="n">
        <v>124</v>
      </c>
      <c r="G39" t="inlineStr"/>
      <c r="I39" t="inlineStr">
        <is>
          <t>TN</t>
        </is>
      </c>
      <c r="J39" t="inlineStr"/>
      <c r="K39" t="inlineStr">
        <is>
          <t>20191211</t>
        </is>
      </c>
      <c r="L39" t="inlineStr">
        <is>
          <t>20251031</t>
        </is>
      </c>
    </row>
    <row r="40">
      <c r="A40" t="inlineStr">
        <is>
          <t>900005260</t>
        </is>
      </c>
      <c r="B40" t="inlineStr">
        <is>
          <t>D845</t>
        </is>
      </c>
      <c r="C40" t="inlineStr">
        <is>
          <t>67136572</t>
        </is>
      </c>
      <c r="D40" t="inlineStr">
        <is>
          <t>10000536</t>
        </is>
      </c>
      <c r="E40" t="inlineStr"/>
      <c r="F40" s="11" t="n">
        <v>130</v>
      </c>
      <c r="G40" t="inlineStr"/>
      <c r="I40" t="inlineStr">
        <is>
          <t>TN</t>
        </is>
      </c>
      <c r="J40" t="inlineStr"/>
      <c r="K40" t="inlineStr">
        <is>
          <t>20191211</t>
        </is>
      </c>
      <c r="L40" t="inlineStr">
        <is>
          <t>20251031</t>
        </is>
      </c>
    </row>
    <row r="41">
      <c r="A41" t="inlineStr">
        <is>
          <t>900005260</t>
        </is>
      </c>
      <c r="B41" t="inlineStr">
        <is>
          <t>D845</t>
        </is>
      </c>
      <c r="C41" t="inlineStr">
        <is>
          <t>67136572</t>
        </is>
      </c>
      <c r="D41" t="inlineStr">
        <is>
          <t>10000578</t>
        </is>
      </c>
      <c r="E41" t="inlineStr"/>
      <c r="F41" s="11" t="n">
        <v>130</v>
      </c>
      <c r="G41" t="inlineStr"/>
      <c r="I41" t="inlineStr">
        <is>
          <t>TN</t>
        </is>
      </c>
      <c r="J41" t="inlineStr"/>
      <c r="K41" t="inlineStr">
        <is>
          <t>20191211</t>
        </is>
      </c>
      <c r="L41" t="inlineStr">
        <is>
          <t>20251031</t>
        </is>
      </c>
    </row>
    <row r="42">
      <c r="A42" t="inlineStr">
        <is>
          <t>900005260</t>
        </is>
      </c>
      <c r="B42" t="inlineStr">
        <is>
          <t>D845</t>
        </is>
      </c>
      <c r="C42" t="inlineStr">
        <is>
          <t>67136572</t>
        </is>
      </c>
      <c r="D42" t="inlineStr">
        <is>
          <t>10000617</t>
        </is>
      </c>
      <c r="E42" t="inlineStr"/>
      <c r="F42" s="11" t="n">
        <v>168</v>
      </c>
      <c r="G42" t="inlineStr"/>
      <c r="I42" t="inlineStr">
        <is>
          <t>TN</t>
        </is>
      </c>
      <c r="J42" t="inlineStr"/>
      <c r="K42" t="inlineStr">
        <is>
          <t>20191211</t>
        </is>
      </c>
      <c r="L42" t="inlineStr">
        <is>
          <t>20251031</t>
        </is>
      </c>
    </row>
    <row r="43">
      <c r="A43" t="inlineStr">
        <is>
          <t>900005260</t>
        </is>
      </c>
      <c r="B43" t="inlineStr">
        <is>
          <t>D845</t>
        </is>
      </c>
      <c r="C43" t="inlineStr">
        <is>
          <t>67136572</t>
        </is>
      </c>
      <c r="D43" t="inlineStr">
        <is>
          <t>10000656</t>
        </is>
      </c>
      <c r="E43" t="inlineStr"/>
      <c r="F43" s="11" t="n">
        <v>138</v>
      </c>
      <c r="G43" t="inlineStr"/>
      <c r="I43" t="inlineStr">
        <is>
          <t>TN</t>
        </is>
      </c>
      <c r="J43" t="inlineStr"/>
      <c r="K43" t="inlineStr">
        <is>
          <t>20191211</t>
        </is>
      </c>
      <c r="L43" t="inlineStr">
        <is>
          <t>20251031</t>
        </is>
      </c>
    </row>
    <row r="44">
      <c r="A44" t="inlineStr">
        <is>
          <t>900005260</t>
        </is>
      </c>
      <c r="B44" t="inlineStr">
        <is>
          <t>D845</t>
        </is>
      </c>
      <c r="C44" t="inlineStr">
        <is>
          <t>67136572</t>
        </is>
      </c>
      <c r="D44" t="inlineStr">
        <is>
          <t>10058501</t>
        </is>
      </c>
      <c r="E44" t="inlineStr"/>
      <c r="F44" s="11" t="n">
        <v>124</v>
      </c>
      <c r="G44" t="inlineStr"/>
      <c r="I44" t="inlineStr">
        <is>
          <t>TN</t>
        </is>
      </c>
      <c r="J44" t="inlineStr"/>
      <c r="K44" t="inlineStr">
        <is>
          <t>20191211</t>
        </is>
      </c>
      <c r="L44" t="inlineStr">
        <is>
          <t>20251031</t>
        </is>
      </c>
    </row>
    <row r="45">
      <c r="A45" t="inlineStr">
        <is>
          <t>900005260</t>
        </is>
      </c>
      <c r="B45" t="inlineStr">
        <is>
          <t>D845</t>
        </is>
      </c>
      <c r="C45" t="inlineStr">
        <is>
          <t>67136572</t>
        </is>
      </c>
      <c r="D45" t="inlineStr">
        <is>
          <t>10167749</t>
        </is>
      </c>
      <c r="E45" t="inlineStr"/>
      <c r="F45" s="11" t="n">
        <v>134</v>
      </c>
      <c r="G45" t="inlineStr"/>
      <c r="I45" t="inlineStr">
        <is>
          <t>TN</t>
        </is>
      </c>
      <c r="J45" t="inlineStr"/>
      <c r="K45" t="inlineStr">
        <is>
          <t>20191211</t>
        </is>
      </c>
      <c r="L45" t="inlineStr">
        <is>
          <t>20251031</t>
        </is>
      </c>
    </row>
    <row r="46">
      <c r="A46" t="inlineStr">
        <is>
          <t>900005260</t>
        </is>
      </c>
      <c r="B46" t="inlineStr">
        <is>
          <t>D845</t>
        </is>
      </c>
      <c r="C46" t="inlineStr">
        <is>
          <t>67138524</t>
        </is>
      </c>
      <c r="D46" t="inlineStr">
        <is>
          <t>10000536</t>
        </is>
      </c>
      <c r="E46" t="inlineStr"/>
      <c r="F46" s="11" t="n">
        <v>158</v>
      </c>
      <c r="G46" t="inlineStr"/>
      <c r="I46" t="inlineStr">
        <is>
          <t>TN</t>
        </is>
      </c>
      <c r="J46" t="inlineStr"/>
      <c r="K46" t="inlineStr">
        <is>
          <t>20191211</t>
        </is>
      </c>
      <c r="L46" t="inlineStr">
        <is>
          <t>20251031</t>
        </is>
      </c>
    </row>
    <row r="47">
      <c r="A47" t="inlineStr">
        <is>
          <t>900005260</t>
        </is>
      </c>
      <c r="B47" t="inlineStr">
        <is>
          <t>D845</t>
        </is>
      </c>
      <c r="C47" t="inlineStr">
        <is>
          <t>67138524</t>
        </is>
      </c>
      <c r="D47" t="inlineStr">
        <is>
          <t>10000656</t>
        </is>
      </c>
      <c r="E47" t="inlineStr"/>
      <c r="F47" s="11" t="n">
        <v>166</v>
      </c>
      <c r="G47" t="inlineStr"/>
      <c r="I47" t="inlineStr">
        <is>
          <t>TN</t>
        </is>
      </c>
      <c r="J47" t="inlineStr"/>
      <c r="K47" t="inlineStr">
        <is>
          <t>20191211</t>
        </is>
      </c>
      <c r="L47" t="inlineStr">
        <is>
          <t>20251031</t>
        </is>
      </c>
    </row>
    <row r="48">
      <c r="A48" t="inlineStr">
        <is>
          <t>900005260</t>
        </is>
      </c>
      <c r="B48" t="inlineStr">
        <is>
          <t>D845</t>
        </is>
      </c>
      <c r="C48" t="inlineStr">
        <is>
          <t>67169574</t>
        </is>
      </c>
      <c r="D48" t="inlineStr">
        <is>
          <t>10000578</t>
        </is>
      </c>
      <c r="E48" t="inlineStr"/>
      <c r="F48" s="11" t="n">
        <v>190</v>
      </c>
      <c r="G48" t="inlineStr"/>
      <c r="I48" t="inlineStr">
        <is>
          <t>TN</t>
        </is>
      </c>
      <c r="J48" t="inlineStr"/>
      <c r="K48" t="inlineStr">
        <is>
          <t>20191211</t>
        </is>
      </c>
      <c r="L48" t="inlineStr">
        <is>
          <t>20251031</t>
        </is>
      </c>
    </row>
    <row r="49">
      <c r="A49" t="inlineStr">
        <is>
          <t>900005260</t>
        </is>
      </c>
      <c r="B49" t="inlineStr">
        <is>
          <t>D845</t>
        </is>
      </c>
      <c r="C49" t="inlineStr">
        <is>
          <t>67169574</t>
        </is>
      </c>
      <c r="D49" t="inlineStr">
        <is>
          <t>10000617</t>
        </is>
      </c>
      <c r="E49" t="inlineStr"/>
      <c r="F49" s="11" t="n">
        <v>200</v>
      </c>
      <c r="G49" t="inlineStr"/>
      <c r="I49" t="inlineStr">
        <is>
          <t>TN</t>
        </is>
      </c>
      <c r="J49" t="inlineStr"/>
      <c r="K49" t="inlineStr">
        <is>
          <t>20191211</t>
        </is>
      </c>
      <c r="L49" t="inlineStr">
        <is>
          <t>20251031</t>
        </is>
      </c>
    </row>
    <row r="50">
      <c r="A50" t="inlineStr">
        <is>
          <t>900005260</t>
        </is>
      </c>
      <c r="B50" t="inlineStr">
        <is>
          <t>D845</t>
        </is>
      </c>
      <c r="C50" t="inlineStr">
        <is>
          <t>67169574</t>
        </is>
      </c>
      <c r="D50" t="inlineStr">
        <is>
          <t>10000656</t>
        </is>
      </c>
      <c r="E50" t="inlineStr"/>
      <c r="F50" s="11" t="n">
        <v>200</v>
      </c>
      <c r="G50" t="inlineStr"/>
      <c r="I50" t="inlineStr">
        <is>
          <t>TN</t>
        </is>
      </c>
      <c r="J50" t="inlineStr"/>
      <c r="K50" t="inlineStr">
        <is>
          <t>20191211</t>
        </is>
      </c>
      <c r="L50" t="inlineStr">
        <is>
          <t>20251031</t>
        </is>
      </c>
    </row>
    <row r="51">
      <c r="A51" t="inlineStr">
        <is>
          <t>900005260</t>
        </is>
      </c>
      <c r="B51" t="inlineStr">
        <is>
          <t>D845</t>
        </is>
      </c>
      <c r="C51" t="inlineStr">
        <is>
          <t>67169574</t>
        </is>
      </c>
      <c r="D51" t="inlineStr">
        <is>
          <t>10058501</t>
        </is>
      </c>
      <c r="E51" t="inlineStr"/>
      <c r="F51" s="11" t="n">
        <v>151</v>
      </c>
      <c r="G51" t="inlineStr"/>
      <c r="I51" t="inlineStr">
        <is>
          <t>TN</t>
        </is>
      </c>
      <c r="J51" t="inlineStr"/>
      <c r="K51" t="inlineStr">
        <is>
          <t>20191211</t>
        </is>
      </c>
      <c r="L51" t="inlineStr">
        <is>
          <t>20251031</t>
        </is>
      </c>
    </row>
    <row r="52">
      <c r="A52" t="inlineStr">
        <is>
          <t>900005260</t>
        </is>
      </c>
      <c r="B52" t="inlineStr">
        <is>
          <t>D845</t>
        </is>
      </c>
      <c r="C52" t="inlineStr">
        <is>
          <t>67169574</t>
        </is>
      </c>
      <c r="D52" t="inlineStr">
        <is>
          <t>10169508</t>
        </is>
      </c>
      <c r="E52" t="inlineStr"/>
      <c r="F52" s="11" t="n">
        <v>205</v>
      </c>
      <c r="G52" t="inlineStr"/>
      <c r="I52" t="inlineStr">
        <is>
          <t>TN</t>
        </is>
      </c>
      <c r="J52" t="inlineStr"/>
      <c r="K52" t="inlineStr">
        <is>
          <t>20191211</t>
        </is>
      </c>
      <c r="L52" t="inlineStr">
        <is>
          <t>20251031</t>
        </is>
      </c>
    </row>
    <row r="53">
      <c r="A53" t="inlineStr">
        <is>
          <t>900005260</t>
        </is>
      </c>
      <c r="B53" t="inlineStr">
        <is>
          <t>D845</t>
        </is>
      </c>
      <c r="C53" t="inlineStr">
        <is>
          <t>67197543</t>
        </is>
      </c>
      <c r="D53" t="inlineStr">
        <is>
          <t>10167749</t>
        </is>
      </c>
      <c r="E53" t="inlineStr"/>
      <c r="F53" s="11" t="n">
        <v>165</v>
      </c>
      <c r="G53" t="inlineStr"/>
      <c r="I53" t="inlineStr">
        <is>
          <t>TN</t>
        </is>
      </c>
      <c r="J53" t="inlineStr"/>
      <c r="K53" t="inlineStr">
        <is>
          <t>20191211</t>
        </is>
      </c>
      <c r="L53" t="inlineStr">
        <is>
          <t>20251031</t>
        </is>
      </c>
    </row>
    <row r="54">
      <c r="A54" t="inlineStr">
        <is>
          <t>900005260</t>
        </is>
      </c>
      <c r="B54" t="inlineStr">
        <is>
          <t>D845</t>
        </is>
      </c>
      <c r="C54" t="inlineStr">
        <is>
          <t>67199273</t>
        </is>
      </c>
      <c r="D54" t="inlineStr">
        <is>
          <t>10167749</t>
        </is>
      </c>
      <c r="E54" t="inlineStr"/>
      <c r="F54" s="11" t="n">
        <v>140</v>
      </c>
      <c r="G54" t="inlineStr"/>
      <c r="I54" t="inlineStr">
        <is>
          <t>TN</t>
        </is>
      </c>
      <c r="J54" t="inlineStr"/>
      <c r="K54" t="inlineStr">
        <is>
          <t>20191211</t>
        </is>
      </c>
      <c r="L54" t="inlineStr">
        <is>
          <t>20251031</t>
        </is>
      </c>
    </row>
    <row r="55">
      <c r="A55" t="inlineStr">
        <is>
          <t>900005260</t>
        </is>
      </c>
      <c r="B55" t="inlineStr">
        <is>
          <t>D845</t>
        </is>
      </c>
      <c r="C55" t="inlineStr">
        <is>
          <t>67200086</t>
        </is>
      </c>
      <c r="D55" t="inlineStr">
        <is>
          <t>10000536</t>
        </is>
      </c>
      <c r="E55" t="inlineStr"/>
      <c r="F55" s="11" t="n">
        <v>161</v>
      </c>
      <c r="G55" t="inlineStr"/>
      <c r="I55" t="inlineStr">
        <is>
          <t>TN</t>
        </is>
      </c>
      <c r="J55" t="inlineStr"/>
      <c r="K55" t="inlineStr">
        <is>
          <t>20191211</t>
        </is>
      </c>
      <c r="L55" t="inlineStr">
        <is>
          <t>20251031</t>
        </is>
      </c>
    </row>
    <row r="56">
      <c r="A56" t="inlineStr">
        <is>
          <t>900005260</t>
        </is>
      </c>
      <c r="B56" t="inlineStr">
        <is>
          <t>D845</t>
        </is>
      </c>
      <c r="C56" t="inlineStr">
        <is>
          <t>67200086</t>
        </is>
      </c>
      <c r="D56" t="inlineStr">
        <is>
          <t>10000578</t>
        </is>
      </c>
      <c r="E56" t="inlineStr"/>
      <c r="F56" s="11" t="n">
        <v>161</v>
      </c>
      <c r="G56" t="inlineStr"/>
      <c r="I56" t="inlineStr">
        <is>
          <t>TN</t>
        </is>
      </c>
      <c r="J56" t="inlineStr"/>
      <c r="K56" t="inlineStr">
        <is>
          <t>20191211</t>
        </is>
      </c>
      <c r="L56" t="inlineStr">
        <is>
          <t>20251031</t>
        </is>
      </c>
    </row>
    <row r="57">
      <c r="A57" t="inlineStr">
        <is>
          <t>900005260</t>
        </is>
      </c>
      <c r="B57" t="inlineStr">
        <is>
          <t>D845</t>
        </is>
      </c>
      <c r="C57" t="inlineStr">
        <is>
          <t>67200086</t>
        </is>
      </c>
      <c r="D57" t="inlineStr">
        <is>
          <t>10000617</t>
        </is>
      </c>
      <c r="E57" t="inlineStr"/>
      <c r="F57" s="11" t="n">
        <v>171</v>
      </c>
      <c r="G57" t="inlineStr"/>
      <c r="I57" t="inlineStr">
        <is>
          <t>TN</t>
        </is>
      </c>
      <c r="J57" t="inlineStr"/>
      <c r="K57" t="inlineStr">
        <is>
          <t>20191211</t>
        </is>
      </c>
      <c r="L57" t="inlineStr">
        <is>
          <t>20251031</t>
        </is>
      </c>
    </row>
    <row r="58">
      <c r="A58" t="inlineStr">
        <is>
          <t>900005260</t>
        </is>
      </c>
      <c r="B58" t="inlineStr">
        <is>
          <t>D845</t>
        </is>
      </c>
      <c r="C58" t="inlineStr">
        <is>
          <t>67200086</t>
        </is>
      </c>
      <c r="D58" t="inlineStr">
        <is>
          <t>10000656</t>
        </is>
      </c>
      <c r="E58" t="inlineStr"/>
      <c r="F58" s="11" t="n">
        <v>169</v>
      </c>
      <c r="G58" t="inlineStr"/>
      <c r="I58" t="inlineStr">
        <is>
          <t>TN</t>
        </is>
      </c>
      <c r="J58" t="inlineStr"/>
      <c r="K58" t="inlineStr">
        <is>
          <t>20191211</t>
        </is>
      </c>
      <c r="L58" t="inlineStr">
        <is>
          <t>20251031</t>
        </is>
      </c>
    </row>
    <row r="59">
      <c r="A59" t="inlineStr">
        <is>
          <t>900005260</t>
        </is>
      </c>
      <c r="B59" t="inlineStr">
        <is>
          <t>D845</t>
        </is>
      </c>
      <c r="C59" t="inlineStr">
        <is>
          <t>67200086</t>
        </is>
      </c>
      <c r="D59" t="inlineStr">
        <is>
          <t>10058501</t>
        </is>
      </c>
      <c r="E59" t="inlineStr"/>
      <c r="F59" s="11" t="n">
        <v>153</v>
      </c>
      <c r="G59" t="inlineStr"/>
      <c r="I59" t="inlineStr">
        <is>
          <t>TN</t>
        </is>
      </c>
      <c r="J59" t="inlineStr"/>
      <c r="K59" t="inlineStr">
        <is>
          <t>20191211</t>
        </is>
      </c>
      <c r="L59" t="inlineStr">
        <is>
          <t>20251031</t>
        </is>
      </c>
    </row>
    <row r="60">
      <c r="A60" t="inlineStr">
        <is>
          <t>900005260</t>
        </is>
      </c>
      <c r="B60" t="inlineStr">
        <is>
          <t>D845</t>
        </is>
      </c>
      <c r="C60" t="inlineStr">
        <is>
          <t>67200086</t>
        </is>
      </c>
      <c r="D60" t="inlineStr">
        <is>
          <t>10167749</t>
        </is>
      </c>
      <c r="E60" t="inlineStr"/>
      <c r="F60" s="11" t="n">
        <v>164</v>
      </c>
      <c r="G60" t="inlineStr"/>
      <c r="I60" t="inlineStr">
        <is>
          <t>TN</t>
        </is>
      </c>
      <c r="J60" t="inlineStr"/>
      <c r="K60" t="inlineStr">
        <is>
          <t>20191211</t>
        </is>
      </c>
      <c r="L60" t="inlineStr">
        <is>
          <t>20251031</t>
        </is>
      </c>
    </row>
    <row r="61">
      <c r="A61" t="inlineStr">
        <is>
          <t>900005260</t>
        </is>
      </c>
      <c r="B61" t="inlineStr">
        <is>
          <t>D845</t>
        </is>
      </c>
      <c r="C61" t="inlineStr">
        <is>
          <t>67200086</t>
        </is>
      </c>
      <c r="D61" t="inlineStr">
        <is>
          <t>10169508</t>
        </is>
      </c>
      <c r="E61" t="inlineStr"/>
      <c r="F61" s="11" t="n">
        <v>174</v>
      </c>
      <c r="G61" t="inlineStr"/>
      <c r="I61" t="inlineStr">
        <is>
          <t>TN</t>
        </is>
      </c>
      <c r="J61" t="inlineStr"/>
      <c r="K61" t="inlineStr">
        <is>
          <t>20191211</t>
        </is>
      </c>
      <c r="L61" t="inlineStr">
        <is>
          <t>20251031</t>
        </is>
      </c>
    </row>
    <row r="62">
      <c r="A62" t="inlineStr">
        <is>
          <t>900005260</t>
        </is>
      </c>
      <c r="B62" t="inlineStr">
        <is>
          <t>D845</t>
        </is>
      </c>
      <c r="C62" t="inlineStr">
        <is>
          <t>67222069</t>
        </is>
      </c>
      <c r="D62" t="inlineStr">
        <is>
          <t>10000578</t>
        </is>
      </c>
      <c r="E62" t="inlineStr"/>
      <c r="F62" s="11" t="n">
        <v>158</v>
      </c>
      <c r="G62" t="inlineStr"/>
      <c r="I62" t="inlineStr">
        <is>
          <t>TN</t>
        </is>
      </c>
      <c r="J62" t="inlineStr"/>
      <c r="K62" t="inlineStr">
        <is>
          <t>20191211</t>
        </is>
      </c>
      <c r="L62" t="inlineStr">
        <is>
          <t>20251031</t>
        </is>
      </c>
    </row>
    <row r="63">
      <c r="A63" t="inlineStr">
        <is>
          <t>900005260</t>
        </is>
      </c>
      <c r="B63" t="inlineStr">
        <is>
          <t>D845</t>
        </is>
      </c>
      <c r="C63" t="inlineStr">
        <is>
          <t>67222069</t>
        </is>
      </c>
      <c r="D63" t="inlineStr">
        <is>
          <t>10000617</t>
        </is>
      </c>
      <c r="E63" t="inlineStr"/>
      <c r="F63" s="11" t="n">
        <v>168</v>
      </c>
      <c r="G63" t="inlineStr"/>
      <c r="I63" t="inlineStr">
        <is>
          <t>TN</t>
        </is>
      </c>
      <c r="J63" t="inlineStr"/>
      <c r="K63" t="inlineStr">
        <is>
          <t>20191211</t>
        </is>
      </c>
      <c r="L63" t="inlineStr">
        <is>
          <t>20251031</t>
        </is>
      </c>
    </row>
    <row r="64">
      <c r="A64" t="inlineStr">
        <is>
          <t>900005260</t>
        </is>
      </c>
      <c r="B64" t="inlineStr">
        <is>
          <t>D845</t>
        </is>
      </c>
      <c r="C64" t="inlineStr">
        <is>
          <t>67222069</t>
        </is>
      </c>
      <c r="D64" t="inlineStr">
        <is>
          <t>10000656</t>
        </is>
      </c>
      <c r="E64" t="inlineStr"/>
      <c r="F64" s="11" t="n">
        <v>166</v>
      </c>
      <c r="G64" t="inlineStr"/>
      <c r="I64" t="inlineStr">
        <is>
          <t>TN</t>
        </is>
      </c>
      <c r="J64" t="inlineStr"/>
      <c r="K64" t="inlineStr">
        <is>
          <t>20191211</t>
        </is>
      </c>
      <c r="L64" t="inlineStr">
        <is>
          <t>20251031</t>
        </is>
      </c>
    </row>
    <row r="65">
      <c r="A65" t="inlineStr">
        <is>
          <t>900005260</t>
        </is>
      </c>
      <c r="B65" t="inlineStr">
        <is>
          <t>D845</t>
        </is>
      </c>
      <c r="C65" t="inlineStr">
        <is>
          <t>67222069</t>
        </is>
      </c>
      <c r="D65" t="inlineStr">
        <is>
          <t>10169508</t>
        </is>
      </c>
      <c r="E65" t="inlineStr"/>
      <c r="F65" s="11" t="n">
        <v>171</v>
      </c>
      <c r="G65" t="inlineStr"/>
      <c r="I65" t="inlineStr">
        <is>
          <t>TN</t>
        </is>
      </c>
      <c r="J65" t="inlineStr"/>
      <c r="K65" t="inlineStr">
        <is>
          <t>20191211</t>
        </is>
      </c>
      <c r="L65" t="inlineStr">
        <is>
          <t>20251031</t>
        </is>
      </c>
    </row>
    <row r="66">
      <c r="A66" t="inlineStr">
        <is>
          <t>900005260</t>
        </is>
      </c>
      <c r="B66" t="inlineStr">
        <is>
          <t>D845</t>
        </is>
      </c>
      <c r="C66" t="inlineStr">
        <is>
          <t>67230766</t>
        </is>
      </c>
      <c r="D66" t="inlineStr">
        <is>
          <t>10000536</t>
        </is>
      </c>
      <c r="E66" t="inlineStr"/>
      <c r="F66" s="11" t="n">
        <v>158</v>
      </c>
      <c r="G66" t="inlineStr"/>
      <c r="I66" t="inlineStr">
        <is>
          <t>TN</t>
        </is>
      </c>
      <c r="J66" t="inlineStr"/>
      <c r="K66" t="inlineStr">
        <is>
          <t>20191211</t>
        </is>
      </c>
      <c r="L66" t="inlineStr">
        <is>
          <t>20251031</t>
        </is>
      </c>
    </row>
    <row r="67">
      <c r="A67" t="inlineStr">
        <is>
          <t>900005260</t>
        </is>
      </c>
      <c r="B67" t="inlineStr">
        <is>
          <t>D845</t>
        </is>
      </c>
      <c r="C67" t="inlineStr">
        <is>
          <t>67230766</t>
        </is>
      </c>
      <c r="D67" t="inlineStr">
        <is>
          <t>10000578</t>
        </is>
      </c>
      <c r="E67" t="inlineStr"/>
      <c r="F67" s="11" t="n">
        <v>158</v>
      </c>
      <c r="G67" t="inlineStr"/>
      <c r="I67" t="inlineStr">
        <is>
          <t>TN</t>
        </is>
      </c>
      <c r="J67" t="inlineStr"/>
      <c r="K67" t="inlineStr">
        <is>
          <t>20191211</t>
        </is>
      </c>
      <c r="L67" t="inlineStr">
        <is>
          <t>20251031</t>
        </is>
      </c>
    </row>
    <row r="68">
      <c r="A68" t="inlineStr">
        <is>
          <t>900005260</t>
        </is>
      </c>
      <c r="B68" t="inlineStr">
        <is>
          <t>D845</t>
        </is>
      </c>
      <c r="C68" t="inlineStr">
        <is>
          <t>67230766</t>
        </is>
      </c>
      <c r="D68" t="inlineStr">
        <is>
          <t>10000617</t>
        </is>
      </c>
      <c r="E68" t="inlineStr"/>
      <c r="F68" s="11" t="n">
        <v>168</v>
      </c>
      <c r="G68" t="inlineStr"/>
      <c r="I68" t="inlineStr">
        <is>
          <t>TN</t>
        </is>
      </c>
      <c r="J68" t="inlineStr"/>
      <c r="K68" t="inlineStr">
        <is>
          <t>20191211</t>
        </is>
      </c>
      <c r="L68" t="inlineStr">
        <is>
          <t>20251031</t>
        </is>
      </c>
    </row>
    <row r="69">
      <c r="A69" t="inlineStr">
        <is>
          <t>900005260</t>
        </is>
      </c>
      <c r="B69" t="inlineStr">
        <is>
          <t>D845</t>
        </is>
      </c>
      <c r="C69" t="inlineStr">
        <is>
          <t>67230766</t>
        </is>
      </c>
      <c r="D69" t="inlineStr">
        <is>
          <t>10000656</t>
        </is>
      </c>
      <c r="E69" t="inlineStr"/>
      <c r="F69" s="11" t="n">
        <v>166</v>
      </c>
      <c r="G69" t="inlineStr"/>
      <c r="I69" t="inlineStr">
        <is>
          <t>TN</t>
        </is>
      </c>
      <c r="J69" t="inlineStr"/>
      <c r="K69" t="inlineStr">
        <is>
          <t>20191211</t>
        </is>
      </c>
      <c r="L69" t="inlineStr">
        <is>
          <t>20251031</t>
        </is>
      </c>
    </row>
    <row r="70">
      <c r="A70" t="inlineStr">
        <is>
          <t>900005260</t>
        </is>
      </c>
      <c r="B70" t="inlineStr">
        <is>
          <t>D845</t>
        </is>
      </c>
      <c r="C70" t="inlineStr">
        <is>
          <t>67230766</t>
        </is>
      </c>
      <c r="D70" t="inlineStr">
        <is>
          <t>10058501</t>
        </is>
      </c>
      <c r="E70" t="inlineStr"/>
      <c r="F70" s="11" t="n">
        <v>151</v>
      </c>
      <c r="G70" t="inlineStr"/>
      <c r="I70" t="inlineStr">
        <is>
          <t>TN</t>
        </is>
      </c>
      <c r="J70" t="inlineStr"/>
      <c r="K70" t="inlineStr">
        <is>
          <t>20191211</t>
        </is>
      </c>
      <c r="L70" t="inlineStr">
        <is>
          <t>20251031</t>
        </is>
      </c>
    </row>
    <row r="71">
      <c r="A71" t="inlineStr">
        <is>
          <t>900005260</t>
        </is>
      </c>
      <c r="B71" t="inlineStr">
        <is>
          <t>D845</t>
        </is>
      </c>
      <c r="C71" t="inlineStr">
        <is>
          <t>67231138</t>
        </is>
      </c>
      <c r="D71" t="inlineStr">
        <is>
          <t>10000578</t>
        </is>
      </c>
      <c r="E71" t="inlineStr"/>
      <c r="F71" s="11" t="n">
        <v>190</v>
      </c>
      <c r="G71" t="inlineStr"/>
      <c r="I71" t="inlineStr">
        <is>
          <t>TN</t>
        </is>
      </c>
      <c r="J71" t="inlineStr"/>
      <c r="K71" t="inlineStr">
        <is>
          <t>20191211</t>
        </is>
      </c>
      <c r="L71" t="inlineStr">
        <is>
          <t>20251031</t>
        </is>
      </c>
    </row>
    <row r="72">
      <c r="A72" t="inlineStr">
        <is>
          <t>900005260</t>
        </is>
      </c>
      <c r="B72" t="inlineStr">
        <is>
          <t>D845</t>
        </is>
      </c>
      <c r="C72" t="inlineStr">
        <is>
          <t>67231138</t>
        </is>
      </c>
      <c r="D72" t="inlineStr">
        <is>
          <t>10000656</t>
        </is>
      </c>
      <c r="E72" t="inlineStr"/>
      <c r="F72" s="11" t="n">
        <v>200</v>
      </c>
      <c r="G72" t="inlineStr"/>
      <c r="I72" t="inlineStr">
        <is>
          <t>TN</t>
        </is>
      </c>
      <c r="J72" t="inlineStr"/>
      <c r="K72" t="inlineStr">
        <is>
          <t>20191211</t>
        </is>
      </c>
      <c r="L72" t="inlineStr">
        <is>
          <t>20251031</t>
        </is>
      </c>
    </row>
    <row r="73">
      <c r="A73" t="inlineStr">
        <is>
          <t>900005260</t>
        </is>
      </c>
      <c r="B73" t="inlineStr">
        <is>
          <t>D845</t>
        </is>
      </c>
      <c r="C73" t="inlineStr">
        <is>
          <t>67231138</t>
        </is>
      </c>
      <c r="D73" t="inlineStr">
        <is>
          <t>10058501</t>
        </is>
      </c>
      <c r="E73" t="inlineStr"/>
      <c r="F73" s="11" t="n">
        <v>200</v>
      </c>
      <c r="G73" t="inlineStr"/>
      <c r="I73" t="inlineStr">
        <is>
          <t>TN</t>
        </is>
      </c>
      <c r="J73" t="inlineStr"/>
      <c r="K73" t="inlineStr">
        <is>
          <t>20191211</t>
        </is>
      </c>
      <c r="L73" t="inlineStr">
        <is>
          <t>20251031</t>
        </is>
      </c>
    </row>
    <row r="74">
      <c r="A74" t="inlineStr">
        <is>
          <t>900005260</t>
        </is>
      </c>
      <c r="B74" t="inlineStr">
        <is>
          <t>D845</t>
        </is>
      </c>
      <c r="C74" t="inlineStr">
        <is>
          <t>67231528</t>
        </is>
      </c>
      <c r="D74" t="inlineStr">
        <is>
          <t>10000536</t>
        </is>
      </c>
      <c r="E74" t="inlineStr"/>
      <c r="F74" s="11" t="n">
        <v>158</v>
      </c>
      <c r="G74" t="inlineStr"/>
      <c r="I74" t="inlineStr">
        <is>
          <t>TN</t>
        </is>
      </c>
      <c r="J74" t="inlineStr"/>
      <c r="K74" t="inlineStr">
        <is>
          <t>20191211</t>
        </is>
      </c>
      <c r="L74" t="inlineStr">
        <is>
          <t>20251031</t>
        </is>
      </c>
    </row>
    <row r="75">
      <c r="A75" t="inlineStr">
        <is>
          <t>900005260</t>
        </is>
      </c>
      <c r="B75" t="inlineStr">
        <is>
          <t>D845</t>
        </is>
      </c>
      <c r="C75" t="inlineStr">
        <is>
          <t>67231528</t>
        </is>
      </c>
      <c r="D75" t="inlineStr">
        <is>
          <t>10000578</t>
        </is>
      </c>
      <c r="E75" t="inlineStr"/>
      <c r="F75" s="11" t="n">
        <v>158</v>
      </c>
      <c r="G75" t="inlineStr"/>
      <c r="I75" t="inlineStr">
        <is>
          <t>TN</t>
        </is>
      </c>
      <c r="J75" t="inlineStr"/>
      <c r="K75" t="inlineStr">
        <is>
          <t>20191211</t>
        </is>
      </c>
      <c r="L75" t="inlineStr">
        <is>
          <t>20251031</t>
        </is>
      </c>
    </row>
    <row r="76">
      <c r="A76" t="inlineStr">
        <is>
          <t>900005260</t>
        </is>
      </c>
      <c r="B76" t="inlineStr">
        <is>
          <t>D845</t>
        </is>
      </c>
      <c r="C76" t="inlineStr">
        <is>
          <t>67231528</t>
        </is>
      </c>
      <c r="D76" t="inlineStr">
        <is>
          <t>10000617</t>
        </is>
      </c>
      <c r="E76" t="inlineStr"/>
      <c r="F76" s="11" t="n">
        <v>168</v>
      </c>
      <c r="G76" t="inlineStr"/>
      <c r="I76" t="inlineStr">
        <is>
          <t>TN</t>
        </is>
      </c>
      <c r="J76" t="inlineStr"/>
      <c r="K76" t="inlineStr">
        <is>
          <t>20191211</t>
        </is>
      </c>
      <c r="L76" t="inlineStr">
        <is>
          <t>20251031</t>
        </is>
      </c>
    </row>
    <row r="77">
      <c r="A77" t="inlineStr">
        <is>
          <t>900005260</t>
        </is>
      </c>
      <c r="B77" t="inlineStr">
        <is>
          <t>D845</t>
        </is>
      </c>
      <c r="C77" t="inlineStr">
        <is>
          <t>67231528</t>
        </is>
      </c>
      <c r="D77" t="inlineStr">
        <is>
          <t>10000656</t>
        </is>
      </c>
      <c r="E77" t="inlineStr"/>
      <c r="F77" s="11" t="n">
        <v>166</v>
      </c>
      <c r="G77" t="inlineStr"/>
      <c r="I77" t="inlineStr">
        <is>
          <t>TN</t>
        </is>
      </c>
      <c r="J77" t="inlineStr"/>
      <c r="K77" t="inlineStr">
        <is>
          <t>20191211</t>
        </is>
      </c>
      <c r="L77" t="inlineStr">
        <is>
          <t>20251031</t>
        </is>
      </c>
    </row>
    <row r="78">
      <c r="A78" t="inlineStr">
        <is>
          <t>900005260</t>
        </is>
      </c>
      <c r="B78" t="inlineStr">
        <is>
          <t>D845</t>
        </is>
      </c>
      <c r="C78" t="inlineStr">
        <is>
          <t>67231528</t>
        </is>
      </c>
      <c r="D78" t="inlineStr">
        <is>
          <t>10058501</t>
        </is>
      </c>
      <c r="E78" t="inlineStr"/>
      <c r="F78" s="11" t="n">
        <v>151</v>
      </c>
      <c r="G78" t="inlineStr"/>
      <c r="I78" t="inlineStr">
        <is>
          <t>TN</t>
        </is>
      </c>
      <c r="J78" t="inlineStr"/>
      <c r="K78" t="inlineStr">
        <is>
          <t>20191211</t>
        </is>
      </c>
      <c r="L78" t="inlineStr">
        <is>
          <t>20251031</t>
        </is>
      </c>
    </row>
    <row r="79">
      <c r="A79" t="inlineStr">
        <is>
          <t>900005260</t>
        </is>
      </c>
      <c r="B79" t="inlineStr">
        <is>
          <t>D845</t>
        </is>
      </c>
      <c r="C79" t="inlineStr">
        <is>
          <t>67231528</t>
        </is>
      </c>
      <c r="D79" t="inlineStr">
        <is>
          <t>10167749</t>
        </is>
      </c>
      <c r="E79" t="inlineStr"/>
      <c r="F79" s="11" t="n">
        <v>161</v>
      </c>
      <c r="G79" t="inlineStr"/>
      <c r="I79" t="inlineStr">
        <is>
          <t>TN</t>
        </is>
      </c>
      <c r="J79" t="inlineStr"/>
      <c r="K79" t="inlineStr">
        <is>
          <t>20191211</t>
        </is>
      </c>
      <c r="L79" t="inlineStr">
        <is>
          <t>20251031</t>
        </is>
      </c>
    </row>
    <row r="80">
      <c r="A80" t="inlineStr">
        <is>
          <t>900005260</t>
        </is>
      </c>
      <c r="B80" t="inlineStr">
        <is>
          <t>D845</t>
        </is>
      </c>
      <c r="C80" t="inlineStr">
        <is>
          <t>67241390</t>
        </is>
      </c>
      <c r="D80" t="inlineStr">
        <is>
          <t>10217514</t>
        </is>
      </c>
      <c r="E80" t="inlineStr"/>
      <c r="F80" s="11" t="n">
        <v>80</v>
      </c>
      <c r="G80" t="inlineStr"/>
      <c r="I80" t="inlineStr">
        <is>
          <t>M3</t>
        </is>
      </c>
      <c r="J80" t="inlineStr"/>
      <c r="K80" t="inlineStr">
        <is>
          <t>20191211</t>
        </is>
      </c>
      <c r="L80" t="inlineStr">
        <is>
          <t>20251031</t>
        </is>
      </c>
    </row>
    <row r="81">
      <c r="A81" t="inlineStr">
        <is>
          <t>900005260</t>
        </is>
      </c>
      <c r="B81" t="inlineStr">
        <is>
          <t>D845</t>
        </is>
      </c>
      <c r="C81" t="inlineStr">
        <is>
          <t>67250991</t>
        </is>
      </c>
      <c r="D81" t="inlineStr">
        <is>
          <t>10000578</t>
        </is>
      </c>
      <c r="E81" t="inlineStr"/>
      <c r="F81" s="11" t="n">
        <v>190</v>
      </c>
      <c r="G81" t="inlineStr"/>
      <c r="I81" t="inlineStr">
        <is>
          <t>TN</t>
        </is>
      </c>
      <c r="J81" t="inlineStr"/>
      <c r="K81" t="inlineStr">
        <is>
          <t>20191211</t>
        </is>
      </c>
      <c r="L81" t="inlineStr">
        <is>
          <t>20251031</t>
        </is>
      </c>
    </row>
    <row r="82">
      <c r="A82" t="inlineStr">
        <is>
          <t>900005260</t>
        </is>
      </c>
      <c r="B82" t="inlineStr">
        <is>
          <t>D845</t>
        </is>
      </c>
      <c r="C82" t="inlineStr">
        <is>
          <t>67250991</t>
        </is>
      </c>
      <c r="D82" t="inlineStr">
        <is>
          <t>10000617</t>
        </is>
      </c>
      <c r="E82" t="inlineStr"/>
      <c r="F82" s="11" t="n">
        <v>200</v>
      </c>
      <c r="G82" t="inlineStr"/>
      <c r="I82" t="inlineStr">
        <is>
          <t>TN</t>
        </is>
      </c>
      <c r="J82" t="inlineStr"/>
      <c r="K82" t="inlineStr">
        <is>
          <t>20191211</t>
        </is>
      </c>
      <c r="L82" t="inlineStr">
        <is>
          <t>20251031</t>
        </is>
      </c>
    </row>
    <row r="83">
      <c r="A83" t="inlineStr">
        <is>
          <t>900005260</t>
        </is>
      </c>
      <c r="B83" t="inlineStr">
        <is>
          <t>D845</t>
        </is>
      </c>
      <c r="C83" t="inlineStr">
        <is>
          <t>67250991</t>
        </is>
      </c>
      <c r="D83" t="inlineStr">
        <is>
          <t>10000656</t>
        </is>
      </c>
      <c r="E83" t="inlineStr"/>
      <c r="F83" s="11" t="n">
        <v>200</v>
      </c>
      <c r="G83" t="inlineStr"/>
      <c r="I83" t="inlineStr">
        <is>
          <t>TN</t>
        </is>
      </c>
      <c r="J83" t="inlineStr"/>
      <c r="K83" t="inlineStr">
        <is>
          <t>20191211</t>
        </is>
      </c>
      <c r="L83" t="inlineStr">
        <is>
          <t>20251031</t>
        </is>
      </c>
    </row>
    <row r="84">
      <c r="A84" t="inlineStr">
        <is>
          <t>900005260</t>
        </is>
      </c>
      <c r="B84" t="inlineStr">
        <is>
          <t>D845</t>
        </is>
      </c>
      <c r="C84" t="inlineStr">
        <is>
          <t>67250991</t>
        </is>
      </c>
      <c r="D84" t="inlineStr">
        <is>
          <t>10167749</t>
        </is>
      </c>
      <c r="E84" t="inlineStr"/>
      <c r="F84" s="11" t="n">
        <v>193</v>
      </c>
      <c r="G84" t="inlineStr"/>
      <c r="I84" t="inlineStr">
        <is>
          <t>TN</t>
        </is>
      </c>
      <c r="J84" t="inlineStr"/>
      <c r="K84" t="inlineStr">
        <is>
          <t>20191211</t>
        </is>
      </c>
      <c r="L84" t="inlineStr">
        <is>
          <t>20251031</t>
        </is>
      </c>
    </row>
    <row r="85">
      <c r="A85" t="inlineStr">
        <is>
          <t>900005260</t>
        </is>
      </c>
      <c r="B85" t="inlineStr">
        <is>
          <t>D845</t>
        </is>
      </c>
      <c r="C85" t="inlineStr">
        <is>
          <t>67250991</t>
        </is>
      </c>
      <c r="D85" t="inlineStr">
        <is>
          <t>10169508</t>
        </is>
      </c>
      <c r="E85" t="inlineStr"/>
      <c r="F85" s="11" t="n">
        <v>205</v>
      </c>
      <c r="G85" t="inlineStr"/>
      <c r="I85" t="inlineStr">
        <is>
          <t>TN</t>
        </is>
      </c>
      <c r="J85" t="inlineStr"/>
      <c r="K85" t="inlineStr">
        <is>
          <t>20191211</t>
        </is>
      </c>
      <c r="L85" t="inlineStr">
        <is>
          <t>20251031</t>
        </is>
      </c>
    </row>
    <row r="86">
      <c r="A86" t="inlineStr">
        <is>
          <t>900005260</t>
        </is>
      </c>
      <c r="B86" t="inlineStr">
        <is>
          <t>D845</t>
        </is>
      </c>
      <c r="C86" t="inlineStr">
        <is>
          <t>67293767</t>
        </is>
      </c>
      <c r="D86" t="inlineStr">
        <is>
          <t>10217514</t>
        </is>
      </c>
      <c r="E86" t="inlineStr"/>
      <c r="F86" s="11" t="n">
        <v>100</v>
      </c>
      <c r="G86" t="inlineStr"/>
      <c r="I86" t="inlineStr">
        <is>
          <t>M3</t>
        </is>
      </c>
      <c r="J86" t="inlineStr"/>
      <c r="K86" t="inlineStr">
        <is>
          <t>20191211</t>
        </is>
      </c>
      <c r="L86" t="inlineStr">
        <is>
          <t>20251031</t>
        </is>
      </c>
    </row>
    <row r="87">
      <c r="A87" t="inlineStr">
        <is>
          <t>900005260</t>
        </is>
      </c>
      <c r="B87" t="inlineStr">
        <is>
          <t>D845</t>
        </is>
      </c>
      <c r="C87" t="inlineStr">
        <is>
          <t>67302210</t>
        </is>
      </c>
      <c r="D87" t="inlineStr">
        <is>
          <t>10217514</t>
        </is>
      </c>
      <c r="E87" t="inlineStr"/>
      <c r="F87" s="11" t="n">
        <v>80</v>
      </c>
      <c r="G87" t="inlineStr"/>
      <c r="I87" t="inlineStr">
        <is>
          <t>M3</t>
        </is>
      </c>
      <c r="J87" t="inlineStr"/>
      <c r="K87" t="inlineStr">
        <is>
          <t>20191211</t>
        </is>
      </c>
      <c r="L87" t="inlineStr">
        <is>
          <t>20251031</t>
        </is>
      </c>
    </row>
    <row r="88">
      <c r="A88" t="inlineStr">
        <is>
          <t>900005260</t>
        </is>
      </c>
      <c r="B88" t="inlineStr">
        <is>
          <t>D845</t>
        </is>
      </c>
      <c r="C88" t="inlineStr">
        <is>
          <t>67307402</t>
        </is>
      </c>
      <c r="D88" t="inlineStr">
        <is>
          <t>10000536</t>
        </is>
      </c>
      <c r="E88" t="inlineStr"/>
      <c r="F88" s="11" t="n">
        <v>190</v>
      </c>
      <c r="G88" t="inlineStr"/>
      <c r="I88" t="inlineStr">
        <is>
          <t>TN</t>
        </is>
      </c>
      <c r="J88" t="inlineStr"/>
      <c r="K88" t="inlineStr">
        <is>
          <t>20191211</t>
        </is>
      </c>
      <c r="L88" t="inlineStr">
        <is>
          <t>20251031</t>
        </is>
      </c>
    </row>
    <row r="89">
      <c r="A89" t="inlineStr">
        <is>
          <t>900005260</t>
        </is>
      </c>
      <c r="B89" t="inlineStr">
        <is>
          <t>D845</t>
        </is>
      </c>
      <c r="C89" t="inlineStr">
        <is>
          <t>67307402</t>
        </is>
      </c>
      <c r="D89" t="inlineStr">
        <is>
          <t>10000578</t>
        </is>
      </c>
      <c r="E89" t="inlineStr"/>
      <c r="F89" s="11" t="n">
        <v>190</v>
      </c>
      <c r="G89" t="inlineStr"/>
      <c r="I89" t="inlineStr">
        <is>
          <t>TN</t>
        </is>
      </c>
      <c r="J89" t="inlineStr"/>
      <c r="K89" t="inlineStr">
        <is>
          <t>20191211</t>
        </is>
      </c>
      <c r="L89" t="inlineStr">
        <is>
          <t>20251031</t>
        </is>
      </c>
    </row>
    <row r="90">
      <c r="A90" t="inlineStr">
        <is>
          <t>900005260</t>
        </is>
      </c>
      <c r="B90" t="inlineStr">
        <is>
          <t>D845</t>
        </is>
      </c>
      <c r="C90" t="inlineStr">
        <is>
          <t>67307402</t>
        </is>
      </c>
      <c r="D90" t="inlineStr">
        <is>
          <t>10000617</t>
        </is>
      </c>
      <c r="E90" t="inlineStr"/>
      <c r="F90" s="11" t="n">
        <v>200</v>
      </c>
      <c r="G90" t="inlineStr"/>
      <c r="I90" t="inlineStr">
        <is>
          <t>TN</t>
        </is>
      </c>
      <c r="J90" t="inlineStr"/>
      <c r="K90" t="inlineStr">
        <is>
          <t>20191211</t>
        </is>
      </c>
      <c r="L90" t="inlineStr">
        <is>
          <t>20251031</t>
        </is>
      </c>
    </row>
    <row r="91">
      <c r="A91" t="inlineStr">
        <is>
          <t>900005260</t>
        </is>
      </c>
      <c r="B91" t="inlineStr">
        <is>
          <t>D845</t>
        </is>
      </c>
      <c r="C91" t="inlineStr">
        <is>
          <t>67307402</t>
        </is>
      </c>
      <c r="D91" t="inlineStr">
        <is>
          <t>10167749</t>
        </is>
      </c>
      <c r="E91" t="inlineStr"/>
      <c r="F91" s="11" t="n">
        <v>193</v>
      </c>
      <c r="G91" t="inlineStr"/>
      <c r="I91" t="inlineStr">
        <is>
          <t>TN</t>
        </is>
      </c>
      <c r="J91" t="inlineStr"/>
      <c r="K91" t="inlineStr">
        <is>
          <t>20191211</t>
        </is>
      </c>
      <c r="L91" t="inlineStr">
        <is>
          <t>20251031</t>
        </is>
      </c>
    </row>
    <row r="92">
      <c r="A92" t="inlineStr">
        <is>
          <t>900005260</t>
        </is>
      </c>
      <c r="B92" t="inlineStr">
        <is>
          <t>D845</t>
        </is>
      </c>
      <c r="C92" t="inlineStr">
        <is>
          <t>67318363</t>
        </is>
      </c>
      <c r="D92" t="inlineStr">
        <is>
          <t>10167749</t>
        </is>
      </c>
      <c r="E92" t="inlineStr"/>
      <c r="F92" s="11" t="n">
        <v>200</v>
      </c>
      <c r="G92" t="inlineStr"/>
      <c r="I92" t="inlineStr">
        <is>
          <t>TN</t>
        </is>
      </c>
      <c r="J92" t="inlineStr"/>
      <c r="K92" t="inlineStr">
        <is>
          <t>20191211</t>
        </is>
      </c>
      <c r="L92" t="inlineStr">
        <is>
          <t>20251031</t>
        </is>
      </c>
    </row>
    <row r="93">
      <c r="A93" t="inlineStr">
        <is>
          <t>900005260</t>
        </is>
      </c>
      <c r="B93" t="inlineStr">
        <is>
          <t>D845</t>
        </is>
      </c>
      <c r="C93" t="inlineStr">
        <is>
          <t>67326642</t>
        </is>
      </c>
      <c r="D93" t="inlineStr">
        <is>
          <t>10167749</t>
        </is>
      </c>
      <c r="E93" t="inlineStr"/>
      <c r="F93" s="11" t="n">
        <v>193</v>
      </c>
      <c r="G93" t="inlineStr"/>
      <c r="I93" t="inlineStr">
        <is>
          <t>TN</t>
        </is>
      </c>
      <c r="J93" t="inlineStr"/>
      <c r="K93" t="inlineStr">
        <is>
          <t>20191211</t>
        </is>
      </c>
      <c r="L93" t="inlineStr">
        <is>
          <t>20251031</t>
        </is>
      </c>
    </row>
    <row r="94">
      <c r="A94" t="inlineStr">
        <is>
          <t>900006074</t>
        </is>
      </c>
      <c r="B94" t="inlineStr">
        <is>
          <t>D845</t>
        </is>
      </c>
      <c r="C94" t="inlineStr">
        <is>
          <t>65005139</t>
        </is>
      </c>
      <c r="D94" t="inlineStr">
        <is>
          <t>10058501</t>
        </is>
      </c>
      <c r="E94" t="inlineStr"/>
      <c r="F94" s="11" t="n">
        <v>151</v>
      </c>
      <c r="G94" t="inlineStr"/>
      <c r="I94" t="inlineStr">
        <is>
          <t>TN</t>
        </is>
      </c>
      <c r="J94" t="inlineStr"/>
      <c r="K94" t="inlineStr">
        <is>
          <t>20191211</t>
        </is>
      </c>
      <c r="L94" t="inlineStr">
        <is>
          <t>20251031</t>
        </is>
      </c>
    </row>
    <row r="95">
      <c r="A95" t="inlineStr">
        <is>
          <t>900006074</t>
        </is>
      </c>
      <c r="B95" t="inlineStr">
        <is>
          <t>D845</t>
        </is>
      </c>
      <c r="C95" t="inlineStr">
        <is>
          <t>65658362</t>
        </is>
      </c>
      <c r="D95" t="inlineStr">
        <is>
          <t>10000536</t>
        </is>
      </c>
      <c r="E95" t="inlineStr"/>
      <c r="F95" s="11" t="n">
        <v>132</v>
      </c>
      <c r="G95" t="inlineStr"/>
      <c r="I95" t="inlineStr">
        <is>
          <t>TN</t>
        </is>
      </c>
      <c r="J95" t="inlineStr"/>
      <c r="K95" t="inlineStr">
        <is>
          <t>20191211</t>
        </is>
      </c>
      <c r="L95" t="inlineStr">
        <is>
          <t>20251031</t>
        </is>
      </c>
    </row>
    <row r="96">
      <c r="A96" t="inlineStr">
        <is>
          <t>900006074</t>
        </is>
      </c>
      <c r="B96" t="inlineStr">
        <is>
          <t>D845</t>
        </is>
      </c>
      <c r="C96" t="inlineStr">
        <is>
          <t>65658362</t>
        </is>
      </c>
      <c r="D96" t="inlineStr">
        <is>
          <t>10000578</t>
        </is>
      </c>
      <c r="E96" t="inlineStr"/>
      <c r="F96" s="11" t="n">
        <v>132</v>
      </c>
      <c r="G96" t="inlineStr"/>
      <c r="I96" t="inlineStr">
        <is>
          <t>TN</t>
        </is>
      </c>
      <c r="J96" t="inlineStr"/>
      <c r="K96" t="inlineStr">
        <is>
          <t>20191211</t>
        </is>
      </c>
      <c r="L96" t="inlineStr">
        <is>
          <t>20251031</t>
        </is>
      </c>
    </row>
    <row r="97">
      <c r="A97" t="inlineStr">
        <is>
          <t>900006074</t>
        </is>
      </c>
      <c r="B97" t="inlineStr">
        <is>
          <t>D845</t>
        </is>
      </c>
      <c r="C97" t="inlineStr">
        <is>
          <t>65658362</t>
        </is>
      </c>
      <c r="D97" t="inlineStr">
        <is>
          <t>10000617</t>
        </is>
      </c>
      <c r="E97" t="inlineStr"/>
      <c r="F97" s="11" t="n">
        <v>142</v>
      </c>
      <c r="G97" t="inlineStr"/>
      <c r="I97" t="inlineStr">
        <is>
          <t>TN</t>
        </is>
      </c>
      <c r="J97" t="inlineStr"/>
      <c r="K97" t="inlineStr">
        <is>
          <t>20191211</t>
        </is>
      </c>
      <c r="L97" t="inlineStr">
        <is>
          <t>20251031</t>
        </is>
      </c>
    </row>
    <row r="98">
      <c r="A98" t="inlineStr">
        <is>
          <t>900006074</t>
        </is>
      </c>
      <c r="B98" t="inlineStr">
        <is>
          <t>D845</t>
        </is>
      </c>
      <c r="C98" t="inlineStr">
        <is>
          <t>65658362</t>
        </is>
      </c>
      <c r="D98" t="inlineStr">
        <is>
          <t>10000656</t>
        </is>
      </c>
      <c r="E98" t="inlineStr"/>
      <c r="F98" s="11" t="n">
        <v>140</v>
      </c>
      <c r="G98" t="inlineStr"/>
      <c r="I98" t="inlineStr">
        <is>
          <t>TN</t>
        </is>
      </c>
      <c r="J98" t="inlineStr"/>
      <c r="K98" t="inlineStr">
        <is>
          <t>20191211</t>
        </is>
      </c>
      <c r="L98" t="inlineStr">
        <is>
          <t>20251031</t>
        </is>
      </c>
    </row>
    <row r="99">
      <c r="A99" t="inlineStr">
        <is>
          <t>900006074</t>
        </is>
      </c>
      <c r="B99" t="inlineStr">
        <is>
          <t>D845</t>
        </is>
      </c>
      <c r="C99" t="inlineStr">
        <is>
          <t>66779121</t>
        </is>
      </c>
      <c r="D99" t="inlineStr">
        <is>
          <t>10000536</t>
        </is>
      </c>
      <c r="E99" t="inlineStr"/>
      <c r="F99" s="11" t="n">
        <v>74.90000000000001</v>
      </c>
      <c r="G99" t="inlineStr"/>
      <c r="I99" t="inlineStr">
        <is>
          <t>TN</t>
        </is>
      </c>
      <c r="J99" t="inlineStr"/>
      <c r="K99" t="inlineStr">
        <is>
          <t>20191211</t>
        </is>
      </c>
      <c r="L99" t="inlineStr">
        <is>
          <t>20251031</t>
        </is>
      </c>
    </row>
    <row r="100">
      <c r="A100" t="inlineStr">
        <is>
          <t>900006074</t>
        </is>
      </c>
      <c r="B100" t="inlineStr">
        <is>
          <t>D845</t>
        </is>
      </c>
      <c r="C100" t="inlineStr">
        <is>
          <t>66779121</t>
        </is>
      </c>
      <c r="D100" t="inlineStr">
        <is>
          <t>10000578</t>
        </is>
      </c>
      <c r="E100" t="inlineStr"/>
      <c r="F100" s="11" t="n">
        <v>74.90000000000001</v>
      </c>
      <c r="G100" t="inlineStr"/>
      <c r="I100" t="inlineStr">
        <is>
          <t>TN</t>
        </is>
      </c>
      <c r="J100" t="inlineStr"/>
      <c r="K100" t="inlineStr">
        <is>
          <t>20191211</t>
        </is>
      </c>
      <c r="L100" t="inlineStr">
        <is>
          <t>20251031</t>
        </is>
      </c>
    </row>
    <row r="101">
      <c r="A101" t="inlineStr">
        <is>
          <t>900006074</t>
        </is>
      </c>
      <c r="B101" t="inlineStr">
        <is>
          <t>D845</t>
        </is>
      </c>
      <c r="C101" t="inlineStr">
        <is>
          <t>66779121</t>
        </is>
      </c>
      <c r="D101" t="inlineStr">
        <is>
          <t>10000617</t>
        </is>
      </c>
      <c r="E101" t="inlineStr"/>
      <c r="F101" s="11" t="n">
        <v>88.90000000000001</v>
      </c>
      <c r="G101" t="inlineStr"/>
      <c r="I101" t="inlineStr">
        <is>
          <t>TN</t>
        </is>
      </c>
      <c r="J101" t="inlineStr"/>
      <c r="K101" t="inlineStr">
        <is>
          <t>20191211</t>
        </is>
      </c>
      <c r="L101" t="inlineStr">
        <is>
          <t>20251031</t>
        </is>
      </c>
    </row>
    <row r="102">
      <c r="A102" t="inlineStr">
        <is>
          <t>900006074</t>
        </is>
      </c>
      <c r="B102" t="inlineStr">
        <is>
          <t>D845</t>
        </is>
      </c>
      <c r="C102" t="inlineStr">
        <is>
          <t>66779121</t>
        </is>
      </c>
      <c r="D102" t="inlineStr">
        <is>
          <t>10000656</t>
        </is>
      </c>
      <c r="E102" t="inlineStr"/>
      <c r="F102" s="11" t="n">
        <v>74.06999999999999</v>
      </c>
      <c r="G102" t="inlineStr"/>
      <c r="I102" t="inlineStr">
        <is>
          <t>TN</t>
        </is>
      </c>
      <c r="J102" t="inlineStr"/>
      <c r="K102" t="inlineStr">
        <is>
          <t>20191211</t>
        </is>
      </c>
      <c r="L102" t="inlineStr">
        <is>
          <t>20251031</t>
        </is>
      </c>
    </row>
    <row r="103">
      <c r="A103" t="inlineStr">
        <is>
          <t>900006074</t>
        </is>
      </c>
      <c r="B103" t="inlineStr">
        <is>
          <t>D845</t>
        </is>
      </c>
      <c r="C103" t="inlineStr">
        <is>
          <t>66891663</t>
        </is>
      </c>
      <c r="D103" t="inlineStr">
        <is>
          <t>10000578</t>
        </is>
      </c>
      <c r="E103" t="inlineStr"/>
      <c r="F103" s="11" t="n">
        <v>83</v>
      </c>
      <c r="G103" t="inlineStr"/>
      <c r="I103" t="inlineStr">
        <is>
          <t>TN</t>
        </is>
      </c>
      <c r="J103" t="inlineStr"/>
      <c r="K103" t="inlineStr">
        <is>
          <t>20191211</t>
        </is>
      </c>
      <c r="L103" t="inlineStr">
        <is>
          <t>20251031</t>
        </is>
      </c>
    </row>
    <row r="104">
      <c r="A104" t="inlineStr">
        <is>
          <t>900006074</t>
        </is>
      </c>
      <c r="B104" t="inlineStr">
        <is>
          <t>D845</t>
        </is>
      </c>
      <c r="C104" t="inlineStr">
        <is>
          <t>66891663</t>
        </is>
      </c>
      <c r="D104" t="inlineStr">
        <is>
          <t>10000617</t>
        </is>
      </c>
      <c r="E104" t="inlineStr"/>
      <c r="F104" s="11" t="n">
        <v>97</v>
      </c>
      <c r="G104" t="inlineStr"/>
      <c r="I104" t="inlineStr">
        <is>
          <t>TN</t>
        </is>
      </c>
      <c r="J104" t="inlineStr"/>
      <c r="K104" t="inlineStr">
        <is>
          <t>20191211</t>
        </is>
      </c>
      <c r="L104" t="inlineStr">
        <is>
          <t>20251031</t>
        </is>
      </c>
    </row>
    <row r="105">
      <c r="A105" t="inlineStr">
        <is>
          <t>900006074</t>
        </is>
      </c>
      <c r="B105" t="inlineStr">
        <is>
          <t>D845</t>
        </is>
      </c>
      <c r="C105" t="inlineStr">
        <is>
          <t>66891663</t>
        </is>
      </c>
      <c r="D105" t="inlineStr">
        <is>
          <t>10000656</t>
        </is>
      </c>
      <c r="E105" t="inlineStr"/>
      <c r="F105" s="11" t="n">
        <v>74</v>
      </c>
      <c r="G105" t="inlineStr"/>
      <c r="I105" t="inlineStr">
        <is>
          <t>TN</t>
        </is>
      </c>
      <c r="J105" t="inlineStr"/>
      <c r="K105" t="inlineStr">
        <is>
          <t>20191211</t>
        </is>
      </c>
      <c r="L105" t="inlineStr">
        <is>
          <t>20251031</t>
        </is>
      </c>
    </row>
    <row r="106">
      <c r="A106" t="inlineStr">
        <is>
          <t>900006074</t>
        </is>
      </c>
      <c r="B106" t="inlineStr">
        <is>
          <t>D845</t>
        </is>
      </c>
      <c r="C106" t="inlineStr">
        <is>
          <t>66891663</t>
        </is>
      </c>
      <c r="D106" t="inlineStr">
        <is>
          <t>10167749</t>
        </is>
      </c>
      <c r="E106" t="inlineStr"/>
      <c r="F106" s="11" t="n">
        <v>82</v>
      </c>
      <c r="G106" t="inlineStr"/>
      <c r="I106" t="inlineStr">
        <is>
          <t>TN</t>
        </is>
      </c>
      <c r="J106" t="inlineStr"/>
      <c r="K106" t="inlineStr">
        <is>
          <t>20191211</t>
        </is>
      </c>
      <c r="L106" t="inlineStr">
        <is>
          <t>20251031</t>
        </is>
      </c>
    </row>
    <row r="107">
      <c r="A107" t="inlineStr">
        <is>
          <t>900006074</t>
        </is>
      </c>
      <c r="B107" t="inlineStr">
        <is>
          <t>D845</t>
        </is>
      </c>
      <c r="C107" t="inlineStr">
        <is>
          <t>66985190</t>
        </is>
      </c>
      <c r="D107" t="inlineStr">
        <is>
          <t>10000403</t>
        </is>
      </c>
      <c r="E107" t="inlineStr"/>
      <c r="F107" s="11" t="n">
        <v>144.5</v>
      </c>
      <c r="G107" t="inlineStr"/>
      <c r="I107" t="inlineStr">
        <is>
          <t>TN</t>
        </is>
      </c>
      <c r="J107" t="inlineStr"/>
      <c r="K107" t="inlineStr">
        <is>
          <t>20191211</t>
        </is>
      </c>
      <c r="L107" t="inlineStr">
        <is>
          <t>20251031</t>
        </is>
      </c>
    </row>
    <row r="108">
      <c r="A108" t="inlineStr">
        <is>
          <t>900006074</t>
        </is>
      </c>
      <c r="B108" t="inlineStr">
        <is>
          <t>D845</t>
        </is>
      </c>
      <c r="C108" t="inlineStr">
        <is>
          <t>66985190</t>
        </is>
      </c>
      <c r="D108" t="inlineStr">
        <is>
          <t>10000536</t>
        </is>
      </c>
      <c r="E108" t="inlineStr"/>
      <c r="F108" s="11" t="n">
        <v>144.5</v>
      </c>
      <c r="G108" t="inlineStr"/>
      <c r="I108" t="inlineStr">
        <is>
          <t>TN</t>
        </is>
      </c>
      <c r="J108" t="inlineStr"/>
      <c r="K108" t="inlineStr">
        <is>
          <t>20191211</t>
        </is>
      </c>
      <c r="L108" t="inlineStr">
        <is>
          <t>20251031</t>
        </is>
      </c>
    </row>
    <row r="109">
      <c r="A109" t="inlineStr">
        <is>
          <t>900006074</t>
        </is>
      </c>
      <c r="B109" t="inlineStr">
        <is>
          <t>D845</t>
        </is>
      </c>
      <c r="C109" t="inlineStr">
        <is>
          <t>66985190</t>
        </is>
      </c>
      <c r="D109" t="inlineStr">
        <is>
          <t>10000578</t>
        </is>
      </c>
      <c r="E109" t="inlineStr"/>
      <c r="F109" s="11" t="n">
        <v>144.5</v>
      </c>
      <c r="G109" t="inlineStr"/>
      <c r="I109" t="inlineStr">
        <is>
          <t>TN</t>
        </is>
      </c>
      <c r="J109" t="inlineStr"/>
      <c r="K109" t="inlineStr">
        <is>
          <t>20191211</t>
        </is>
      </c>
      <c r="L109" t="inlineStr">
        <is>
          <t>20251031</t>
        </is>
      </c>
    </row>
    <row r="110">
      <c r="A110" t="inlineStr">
        <is>
          <t>900006074</t>
        </is>
      </c>
      <c r="B110" t="inlineStr">
        <is>
          <t>D845</t>
        </is>
      </c>
      <c r="C110" t="inlineStr">
        <is>
          <t>66985190</t>
        </is>
      </c>
      <c r="D110" t="inlineStr">
        <is>
          <t>10000617</t>
        </is>
      </c>
      <c r="E110" t="inlineStr"/>
      <c r="F110" s="11" t="n">
        <v>155.5</v>
      </c>
      <c r="G110" t="inlineStr"/>
      <c r="I110" t="inlineStr">
        <is>
          <t>TN</t>
        </is>
      </c>
      <c r="J110" t="inlineStr"/>
      <c r="K110" t="inlineStr">
        <is>
          <t>20191211</t>
        </is>
      </c>
      <c r="L110" t="inlineStr">
        <is>
          <t>20251031</t>
        </is>
      </c>
    </row>
    <row r="111">
      <c r="A111" t="inlineStr">
        <is>
          <t>900006074</t>
        </is>
      </c>
      <c r="B111" t="inlineStr">
        <is>
          <t>D845</t>
        </is>
      </c>
      <c r="C111" t="inlineStr">
        <is>
          <t>66985190</t>
        </is>
      </c>
      <c r="D111" t="inlineStr">
        <is>
          <t>10000656</t>
        </is>
      </c>
      <c r="E111" t="inlineStr"/>
      <c r="F111" s="11" t="n">
        <v>153.5</v>
      </c>
      <c r="G111" t="inlineStr"/>
      <c r="I111" t="inlineStr">
        <is>
          <t>TN</t>
        </is>
      </c>
      <c r="J111" t="inlineStr"/>
      <c r="K111" t="inlineStr">
        <is>
          <t>20191211</t>
        </is>
      </c>
      <c r="L111" t="inlineStr">
        <is>
          <t>20251031</t>
        </is>
      </c>
    </row>
    <row r="112">
      <c r="A112" t="inlineStr">
        <is>
          <t>900006074</t>
        </is>
      </c>
      <c r="B112" t="inlineStr">
        <is>
          <t>D845</t>
        </is>
      </c>
      <c r="C112" t="inlineStr">
        <is>
          <t>66985190</t>
        </is>
      </c>
      <c r="D112" t="inlineStr">
        <is>
          <t>10167749</t>
        </is>
      </c>
      <c r="E112" t="inlineStr"/>
      <c r="F112" s="11" t="n">
        <v>148.5</v>
      </c>
      <c r="G112" t="inlineStr"/>
      <c r="I112" t="inlineStr">
        <is>
          <t>TN</t>
        </is>
      </c>
      <c r="J112" t="inlineStr"/>
      <c r="K112" t="inlineStr">
        <is>
          <t>20191211</t>
        </is>
      </c>
      <c r="L112" t="inlineStr">
        <is>
          <t>20251031</t>
        </is>
      </c>
    </row>
    <row r="113">
      <c r="A113" t="inlineStr">
        <is>
          <t>900006074</t>
        </is>
      </c>
      <c r="B113" t="inlineStr">
        <is>
          <t>D845</t>
        </is>
      </c>
      <c r="C113" t="inlineStr">
        <is>
          <t>66998149</t>
        </is>
      </c>
      <c r="D113" t="inlineStr">
        <is>
          <t>10000617</t>
        </is>
      </c>
      <c r="E113" t="inlineStr"/>
      <c r="F113" s="11" t="n">
        <v>118.84</v>
      </c>
      <c r="G113" t="inlineStr"/>
      <c r="I113" t="inlineStr">
        <is>
          <t>TN</t>
        </is>
      </c>
      <c r="J113" t="inlineStr"/>
      <c r="K113" t="inlineStr">
        <is>
          <t>20191211</t>
        </is>
      </c>
      <c r="L113" t="inlineStr">
        <is>
          <t>20251031</t>
        </is>
      </c>
    </row>
    <row r="114">
      <c r="A114" t="inlineStr">
        <is>
          <t>900006074</t>
        </is>
      </c>
      <c r="B114" t="inlineStr">
        <is>
          <t>D845</t>
        </is>
      </c>
      <c r="C114" t="inlineStr">
        <is>
          <t>66998149</t>
        </is>
      </c>
      <c r="D114" t="inlineStr">
        <is>
          <t>10000656</t>
        </is>
      </c>
      <c r="E114" t="inlineStr"/>
      <c r="F114" s="11" t="n">
        <v>116.6</v>
      </c>
      <c r="G114" t="inlineStr"/>
      <c r="I114" t="inlineStr">
        <is>
          <t>TN</t>
        </is>
      </c>
      <c r="J114" t="inlineStr"/>
      <c r="K114" t="inlineStr">
        <is>
          <t>20191211</t>
        </is>
      </c>
      <c r="L114" t="inlineStr">
        <is>
          <t>20251031</t>
        </is>
      </c>
    </row>
    <row r="115">
      <c r="A115" t="inlineStr">
        <is>
          <t>900006074</t>
        </is>
      </c>
      <c r="B115" t="inlineStr">
        <is>
          <t>D845</t>
        </is>
      </c>
      <c r="C115" t="inlineStr">
        <is>
          <t>66998149</t>
        </is>
      </c>
      <c r="D115" t="inlineStr">
        <is>
          <t>10167749</t>
        </is>
      </c>
      <c r="E115" t="inlineStr"/>
      <c r="F115" s="11" t="n">
        <v>101</v>
      </c>
      <c r="G115" t="inlineStr"/>
      <c r="I115" t="inlineStr">
        <is>
          <t>TN</t>
        </is>
      </c>
      <c r="J115" t="inlineStr"/>
      <c r="K115" t="inlineStr">
        <is>
          <t>20191211</t>
        </is>
      </c>
      <c r="L115" t="inlineStr">
        <is>
          <t>20251031</t>
        </is>
      </c>
    </row>
    <row r="116">
      <c r="A116" t="inlineStr">
        <is>
          <t>900006074</t>
        </is>
      </c>
      <c r="B116" t="inlineStr">
        <is>
          <t>D845</t>
        </is>
      </c>
      <c r="C116" t="inlineStr">
        <is>
          <t>66998149</t>
        </is>
      </c>
      <c r="D116" t="inlineStr">
        <is>
          <t>10178270</t>
        </is>
      </c>
      <c r="E116" t="inlineStr"/>
      <c r="F116" s="11" t="n">
        <v>79</v>
      </c>
      <c r="G116" t="inlineStr"/>
      <c r="I116" t="inlineStr">
        <is>
          <t>TN</t>
        </is>
      </c>
      <c r="J116" t="inlineStr"/>
      <c r="K116" t="inlineStr">
        <is>
          <t>20191211</t>
        </is>
      </c>
      <c r="L116" t="inlineStr">
        <is>
          <t>20251031</t>
        </is>
      </c>
    </row>
    <row r="117">
      <c r="A117" t="inlineStr">
        <is>
          <t>900006074</t>
        </is>
      </c>
      <c r="B117" t="inlineStr">
        <is>
          <t>D845</t>
        </is>
      </c>
      <c r="C117" t="inlineStr">
        <is>
          <t>67059505</t>
        </is>
      </c>
      <c r="D117" t="inlineStr">
        <is>
          <t>10000578</t>
        </is>
      </c>
      <c r="E117" t="inlineStr"/>
      <c r="F117" s="11" t="n">
        <v>158</v>
      </c>
      <c r="G117" t="inlineStr"/>
      <c r="I117" t="inlineStr">
        <is>
          <t>TN</t>
        </is>
      </c>
      <c r="J117" t="inlineStr"/>
      <c r="K117" t="inlineStr">
        <is>
          <t>20191211</t>
        </is>
      </c>
      <c r="L117" t="inlineStr">
        <is>
          <t>20251031</t>
        </is>
      </c>
    </row>
    <row r="118">
      <c r="A118" t="inlineStr">
        <is>
          <t>900006074</t>
        </is>
      </c>
      <c r="B118" t="inlineStr">
        <is>
          <t>D845</t>
        </is>
      </c>
      <c r="C118" t="inlineStr">
        <is>
          <t>67059505</t>
        </is>
      </c>
      <c r="D118" t="inlineStr">
        <is>
          <t>10000617</t>
        </is>
      </c>
      <c r="E118" t="inlineStr"/>
      <c r="F118" s="11" t="n">
        <v>168</v>
      </c>
      <c r="G118" t="inlineStr"/>
      <c r="I118" t="inlineStr">
        <is>
          <t>TN</t>
        </is>
      </c>
      <c r="J118" t="inlineStr"/>
      <c r="K118" t="inlineStr">
        <is>
          <t>20191211</t>
        </is>
      </c>
      <c r="L118" t="inlineStr">
        <is>
          <t>20251031</t>
        </is>
      </c>
    </row>
    <row r="119">
      <c r="A119" t="inlineStr">
        <is>
          <t>900006074</t>
        </is>
      </c>
      <c r="B119" t="inlineStr">
        <is>
          <t>D845</t>
        </is>
      </c>
      <c r="C119" t="inlineStr">
        <is>
          <t>67059505</t>
        </is>
      </c>
      <c r="D119" t="inlineStr">
        <is>
          <t>10000656</t>
        </is>
      </c>
      <c r="E119" t="inlineStr"/>
      <c r="F119" s="11" t="n">
        <v>166</v>
      </c>
      <c r="G119" t="inlineStr"/>
      <c r="I119" t="inlineStr">
        <is>
          <t>TN</t>
        </is>
      </c>
      <c r="J119" t="inlineStr"/>
      <c r="K119" t="inlineStr">
        <is>
          <t>20191211</t>
        </is>
      </c>
      <c r="L119" t="inlineStr">
        <is>
          <t>20251031</t>
        </is>
      </c>
    </row>
    <row r="120">
      <c r="A120" t="inlineStr">
        <is>
          <t>900006074</t>
        </is>
      </c>
      <c r="B120" t="inlineStr">
        <is>
          <t>D845</t>
        </is>
      </c>
      <c r="C120" t="inlineStr">
        <is>
          <t>67082379</t>
        </is>
      </c>
      <c r="D120" t="inlineStr">
        <is>
          <t>10000536</t>
        </is>
      </c>
      <c r="E120" t="inlineStr"/>
      <c r="F120" s="11" t="n">
        <v>133</v>
      </c>
      <c r="G120" t="inlineStr"/>
      <c r="I120" t="inlineStr">
        <is>
          <t>TN</t>
        </is>
      </c>
      <c r="J120" t="inlineStr"/>
      <c r="K120" t="inlineStr">
        <is>
          <t>20191211</t>
        </is>
      </c>
      <c r="L120" t="inlineStr">
        <is>
          <t>20251031</t>
        </is>
      </c>
    </row>
    <row r="121">
      <c r="A121" t="inlineStr">
        <is>
          <t>900006074</t>
        </is>
      </c>
      <c r="B121" t="inlineStr">
        <is>
          <t>D845</t>
        </is>
      </c>
      <c r="C121" t="inlineStr">
        <is>
          <t>67082379</t>
        </is>
      </c>
      <c r="D121" t="inlineStr">
        <is>
          <t>10000578</t>
        </is>
      </c>
      <c r="E121" t="inlineStr"/>
      <c r="F121" s="11" t="n">
        <v>133</v>
      </c>
      <c r="G121" t="inlineStr"/>
      <c r="I121" t="inlineStr">
        <is>
          <t>TN</t>
        </is>
      </c>
      <c r="J121" t="inlineStr"/>
      <c r="K121" t="inlineStr">
        <is>
          <t>20191211</t>
        </is>
      </c>
      <c r="L121" t="inlineStr">
        <is>
          <t>20251031</t>
        </is>
      </c>
    </row>
    <row r="122">
      <c r="A122" t="inlineStr">
        <is>
          <t>900006074</t>
        </is>
      </c>
      <c r="B122" t="inlineStr">
        <is>
          <t>D845</t>
        </is>
      </c>
      <c r="C122" t="inlineStr">
        <is>
          <t>67082379</t>
        </is>
      </c>
      <c r="D122" t="inlineStr">
        <is>
          <t>10000617</t>
        </is>
      </c>
      <c r="E122" t="inlineStr"/>
      <c r="F122" s="11" t="n">
        <v>143</v>
      </c>
      <c r="G122" t="inlineStr"/>
      <c r="I122" t="inlineStr">
        <is>
          <t>TN</t>
        </is>
      </c>
      <c r="J122" t="inlineStr"/>
      <c r="K122" t="inlineStr">
        <is>
          <t>20191211</t>
        </is>
      </c>
      <c r="L122" t="inlineStr">
        <is>
          <t>20251031</t>
        </is>
      </c>
    </row>
    <row r="123">
      <c r="A123" t="inlineStr">
        <is>
          <t>900006074</t>
        </is>
      </c>
      <c r="B123" t="inlineStr">
        <is>
          <t>D845</t>
        </is>
      </c>
      <c r="C123" t="inlineStr">
        <is>
          <t>67082379</t>
        </is>
      </c>
      <c r="D123" t="inlineStr">
        <is>
          <t>10000656</t>
        </is>
      </c>
      <c r="E123" t="inlineStr"/>
      <c r="F123" s="11" t="n">
        <v>141</v>
      </c>
      <c r="G123" t="inlineStr"/>
      <c r="I123" t="inlineStr">
        <is>
          <t>TN</t>
        </is>
      </c>
      <c r="J123" t="inlineStr"/>
      <c r="K123" t="inlineStr">
        <is>
          <t>20191211</t>
        </is>
      </c>
      <c r="L123" t="inlineStr">
        <is>
          <t>20251031</t>
        </is>
      </c>
    </row>
    <row r="124">
      <c r="A124" t="inlineStr">
        <is>
          <t>900006074</t>
        </is>
      </c>
      <c r="B124" t="inlineStr">
        <is>
          <t>D845</t>
        </is>
      </c>
      <c r="C124" t="inlineStr">
        <is>
          <t>67128077</t>
        </is>
      </c>
      <c r="D124" t="inlineStr">
        <is>
          <t>10167749</t>
        </is>
      </c>
      <c r="E124" t="inlineStr"/>
      <c r="F124" s="11" t="n">
        <v>140</v>
      </c>
      <c r="G124" t="inlineStr"/>
      <c r="I124" t="inlineStr">
        <is>
          <t>TN</t>
        </is>
      </c>
      <c r="J124" t="inlineStr"/>
      <c r="K124" t="inlineStr">
        <is>
          <t>20191211</t>
        </is>
      </c>
      <c r="L124" t="inlineStr">
        <is>
          <t>20251031</t>
        </is>
      </c>
    </row>
    <row r="125">
      <c r="A125" t="inlineStr">
        <is>
          <t>900006074</t>
        </is>
      </c>
      <c r="B125" t="inlineStr">
        <is>
          <t>D845</t>
        </is>
      </c>
      <c r="C125" t="inlineStr">
        <is>
          <t>67141594</t>
        </is>
      </c>
      <c r="D125" t="inlineStr">
        <is>
          <t>10167749</t>
        </is>
      </c>
      <c r="E125" t="inlineStr"/>
      <c r="F125" s="11" t="n">
        <v>136</v>
      </c>
      <c r="G125" t="inlineStr"/>
      <c r="I125" t="inlineStr">
        <is>
          <t>TN</t>
        </is>
      </c>
      <c r="J125" t="inlineStr"/>
      <c r="K125" t="inlineStr">
        <is>
          <t>20191211</t>
        </is>
      </c>
      <c r="L125" t="inlineStr">
        <is>
          <t>20251031</t>
        </is>
      </c>
    </row>
    <row r="126">
      <c r="A126" t="inlineStr">
        <is>
          <t>900006074</t>
        </is>
      </c>
      <c r="B126" t="inlineStr">
        <is>
          <t>D845</t>
        </is>
      </c>
      <c r="C126" t="inlineStr">
        <is>
          <t>67170282</t>
        </is>
      </c>
      <c r="D126" t="inlineStr">
        <is>
          <t>10167749</t>
        </is>
      </c>
      <c r="E126" t="inlineStr"/>
      <c r="F126" s="11" t="n">
        <v>135</v>
      </c>
      <c r="G126" t="inlineStr"/>
      <c r="I126" t="inlineStr">
        <is>
          <t>TN</t>
        </is>
      </c>
      <c r="J126" t="inlineStr"/>
      <c r="K126" t="inlineStr">
        <is>
          <t>20191211</t>
        </is>
      </c>
      <c r="L126" t="inlineStr">
        <is>
          <t>20251031</t>
        </is>
      </c>
    </row>
    <row r="127">
      <c r="A127" t="inlineStr">
        <is>
          <t>900006074</t>
        </is>
      </c>
      <c r="B127" t="inlineStr">
        <is>
          <t>D845</t>
        </is>
      </c>
      <c r="C127" t="inlineStr">
        <is>
          <t>67197543</t>
        </is>
      </c>
      <c r="D127" t="inlineStr">
        <is>
          <t>10167749</t>
        </is>
      </c>
      <c r="E127" t="inlineStr"/>
      <c r="F127" s="11" t="n">
        <v>161</v>
      </c>
      <c r="G127" t="inlineStr"/>
      <c r="I127" t="inlineStr">
        <is>
          <t>TN</t>
        </is>
      </c>
      <c r="J127" t="inlineStr"/>
      <c r="K127" t="inlineStr">
        <is>
          <t>20191211</t>
        </is>
      </c>
      <c r="L127" t="inlineStr">
        <is>
          <t>20251031</t>
        </is>
      </c>
    </row>
    <row r="128">
      <c r="A128" t="inlineStr">
        <is>
          <t>900006074</t>
        </is>
      </c>
      <c r="B128" t="inlineStr">
        <is>
          <t>D845</t>
        </is>
      </c>
      <c r="C128" t="inlineStr">
        <is>
          <t>67200086</t>
        </is>
      </c>
      <c r="D128" t="inlineStr">
        <is>
          <t>10000578</t>
        </is>
      </c>
      <c r="E128" t="inlineStr"/>
      <c r="F128" s="11" t="n">
        <v>158</v>
      </c>
      <c r="G128" t="inlineStr"/>
      <c r="I128" t="inlineStr">
        <is>
          <t>TN</t>
        </is>
      </c>
      <c r="J128" t="inlineStr"/>
      <c r="K128" t="inlineStr">
        <is>
          <t>20191211</t>
        </is>
      </c>
      <c r="L128" t="inlineStr">
        <is>
          <t>20251031</t>
        </is>
      </c>
    </row>
    <row r="129">
      <c r="A129" t="inlineStr">
        <is>
          <t>900006074</t>
        </is>
      </c>
      <c r="B129" t="inlineStr">
        <is>
          <t>D845</t>
        </is>
      </c>
      <c r="C129" t="inlineStr">
        <is>
          <t>67200086</t>
        </is>
      </c>
      <c r="D129" t="inlineStr">
        <is>
          <t>10167749</t>
        </is>
      </c>
      <c r="E129" t="inlineStr"/>
      <c r="F129" s="11" t="n">
        <v>161</v>
      </c>
      <c r="G129" t="inlineStr"/>
      <c r="I129" t="inlineStr">
        <is>
          <t>TN</t>
        </is>
      </c>
      <c r="J129" t="inlineStr"/>
      <c r="K129" t="inlineStr">
        <is>
          <t>20191211</t>
        </is>
      </c>
      <c r="L129" t="inlineStr">
        <is>
          <t>20251031</t>
        </is>
      </c>
    </row>
    <row r="130">
      <c r="A130" t="inlineStr">
        <is>
          <t>900006074</t>
        </is>
      </c>
      <c r="B130" t="inlineStr">
        <is>
          <t>D845</t>
        </is>
      </c>
      <c r="C130" t="inlineStr">
        <is>
          <t>67203905</t>
        </is>
      </c>
      <c r="D130" t="inlineStr">
        <is>
          <t>10000578</t>
        </is>
      </c>
      <c r="E130" t="inlineStr"/>
      <c r="F130" s="11" t="n">
        <v>133</v>
      </c>
      <c r="G130" t="inlineStr"/>
      <c r="I130" t="inlineStr">
        <is>
          <t>TN</t>
        </is>
      </c>
      <c r="J130" t="inlineStr"/>
      <c r="K130" t="inlineStr">
        <is>
          <t>20191211</t>
        </is>
      </c>
      <c r="L130" t="inlineStr">
        <is>
          <t>20251031</t>
        </is>
      </c>
    </row>
    <row r="131">
      <c r="A131" t="inlineStr">
        <is>
          <t>900006074</t>
        </is>
      </c>
      <c r="B131" t="inlineStr">
        <is>
          <t>D845</t>
        </is>
      </c>
      <c r="C131" t="inlineStr">
        <is>
          <t>67203905</t>
        </is>
      </c>
      <c r="D131" t="inlineStr">
        <is>
          <t>10000617</t>
        </is>
      </c>
      <c r="E131" t="inlineStr"/>
      <c r="F131" s="11" t="n">
        <v>140</v>
      </c>
      <c r="G131" t="inlineStr"/>
      <c r="I131" t="inlineStr">
        <is>
          <t>TN</t>
        </is>
      </c>
      <c r="J131" t="inlineStr"/>
      <c r="K131" t="inlineStr">
        <is>
          <t>20191211</t>
        </is>
      </c>
      <c r="L131" t="inlineStr">
        <is>
          <t>20251031</t>
        </is>
      </c>
    </row>
    <row r="132">
      <c r="A132" t="inlineStr">
        <is>
          <t>900006074</t>
        </is>
      </c>
      <c r="B132" t="inlineStr">
        <is>
          <t>D845</t>
        </is>
      </c>
      <c r="C132" t="inlineStr">
        <is>
          <t>67203905</t>
        </is>
      </c>
      <c r="D132" t="inlineStr">
        <is>
          <t>10167749</t>
        </is>
      </c>
      <c r="E132" t="inlineStr"/>
      <c r="F132" s="11" t="n">
        <v>135</v>
      </c>
      <c r="G132" t="inlineStr"/>
      <c r="I132" t="inlineStr">
        <is>
          <t>TN</t>
        </is>
      </c>
      <c r="J132" t="inlineStr"/>
      <c r="K132" t="inlineStr">
        <is>
          <t>20191211</t>
        </is>
      </c>
      <c r="L132" t="inlineStr">
        <is>
          <t>20251031</t>
        </is>
      </c>
    </row>
    <row r="133">
      <c r="A133" t="inlineStr">
        <is>
          <t>900006074</t>
        </is>
      </c>
      <c r="B133" t="inlineStr">
        <is>
          <t>D845</t>
        </is>
      </c>
      <c r="C133" t="inlineStr">
        <is>
          <t>67206102</t>
        </is>
      </c>
      <c r="D133" t="inlineStr">
        <is>
          <t>10000536</t>
        </is>
      </c>
      <c r="E133" t="inlineStr"/>
      <c r="F133" s="11" t="n">
        <v>158</v>
      </c>
      <c r="G133" t="inlineStr"/>
      <c r="I133" t="inlineStr">
        <is>
          <t>TN</t>
        </is>
      </c>
      <c r="J133" t="inlineStr"/>
      <c r="K133" t="inlineStr">
        <is>
          <t>20191211</t>
        </is>
      </c>
      <c r="L133" t="inlineStr">
        <is>
          <t>20251031</t>
        </is>
      </c>
    </row>
    <row r="134">
      <c r="A134" t="inlineStr">
        <is>
          <t>900006074</t>
        </is>
      </c>
      <c r="B134" t="inlineStr">
        <is>
          <t>D845</t>
        </is>
      </c>
      <c r="C134" t="inlineStr">
        <is>
          <t>67206102</t>
        </is>
      </c>
      <c r="D134" t="inlineStr">
        <is>
          <t>10000578</t>
        </is>
      </c>
      <c r="E134" t="inlineStr"/>
      <c r="F134" s="11" t="n">
        <v>158</v>
      </c>
      <c r="G134" t="inlineStr"/>
      <c r="I134" t="inlineStr">
        <is>
          <t>TN</t>
        </is>
      </c>
      <c r="J134" t="inlineStr"/>
      <c r="K134" t="inlineStr">
        <is>
          <t>20191211</t>
        </is>
      </c>
      <c r="L134" t="inlineStr">
        <is>
          <t>20251031</t>
        </is>
      </c>
    </row>
    <row r="135">
      <c r="A135" t="inlineStr">
        <is>
          <t>900006074</t>
        </is>
      </c>
      <c r="B135" t="inlineStr">
        <is>
          <t>D845</t>
        </is>
      </c>
      <c r="C135" t="inlineStr">
        <is>
          <t>67206102</t>
        </is>
      </c>
      <c r="D135" t="inlineStr">
        <is>
          <t>10000617</t>
        </is>
      </c>
      <c r="E135" t="inlineStr"/>
      <c r="F135" s="11" t="n">
        <v>168</v>
      </c>
      <c r="G135" t="inlineStr"/>
      <c r="I135" t="inlineStr">
        <is>
          <t>TN</t>
        </is>
      </c>
      <c r="J135" t="inlineStr"/>
      <c r="K135" t="inlineStr">
        <is>
          <t>20191211</t>
        </is>
      </c>
      <c r="L135" t="inlineStr">
        <is>
          <t>20251031</t>
        </is>
      </c>
    </row>
    <row r="136">
      <c r="A136" t="inlineStr">
        <is>
          <t>900006074</t>
        </is>
      </c>
      <c r="B136" t="inlineStr">
        <is>
          <t>D845</t>
        </is>
      </c>
      <c r="C136" t="inlineStr">
        <is>
          <t>67206102</t>
        </is>
      </c>
      <c r="D136" t="inlineStr">
        <is>
          <t>10000656</t>
        </is>
      </c>
      <c r="E136" t="inlineStr"/>
      <c r="F136" s="11" t="n">
        <v>166</v>
      </c>
      <c r="G136" t="inlineStr"/>
      <c r="I136" t="inlineStr">
        <is>
          <t>TN</t>
        </is>
      </c>
      <c r="J136" t="inlineStr"/>
      <c r="K136" t="inlineStr">
        <is>
          <t>20191211</t>
        </is>
      </c>
      <c r="L136" t="inlineStr">
        <is>
          <t>20251031</t>
        </is>
      </c>
    </row>
    <row r="137">
      <c r="A137" t="inlineStr">
        <is>
          <t>900006074</t>
        </is>
      </c>
      <c r="B137" t="inlineStr">
        <is>
          <t>D845</t>
        </is>
      </c>
      <c r="C137" t="inlineStr">
        <is>
          <t>67230766</t>
        </is>
      </c>
      <c r="D137" t="inlineStr">
        <is>
          <t>10058501</t>
        </is>
      </c>
      <c r="E137" t="inlineStr"/>
      <c r="F137" s="11" t="n">
        <v>151</v>
      </c>
      <c r="G137" t="inlineStr"/>
      <c r="I137" t="inlineStr">
        <is>
          <t>TN</t>
        </is>
      </c>
      <c r="J137" t="inlineStr"/>
      <c r="K137" t="inlineStr">
        <is>
          <t>20191211</t>
        </is>
      </c>
      <c r="L137" t="inlineStr">
        <is>
          <t>20251031</t>
        </is>
      </c>
    </row>
    <row r="138">
      <c r="A138" t="inlineStr">
        <is>
          <t>900006074</t>
        </is>
      </c>
      <c r="B138" t="inlineStr">
        <is>
          <t>D845</t>
        </is>
      </c>
      <c r="C138" t="inlineStr">
        <is>
          <t>67230766</t>
        </is>
      </c>
      <c r="D138" t="inlineStr">
        <is>
          <t>10167749</t>
        </is>
      </c>
      <c r="E138" t="inlineStr"/>
      <c r="F138" s="11" t="n">
        <v>161</v>
      </c>
      <c r="G138" t="inlineStr"/>
      <c r="I138" t="inlineStr">
        <is>
          <t>TN</t>
        </is>
      </c>
      <c r="J138" t="inlineStr"/>
      <c r="K138" t="inlineStr">
        <is>
          <t>20191211</t>
        </is>
      </c>
      <c r="L138" t="inlineStr">
        <is>
          <t>20251031</t>
        </is>
      </c>
    </row>
    <row r="139">
      <c r="A139" t="inlineStr">
        <is>
          <t>900006074</t>
        </is>
      </c>
      <c r="B139" t="inlineStr">
        <is>
          <t>D845</t>
        </is>
      </c>
      <c r="C139" t="inlineStr">
        <is>
          <t>67231138</t>
        </is>
      </c>
      <c r="D139" t="inlineStr">
        <is>
          <t>10058501</t>
        </is>
      </c>
      <c r="E139" t="inlineStr"/>
      <c r="F139" s="11" t="n">
        <v>151</v>
      </c>
      <c r="G139" t="inlineStr"/>
      <c r="I139" t="inlineStr">
        <is>
          <t>TN</t>
        </is>
      </c>
      <c r="J139" t="inlineStr"/>
      <c r="K139" t="inlineStr">
        <is>
          <t>20191211</t>
        </is>
      </c>
      <c r="L139" t="inlineStr">
        <is>
          <t>20251031</t>
        </is>
      </c>
    </row>
    <row r="140">
      <c r="A140" t="inlineStr">
        <is>
          <t>900006074</t>
        </is>
      </c>
      <c r="B140" t="inlineStr">
        <is>
          <t>D845</t>
        </is>
      </c>
      <c r="C140" t="inlineStr">
        <is>
          <t>67231138</t>
        </is>
      </c>
      <c r="D140" t="inlineStr">
        <is>
          <t>10167749</t>
        </is>
      </c>
      <c r="E140" t="inlineStr"/>
      <c r="F140" s="11" t="n">
        <v>161</v>
      </c>
      <c r="G140" t="inlineStr"/>
      <c r="I140" t="inlineStr">
        <is>
          <t>TN</t>
        </is>
      </c>
      <c r="J140" t="inlineStr"/>
      <c r="K140" t="inlineStr">
        <is>
          <t>20191211</t>
        </is>
      </c>
      <c r="L140" t="inlineStr">
        <is>
          <t>20251031</t>
        </is>
      </c>
    </row>
    <row r="141">
      <c r="A141" t="inlineStr">
        <is>
          <t>900006074</t>
        </is>
      </c>
      <c r="B141" t="inlineStr">
        <is>
          <t>D845</t>
        </is>
      </c>
      <c r="C141" t="inlineStr">
        <is>
          <t>67241102</t>
        </is>
      </c>
      <c r="D141" t="inlineStr">
        <is>
          <t>10167749</t>
        </is>
      </c>
      <c r="E141" t="inlineStr"/>
      <c r="F141" s="11" t="n">
        <v>177</v>
      </c>
      <c r="G141" t="inlineStr"/>
      <c r="I141" t="inlineStr">
        <is>
          <t>TN</t>
        </is>
      </c>
      <c r="J141" t="inlineStr"/>
      <c r="K141" t="inlineStr">
        <is>
          <t>20191211</t>
        </is>
      </c>
      <c r="L141" t="inlineStr">
        <is>
          <t>20251031</t>
        </is>
      </c>
    </row>
    <row r="142">
      <c r="A142" t="inlineStr">
        <is>
          <t>900006074</t>
        </is>
      </c>
      <c r="B142" t="inlineStr">
        <is>
          <t>D845</t>
        </is>
      </c>
      <c r="C142" t="inlineStr">
        <is>
          <t>67277494</t>
        </is>
      </c>
      <c r="D142" t="inlineStr">
        <is>
          <t>10000617</t>
        </is>
      </c>
      <c r="E142" t="inlineStr"/>
      <c r="F142" s="11" t="n">
        <v>173</v>
      </c>
      <c r="G142" t="inlineStr"/>
      <c r="I142" t="inlineStr">
        <is>
          <t>TN</t>
        </is>
      </c>
      <c r="J142" t="inlineStr"/>
      <c r="K142" t="inlineStr">
        <is>
          <t>20191211</t>
        </is>
      </c>
      <c r="L142" t="inlineStr">
        <is>
          <t>20251031</t>
        </is>
      </c>
    </row>
    <row r="143">
      <c r="A143" t="inlineStr">
        <is>
          <t>900006074</t>
        </is>
      </c>
      <c r="B143" t="inlineStr">
        <is>
          <t>D845</t>
        </is>
      </c>
      <c r="C143" t="inlineStr">
        <is>
          <t>67277494</t>
        </is>
      </c>
      <c r="D143" t="inlineStr">
        <is>
          <t>10167749</t>
        </is>
      </c>
      <c r="E143" t="inlineStr"/>
      <c r="F143" s="11" t="n">
        <v>165</v>
      </c>
      <c r="G143" t="inlineStr"/>
      <c r="I143" t="inlineStr">
        <is>
          <t>TN</t>
        </is>
      </c>
      <c r="J143" t="inlineStr"/>
      <c r="K143" t="inlineStr">
        <is>
          <t>20191211</t>
        </is>
      </c>
      <c r="L143" t="inlineStr">
        <is>
          <t>20251031</t>
        </is>
      </c>
    </row>
    <row r="144">
      <c r="A144" t="inlineStr">
        <is>
          <t>900006074</t>
        </is>
      </c>
      <c r="B144" t="inlineStr">
        <is>
          <t>D845</t>
        </is>
      </c>
      <c r="C144" t="inlineStr">
        <is>
          <t>67283375</t>
        </is>
      </c>
      <c r="D144" t="inlineStr">
        <is>
          <t>10167749</t>
        </is>
      </c>
      <c r="E144" t="inlineStr"/>
      <c r="F144" s="11" t="n">
        <v>161</v>
      </c>
      <c r="G144" t="inlineStr"/>
      <c r="I144" t="inlineStr">
        <is>
          <t>TN</t>
        </is>
      </c>
      <c r="J144" t="inlineStr"/>
      <c r="K144" t="inlineStr">
        <is>
          <t>20191211</t>
        </is>
      </c>
      <c r="L144" t="inlineStr">
        <is>
          <t>20251031</t>
        </is>
      </c>
    </row>
    <row r="145">
      <c r="A145" t="inlineStr">
        <is>
          <t>900006074</t>
        </is>
      </c>
      <c r="B145" t="inlineStr">
        <is>
          <t>D845</t>
        </is>
      </c>
      <c r="C145" t="inlineStr">
        <is>
          <t>67283393</t>
        </is>
      </c>
      <c r="D145" t="inlineStr">
        <is>
          <t>10058501</t>
        </is>
      </c>
      <c r="E145" t="inlineStr"/>
      <c r="F145" s="11" t="n">
        <v>158</v>
      </c>
      <c r="G145" t="inlineStr"/>
      <c r="I145" t="inlineStr">
        <is>
          <t>TN</t>
        </is>
      </c>
      <c r="J145" t="inlineStr"/>
      <c r="K145" t="inlineStr">
        <is>
          <t>20191211</t>
        </is>
      </c>
      <c r="L145" t="inlineStr">
        <is>
          <t>20251031</t>
        </is>
      </c>
    </row>
    <row r="146">
      <c r="A146" t="inlineStr">
        <is>
          <t>900006074</t>
        </is>
      </c>
      <c r="B146" t="inlineStr">
        <is>
          <t>D845</t>
        </is>
      </c>
      <c r="C146" t="inlineStr">
        <is>
          <t>67307402</t>
        </is>
      </c>
      <c r="D146" t="inlineStr">
        <is>
          <t>10000536</t>
        </is>
      </c>
      <c r="E146" t="inlineStr"/>
      <c r="F146" s="11" t="n">
        <v>198</v>
      </c>
      <c r="G146" t="inlineStr"/>
      <c r="I146" t="inlineStr">
        <is>
          <t>TN</t>
        </is>
      </c>
      <c r="J146" t="inlineStr"/>
      <c r="K146" t="inlineStr">
        <is>
          <t>20191211</t>
        </is>
      </c>
      <c r="L146" t="inlineStr">
        <is>
          <t>20251031</t>
        </is>
      </c>
    </row>
    <row r="147">
      <c r="A147" t="inlineStr">
        <is>
          <t>900006074</t>
        </is>
      </c>
      <c r="B147" t="inlineStr">
        <is>
          <t>D845</t>
        </is>
      </c>
      <c r="C147" t="inlineStr">
        <is>
          <t>67307402</t>
        </is>
      </c>
      <c r="D147" t="inlineStr">
        <is>
          <t>10167749</t>
        </is>
      </c>
      <c r="E147" t="inlineStr"/>
      <c r="F147" s="11" t="n">
        <v>201</v>
      </c>
      <c r="G147" t="inlineStr"/>
      <c r="I147" t="inlineStr">
        <is>
          <t>TN</t>
        </is>
      </c>
      <c r="J147" t="inlineStr"/>
      <c r="K147" t="inlineStr">
        <is>
          <t>20191211</t>
        </is>
      </c>
      <c r="L147" t="inlineStr">
        <is>
          <t>20251031</t>
        </is>
      </c>
    </row>
    <row r="148">
      <c r="A148" t="inlineStr">
        <is>
          <t>900006074</t>
        </is>
      </c>
      <c r="B148" t="inlineStr">
        <is>
          <t>D845</t>
        </is>
      </c>
      <c r="C148" t="inlineStr">
        <is>
          <t>67318246</t>
        </is>
      </c>
      <c r="D148" t="inlineStr">
        <is>
          <t>10169508</t>
        </is>
      </c>
      <c r="E148" t="inlineStr"/>
      <c r="F148" s="11" t="n">
        <v>194</v>
      </c>
      <c r="G148" t="inlineStr"/>
      <c r="I148" t="inlineStr">
        <is>
          <t>TN</t>
        </is>
      </c>
      <c r="J148" t="inlineStr"/>
      <c r="K148" t="inlineStr">
        <is>
          <t>20191211</t>
        </is>
      </c>
      <c r="L148" t="inlineStr">
        <is>
          <t>20251031</t>
        </is>
      </c>
    </row>
    <row r="149">
      <c r="A149" t="inlineStr">
        <is>
          <t>900006124</t>
        </is>
      </c>
      <c r="B149" t="inlineStr">
        <is>
          <t>D845</t>
        </is>
      </c>
      <c r="C149" t="inlineStr">
        <is>
          <t>66495483</t>
        </is>
      </c>
      <c r="D149" t="inlineStr">
        <is>
          <t>10000337</t>
        </is>
      </c>
      <c r="E149" t="inlineStr"/>
      <c r="F149" s="11" t="n">
        <v>88</v>
      </c>
      <c r="G149" t="inlineStr"/>
      <c r="I149" t="inlineStr">
        <is>
          <t>TN</t>
        </is>
      </c>
      <c r="J149" t="inlineStr"/>
      <c r="K149" t="inlineStr">
        <is>
          <t>20191211</t>
        </is>
      </c>
      <c r="L149" t="inlineStr">
        <is>
          <t>20251031</t>
        </is>
      </c>
    </row>
    <row r="150">
      <c r="A150" t="inlineStr">
        <is>
          <t>900006124</t>
        </is>
      </c>
      <c r="B150" t="inlineStr">
        <is>
          <t>D845</t>
        </is>
      </c>
      <c r="C150" t="inlineStr">
        <is>
          <t>66495483</t>
        </is>
      </c>
      <c r="D150" t="inlineStr">
        <is>
          <t>10000646</t>
        </is>
      </c>
      <c r="E150" t="inlineStr"/>
      <c r="F150" s="11" t="n">
        <v>72</v>
      </c>
      <c r="G150" t="inlineStr"/>
      <c r="I150" t="inlineStr">
        <is>
          <t>TN</t>
        </is>
      </c>
      <c r="J150" t="inlineStr"/>
      <c r="K150" t="inlineStr">
        <is>
          <t>20191211</t>
        </is>
      </c>
      <c r="L150" t="inlineStr">
        <is>
          <t>20251031</t>
        </is>
      </c>
    </row>
    <row r="151">
      <c r="A151" t="inlineStr">
        <is>
          <t>900008838</t>
        </is>
      </c>
      <c r="B151" t="inlineStr">
        <is>
          <t>D845</t>
        </is>
      </c>
      <c r="C151" t="inlineStr">
        <is>
          <t>67241102</t>
        </is>
      </c>
      <c r="D151" t="inlineStr">
        <is>
          <t>10167749</t>
        </is>
      </c>
      <c r="E151" t="inlineStr"/>
      <c r="F151" s="11" t="n">
        <v>187</v>
      </c>
      <c r="G151" t="inlineStr"/>
      <c r="I151" t="inlineStr">
        <is>
          <t>TN</t>
        </is>
      </c>
      <c r="J151" t="inlineStr"/>
      <c r="K151" t="inlineStr">
        <is>
          <t>20191211</t>
        </is>
      </c>
      <c r="L151" t="inlineStr">
        <is>
          <t>20251031</t>
        </is>
      </c>
    </row>
    <row r="152">
      <c r="A152" t="inlineStr">
        <is>
          <t>900009255</t>
        </is>
      </c>
      <c r="B152" t="inlineStr">
        <is>
          <t>D845</t>
        </is>
      </c>
      <c r="C152" t="inlineStr">
        <is>
          <t>67318246</t>
        </is>
      </c>
      <c r="D152" t="inlineStr">
        <is>
          <t>10169508</t>
        </is>
      </c>
      <c r="E152" t="inlineStr"/>
      <c r="F152" s="11" t="n">
        <v>194</v>
      </c>
      <c r="G152" t="inlineStr"/>
      <c r="I152" t="inlineStr">
        <is>
          <t>TN</t>
        </is>
      </c>
      <c r="J152" t="inlineStr"/>
      <c r="K152" t="inlineStr">
        <is>
          <t>20191211</t>
        </is>
      </c>
      <c r="L152" t="inlineStr">
        <is>
          <t>20251031</t>
        </is>
      </c>
    </row>
    <row r="153">
      <c r="A153" t="inlineStr">
        <is>
          <t>900009255</t>
        </is>
      </c>
      <c r="B153" t="inlineStr">
        <is>
          <t>D845</t>
        </is>
      </c>
      <c r="C153" t="inlineStr">
        <is>
          <t>67326642</t>
        </is>
      </c>
      <c r="D153" t="inlineStr">
        <is>
          <t>10000536</t>
        </is>
      </c>
      <c r="E153" t="inlineStr"/>
      <c r="F153" s="11" t="n">
        <v>169</v>
      </c>
      <c r="G153" t="inlineStr"/>
      <c r="I153" t="inlineStr">
        <is>
          <t>TN</t>
        </is>
      </c>
      <c r="J153" t="inlineStr"/>
      <c r="K153" t="inlineStr">
        <is>
          <t>20191211</t>
        </is>
      </c>
      <c r="L153" t="inlineStr">
        <is>
          <t>20251031</t>
        </is>
      </c>
    </row>
    <row r="154">
      <c r="A154" t="inlineStr">
        <is>
          <t>900009255</t>
        </is>
      </c>
      <c r="B154" t="inlineStr">
        <is>
          <t>D845</t>
        </is>
      </c>
      <c r="C154" t="inlineStr">
        <is>
          <t>67326642</t>
        </is>
      </c>
      <c r="D154" t="inlineStr">
        <is>
          <t>10000578</t>
        </is>
      </c>
      <c r="E154" t="inlineStr"/>
      <c r="F154" s="11" t="n">
        <v>169</v>
      </c>
      <c r="G154" t="inlineStr"/>
      <c r="I154" t="inlineStr">
        <is>
          <t>TN</t>
        </is>
      </c>
      <c r="J154" t="inlineStr"/>
      <c r="K154" t="inlineStr">
        <is>
          <t>20191211</t>
        </is>
      </c>
      <c r="L154" t="inlineStr">
        <is>
          <t>20251031</t>
        </is>
      </c>
    </row>
    <row r="155">
      <c r="A155" t="inlineStr">
        <is>
          <t>900009255</t>
        </is>
      </c>
      <c r="B155" t="inlineStr">
        <is>
          <t>D845</t>
        </is>
      </c>
      <c r="C155" t="inlineStr">
        <is>
          <t>67326642</t>
        </is>
      </c>
      <c r="D155" t="inlineStr">
        <is>
          <t>10000617</t>
        </is>
      </c>
      <c r="E155" t="inlineStr"/>
      <c r="F155" s="11" t="n">
        <v>184</v>
      </c>
      <c r="G155" t="inlineStr"/>
      <c r="I155" t="inlineStr">
        <is>
          <t>TN</t>
        </is>
      </c>
      <c r="J155" t="inlineStr"/>
      <c r="K155" t="inlineStr">
        <is>
          <t>20191211</t>
        </is>
      </c>
      <c r="L155" t="inlineStr">
        <is>
          <t>20251031</t>
        </is>
      </c>
    </row>
    <row r="156">
      <c r="A156" t="inlineStr">
        <is>
          <t>900009255</t>
        </is>
      </c>
      <c r="B156" t="inlineStr">
        <is>
          <t>D845</t>
        </is>
      </c>
      <c r="C156" t="inlineStr">
        <is>
          <t>67326642</t>
        </is>
      </c>
      <c r="D156" t="inlineStr">
        <is>
          <t>10000656</t>
        </is>
      </c>
      <c r="E156" t="inlineStr"/>
      <c r="F156" s="11" t="n">
        <v>179</v>
      </c>
      <c r="G156" t="inlineStr"/>
      <c r="I156" t="inlineStr">
        <is>
          <t>TN</t>
        </is>
      </c>
      <c r="J156" t="inlineStr"/>
      <c r="K156" t="inlineStr">
        <is>
          <t>20191211</t>
        </is>
      </c>
      <c r="L156" t="inlineStr">
        <is>
          <t>20251031</t>
        </is>
      </c>
    </row>
    <row r="157">
      <c r="A157" t="inlineStr">
        <is>
          <t>900009255</t>
        </is>
      </c>
      <c r="B157" t="inlineStr">
        <is>
          <t>D845</t>
        </is>
      </c>
      <c r="C157" t="inlineStr">
        <is>
          <t>67326642</t>
        </is>
      </c>
      <c r="D157" t="inlineStr">
        <is>
          <t>10169508</t>
        </is>
      </c>
      <c r="E157" t="inlineStr"/>
      <c r="F157" s="11" t="n">
        <v>194</v>
      </c>
      <c r="G157" t="inlineStr"/>
      <c r="I157" t="inlineStr">
        <is>
          <t>TN</t>
        </is>
      </c>
      <c r="J157" t="inlineStr"/>
      <c r="K157" t="inlineStr">
        <is>
          <t>20191211</t>
        </is>
      </c>
      <c r="L157" t="inlineStr">
        <is>
          <t>20251031</t>
        </is>
      </c>
    </row>
    <row r="158">
      <c r="A158" t="inlineStr">
        <is>
          <t>900003571</t>
        </is>
      </c>
      <c r="B158" t="inlineStr">
        <is>
          <t>D845</t>
        </is>
      </c>
      <c r="C158" t="inlineStr">
        <is>
          <t>66779121</t>
        </is>
      </c>
      <c r="D158" t="inlineStr">
        <is>
          <t>10000536</t>
        </is>
      </c>
      <c r="E158" t="inlineStr"/>
      <c r="F158" s="11" t="n">
        <v>85</v>
      </c>
      <c r="G158" t="inlineStr"/>
      <c r="I158" t="inlineStr">
        <is>
          <t>TN</t>
        </is>
      </c>
      <c r="J158" t="inlineStr"/>
      <c r="K158" t="inlineStr">
        <is>
          <t>20260101</t>
        </is>
      </c>
      <c r="L158" t="inlineStr">
        <is>
          <t>99991231</t>
        </is>
      </c>
    </row>
    <row r="159">
      <c r="A159" t="inlineStr">
        <is>
          <t>900003571</t>
        </is>
      </c>
      <c r="B159" t="inlineStr">
        <is>
          <t>D845</t>
        </is>
      </c>
      <c r="C159" t="inlineStr">
        <is>
          <t>66779121</t>
        </is>
      </c>
      <c r="D159" t="inlineStr">
        <is>
          <t>10000578</t>
        </is>
      </c>
      <c r="E159" t="inlineStr"/>
      <c r="F159" s="11" t="n">
        <v>85</v>
      </c>
      <c r="G159" t="inlineStr"/>
      <c r="I159" t="inlineStr">
        <is>
          <t>TN</t>
        </is>
      </c>
      <c r="J159" t="inlineStr"/>
      <c r="K159" t="inlineStr">
        <is>
          <t>20260101</t>
        </is>
      </c>
      <c r="L159" t="inlineStr">
        <is>
          <t>99991231</t>
        </is>
      </c>
    </row>
    <row r="160">
      <c r="A160" t="inlineStr">
        <is>
          <t>900003571</t>
        </is>
      </c>
      <c r="B160" t="inlineStr">
        <is>
          <t>D845</t>
        </is>
      </c>
      <c r="C160" t="inlineStr">
        <is>
          <t>66779121</t>
        </is>
      </c>
      <c r="D160" t="inlineStr">
        <is>
          <t>10000656</t>
        </is>
      </c>
      <c r="E160" t="inlineStr"/>
      <c r="F160" s="11" t="n">
        <v>84</v>
      </c>
      <c r="G160" t="inlineStr"/>
      <c r="I160" t="inlineStr">
        <is>
          <t>TN</t>
        </is>
      </c>
      <c r="J160" t="inlineStr"/>
      <c r="K160" t="inlineStr">
        <is>
          <t>20260101</t>
        </is>
      </c>
      <c r="L160" t="inlineStr">
        <is>
          <t>99991231</t>
        </is>
      </c>
    </row>
    <row r="161">
      <c r="A161" t="inlineStr">
        <is>
          <t>900003571</t>
        </is>
      </c>
      <c r="B161" t="inlineStr">
        <is>
          <t>D845</t>
        </is>
      </c>
      <c r="C161" t="inlineStr">
        <is>
          <t>66866251</t>
        </is>
      </c>
      <c r="D161" t="inlineStr">
        <is>
          <t>10000617</t>
        </is>
      </c>
      <c r="E161" t="inlineStr"/>
      <c r="F161" s="11" t="n">
        <v>99</v>
      </c>
      <c r="G161" t="inlineStr"/>
      <c r="I161" t="inlineStr">
        <is>
          <t>TN</t>
        </is>
      </c>
      <c r="J161" t="inlineStr"/>
      <c r="K161" t="inlineStr">
        <is>
          <t>20260101</t>
        </is>
      </c>
      <c r="L161" t="inlineStr">
        <is>
          <t>99991231</t>
        </is>
      </c>
    </row>
    <row r="162">
      <c r="A162" t="inlineStr">
        <is>
          <t>900005260</t>
        </is>
      </c>
      <c r="B162" t="inlineStr">
        <is>
          <t>D845</t>
        </is>
      </c>
      <c r="C162" t="inlineStr">
        <is>
          <t>65005139</t>
        </is>
      </c>
      <c r="D162" t="inlineStr">
        <is>
          <t>10058501</t>
        </is>
      </c>
      <c r="E162" t="inlineStr"/>
      <c r="F162" s="11" t="n">
        <v>153</v>
      </c>
      <c r="G162" t="inlineStr"/>
      <c r="I162" t="inlineStr">
        <is>
          <t>TN</t>
        </is>
      </c>
      <c r="J162" t="inlineStr"/>
      <c r="K162" t="inlineStr">
        <is>
          <t>20241029</t>
        </is>
      </c>
      <c r="L162" t="inlineStr">
        <is>
          <t>99991231</t>
        </is>
      </c>
    </row>
    <row r="163">
      <c r="A163" t="inlineStr">
        <is>
          <t>900005260</t>
        </is>
      </c>
      <c r="B163" t="inlineStr">
        <is>
          <t>D845</t>
        </is>
      </c>
      <c r="C163" t="inlineStr">
        <is>
          <t>65005139</t>
        </is>
      </c>
      <c r="D163" t="inlineStr">
        <is>
          <t>10167749</t>
        </is>
      </c>
      <c r="E163" t="inlineStr"/>
      <c r="F163" s="11" t="n">
        <v>193</v>
      </c>
      <c r="G163" t="inlineStr"/>
      <c r="I163" t="inlineStr">
        <is>
          <t>TN</t>
        </is>
      </c>
      <c r="J163" t="inlineStr"/>
      <c r="K163" t="inlineStr">
        <is>
          <t>20250603</t>
        </is>
      </c>
      <c r="L163" t="inlineStr">
        <is>
          <t>99991231</t>
        </is>
      </c>
    </row>
    <row r="164">
      <c r="A164" t="inlineStr">
        <is>
          <t>900005260</t>
        </is>
      </c>
      <c r="B164" t="inlineStr">
        <is>
          <t>D845</t>
        </is>
      </c>
      <c r="C164" t="inlineStr">
        <is>
          <t>65784713</t>
        </is>
      </c>
      <c r="D164" t="inlineStr">
        <is>
          <t>10000617</t>
        </is>
      </c>
      <c r="E164" t="inlineStr"/>
      <c r="F164" s="11" t="n">
        <v>168</v>
      </c>
      <c r="G164" t="inlineStr"/>
      <c r="I164" t="inlineStr">
        <is>
          <t>TN</t>
        </is>
      </c>
      <c r="J164" t="inlineStr"/>
      <c r="K164" t="inlineStr">
        <is>
          <t>20240302</t>
        </is>
      </c>
      <c r="L164" t="inlineStr">
        <is>
          <t>99991231</t>
        </is>
      </c>
    </row>
    <row r="165">
      <c r="A165" t="inlineStr">
        <is>
          <t>900005260</t>
        </is>
      </c>
      <c r="B165" t="inlineStr">
        <is>
          <t>D845</t>
        </is>
      </c>
      <c r="C165" t="inlineStr">
        <is>
          <t>66436427</t>
        </is>
      </c>
      <c r="D165" t="inlineStr">
        <is>
          <t>10000617</t>
        </is>
      </c>
      <c r="E165" t="inlineStr"/>
      <c r="F165" s="11" t="n">
        <v>200</v>
      </c>
      <c r="G165" t="inlineStr"/>
      <c r="I165" t="inlineStr">
        <is>
          <t>TN</t>
        </is>
      </c>
      <c r="J165" t="inlineStr"/>
      <c r="K165" t="inlineStr">
        <is>
          <t>20250409</t>
        </is>
      </c>
      <c r="L165" t="inlineStr">
        <is>
          <t>99991231</t>
        </is>
      </c>
    </row>
    <row r="166">
      <c r="A166" t="inlineStr">
        <is>
          <t>900005260</t>
        </is>
      </c>
      <c r="B166" t="inlineStr">
        <is>
          <t>D845</t>
        </is>
      </c>
      <c r="C166" t="inlineStr">
        <is>
          <t>66436427</t>
        </is>
      </c>
      <c r="D166" t="inlineStr">
        <is>
          <t>10169508</t>
        </is>
      </c>
      <c r="E166" t="inlineStr"/>
      <c r="F166" s="11" t="n">
        <v>205</v>
      </c>
      <c r="G166" t="inlineStr"/>
      <c r="I166" t="inlineStr">
        <is>
          <t>TN</t>
        </is>
      </c>
      <c r="J166" t="inlineStr"/>
      <c r="K166" t="inlineStr">
        <is>
          <t>20250717</t>
        </is>
      </c>
      <c r="L166" t="inlineStr">
        <is>
          <t>99991231</t>
        </is>
      </c>
    </row>
    <row r="167">
      <c r="A167" t="inlineStr">
        <is>
          <t>900005260</t>
        </is>
      </c>
      <c r="B167" t="inlineStr">
        <is>
          <t>D845</t>
        </is>
      </c>
      <c r="C167" t="inlineStr">
        <is>
          <t>67138524</t>
        </is>
      </c>
      <c r="D167" t="inlineStr">
        <is>
          <t>10000578</t>
        </is>
      </c>
      <c r="E167" t="inlineStr"/>
      <c r="F167" s="11" t="n">
        <v>158</v>
      </c>
      <c r="G167" t="inlineStr"/>
      <c r="I167" t="inlineStr">
        <is>
          <t>TN</t>
        </is>
      </c>
      <c r="J167" t="inlineStr"/>
      <c r="K167" t="inlineStr">
        <is>
          <t>20240228</t>
        </is>
      </c>
      <c r="L167" t="inlineStr">
        <is>
          <t>99991231</t>
        </is>
      </c>
    </row>
    <row r="168">
      <c r="A168" t="inlineStr">
        <is>
          <t>900005260</t>
        </is>
      </c>
      <c r="B168" t="inlineStr">
        <is>
          <t>D845</t>
        </is>
      </c>
      <c r="C168" t="inlineStr">
        <is>
          <t>67138524</t>
        </is>
      </c>
      <c r="D168" t="inlineStr">
        <is>
          <t>10000617</t>
        </is>
      </c>
      <c r="E168" t="inlineStr"/>
      <c r="F168" s="11" t="n">
        <v>168</v>
      </c>
      <c r="G168" t="inlineStr"/>
      <c r="I168" t="inlineStr">
        <is>
          <t>TN</t>
        </is>
      </c>
      <c r="J168" t="inlineStr"/>
      <c r="K168" t="inlineStr">
        <is>
          <t>20240302</t>
        </is>
      </c>
      <c r="L168" t="inlineStr">
        <is>
          <t>99991231</t>
        </is>
      </c>
    </row>
    <row r="169">
      <c r="A169" t="inlineStr">
        <is>
          <t>900005260</t>
        </is>
      </c>
      <c r="B169" t="inlineStr">
        <is>
          <t>D845</t>
        </is>
      </c>
      <c r="C169" t="inlineStr">
        <is>
          <t>67169574</t>
        </is>
      </c>
      <c r="D169" t="inlineStr">
        <is>
          <t>10000536</t>
        </is>
      </c>
      <c r="E169" t="inlineStr"/>
      <c r="F169" s="11" t="n">
        <v>190</v>
      </c>
      <c r="G169" t="inlineStr"/>
      <c r="I169" t="inlineStr">
        <is>
          <t>TN</t>
        </is>
      </c>
      <c r="J169" t="inlineStr"/>
      <c r="K169" t="inlineStr">
        <is>
          <t>20250514</t>
        </is>
      </c>
      <c r="L169" t="inlineStr">
        <is>
          <t>99991231</t>
        </is>
      </c>
    </row>
    <row r="170">
      <c r="A170" t="inlineStr">
        <is>
          <t>900005260</t>
        </is>
      </c>
      <c r="B170" t="inlineStr">
        <is>
          <t>D845</t>
        </is>
      </c>
      <c r="C170" t="inlineStr">
        <is>
          <t>67169574</t>
        </is>
      </c>
      <c r="D170" t="inlineStr">
        <is>
          <t>10167749</t>
        </is>
      </c>
      <c r="E170" t="inlineStr"/>
      <c r="F170" s="11" t="n">
        <v>193</v>
      </c>
      <c r="G170" t="inlineStr"/>
      <c r="I170" t="inlineStr">
        <is>
          <t>TN</t>
        </is>
      </c>
      <c r="J170" t="inlineStr"/>
      <c r="K170" t="inlineStr">
        <is>
          <t>20250514</t>
        </is>
      </c>
      <c r="L170" t="inlineStr">
        <is>
          <t>99991231</t>
        </is>
      </c>
    </row>
    <row r="171">
      <c r="A171" t="inlineStr">
        <is>
          <t>900005260</t>
        </is>
      </c>
      <c r="B171" t="inlineStr">
        <is>
          <t>D845</t>
        </is>
      </c>
      <c r="C171" t="inlineStr">
        <is>
          <t>67230766</t>
        </is>
      </c>
      <c r="D171" t="inlineStr">
        <is>
          <t>10167749</t>
        </is>
      </c>
      <c r="E171" t="inlineStr"/>
      <c r="F171" s="11" t="n">
        <v>193</v>
      </c>
      <c r="G171" t="inlineStr"/>
      <c r="I171" t="inlineStr">
        <is>
          <t>TN</t>
        </is>
      </c>
      <c r="J171" t="inlineStr"/>
      <c r="K171" t="inlineStr">
        <is>
          <t>20250227</t>
        </is>
      </c>
      <c r="L171" t="inlineStr">
        <is>
          <t>99991231</t>
        </is>
      </c>
    </row>
    <row r="172">
      <c r="A172" t="inlineStr">
        <is>
          <t>900005260</t>
        </is>
      </c>
      <c r="B172" t="inlineStr">
        <is>
          <t>D845</t>
        </is>
      </c>
      <c r="C172" t="inlineStr">
        <is>
          <t>67231138</t>
        </is>
      </c>
      <c r="D172" t="inlineStr">
        <is>
          <t>10000536</t>
        </is>
      </c>
      <c r="E172" t="inlineStr"/>
      <c r="F172" s="11" t="n">
        <v>190</v>
      </c>
      <c r="G172" t="inlineStr"/>
      <c r="I172" t="inlineStr">
        <is>
          <t>TN</t>
        </is>
      </c>
      <c r="J172" t="inlineStr"/>
      <c r="K172" t="inlineStr">
        <is>
          <t>20250904</t>
        </is>
      </c>
      <c r="L172" t="inlineStr">
        <is>
          <t>99991231</t>
        </is>
      </c>
    </row>
    <row r="173">
      <c r="A173" t="inlineStr">
        <is>
          <t>900005260</t>
        </is>
      </c>
      <c r="B173" t="inlineStr">
        <is>
          <t>D845</t>
        </is>
      </c>
      <c r="C173" t="inlineStr">
        <is>
          <t>67231138</t>
        </is>
      </c>
      <c r="D173" t="inlineStr">
        <is>
          <t>10000617</t>
        </is>
      </c>
      <c r="E173" t="inlineStr"/>
      <c r="F173" s="11" t="n">
        <v>200</v>
      </c>
      <c r="G173" t="inlineStr"/>
      <c r="I173" t="inlineStr">
        <is>
          <t>TN</t>
        </is>
      </c>
      <c r="J173" t="inlineStr"/>
      <c r="K173" t="inlineStr">
        <is>
          <t>20250904</t>
        </is>
      </c>
      <c r="L173" t="inlineStr">
        <is>
          <t>99991231</t>
        </is>
      </c>
    </row>
    <row r="174">
      <c r="A174" t="inlineStr">
        <is>
          <t>900005260</t>
        </is>
      </c>
      <c r="B174" t="inlineStr">
        <is>
          <t>D845</t>
        </is>
      </c>
      <c r="C174" t="inlineStr">
        <is>
          <t>67231138</t>
        </is>
      </c>
      <c r="D174" t="inlineStr">
        <is>
          <t>10167749</t>
        </is>
      </c>
      <c r="E174" t="inlineStr"/>
      <c r="F174" s="11" t="n">
        <v>193</v>
      </c>
      <c r="G174" t="inlineStr"/>
      <c r="I174" t="inlineStr">
        <is>
          <t>TN</t>
        </is>
      </c>
      <c r="J174" t="inlineStr"/>
      <c r="K174" t="inlineStr">
        <is>
          <t>20250904</t>
        </is>
      </c>
      <c r="L174" t="inlineStr">
        <is>
          <t>99991231</t>
        </is>
      </c>
    </row>
    <row r="175">
      <c r="A175" t="inlineStr">
        <is>
          <t>900005260</t>
        </is>
      </c>
      <c r="B175" t="inlineStr">
        <is>
          <t>D845</t>
        </is>
      </c>
      <c r="C175" t="inlineStr">
        <is>
          <t>67241945</t>
        </is>
      </c>
      <c r="D175" t="inlineStr">
        <is>
          <t>10000617</t>
        </is>
      </c>
      <c r="E175" t="inlineStr"/>
      <c r="F175" s="11" t="n">
        <v>200</v>
      </c>
      <c r="G175" t="inlineStr"/>
      <c r="I175" t="inlineStr">
        <is>
          <t>TN</t>
        </is>
      </c>
      <c r="J175" t="inlineStr"/>
      <c r="K175" t="inlineStr">
        <is>
          <t>20250227</t>
        </is>
      </c>
      <c r="L175" t="inlineStr">
        <is>
          <t>99991231</t>
        </is>
      </c>
    </row>
    <row r="176">
      <c r="A176" t="inlineStr">
        <is>
          <t>900005260</t>
        </is>
      </c>
      <c r="B176" t="inlineStr">
        <is>
          <t>D845</t>
        </is>
      </c>
      <c r="C176" t="inlineStr">
        <is>
          <t>67241945</t>
        </is>
      </c>
      <c r="D176" t="inlineStr">
        <is>
          <t>10167749</t>
        </is>
      </c>
      <c r="E176" t="inlineStr"/>
      <c r="F176" s="11" t="n">
        <v>193</v>
      </c>
      <c r="G176" t="inlineStr"/>
      <c r="I176" t="inlineStr">
        <is>
          <t>TN</t>
        </is>
      </c>
      <c r="J176" t="inlineStr"/>
      <c r="K176" t="inlineStr">
        <is>
          <t>20250612</t>
        </is>
      </c>
      <c r="L176" t="inlineStr">
        <is>
          <t>99991231</t>
        </is>
      </c>
    </row>
    <row r="177">
      <c r="A177" t="inlineStr">
        <is>
          <t>900005260</t>
        </is>
      </c>
      <c r="B177" t="inlineStr">
        <is>
          <t>D845</t>
        </is>
      </c>
      <c r="C177" t="inlineStr">
        <is>
          <t>67250991</t>
        </is>
      </c>
      <c r="D177" t="inlineStr">
        <is>
          <t>10000536</t>
        </is>
      </c>
      <c r="E177" t="inlineStr"/>
      <c r="F177" s="11" t="n">
        <v>190</v>
      </c>
      <c r="G177" t="inlineStr"/>
      <c r="I177" t="inlineStr">
        <is>
          <t>TN</t>
        </is>
      </c>
      <c r="J177" t="inlineStr"/>
      <c r="K177" t="inlineStr">
        <is>
          <t>20250515</t>
        </is>
      </c>
      <c r="L177" t="inlineStr">
        <is>
          <t>99991231</t>
        </is>
      </c>
    </row>
    <row r="178">
      <c r="A178" t="inlineStr">
        <is>
          <t>900005260</t>
        </is>
      </c>
      <c r="B178" t="inlineStr">
        <is>
          <t>D845</t>
        </is>
      </c>
      <c r="C178" t="inlineStr">
        <is>
          <t>67283393</t>
        </is>
      </c>
      <c r="D178" t="inlineStr">
        <is>
          <t>10000536</t>
        </is>
      </c>
      <c r="E178" t="inlineStr"/>
      <c r="F178" s="11" t="n">
        <v>193</v>
      </c>
      <c r="G178" t="inlineStr"/>
      <c r="I178" t="inlineStr">
        <is>
          <t>TN</t>
        </is>
      </c>
      <c r="J178" t="inlineStr"/>
      <c r="K178" t="inlineStr">
        <is>
          <t>20250425</t>
        </is>
      </c>
      <c r="L178" t="inlineStr">
        <is>
          <t>99991231</t>
        </is>
      </c>
    </row>
    <row r="179">
      <c r="A179" t="inlineStr">
        <is>
          <t>900005260</t>
        </is>
      </c>
      <c r="B179" t="inlineStr">
        <is>
          <t>D845</t>
        </is>
      </c>
      <c r="C179" t="inlineStr">
        <is>
          <t>67283393</t>
        </is>
      </c>
      <c r="D179" t="inlineStr">
        <is>
          <t>10167749</t>
        </is>
      </c>
      <c r="E179" t="inlineStr"/>
      <c r="F179" s="11" t="n">
        <v>195</v>
      </c>
      <c r="G179" t="inlineStr"/>
      <c r="I179" t="inlineStr">
        <is>
          <t>TN</t>
        </is>
      </c>
      <c r="J179" t="inlineStr"/>
      <c r="K179" t="inlineStr">
        <is>
          <t>20250408</t>
        </is>
      </c>
      <c r="L179" t="inlineStr">
        <is>
          <t>99991231</t>
        </is>
      </c>
    </row>
    <row r="180">
      <c r="A180" t="inlineStr">
        <is>
          <t>900005260</t>
        </is>
      </c>
      <c r="B180" t="inlineStr">
        <is>
          <t>D845</t>
        </is>
      </c>
      <c r="C180" t="inlineStr">
        <is>
          <t>67318568</t>
        </is>
      </c>
      <c r="D180" t="inlineStr">
        <is>
          <t>10000536</t>
        </is>
      </c>
      <c r="E180" t="inlineStr"/>
      <c r="F180" s="11" t="n">
        <v>240</v>
      </c>
      <c r="G180" t="inlineStr"/>
      <c r="I180" t="inlineStr">
        <is>
          <t>TN</t>
        </is>
      </c>
      <c r="J180" t="inlineStr"/>
      <c r="K180" t="inlineStr">
        <is>
          <t>20260216</t>
        </is>
      </c>
      <c r="L180" t="inlineStr">
        <is>
          <t>99991231</t>
        </is>
      </c>
    </row>
    <row r="181">
      <c r="A181" t="inlineStr">
        <is>
          <t>900005260</t>
        </is>
      </c>
      <c r="B181" t="inlineStr">
        <is>
          <t>D845</t>
        </is>
      </c>
      <c r="C181" t="inlineStr">
        <is>
          <t>67318568</t>
        </is>
      </c>
      <c r="D181" t="inlineStr">
        <is>
          <t>10000578</t>
        </is>
      </c>
      <c r="E181" t="inlineStr"/>
      <c r="F181" s="11" t="n">
        <v>240</v>
      </c>
      <c r="G181" t="inlineStr"/>
      <c r="I181" t="inlineStr">
        <is>
          <t>TN</t>
        </is>
      </c>
      <c r="J181" t="inlineStr"/>
      <c r="K181" t="inlineStr">
        <is>
          <t>20260216</t>
        </is>
      </c>
      <c r="L181" t="inlineStr">
        <is>
          <t>99991231</t>
        </is>
      </c>
    </row>
    <row r="182">
      <c r="A182" t="inlineStr">
        <is>
          <t>900005260</t>
        </is>
      </c>
      <c r="B182" t="inlineStr">
        <is>
          <t>D845</t>
        </is>
      </c>
      <c r="C182" t="inlineStr">
        <is>
          <t>67318568</t>
        </is>
      </c>
      <c r="D182" t="inlineStr">
        <is>
          <t>10000617</t>
        </is>
      </c>
      <c r="E182" t="inlineStr"/>
      <c r="F182" s="11" t="n">
        <v>240</v>
      </c>
      <c r="G182" t="inlineStr"/>
      <c r="I182" t="inlineStr">
        <is>
          <t>TN</t>
        </is>
      </c>
      <c r="J182" t="inlineStr"/>
      <c r="K182" t="inlineStr">
        <is>
          <t>20260216</t>
        </is>
      </c>
      <c r="L182" t="inlineStr">
        <is>
          <t>99991231</t>
        </is>
      </c>
    </row>
    <row r="183">
      <c r="A183" t="inlineStr">
        <is>
          <t>900005260</t>
        </is>
      </c>
      <c r="B183" t="inlineStr">
        <is>
          <t>D845</t>
        </is>
      </c>
      <c r="C183" t="inlineStr">
        <is>
          <t>67318568</t>
        </is>
      </c>
      <c r="D183" t="inlineStr">
        <is>
          <t>10000656</t>
        </is>
      </c>
      <c r="E183" t="inlineStr"/>
      <c r="F183" s="11" t="n">
        <v>245</v>
      </c>
      <c r="G183" t="inlineStr"/>
      <c r="I183" t="inlineStr">
        <is>
          <t>TN</t>
        </is>
      </c>
      <c r="J183" t="inlineStr"/>
      <c r="K183" t="inlineStr">
        <is>
          <t>20260216</t>
        </is>
      </c>
      <c r="L183" t="inlineStr">
        <is>
          <t>99991231</t>
        </is>
      </c>
    </row>
    <row r="184">
      <c r="A184" t="inlineStr">
        <is>
          <t>900005260</t>
        </is>
      </c>
      <c r="B184" t="inlineStr">
        <is>
          <t>D845</t>
        </is>
      </c>
      <c r="C184" t="inlineStr">
        <is>
          <t>67318568</t>
        </is>
      </c>
      <c r="D184" t="inlineStr">
        <is>
          <t>10058501</t>
        </is>
      </c>
      <c r="E184" t="inlineStr"/>
      <c r="F184" s="11" t="n">
        <v>218</v>
      </c>
      <c r="G184" t="inlineStr"/>
      <c r="I184" t="inlineStr">
        <is>
          <t>TN</t>
        </is>
      </c>
      <c r="J184" t="inlineStr"/>
      <c r="K184" t="inlineStr">
        <is>
          <t>20260216</t>
        </is>
      </c>
      <c r="L184" t="inlineStr">
        <is>
          <t>99991231</t>
        </is>
      </c>
    </row>
    <row r="185">
      <c r="A185" t="inlineStr">
        <is>
          <t>900005260</t>
        </is>
      </c>
      <c r="B185" t="inlineStr">
        <is>
          <t>D845</t>
        </is>
      </c>
      <c r="C185" t="inlineStr">
        <is>
          <t>67318568</t>
        </is>
      </c>
      <c r="D185" t="inlineStr">
        <is>
          <t>10167749</t>
        </is>
      </c>
      <c r="E185" t="inlineStr"/>
      <c r="F185" s="11" t="n">
        <v>232</v>
      </c>
      <c r="G185" t="inlineStr"/>
      <c r="I185" t="inlineStr">
        <is>
          <t>TN</t>
        </is>
      </c>
      <c r="J185" t="inlineStr"/>
      <c r="K185" t="inlineStr">
        <is>
          <t>20260216</t>
        </is>
      </c>
      <c r="L185" t="inlineStr">
        <is>
          <t>99991231</t>
        </is>
      </c>
    </row>
    <row r="186">
      <c r="A186" t="inlineStr">
        <is>
          <t>900005260</t>
        </is>
      </c>
      <c r="B186" t="inlineStr">
        <is>
          <t>D845</t>
        </is>
      </c>
      <c r="C186" t="inlineStr">
        <is>
          <t>67318568</t>
        </is>
      </c>
      <c r="D186" t="inlineStr">
        <is>
          <t>10169508</t>
        </is>
      </c>
      <c r="E186" t="inlineStr"/>
      <c r="F186" s="11" t="n">
        <v>250</v>
      </c>
      <c r="G186" t="inlineStr"/>
      <c r="I186" t="inlineStr">
        <is>
          <t>TN</t>
        </is>
      </c>
      <c r="J186" t="inlineStr"/>
      <c r="K186" t="inlineStr">
        <is>
          <t>20260216</t>
        </is>
      </c>
      <c r="L186" t="inlineStr">
        <is>
          <t>99991231</t>
        </is>
      </c>
    </row>
    <row r="187">
      <c r="A187" t="inlineStr">
        <is>
          <t>900005260</t>
        </is>
      </c>
      <c r="B187" t="inlineStr">
        <is>
          <t>D845</t>
        </is>
      </c>
      <c r="C187" t="inlineStr">
        <is>
          <t>67348544</t>
        </is>
      </c>
      <c r="D187" t="inlineStr">
        <is>
          <t>10167749</t>
        </is>
      </c>
      <c r="E187" t="inlineStr"/>
      <c r="F187" s="11" t="n">
        <v>202</v>
      </c>
      <c r="G187" t="inlineStr"/>
      <c r="I187" t="inlineStr">
        <is>
          <t>TN</t>
        </is>
      </c>
      <c r="J187" t="inlineStr"/>
      <c r="K187" t="inlineStr">
        <is>
          <t>20251217</t>
        </is>
      </c>
      <c r="L187" t="inlineStr">
        <is>
          <t>99991231</t>
        </is>
      </c>
    </row>
    <row r="188">
      <c r="A188" t="inlineStr">
        <is>
          <t>900005260</t>
        </is>
      </c>
      <c r="B188" t="inlineStr">
        <is>
          <t>D845</t>
        </is>
      </c>
      <c r="C188" t="inlineStr">
        <is>
          <t>67362709</t>
        </is>
      </c>
      <c r="D188" t="inlineStr">
        <is>
          <t>10000536</t>
        </is>
      </c>
      <c r="E188" t="inlineStr"/>
      <c r="F188" s="11" t="n">
        <v>245</v>
      </c>
      <c r="G188" t="inlineStr"/>
      <c r="I188" t="inlineStr">
        <is>
          <t>TN</t>
        </is>
      </c>
      <c r="J188" t="inlineStr"/>
      <c r="K188" t="inlineStr">
        <is>
          <t>20260210</t>
        </is>
      </c>
      <c r="L188" t="inlineStr">
        <is>
          <t>99991231</t>
        </is>
      </c>
    </row>
    <row r="189">
      <c r="A189" t="inlineStr">
        <is>
          <t>900005260</t>
        </is>
      </c>
      <c r="B189" t="inlineStr">
        <is>
          <t>D845</t>
        </is>
      </c>
      <c r="C189" t="inlineStr">
        <is>
          <t>67362709</t>
        </is>
      </c>
      <c r="D189" t="inlineStr">
        <is>
          <t>10000578</t>
        </is>
      </c>
      <c r="E189" t="inlineStr"/>
      <c r="F189" s="11" t="n">
        <v>245</v>
      </c>
      <c r="G189" t="inlineStr"/>
      <c r="I189" t="inlineStr">
        <is>
          <t>TN</t>
        </is>
      </c>
      <c r="J189" t="inlineStr"/>
      <c r="K189" t="inlineStr">
        <is>
          <t>20260210</t>
        </is>
      </c>
      <c r="L189" t="inlineStr">
        <is>
          <t>99991231</t>
        </is>
      </c>
    </row>
    <row r="190">
      <c r="A190" t="inlineStr">
        <is>
          <t>900005260</t>
        </is>
      </c>
      <c r="B190" t="inlineStr">
        <is>
          <t>D845</t>
        </is>
      </c>
      <c r="C190" t="inlineStr">
        <is>
          <t>67362709</t>
        </is>
      </c>
      <c r="D190" t="inlineStr">
        <is>
          <t>10000617</t>
        </is>
      </c>
      <c r="E190" t="inlineStr"/>
      <c r="F190" s="11" t="n">
        <v>245</v>
      </c>
      <c r="G190" t="inlineStr"/>
      <c r="I190" t="inlineStr">
        <is>
          <t>TN</t>
        </is>
      </c>
      <c r="J190" t="inlineStr"/>
      <c r="K190" t="inlineStr">
        <is>
          <t>20260210</t>
        </is>
      </c>
      <c r="L190" t="inlineStr">
        <is>
          <t>99991231</t>
        </is>
      </c>
    </row>
    <row r="191">
      <c r="A191" t="inlineStr">
        <is>
          <t>900005260</t>
        </is>
      </c>
      <c r="B191" t="inlineStr">
        <is>
          <t>D845</t>
        </is>
      </c>
      <c r="C191" t="inlineStr">
        <is>
          <t>67362709</t>
        </is>
      </c>
      <c r="D191" t="inlineStr">
        <is>
          <t>10000656</t>
        </is>
      </c>
      <c r="E191" t="inlineStr"/>
      <c r="F191" s="11" t="n">
        <v>250</v>
      </c>
      <c r="G191" t="inlineStr"/>
      <c r="I191" t="inlineStr">
        <is>
          <t>TN</t>
        </is>
      </c>
      <c r="J191" t="inlineStr"/>
      <c r="K191" t="inlineStr">
        <is>
          <t>20260210</t>
        </is>
      </c>
      <c r="L191" t="inlineStr">
        <is>
          <t>99991231</t>
        </is>
      </c>
    </row>
    <row r="192">
      <c r="A192" t="inlineStr">
        <is>
          <t>900005260</t>
        </is>
      </c>
      <c r="B192" t="inlineStr">
        <is>
          <t>D845</t>
        </is>
      </c>
      <c r="C192" t="inlineStr">
        <is>
          <t>67362709</t>
        </is>
      </c>
      <c r="D192" t="inlineStr">
        <is>
          <t>10038941</t>
        </is>
      </c>
      <c r="E192" t="inlineStr"/>
      <c r="F192" s="11" t="n">
        <v>40</v>
      </c>
      <c r="G192" t="inlineStr"/>
      <c r="I192" t="inlineStr">
        <is>
          <t>TN</t>
        </is>
      </c>
      <c r="J192" t="inlineStr"/>
      <c r="K192" t="inlineStr">
        <is>
          <t>20260210</t>
        </is>
      </c>
      <c r="L192" t="inlineStr">
        <is>
          <t>99991231</t>
        </is>
      </c>
    </row>
    <row r="193">
      <c r="A193" t="inlineStr">
        <is>
          <t>900005260</t>
        </is>
      </c>
      <c r="B193" t="inlineStr">
        <is>
          <t>D845</t>
        </is>
      </c>
      <c r="C193" t="inlineStr">
        <is>
          <t>67362709</t>
        </is>
      </c>
      <c r="D193" t="inlineStr">
        <is>
          <t>10058501</t>
        </is>
      </c>
      <c r="E193" t="inlineStr"/>
      <c r="F193" s="11" t="n">
        <v>223</v>
      </c>
      <c r="G193" t="inlineStr"/>
      <c r="I193" t="inlineStr">
        <is>
          <t>TN</t>
        </is>
      </c>
      <c r="J193" t="inlineStr"/>
      <c r="K193" t="inlineStr">
        <is>
          <t>20260210</t>
        </is>
      </c>
      <c r="L193" t="inlineStr">
        <is>
          <t>99991231</t>
        </is>
      </c>
    </row>
    <row r="194">
      <c r="A194" t="inlineStr">
        <is>
          <t>900005260</t>
        </is>
      </c>
      <c r="B194" t="inlineStr">
        <is>
          <t>D845</t>
        </is>
      </c>
      <c r="C194" t="inlineStr">
        <is>
          <t>67362709</t>
        </is>
      </c>
      <c r="D194" t="inlineStr">
        <is>
          <t>10167749</t>
        </is>
      </c>
      <c r="E194" t="inlineStr"/>
      <c r="F194" s="11" t="n">
        <v>237</v>
      </c>
      <c r="G194" t="inlineStr"/>
      <c r="I194" t="inlineStr">
        <is>
          <t>TN</t>
        </is>
      </c>
      <c r="J194" t="inlineStr"/>
      <c r="K194" t="inlineStr">
        <is>
          <t>20260210</t>
        </is>
      </c>
      <c r="L194" t="inlineStr">
        <is>
          <t>99991231</t>
        </is>
      </c>
    </row>
    <row r="195">
      <c r="A195" t="inlineStr">
        <is>
          <t>900005260</t>
        </is>
      </c>
      <c r="B195" t="inlineStr">
        <is>
          <t>D845</t>
        </is>
      </c>
      <c r="C195" t="inlineStr">
        <is>
          <t>67362709</t>
        </is>
      </c>
      <c r="D195" t="inlineStr">
        <is>
          <t>10169508</t>
        </is>
      </c>
      <c r="E195" t="inlineStr"/>
      <c r="F195" s="11" t="n">
        <v>255</v>
      </c>
      <c r="G195" t="inlineStr"/>
      <c r="I195" t="inlineStr">
        <is>
          <t>TN</t>
        </is>
      </c>
      <c r="J195" t="inlineStr"/>
      <c r="K195" t="inlineStr">
        <is>
          <t>20260210</t>
        </is>
      </c>
      <c r="L195" t="inlineStr">
        <is>
          <t>99991231</t>
        </is>
      </c>
    </row>
    <row r="196">
      <c r="A196" t="inlineStr">
        <is>
          <t>900005260</t>
        </is>
      </c>
      <c r="B196" t="inlineStr">
        <is>
          <t>D845</t>
        </is>
      </c>
      <c r="C196" t="inlineStr">
        <is>
          <t>67362709</t>
        </is>
      </c>
      <c r="D196" t="inlineStr">
        <is>
          <t>10268651</t>
        </is>
      </c>
      <c r="E196" t="inlineStr"/>
      <c r="F196" s="11" t="n">
        <v>215</v>
      </c>
      <c r="G196" t="inlineStr"/>
      <c r="I196" t="inlineStr">
        <is>
          <t>TN</t>
        </is>
      </c>
      <c r="J196" t="inlineStr"/>
      <c r="K196" t="inlineStr">
        <is>
          <t>20260210</t>
        </is>
      </c>
      <c r="L196" t="inlineStr">
        <is>
          <t>99991231</t>
        </is>
      </c>
    </row>
    <row r="197">
      <c r="A197" t="inlineStr">
        <is>
          <t>900005260</t>
        </is>
      </c>
      <c r="B197" t="inlineStr">
        <is>
          <t>D845</t>
        </is>
      </c>
      <c r="C197" t="inlineStr">
        <is>
          <t>67374671</t>
        </is>
      </c>
      <c r="D197" t="inlineStr">
        <is>
          <t>10167749</t>
        </is>
      </c>
      <c r="E197" t="inlineStr"/>
      <c r="F197" s="11" t="n">
        <v>232</v>
      </c>
      <c r="G197" t="inlineStr"/>
      <c r="I197" t="inlineStr">
        <is>
          <t>TN</t>
        </is>
      </c>
      <c r="J197" t="inlineStr"/>
      <c r="K197" t="inlineStr">
        <is>
          <t>20260827</t>
        </is>
      </c>
      <c r="L197" t="inlineStr">
        <is>
          <t>99991231</t>
        </is>
      </c>
    </row>
    <row r="198">
      <c r="A198" t="inlineStr">
        <is>
          <t>900006074</t>
        </is>
      </c>
      <c r="B198" t="inlineStr">
        <is>
          <t>D845</t>
        </is>
      </c>
      <c r="C198" t="inlineStr">
        <is>
          <t>65005139</t>
        </is>
      </c>
      <c r="D198" t="inlineStr">
        <is>
          <t>10000536</t>
        </is>
      </c>
      <c r="E198" t="inlineStr"/>
      <c r="F198" s="11" t="n">
        <v>240</v>
      </c>
      <c r="G198" t="inlineStr"/>
      <c r="I198" t="inlineStr">
        <is>
          <t>TN</t>
        </is>
      </c>
      <c r="J198" t="inlineStr"/>
      <c r="K198" t="inlineStr">
        <is>
          <t>20260212</t>
        </is>
      </c>
      <c r="L198" t="inlineStr">
        <is>
          <t>99991231</t>
        </is>
      </c>
    </row>
    <row r="199">
      <c r="A199" t="inlineStr">
        <is>
          <t>900006074</t>
        </is>
      </c>
      <c r="B199" t="inlineStr">
        <is>
          <t>D845</t>
        </is>
      </c>
      <c r="C199" t="inlineStr">
        <is>
          <t>65005139</t>
        </is>
      </c>
      <c r="D199" t="inlineStr">
        <is>
          <t>10000578</t>
        </is>
      </c>
      <c r="E199" t="inlineStr"/>
      <c r="F199" s="11" t="n">
        <v>240</v>
      </c>
      <c r="G199" t="inlineStr"/>
      <c r="I199" t="inlineStr">
        <is>
          <t>TN</t>
        </is>
      </c>
      <c r="J199" t="inlineStr"/>
      <c r="K199" t="inlineStr">
        <is>
          <t>20260212</t>
        </is>
      </c>
      <c r="L199" t="inlineStr">
        <is>
          <t>99991231</t>
        </is>
      </c>
    </row>
    <row r="200">
      <c r="A200" t="inlineStr">
        <is>
          <t>900006074</t>
        </is>
      </c>
      <c r="B200" t="inlineStr">
        <is>
          <t>D845</t>
        </is>
      </c>
      <c r="C200" t="inlineStr">
        <is>
          <t>65005139</t>
        </is>
      </c>
      <c r="D200" t="inlineStr">
        <is>
          <t>10000617</t>
        </is>
      </c>
      <c r="E200" t="inlineStr"/>
      <c r="F200" s="11" t="n">
        <v>240</v>
      </c>
      <c r="G200" t="inlineStr"/>
      <c r="I200" t="inlineStr">
        <is>
          <t>TN</t>
        </is>
      </c>
      <c r="J200" t="inlineStr"/>
      <c r="K200" t="inlineStr">
        <is>
          <t>20260212</t>
        </is>
      </c>
      <c r="L200" t="inlineStr">
        <is>
          <t>99991231</t>
        </is>
      </c>
    </row>
    <row r="201">
      <c r="A201" t="inlineStr">
        <is>
          <t>900006074</t>
        </is>
      </c>
      <c r="B201" t="inlineStr">
        <is>
          <t>D845</t>
        </is>
      </c>
      <c r="C201" t="inlineStr">
        <is>
          <t>65005139</t>
        </is>
      </c>
      <c r="D201" t="inlineStr">
        <is>
          <t>10000656</t>
        </is>
      </c>
      <c r="E201" t="inlineStr"/>
      <c r="F201" s="11" t="n">
        <v>245</v>
      </c>
      <c r="G201" t="inlineStr"/>
      <c r="I201" t="inlineStr">
        <is>
          <t>TN</t>
        </is>
      </c>
      <c r="J201" t="inlineStr"/>
      <c r="K201" t="inlineStr">
        <is>
          <t>20260212</t>
        </is>
      </c>
      <c r="L201" t="inlineStr">
        <is>
          <t>99991231</t>
        </is>
      </c>
    </row>
    <row r="202">
      <c r="A202" t="inlineStr">
        <is>
          <t>900006074</t>
        </is>
      </c>
      <c r="B202" t="inlineStr">
        <is>
          <t>D845</t>
        </is>
      </c>
      <c r="C202" t="inlineStr">
        <is>
          <t>65005139</t>
        </is>
      </c>
      <c r="D202" t="inlineStr">
        <is>
          <t>10167749</t>
        </is>
      </c>
      <c r="E202" t="inlineStr"/>
      <c r="F202" s="11" t="n">
        <v>232</v>
      </c>
      <c r="G202" t="inlineStr"/>
      <c r="I202" t="inlineStr">
        <is>
          <t>TN</t>
        </is>
      </c>
      <c r="J202" t="inlineStr"/>
      <c r="K202" t="inlineStr">
        <is>
          <t>20260212</t>
        </is>
      </c>
      <c r="L202" t="inlineStr">
        <is>
          <t>99991231</t>
        </is>
      </c>
    </row>
    <row r="203">
      <c r="A203" t="inlineStr">
        <is>
          <t>900006074</t>
        </is>
      </c>
      <c r="B203" t="inlineStr">
        <is>
          <t>D845</t>
        </is>
      </c>
      <c r="C203" t="inlineStr">
        <is>
          <t>65005139</t>
        </is>
      </c>
      <c r="D203" t="inlineStr">
        <is>
          <t>10169508</t>
        </is>
      </c>
      <c r="E203" t="inlineStr"/>
      <c r="F203" s="11" t="n">
        <v>250</v>
      </c>
      <c r="G203" t="inlineStr"/>
      <c r="I203" t="inlineStr">
        <is>
          <t>TN</t>
        </is>
      </c>
      <c r="J203" t="inlineStr"/>
      <c r="K203" t="inlineStr">
        <is>
          <t>20260212</t>
        </is>
      </c>
      <c r="L203" t="inlineStr">
        <is>
          <t>99991231</t>
        </is>
      </c>
    </row>
    <row r="204">
      <c r="A204" t="inlineStr">
        <is>
          <t>900006074</t>
        </is>
      </c>
      <c r="B204" t="inlineStr">
        <is>
          <t>D845</t>
        </is>
      </c>
      <c r="C204" t="inlineStr">
        <is>
          <t>65006989</t>
        </is>
      </c>
      <c r="D204" t="inlineStr">
        <is>
          <t>10000536</t>
        </is>
      </c>
      <c r="E204" t="inlineStr"/>
      <c r="F204" s="11" t="n">
        <v>161</v>
      </c>
      <c r="G204" t="inlineStr"/>
      <c r="I204" t="inlineStr">
        <is>
          <t>TN</t>
        </is>
      </c>
      <c r="J204" t="inlineStr"/>
      <c r="K204" t="inlineStr">
        <is>
          <t>20251230</t>
        </is>
      </c>
      <c r="L204" t="inlineStr">
        <is>
          <t>99991231</t>
        </is>
      </c>
    </row>
    <row r="205">
      <c r="A205" t="inlineStr">
        <is>
          <t>900006074</t>
        </is>
      </c>
      <c r="B205" t="inlineStr">
        <is>
          <t>D845</t>
        </is>
      </c>
      <c r="C205" t="inlineStr">
        <is>
          <t>65006989</t>
        </is>
      </c>
      <c r="D205" t="inlineStr">
        <is>
          <t>10000578</t>
        </is>
      </c>
      <c r="E205" t="inlineStr"/>
      <c r="F205" s="11" t="n">
        <v>161</v>
      </c>
      <c r="G205" t="inlineStr"/>
      <c r="I205" t="inlineStr">
        <is>
          <t>TN</t>
        </is>
      </c>
      <c r="J205" t="inlineStr"/>
      <c r="K205" t="inlineStr">
        <is>
          <t>20251230</t>
        </is>
      </c>
      <c r="L205" t="inlineStr">
        <is>
          <t>99991231</t>
        </is>
      </c>
    </row>
    <row r="206">
      <c r="A206" t="inlineStr">
        <is>
          <t>900006074</t>
        </is>
      </c>
      <c r="B206" t="inlineStr">
        <is>
          <t>D845</t>
        </is>
      </c>
      <c r="C206" t="inlineStr">
        <is>
          <t>65006989</t>
        </is>
      </c>
      <c r="D206" t="inlineStr">
        <is>
          <t>10000617</t>
        </is>
      </c>
      <c r="E206" t="inlineStr"/>
      <c r="F206" s="11" t="n">
        <v>175</v>
      </c>
      <c r="G206" t="inlineStr"/>
      <c r="I206" t="inlineStr">
        <is>
          <t>TN</t>
        </is>
      </c>
      <c r="J206" t="inlineStr"/>
      <c r="K206" t="inlineStr">
        <is>
          <t>20251230</t>
        </is>
      </c>
      <c r="L206" t="inlineStr">
        <is>
          <t>99991231</t>
        </is>
      </c>
    </row>
    <row r="207">
      <c r="A207" t="inlineStr">
        <is>
          <t>900006074</t>
        </is>
      </c>
      <c r="B207" t="inlineStr">
        <is>
          <t>D845</t>
        </is>
      </c>
      <c r="C207" t="inlineStr">
        <is>
          <t>65006989</t>
        </is>
      </c>
      <c r="D207" t="inlineStr">
        <is>
          <t>10000656</t>
        </is>
      </c>
      <c r="E207" t="inlineStr"/>
      <c r="F207" s="11" t="n">
        <v>175</v>
      </c>
      <c r="G207" t="inlineStr"/>
      <c r="I207" t="inlineStr">
        <is>
          <t>TN</t>
        </is>
      </c>
      <c r="J207" t="inlineStr"/>
      <c r="K207" t="inlineStr">
        <is>
          <t>20251230</t>
        </is>
      </c>
      <c r="L207" t="inlineStr">
        <is>
          <t>99991231</t>
        </is>
      </c>
    </row>
    <row r="208">
      <c r="A208" t="inlineStr">
        <is>
          <t>900006074</t>
        </is>
      </c>
      <c r="B208" t="inlineStr">
        <is>
          <t>D845</t>
        </is>
      </c>
      <c r="C208" t="inlineStr">
        <is>
          <t>67059505</t>
        </is>
      </c>
      <c r="D208" t="inlineStr">
        <is>
          <t>10000536</t>
        </is>
      </c>
      <c r="E208" t="inlineStr"/>
      <c r="F208" s="11" t="n">
        <v>158</v>
      </c>
      <c r="G208" t="inlineStr"/>
      <c r="I208" t="inlineStr">
        <is>
          <t>TN</t>
        </is>
      </c>
      <c r="J208" t="inlineStr"/>
      <c r="K208" t="inlineStr">
        <is>
          <t>20240227</t>
        </is>
      </c>
      <c r="L208" t="inlineStr">
        <is>
          <t>99991231</t>
        </is>
      </c>
    </row>
    <row r="209">
      <c r="A209" t="inlineStr">
        <is>
          <t>900006074</t>
        </is>
      </c>
      <c r="B209" t="inlineStr">
        <is>
          <t>D845</t>
        </is>
      </c>
      <c r="C209" t="inlineStr">
        <is>
          <t>67170236</t>
        </is>
      </c>
      <c r="D209" t="inlineStr">
        <is>
          <t>10167749</t>
        </is>
      </c>
      <c r="E209" t="inlineStr"/>
      <c r="F209" s="11" t="n">
        <v>168</v>
      </c>
      <c r="G209" t="inlineStr"/>
      <c r="I209" t="inlineStr">
        <is>
          <t>TN</t>
        </is>
      </c>
      <c r="J209" t="inlineStr"/>
      <c r="K209" t="inlineStr">
        <is>
          <t>20240325</t>
        </is>
      </c>
      <c r="L209" t="inlineStr">
        <is>
          <t>99991231</t>
        </is>
      </c>
    </row>
    <row r="210">
      <c r="A210" t="inlineStr">
        <is>
          <t>900006074</t>
        </is>
      </c>
      <c r="B210" t="inlineStr">
        <is>
          <t>D845</t>
        </is>
      </c>
      <c r="C210" t="inlineStr">
        <is>
          <t>67200086</t>
        </is>
      </c>
      <c r="D210" t="inlineStr">
        <is>
          <t>10000536</t>
        </is>
      </c>
      <c r="E210" t="inlineStr"/>
      <c r="F210" s="11" t="n">
        <v>158</v>
      </c>
      <c r="G210" t="inlineStr"/>
      <c r="I210" t="inlineStr">
        <is>
          <t>TN</t>
        </is>
      </c>
      <c r="J210" t="inlineStr"/>
      <c r="K210" t="inlineStr">
        <is>
          <t>20240404</t>
        </is>
      </c>
      <c r="L210" t="inlineStr">
        <is>
          <t>99991231</t>
        </is>
      </c>
    </row>
    <row r="211">
      <c r="A211" t="inlineStr">
        <is>
          <t>900006074</t>
        </is>
      </c>
      <c r="B211" t="inlineStr">
        <is>
          <t>D845</t>
        </is>
      </c>
      <c r="C211" t="inlineStr">
        <is>
          <t>67247681</t>
        </is>
      </c>
      <c r="D211" t="inlineStr">
        <is>
          <t>10167749</t>
        </is>
      </c>
      <c r="E211" t="inlineStr"/>
      <c r="F211" s="11" t="n">
        <v>242</v>
      </c>
      <c r="G211" t="inlineStr"/>
      <c r="I211" t="inlineStr">
        <is>
          <t>TN</t>
        </is>
      </c>
      <c r="J211" t="inlineStr"/>
      <c r="K211" t="inlineStr">
        <is>
          <t>20260203</t>
        </is>
      </c>
      <c r="L211" t="inlineStr">
        <is>
          <t>99991231</t>
        </is>
      </c>
    </row>
    <row r="212">
      <c r="A212" t="inlineStr">
        <is>
          <t>900006074</t>
        </is>
      </c>
      <c r="B212" t="inlineStr">
        <is>
          <t>D845</t>
        </is>
      </c>
      <c r="C212" t="inlineStr">
        <is>
          <t>67257001</t>
        </is>
      </c>
      <c r="D212" t="inlineStr">
        <is>
          <t>10000536</t>
        </is>
      </c>
      <c r="E212" t="inlineStr"/>
      <c r="F212" s="11" t="n">
        <v>201</v>
      </c>
      <c r="G212" t="inlineStr"/>
      <c r="I212" t="inlineStr">
        <is>
          <t>TN</t>
        </is>
      </c>
      <c r="J212" t="inlineStr"/>
      <c r="K212" t="inlineStr">
        <is>
          <t>20250409</t>
        </is>
      </c>
      <c r="L212" t="inlineStr">
        <is>
          <t>99991231</t>
        </is>
      </c>
    </row>
    <row r="213">
      <c r="A213" t="inlineStr">
        <is>
          <t>900006074</t>
        </is>
      </c>
      <c r="B213" t="inlineStr">
        <is>
          <t>D845</t>
        </is>
      </c>
      <c r="C213" t="inlineStr">
        <is>
          <t>67257001</t>
        </is>
      </c>
      <c r="D213" t="inlineStr">
        <is>
          <t>10167749</t>
        </is>
      </c>
      <c r="E213" t="inlineStr"/>
      <c r="F213" s="11" t="n">
        <v>203</v>
      </c>
      <c r="G213" t="inlineStr"/>
      <c r="I213" t="inlineStr">
        <is>
          <t>TN</t>
        </is>
      </c>
      <c r="J213" t="inlineStr"/>
      <c r="K213" t="inlineStr">
        <is>
          <t>20250508</t>
        </is>
      </c>
      <c r="L213" t="inlineStr">
        <is>
          <t>99991231</t>
        </is>
      </c>
    </row>
    <row r="214">
      <c r="A214" t="inlineStr">
        <is>
          <t>900006074</t>
        </is>
      </c>
      <c r="B214" t="inlineStr">
        <is>
          <t>D845</t>
        </is>
      </c>
      <c r="C214" t="inlineStr">
        <is>
          <t>67283393</t>
        </is>
      </c>
      <c r="D214" t="inlineStr">
        <is>
          <t>10167749</t>
        </is>
      </c>
      <c r="E214" t="inlineStr"/>
      <c r="F214" s="11" t="n">
        <v>195</v>
      </c>
      <c r="G214" t="inlineStr"/>
      <c r="I214" t="inlineStr">
        <is>
          <t>TN</t>
        </is>
      </c>
      <c r="J214" t="inlineStr"/>
      <c r="K214" t="inlineStr">
        <is>
          <t>20250408</t>
        </is>
      </c>
      <c r="L214" t="inlineStr">
        <is>
          <t>99991231</t>
        </is>
      </c>
    </row>
    <row r="215">
      <c r="A215" t="inlineStr">
        <is>
          <t>900006074</t>
        </is>
      </c>
      <c r="B215" t="inlineStr">
        <is>
          <t>D845</t>
        </is>
      </c>
      <c r="C215" t="inlineStr">
        <is>
          <t>67292617</t>
        </is>
      </c>
      <c r="D215" t="inlineStr">
        <is>
          <t>10167749</t>
        </is>
      </c>
      <c r="E215" t="inlineStr"/>
      <c r="F215" s="11" t="n">
        <v>168</v>
      </c>
      <c r="G215" t="inlineStr"/>
      <c r="I215" t="inlineStr">
        <is>
          <t>TN</t>
        </is>
      </c>
      <c r="J215" t="inlineStr"/>
      <c r="K215" t="inlineStr">
        <is>
          <t>20241210</t>
        </is>
      </c>
      <c r="L215" t="inlineStr">
        <is>
          <t>99991231</t>
        </is>
      </c>
    </row>
    <row r="216">
      <c r="A216" t="inlineStr">
        <is>
          <t>900006074</t>
        </is>
      </c>
      <c r="B216" t="inlineStr">
        <is>
          <t>D845</t>
        </is>
      </c>
      <c r="C216" t="inlineStr">
        <is>
          <t>67298518</t>
        </is>
      </c>
      <c r="D216" t="inlineStr">
        <is>
          <t>10167749</t>
        </is>
      </c>
      <c r="E216" t="inlineStr"/>
      <c r="F216" s="11" t="n">
        <v>205</v>
      </c>
      <c r="G216" t="inlineStr"/>
      <c r="I216" t="inlineStr">
        <is>
          <t>TN</t>
        </is>
      </c>
      <c r="J216" t="inlineStr"/>
      <c r="K216" t="inlineStr">
        <is>
          <t>20250425</t>
        </is>
      </c>
      <c r="L216" t="inlineStr">
        <is>
          <t>99991231</t>
        </is>
      </c>
    </row>
    <row r="217">
      <c r="A217" t="inlineStr">
        <is>
          <t>900006074</t>
        </is>
      </c>
      <c r="B217" t="inlineStr">
        <is>
          <t>D845</t>
        </is>
      </c>
      <c r="C217" t="inlineStr">
        <is>
          <t>67307402</t>
        </is>
      </c>
      <c r="D217" t="inlineStr">
        <is>
          <t>10000578</t>
        </is>
      </c>
      <c r="E217" t="inlineStr"/>
      <c r="F217" s="11" t="n">
        <v>198</v>
      </c>
      <c r="G217" t="inlineStr"/>
      <c r="I217" t="inlineStr">
        <is>
          <t>TN</t>
        </is>
      </c>
      <c r="J217" t="inlineStr"/>
      <c r="K217" t="inlineStr">
        <is>
          <t>20250708</t>
        </is>
      </c>
      <c r="L217" t="inlineStr">
        <is>
          <t>99991231</t>
        </is>
      </c>
    </row>
    <row r="218">
      <c r="A218" t="inlineStr">
        <is>
          <t>900006074</t>
        </is>
      </c>
      <c r="B218" t="inlineStr">
        <is>
          <t>D845</t>
        </is>
      </c>
      <c r="C218" t="inlineStr">
        <is>
          <t>67307402</t>
        </is>
      </c>
      <c r="D218" t="inlineStr">
        <is>
          <t>10000617</t>
        </is>
      </c>
      <c r="E218" t="inlineStr"/>
      <c r="F218" s="11" t="n">
        <v>208</v>
      </c>
      <c r="G218" t="inlineStr"/>
      <c r="I218" t="inlineStr">
        <is>
          <t>TN</t>
        </is>
      </c>
      <c r="J218" t="inlineStr"/>
      <c r="K218" t="inlineStr">
        <is>
          <t>20250708</t>
        </is>
      </c>
      <c r="L218" t="inlineStr">
        <is>
          <t>99991231</t>
        </is>
      </c>
    </row>
    <row r="219">
      <c r="A219" t="inlineStr">
        <is>
          <t>900006074</t>
        </is>
      </c>
      <c r="B219" t="inlineStr">
        <is>
          <t>D845</t>
        </is>
      </c>
      <c r="C219" t="inlineStr">
        <is>
          <t>67313783</t>
        </is>
      </c>
      <c r="D219" t="inlineStr">
        <is>
          <t>10167749</t>
        </is>
      </c>
      <c r="E219" t="inlineStr"/>
      <c r="F219" s="11" t="n">
        <v>198</v>
      </c>
      <c r="G219" t="inlineStr"/>
      <c r="I219" t="inlineStr">
        <is>
          <t>TN</t>
        </is>
      </c>
      <c r="J219" t="inlineStr"/>
      <c r="K219" t="inlineStr">
        <is>
          <t>20250325</t>
        </is>
      </c>
      <c r="L219" t="inlineStr">
        <is>
          <t>99991231</t>
        </is>
      </c>
    </row>
    <row r="220">
      <c r="A220" t="inlineStr">
        <is>
          <t>900006074</t>
        </is>
      </c>
      <c r="B220" t="inlineStr">
        <is>
          <t>D845</t>
        </is>
      </c>
      <c r="C220" t="inlineStr">
        <is>
          <t>67318246</t>
        </is>
      </c>
      <c r="D220" t="inlineStr">
        <is>
          <t>10000536</t>
        </is>
      </c>
      <c r="E220" t="inlineStr"/>
      <c r="F220" s="11" t="n">
        <v>169</v>
      </c>
      <c r="G220" t="inlineStr"/>
      <c r="I220" t="inlineStr">
        <is>
          <t>TN</t>
        </is>
      </c>
      <c r="J220" t="inlineStr"/>
      <c r="K220" t="inlineStr">
        <is>
          <t>20260122</t>
        </is>
      </c>
      <c r="L220" t="inlineStr">
        <is>
          <t>99991231</t>
        </is>
      </c>
    </row>
    <row r="221">
      <c r="A221" t="inlineStr">
        <is>
          <t>900006074</t>
        </is>
      </c>
      <c r="B221" t="inlineStr">
        <is>
          <t>D845</t>
        </is>
      </c>
      <c r="C221" t="inlineStr">
        <is>
          <t>67318246</t>
        </is>
      </c>
      <c r="D221" t="inlineStr">
        <is>
          <t>10000578</t>
        </is>
      </c>
      <c r="E221" t="inlineStr"/>
      <c r="F221" s="11" t="n">
        <v>169</v>
      </c>
      <c r="G221" t="inlineStr"/>
      <c r="I221" t="inlineStr">
        <is>
          <t>TN</t>
        </is>
      </c>
      <c r="J221" t="inlineStr"/>
      <c r="K221" t="inlineStr">
        <is>
          <t>20260122</t>
        </is>
      </c>
      <c r="L221" t="inlineStr">
        <is>
          <t>99991231</t>
        </is>
      </c>
    </row>
    <row r="222">
      <c r="A222" t="inlineStr">
        <is>
          <t>900006074</t>
        </is>
      </c>
      <c r="B222" t="inlineStr">
        <is>
          <t>D845</t>
        </is>
      </c>
      <c r="C222" t="inlineStr">
        <is>
          <t>67318246</t>
        </is>
      </c>
      <c r="D222" t="inlineStr">
        <is>
          <t>10000617</t>
        </is>
      </c>
      <c r="E222" t="inlineStr"/>
      <c r="F222" s="11" t="n">
        <v>184</v>
      </c>
      <c r="G222" t="inlineStr"/>
      <c r="I222" t="inlineStr">
        <is>
          <t>TN</t>
        </is>
      </c>
      <c r="J222" t="inlineStr"/>
      <c r="K222" t="inlineStr">
        <is>
          <t>20260122</t>
        </is>
      </c>
      <c r="L222" t="inlineStr">
        <is>
          <t>99991231</t>
        </is>
      </c>
    </row>
    <row r="223">
      <c r="A223" t="inlineStr">
        <is>
          <t>900006074</t>
        </is>
      </c>
      <c r="B223" t="inlineStr">
        <is>
          <t>D845</t>
        </is>
      </c>
      <c r="C223" t="inlineStr">
        <is>
          <t>67318246</t>
        </is>
      </c>
      <c r="D223" t="inlineStr">
        <is>
          <t>10000656</t>
        </is>
      </c>
      <c r="E223" t="inlineStr"/>
      <c r="F223" s="11" t="n">
        <v>179</v>
      </c>
      <c r="G223" t="inlineStr"/>
      <c r="I223" t="inlineStr">
        <is>
          <t>TN</t>
        </is>
      </c>
      <c r="J223" t="inlineStr"/>
      <c r="K223" t="inlineStr">
        <is>
          <t>20260122</t>
        </is>
      </c>
      <c r="L223" t="inlineStr">
        <is>
          <t>99991231</t>
        </is>
      </c>
    </row>
    <row r="224">
      <c r="A224" t="inlineStr">
        <is>
          <t>900006074</t>
        </is>
      </c>
      <c r="B224" t="inlineStr">
        <is>
          <t>D845</t>
        </is>
      </c>
      <c r="C224" t="inlineStr">
        <is>
          <t>67318363</t>
        </is>
      </c>
      <c r="D224" t="inlineStr">
        <is>
          <t>10167749</t>
        </is>
      </c>
      <c r="E224" t="inlineStr"/>
      <c r="F224" s="11" t="n">
        <v>200</v>
      </c>
      <c r="G224" t="inlineStr"/>
      <c r="I224" t="inlineStr">
        <is>
          <t>TN</t>
        </is>
      </c>
      <c r="J224" t="inlineStr"/>
      <c r="K224" t="inlineStr">
        <is>
          <t>20250425</t>
        </is>
      </c>
      <c r="L224" t="inlineStr">
        <is>
          <t>99991231</t>
        </is>
      </c>
    </row>
    <row r="225">
      <c r="A225" t="inlineStr">
        <is>
          <t>900006074</t>
        </is>
      </c>
      <c r="B225" t="inlineStr">
        <is>
          <t>D845</t>
        </is>
      </c>
      <c r="C225" t="inlineStr">
        <is>
          <t>67319817</t>
        </is>
      </c>
      <c r="D225" t="inlineStr">
        <is>
          <t>10167749</t>
        </is>
      </c>
      <c r="E225" t="inlineStr"/>
      <c r="F225" s="11" t="n">
        <v>205</v>
      </c>
      <c r="G225" t="inlineStr"/>
      <c r="I225" t="inlineStr">
        <is>
          <t>TN</t>
        </is>
      </c>
      <c r="J225" t="inlineStr"/>
      <c r="K225" t="inlineStr">
        <is>
          <t>20250509</t>
        </is>
      </c>
      <c r="L225" t="inlineStr">
        <is>
          <t>99991231</t>
        </is>
      </c>
    </row>
    <row r="226">
      <c r="A226" t="inlineStr">
        <is>
          <t>900006074</t>
        </is>
      </c>
      <c r="B226" t="inlineStr">
        <is>
          <t>D845</t>
        </is>
      </c>
      <c r="C226" t="inlineStr">
        <is>
          <t>67341472</t>
        </is>
      </c>
      <c r="D226" t="inlineStr">
        <is>
          <t>10000536</t>
        </is>
      </c>
      <c r="E226" t="inlineStr"/>
      <c r="F226" s="11" t="n">
        <v>202</v>
      </c>
      <c r="G226" t="inlineStr"/>
      <c r="I226" t="inlineStr">
        <is>
          <t>TN</t>
        </is>
      </c>
      <c r="J226" t="inlineStr"/>
      <c r="K226" t="inlineStr">
        <is>
          <t>20251015</t>
        </is>
      </c>
      <c r="L226" t="inlineStr">
        <is>
          <t>99991231</t>
        </is>
      </c>
    </row>
    <row r="227">
      <c r="A227" t="inlineStr">
        <is>
          <t>900006074</t>
        </is>
      </c>
      <c r="B227" t="inlineStr">
        <is>
          <t>D845</t>
        </is>
      </c>
      <c r="C227" t="inlineStr">
        <is>
          <t>67341472</t>
        </is>
      </c>
      <c r="D227" t="inlineStr">
        <is>
          <t>10000578</t>
        </is>
      </c>
      <c r="E227" t="inlineStr"/>
      <c r="F227" s="11" t="n">
        <v>202</v>
      </c>
      <c r="G227" t="inlineStr"/>
      <c r="I227" t="inlineStr">
        <is>
          <t>TN</t>
        </is>
      </c>
      <c r="J227" t="inlineStr"/>
      <c r="K227" t="inlineStr">
        <is>
          <t>20251015</t>
        </is>
      </c>
      <c r="L227" t="inlineStr">
        <is>
          <t>99991231</t>
        </is>
      </c>
    </row>
    <row r="228">
      <c r="A228" t="inlineStr">
        <is>
          <t>900006074</t>
        </is>
      </c>
      <c r="B228" t="inlineStr">
        <is>
          <t>D845</t>
        </is>
      </c>
      <c r="C228" t="inlineStr">
        <is>
          <t>67341472</t>
        </is>
      </c>
      <c r="D228" t="inlineStr">
        <is>
          <t>10000617</t>
        </is>
      </c>
      <c r="E228" t="inlineStr"/>
      <c r="F228" s="11" t="n">
        <v>209</v>
      </c>
      <c r="G228" t="inlineStr"/>
      <c r="I228" t="inlineStr">
        <is>
          <t>TN</t>
        </is>
      </c>
      <c r="J228" t="inlineStr"/>
      <c r="K228" t="inlineStr">
        <is>
          <t>20251015</t>
        </is>
      </c>
      <c r="L228" t="inlineStr">
        <is>
          <t>99991231</t>
        </is>
      </c>
    </row>
    <row r="229">
      <c r="A229" t="inlineStr">
        <is>
          <t>900006074</t>
        </is>
      </c>
      <c r="B229" t="inlineStr">
        <is>
          <t>D845</t>
        </is>
      </c>
      <c r="C229" t="inlineStr">
        <is>
          <t>67341472</t>
        </is>
      </c>
      <c r="D229" t="inlineStr">
        <is>
          <t>10167749</t>
        </is>
      </c>
      <c r="E229" t="inlineStr"/>
      <c r="F229" s="11" t="n">
        <v>202</v>
      </c>
      <c r="G229" t="inlineStr"/>
      <c r="I229" t="inlineStr">
        <is>
          <t>TN</t>
        </is>
      </c>
      <c r="J229" t="inlineStr"/>
      <c r="K229" t="inlineStr">
        <is>
          <t>20251015</t>
        </is>
      </c>
      <c r="L229" t="inlineStr">
        <is>
          <t>99991231</t>
        </is>
      </c>
    </row>
    <row r="230">
      <c r="A230" t="inlineStr">
        <is>
          <t>900006074</t>
        </is>
      </c>
      <c r="B230" t="inlineStr">
        <is>
          <t>D845</t>
        </is>
      </c>
      <c r="C230" t="inlineStr">
        <is>
          <t>67346094</t>
        </is>
      </c>
      <c r="D230" t="inlineStr">
        <is>
          <t>10058501</t>
        </is>
      </c>
      <c r="E230" t="inlineStr"/>
      <c r="F230" s="11" t="n">
        <v>192</v>
      </c>
      <c r="G230" t="inlineStr"/>
      <c r="I230" t="inlineStr">
        <is>
          <t>TN</t>
        </is>
      </c>
      <c r="J230" t="inlineStr"/>
      <c r="K230" t="inlineStr">
        <is>
          <t>20251031</t>
        </is>
      </c>
      <c r="L230" t="inlineStr">
        <is>
          <t>99991231</t>
        </is>
      </c>
    </row>
    <row r="231">
      <c r="A231" t="inlineStr">
        <is>
          <t>900006074</t>
        </is>
      </c>
      <c r="B231" t="inlineStr">
        <is>
          <t>D845</t>
        </is>
      </c>
      <c r="C231" t="inlineStr">
        <is>
          <t>67346094</t>
        </is>
      </c>
      <c r="D231" t="inlineStr">
        <is>
          <t>10167749</t>
        </is>
      </c>
      <c r="E231" t="inlineStr"/>
      <c r="F231" s="11" t="n">
        <v>202</v>
      </c>
      <c r="G231" t="inlineStr"/>
      <c r="I231" t="inlineStr">
        <is>
          <t>TN</t>
        </is>
      </c>
      <c r="J231" t="inlineStr"/>
      <c r="K231" t="inlineStr">
        <is>
          <t>20251031</t>
        </is>
      </c>
      <c r="L231" t="inlineStr">
        <is>
          <t>99991231</t>
        </is>
      </c>
    </row>
    <row r="232">
      <c r="A232" t="inlineStr">
        <is>
          <t>900006074</t>
        </is>
      </c>
      <c r="B232" t="inlineStr">
        <is>
          <t>D845</t>
        </is>
      </c>
      <c r="C232" t="inlineStr">
        <is>
          <t>67348089</t>
        </is>
      </c>
      <c r="D232" t="inlineStr">
        <is>
          <t>10167749</t>
        </is>
      </c>
      <c r="E232" t="inlineStr"/>
      <c r="F232" s="11" t="n">
        <v>202</v>
      </c>
      <c r="G232" t="inlineStr"/>
      <c r="I232" t="inlineStr">
        <is>
          <t>TN</t>
        </is>
      </c>
      <c r="J232" t="inlineStr"/>
      <c r="K232" t="inlineStr">
        <is>
          <t>20251118</t>
        </is>
      </c>
      <c r="L232" t="inlineStr">
        <is>
          <t>99991231</t>
        </is>
      </c>
    </row>
    <row r="233">
      <c r="A233" t="inlineStr">
        <is>
          <t>900006074</t>
        </is>
      </c>
      <c r="B233" t="inlineStr">
        <is>
          <t>D845</t>
        </is>
      </c>
      <c r="C233" t="inlineStr">
        <is>
          <t>67348544</t>
        </is>
      </c>
      <c r="D233" t="inlineStr">
        <is>
          <t>10167749</t>
        </is>
      </c>
      <c r="E233" t="inlineStr"/>
      <c r="F233" s="11" t="n">
        <v>202</v>
      </c>
      <c r="G233" t="inlineStr"/>
      <c r="I233" t="inlineStr">
        <is>
          <t>TN</t>
        </is>
      </c>
      <c r="J233" t="inlineStr"/>
      <c r="K233" t="inlineStr">
        <is>
          <t>20251118</t>
        </is>
      </c>
      <c r="L233" t="inlineStr">
        <is>
          <t>99991231</t>
        </is>
      </c>
    </row>
    <row r="234">
      <c r="A234" t="inlineStr">
        <is>
          <t>900006074</t>
        </is>
      </c>
      <c r="B234" t="inlineStr">
        <is>
          <t>D845</t>
        </is>
      </c>
      <c r="C234" t="inlineStr">
        <is>
          <t>67354957</t>
        </is>
      </c>
      <c r="D234" t="inlineStr">
        <is>
          <t>10167749</t>
        </is>
      </c>
      <c r="E234" t="inlineStr"/>
      <c r="F234" s="11" t="n">
        <v>200</v>
      </c>
      <c r="G234" t="inlineStr"/>
      <c r="I234" t="inlineStr">
        <is>
          <t>TN</t>
        </is>
      </c>
      <c r="J234" t="inlineStr"/>
      <c r="K234" t="inlineStr">
        <is>
          <t>20251128</t>
        </is>
      </c>
      <c r="L234" t="inlineStr">
        <is>
          <t>99991231</t>
        </is>
      </c>
    </row>
    <row r="235">
      <c r="A235" t="inlineStr">
        <is>
          <t>900006074</t>
        </is>
      </c>
      <c r="B235" t="inlineStr">
        <is>
          <t>D845</t>
        </is>
      </c>
      <c r="C235" t="inlineStr">
        <is>
          <t>67355897</t>
        </is>
      </c>
      <c r="D235" t="inlineStr">
        <is>
          <t>10000536</t>
        </is>
      </c>
      <c r="E235" t="inlineStr"/>
      <c r="F235" s="11" t="n">
        <v>205</v>
      </c>
      <c r="G235" t="inlineStr"/>
      <c r="I235" t="inlineStr">
        <is>
          <t>TN</t>
        </is>
      </c>
      <c r="J235" t="inlineStr"/>
      <c r="K235" t="inlineStr">
        <is>
          <t>20260123</t>
        </is>
      </c>
      <c r="L235" t="inlineStr">
        <is>
          <t>99991231</t>
        </is>
      </c>
    </row>
    <row r="236">
      <c r="A236" t="inlineStr">
        <is>
          <t>900006074</t>
        </is>
      </c>
      <c r="B236" t="inlineStr">
        <is>
          <t>D845</t>
        </is>
      </c>
      <c r="C236" t="inlineStr">
        <is>
          <t>67355897</t>
        </is>
      </c>
      <c r="D236" t="inlineStr">
        <is>
          <t>10000578</t>
        </is>
      </c>
      <c r="E236" t="inlineStr"/>
      <c r="F236" s="11" t="n">
        <v>205</v>
      </c>
      <c r="G236" t="inlineStr"/>
      <c r="I236" t="inlineStr">
        <is>
          <t>TN</t>
        </is>
      </c>
      <c r="J236" t="inlineStr"/>
      <c r="K236" t="inlineStr">
        <is>
          <t>20260123</t>
        </is>
      </c>
      <c r="L236" t="inlineStr">
        <is>
          <t>99991231</t>
        </is>
      </c>
    </row>
    <row r="237">
      <c r="A237" t="inlineStr">
        <is>
          <t>900006074</t>
        </is>
      </c>
      <c r="B237" t="inlineStr">
        <is>
          <t>D845</t>
        </is>
      </c>
      <c r="C237" t="inlineStr">
        <is>
          <t>67355897</t>
        </is>
      </c>
      <c r="D237" t="inlineStr">
        <is>
          <t>10167749</t>
        </is>
      </c>
      <c r="E237" t="inlineStr"/>
      <c r="F237" s="11" t="n">
        <v>205</v>
      </c>
      <c r="G237" t="inlineStr"/>
      <c r="I237" t="inlineStr">
        <is>
          <t>TN</t>
        </is>
      </c>
      <c r="J237" t="inlineStr"/>
      <c r="K237" t="inlineStr">
        <is>
          <t>20260123</t>
        </is>
      </c>
      <c r="L237" t="inlineStr">
        <is>
          <t>99991231</t>
        </is>
      </c>
    </row>
    <row r="238">
      <c r="A238" t="inlineStr">
        <is>
          <t>900006074</t>
        </is>
      </c>
      <c r="B238" t="inlineStr">
        <is>
          <t>D845</t>
        </is>
      </c>
      <c r="C238" t="inlineStr">
        <is>
          <t>67374671</t>
        </is>
      </c>
      <c r="D238" t="inlineStr">
        <is>
          <t>10167749</t>
        </is>
      </c>
      <c r="E238" t="inlineStr"/>
      <c r="F238" s="11" t="n">
        <v>235</v>
      </c>
      <c r="G238" t="inlineStr"/>
      <c r="I238" t="inlineStr">
        <is>
          <t>TN</t>
        </is>
      </c>
      <c r="J238" t="inlineStr"/>
      <c r="K238" t="inlineStr">
        <is>
          <t>20260417</t>
        </is>
      </c>
      <c r="L238" t="inlineStr">
        <is>
          <t>99991231</t>
        </is>
      </c>
    </row>
    <row r="239">
      <c r="A239" t="inlineStr">
        <is>
          <t>900009255</t>
        </is>
      </c>
      <c r="B239" t="inlineStr">
        <is>
          <t>D845</t>
        </is>
      </c>
      <c r="C239" t="inlineStr">
        <is>
          <t>66436427</t>
        </is>
      </c>
      <c r="D239" t="inlineStr">
        <is>
          <t>10000578</t>
        </is>
      </c>
      <c r="E239" t="inlineStr"/>
      <c r="F239" s="11" t="n">
        <v>200</v>
      </c>
      <c r="G239" t="inlineStr"/>
      <c r="I239" t="inlineStr">
        <is>
          <t>TN</t>
        </is>
      </c>
      <c r="J239" t="inlineStr"/>
      <c r="K239" t="inlineStr">
        <is>
          <t>20260211</t>
        </is>
      </c>
      <c r="L239" t="inlineStr">
        <is>
          <t>99991231</t>
        </is>
      </c>
    </row>
    <row r="240">
      <c r="A240" t="inlineStr">
        <is>
          <t>900009255</t>
        </is>
      </c>
      <c r="B240" t="inlineStr">
        <is>
          <t>D845</t>
        </is>
      </c>
      <c r="C240" t="inlineStr">
        <is>
          <t>66436427</t>
        </is>
      </c>
      <c r="D240" t="inlineStr">
        <is>
          <t>10000617</t>
        </is>
      </c>
      <c r="E240" t="inlineStr"/>
      <c r="F240" s="11" t="n">
        <v>210</v>
      </c>
      <c r="G240" t="inlineStr"/>
      <c r="I240" t="inlineStr">
        <is>
          <t>TN</t>
        </is>
      </c>
      <c r="J240" t="inlineStr"/>
      <c r="K240" t="inlineStr">
        <is>
          <t>20260211</t>
        </is>
      </c>
      <c r="L240" t="inlineStr">
        <is>
          <t>99991231</t>
        </is>
      </c>
    </row>
    <row r="241">
      <c r="A241" t="inlineStr">
        <is>
          <t>900009255</t>
        </is>
      </c>
      <c r="B241" t="inlineStr">
        <is>
          <t>D845</t>
        </is>
      </c>
      <c r="C241" t="inlineStr">
        <is>
          <t>66436427</t>
        </is>
      </c>
      <c r="D241" t="inlineStr">
        <is>
          <t>10000656</t>
        </is>
      </c>
      <c r="E241" t="inlineStr"/>
      <c r="F241" s="11" t="n">
        <v>210</v>
      </c>
      <c r="G241" t="inlineStr"/>
      <c r="I241" t="inlineStr">
        <is>
          <t>TN</t>
        </is>
      </c>
      <c r="J241" t="inlineStr"/>
      <c r="K241" t="inlineStr">
        <is>
          <t>20260211</t>
        </is>
      </c>
      <c r="L241" t="inlineStr">
        <is>
          <t>99991231</t>
        </is>
      </c>
    </row>
    <row r="242">
      <c r="A242" t="inlineStr">
        <is>
          <t>900009255</t>
        </is>
      </c>
      <c r="B242" t="inlineStr">
        <is>
          <t>D845</t>
        </is>
      </c>
      <c r="C242" t="inlineStr">
        <is>
          <t>67074694</t>
        </is>
      </c>
      <c r="D242" t="inlineStr">
        <is>
          <t>10000536</t>
        </is>
      </c>
      <c r="E242" t="inlineStr"/>
      <c r="F242" s="11" t="n">
        <v>178</v>
      </c>
      <c r="G242" t="inlineStr"/>
      <c r="I242" t="inlineStr">
        <is>
          <t>TN</t>
        </is>
      </c>
      <c r="J242" t="inlineStr"/>
      <c r="K242" t="inlineStr">
        <is>
          <t>20260506</t>
        </is>
      </c>
      <c r="L242" t="inlineStr">
        <is>
          <t>99991231</t>
        </is>
      </c>
    </row>
    <row r="243">
      <c r="A243" t="inlineStr">
        <is>
          <t>900009255</t>
        </is>
      </c>
      <c r="B243" t="inlineStr">
        <is>
          <t>D845</t>
        </is>
      </c>
      <c r="C243" t="inlineStr">
        <is>
          <t>67074694</t>
        </is>
      </c>
      <c r="D243" t="inlineStr">
        <is>
          <t>10000578</t>
        </is>
      </c>
      <c r="E243" t="inlineStr"/>
      <c r="F243" s="11" t="n">
        <v>178</v>
      </c>
      <c r="G243" t="inlineStr"/>
      <c r="I243" t="inlineStr">
        <is>
          <t>TN</t>
        </is>
      </c>
      <c r="J243" t="inlineStr"/>
      <c r="K243" t="inlineStr">
        <is>
          <t>20260506</t>
        </is>
      </c>
      <c r="L243" t="inlineStr">
        <is>
          <t>99991231</t>
        </is>
      </c>
    </row>
    <row r="244">
      <c r="A244" t="inlineStr">
        <is>
          <t>900009255</t>
        </is>
      </c>
      <c r="B244" t="inlineStr">
        <is>
          <t>D845</t>
        </is>
      </c>
      <c r="C244" t="inlineStr">
        <is>
          <t>67074694</t>
        </is>
      </c>
      <c r="D244" t="inlineStr">
        <is>
          <t>10000617</t>
        </is>
      </c>
      <c r="E244" t="inlineStr"/>
      <c r="F244" s="11" t="n">
        <v>195</v>
      </c>
      <c r="G244" t="inlineStr"/>
      <c r="I244" t="inlineStr">
        <is>
          <t>TN</t>
        </is>
      </c>
      <c r="J244" t="inlineStr"/>
      <c r="K244" t="inlineStr">
        <is>
          <t>20260506</t>
        </is>
      </c>
      <c r="L244" t="inlineStr">
        <is>
          <t>99991231</t>
        </is>
      </c>
    </row>
    <row r="245">
      <c r="A245" t="inlineStr">
        <is>
          <t>900009255</t>
        </is>
      </c>
      <c r="B245" t="inlineStr">
        <is>
          <t>D845</t>
        </is>
      </c>
      <c r="C245" t="inlineStr">
        <is>
          <t>67074694</t>
        </is>
      </c>
      <c r="D245" t="inlineStr">
        <is>
          <t>10000656</t>
        </is>
      </c>
      <c r="E245" t="inlineStr"/>
      <c r="F245" s="11" t="n">
        <v>195</v>
      </c>
      <c r="G245" t="inlineStr"/>
      <c r="I245" t="inlineStr">
        <is>
          <t>TN</t>
        </is>
      </c>
      <c r="J245" t="inlineStr"/>
      <c r="K245" t="inlineStr">
        <is>
          <t>20260506</t>
        </is>
      </c>
      <c r="L245" t="inlineStr">
        <is>
          <t>99991231</t>
        </is>
      </c>
    </row>
    <row r="246">
      <c r="A246" t="inlineStr">
        <is>
          <t>900009255</t>
        </is>
      </c>
      <c r="B246" t="inlineStr">
        <is>
          <t>D845</t>
        </is>
      </c>
      <c r="C246" t="inlineStr">
        <is>
          <t>67074694</t>
        </is>
      </c>
      <c r="D246" t="inlineStr">
        <is>
          <t>10169508</t>
        </is>
      </c>
      <c r="E246" t="inlineStr"/>
      <c r="F246" s="11" t="n">
        <v>205</v>
      </c>
      <c r="G246" t="inlineStr"/>
      <c r="I246" t="inlineStr">
        <is>
          <t>TN</t>
        </is>
      </c>
      <c r="J246" t="inlineStr"/>
      <c r="K246" t="inlineStr">
        <is>
          <t>20260506</t>
        </is>
      </c>
      <c r="L246" t="inlineStr">
        <is>
          <t>99991231</t>
        </is>
      </c>
    </row>
    <row r="247">
      <c r="A247" t="inlineStr">
        <is>
          <t>900009255</t>
        </is>
      </c>
      <c r="B247" t="inlineStr">
        <is>
          <t>D845</t>
        </is>
      </c>
      <c r="C247" t="inlineStr">
        <is>
          <t>67169574</t>
        </is>
      </c>
      <c r="D247" t="inlineStr">
        <is>
          <t>10000656</t>
        </is>
      </c>
      <c r="E247" t="inlineStr"/>
      <c r="F247" s="11" t="n">
        <v>258</v>
      </c>
      <c r="G247" t="inlineStr"/>
      <c r="I247" t="inlineStr">
        <is>
          <t>TN</t>
        </is>
      </c>
      <c r="J247" t="inlineStr"/>
      <c r="K247" t="inlineStr">
        <is>
          <t>20260810</t>
        </is>
      </c>
      <c r="L247" t="inlineStr">
        <is>
          <t>99991231</t>
        </is>
      </c>
    </row>
    <row r="248">
      <c r="A248" t="inlineStr">
        <is>
          <t>900009255</t>
        </is>
      </c>
      <c r="B248" t="inlineStr">
        <is>
          <t>D845</t>
        </is>
      </c>
      <c r="C248" t="inlineStr">
        <is>
          <t>67318246</t>
        </is>
      </c>
      <c r="D248" t="inlineStr">
        <is>
          <t>10000536</t>
        </is>
      </c>
      <c r="E248" t="inlineStr"/>
      <c r="F248" s="11" t="n">
        <v>169</v>
      </c>
      <c r="G248" t="inlineStr"/>
      <c r="I248" t="inlineStr">
        <is>
          <t>TN</t>
        </is>
      </c>
      <c r="J248" t="inlineStr"/>
      <c r="K248" t="inlineStr">
        <is>
          <t>20250604</t>
        </is>
      </c>
      <c r="L248" t="inlineStr">
        <is>
          <t>99991231</t>
        </is>
      </c>
    </row>
    <row r="249">
      <c r="A249" t="inlineStr">
        <is>
          <t>900009255</t>
        </is>
      </c>
      <c r="B249" t="inlineStr">
        <is>
          <t>D845</t>
        </is>
      </c>
      <c r="C249" t="inlineStr">
        <is>
          <t>67318246</t>
        </is>
      </c>
      <c r="D249" t="inlineStr">
        <is>
          <t>10000578</t>
        </is>
      </c>
      <c r="E249" t="inlineStr"/>
      <c r="F249" s="11" t="n">
        <v>169</v>
      </c>
      <c r="G249" t="inlineStr"/>
      <c r="I249" t="inlineStr">
        <is>
          <t>TN</t>
        </is>
      </c>
      <c r="J249" t="inlineStr"/>
      <c r="K249" t="inlineStr">
        <is>
          <t>20250604</t>
        </is>
      </c>
      <c r="L249" t="inlineStr">
        <is>
          <t>99991231</t>
        </is>
      </c>
    </row>
    <row r="250">
      <c r="A250" t="inlineStr">
        <is>
          <t>900009255</t>
        </is>
      </c>
      <c r="B250" t="inlineStr">
        <is>
          <t>D845</t>
        </is>
      </c>
      <c r="C250" t="inlineStr">
        <is>
          <t>67318246</t>
        </is>
      </c>
      <c r="D250" t="inlineStr">
        <is>
          <t>10000617</t>
        </is>
      </c>
      <c r="E250" t="inlineStr"/>
      <c r="F250" s="11" t="n">
        <v>184</v>
      </c>
      <c r="G250" t="inlineStr"/>
      <c r="I250" t="inlineStr">
        <is>
          <t>TN</t>
        </is>
      </c>
      <c r="J250" t="inlineStr"/>
      <c r="K250" t="inlineStr">
        <is>
          <t>20250604</t>
        </is>
      </c>
      <c r="L250" t="inlineStr">
        <is>
          <t>99991231</t>
        </is>
      </c>
    </row>
    <row r="251">
      <c r="A251" t="inlineStr">
        <is>
          <t>900009255</t>
        </is>
      </c>
      <c r="B251" t="inlineStr">
        <is>
          <t>D845</t>
        </is>
      </c>
      <c r="C251" t="inlineStr">
        <is>
          <t>67318246</t>
        </is>
      </c>
      <c r="D251" t="inlineStr">
        <is>
          <t>10000656</t>
        </is>
      </c>
      <c r="E251" t="inlineStr"/>
      <c r="F251" s="11" t="n">
        <v>179</v>
      </c>
      <c r="G251" t="inlineStr"/>
      <c r="I251" t="inlineStr">
        <is>
          <t>TN</t>
        </is>
      </c>
      <c r="J251" t="inlineStr"/>
      <c r="K251" t="inlineStr">
        <is>
          <t>20250604</t>
        </is>
      </c>
      <c r="L251" t="inlineStr">
        <is>
          <t>99991231</t>
        </is>
      </c>
    </row>
    <row r="252">
      <c r="A252" t="inlineStr">
        <is>
          <t>900009255</t>
        </is>
      </c>
      <c r="B252" t="inlineStr">
        <is>
          <t>D845</t>
        </is>
      </c>
      <c r="C252" t="inlineStr">
        <is>
          <t>67327618</t>
        </is>
      </c>
      <c r="D252" t="inlineStr">
        <is>
          <t>10058507</t>
        </is>
      </c>
      <c r="E252" t="inlineStr"/>
      <c r="F252" s="11" t="n">
        <v>169</v>
      </c>
      <c r="G252" t="inlineStr"/>
      <c r="I252" t="inlineStr">
        <is>
          <t>TN</t>
        </is>
      </c>
      <c r="J252" t="inlineStr"/>
      <c r="K252" t="inlineStr">
        <is>
          <t>20251209</t>
        </is>
      </c>
      <c r="L252" t="inlineStr">
        <is>
          <t>99991231</t>
        </is>
      </c>
    </row>
    <row r="253">
      <c r="A253" t="inlineStr">
        <is>
          <t>900009255</t>
        </is>
      </c>
      <c r="B253" t="inlineStr">
        <is>
          <t>D845</t>
        </is>
      </c>
      <c r="C253" t="inlineStr">
        <is>
          <t>67356947</t>
        </is>
      </c>
      <c r="D253" t="inlineStr">
        <is>
          <t>10000536</t>
        </is>
      </c>
      <c r="E253" t="inlineStr"/>
      <c r="F253" s="11" t="n">
        <v>228</v>
      </c>
      <c r="G253" t="inlineStr"/>
      <c r="I253" t="inlineStr">
        <is>
          <t>TN</t>
        </is>
      </c>
      <c r="J253" t="inlineStr"/>
      <c r="K253" t="inlineStr">
        <is>
          <t>20260507</t>
        </is>
      </c>
      <c r="L253" t="inlineStr">
        <is>
          <t>99991231</t>
        </is>
      </c>
    </row>
    <row r="254">
      <c r="A254" t="inlineStr">
        <is>
          <t>900009255</t>
        </is>
      </c>
      <c r="B254" t="inlineStr">
        <is>
          <t>D845</t>
        </is>
      </c>
      <c r="C254" t="inlineStr">
        <is>
          <t>67356947</t>
        </is>
      </c>
      <c r="D254" t="inlineStr">
        <is>
          <t>10000578</t>
        </is>
      </c>
      <c r="E254" t="inlineStr"/>
      <c r="F254" s="11" t="n">
        <v>228</v>
      </c>
      <c r="G254" t="inlineStr"/>
      <c r="I254" t="inlineStr">
        <is>
          <t>TN</t>
        </is>
      </c>
      <c r="J254" t="inlineStr"/>
      <c r="K254" t="inlineStr">
        <is>
          <t>20260507</t>
        </is>
      </c>
      <c r="L254" t="inlineStr">
        <is>
          <t>99991231</t>
        </is>
      </c>
    </row>
    <row r="255">
      <c r="A255" t="inlineStr">
        <is>
          <t>900009255</t>
        </is>
      </c>
      <c r="B255" t="inlineStr">
        <is>
          <t>D845</t>
        </is>
      </c>
      <c r="C255" t="inlineStr">
        <is>
          <t>67356947</t>
        </is>
      </c>
      <c r="D255" t="inlineStr">
        <is>
          <t>10000617</t>
        </is>
      </c>
      <c r="E255" t="inlineStr"/>
      <c r="F255" s="11" t="n">
        <v>240</v>
      </c>
      <c r="G255" t="inlineStr"/>
      <c r="I255" t="inlineStr">
        <is>
          <t>TN</t>
        </is>
      </c>
      <c r="J255" t="inlineStr"/>
      <c r="K255" t="inlineStr">
        <is>
          <t>20260507</t>
        </is>
      </c>
      <c r="L255" t="inlineStr">
        <is>
          <t>99991231</t>
        </is>
      </c>
    </row>
    <row r="256">
      <c r="A256" t="inlineStr">
        <is>
          <t>900009255</t>
        </is>
      </c>
      <c r="B256" t="inlineStr">
        <is>
          <t>D845</t>
        </is>
      </c>
      <c r="C256" t="inlineStr">
        <is>
          <t>67356947</t>
        </is>
      </c>
      <c r="D256" t="inlineStr">
        <is>
          <t>10000656</t>
        </is>
      </c>
      <c r="E256" t="inlineStr"/>
      <c r="F256" s="11" t="n">
        <v>240</v>
      </c>
      <c r="G256" t="inlineStr"/>
      <c r="I256" t="inlineStr">
        <is>
          <t>TN</t>
        </is>
      </c>
      <c r="J256" t="inlineStr"/>
      <c r="K256" t="inlineStr">
        <is>
          <t>20260507</t>
        </is>
      </c>
      <c r="L256" t="inlineStr">
        <is>
          <t>99991231</t>
        </is>
      </c>
    </row>
    <row r="257">
      <c r="A257" t="inlineStr">
        <is>
          <t>900009255</t>
        </is>
      </c>
      <c r="B257" t="inlineStr">
        <is>
          <t>D845</t>
        </is>
      </c>
      <c r="C257" t="inlineStr">
        <is>
          <t>67356947</t>
        </is>
      </c>
      <c r="D257" t="inlineStr">
        <is>
          <t>10169508</t>
        </is>
      </c>
      <c r="E257" t="inlineStr"/>
      <c r="F257" s="11" t="n">
        <v>237.6</v>
      </c>
      <c r="G257" t="inlineStr"/>
      <c r="I257" t="inlineStr">
        <is>
          <t>TN</t>
        </is>
      </c>
      <c r="J257" t="inlineStr"/>
      <c r="K257" t="inlineStr">
        <is>
          <t>20260507</t>
        </is>
      </c>
      <c r="L257" t="inlineStr">
        <is>
          <t>99991231</t>
        </is>
      </c>
    </row>
    <row r="258">
      <c r="A258" t="inlineStr">
        <is>
          <t>900009255</t>
        </is>
      </c>
      <c r="B258" t="inlineStr">
        <is>
          <t>D845</t>
        </is>
      </c>
      <c r="C258" t="inlineStr">
        <is>
          <t>67360650</t>
        </is>
      </c>
      <c r="D258" t="inlineStr">
        <is>
          <t>10000536</t>
        </is>
      </c>
      <c r="E258" t="inlineStr"/>
      <c r="F258" s="11" t="n">
        <v>179</v>
      </c>
      <c r="G258" t="inlineStr"/>
      <c r="I258" t="inlineStr">
        <is>
          <t>TN</t>
        </is>
      </c>
      <c r="J258" t="inlineStr"/>
      <c r="K258" t="inlineStr">
        <is>
          <t>20260320</t>
        </is>
      </c>
      <c r="L258" t="inlineStr">
        <is>
          <t>99991231</t>
        </is>
      </c>
    </row>
    <row r="259">
      <c r="A259" t="inlineStr">
        <is>
          <t>900009255</t>
        </is>
      </c>
      <c r="B259" t="inlineStr">
        <is>
          <t>D845</t>
        </is>
      </c>
      <c r="C259" t="inlineStr">
        <is>
          <t>67360650</t>
        </is>
      </c>
      <c r="D259" t="inlineStr">
        <is>
          <t>10000578</t>
        </is>
      </c>
      <c r="E259" t="inlineStr"/>
      <c r="F259" s="11" t="n">
        <v>179</v>
      </c>
      <c r="G259" t="inlineStr"/>
      <c r="I259" t="inlineStr">
        <is>
          <t>TN</t>
        </is>
      </c>
      <c r="J259" t="inlineStr"/>
      <c r="K259" t="inlineStr">
        <is>
          <t>20260320</t>
        </is>
      </c>
      <c r="L259" t="inlineStr">
        <is>
          <t>99991231</t>
        </is>
      </c>
    </row>
    <row r="260">
      <c r="A260" t="inlineStr">
        <is>
          <t>900009255</t>
        </is>
      </c>
      <c r="B260" t="inlineStr">
        <is>
          <t>D845</t>
        </is>
      </c>
      <c r="C260" t="inlineStr">
        <is>
          <t>67360650</t>
        </is>
      </c>
      <c r="D260" t="inlineStr">
        <is>
          <t>10000617</t>
        </is>
      </c>
      <c r="E260" t="inlineStr"/>
      <c r="F260" s="11" t="n">
        <v>195</v>
      </c>
      <c r="G260" t="inlineStr"/>
      <c r="I260" t="inlineStr">
        <is>
          <t>TN</t>
        </is>
      </c>
      <c r="J260" t="inlineStr"/>
      <c r="K260" t="inlineStr">
        <is>
          <t>20260320</t>
        </is>
      </c>
      <c r="L260" t="inlineStr">
        <is>
          <t>99991231</t>
        </is>
      </c>
    </row>
    <row r="261">
      <c r="A261" t="inlineStr">
        <is>
          <t>900009255</t>
        </is>
      </c>
      <c r="B261" t="inlineStr">
        <is>
          <t>D845</t>
        </is>
      </c>
      <c r="C261" t="inlineStr">
        <is>
          <t>67360650</t>
        </is>
      </c>
      <c r="D261" t="inlineStr">
        <is>
          <t>10000656</t>
        </is>
      </c>
      <c r="E261" t="inlineStr"/>
      <c r="F261" s="11" t="n">
        <v>195</v>
      </c>
      <c r="G261" t="inlineStr"/>
      <c r="I261" t="inlineStr">
        <is>
          <t>TN</t>
        </is>
      </c>
      <c r="J261" t="inlineStr"/>
      <c r="K261" t="inlineStr">
        <is>
          <t>20260320</t>
        </is>
      </c>
      <c r="L261" t="inlineStr">
        <is>
          <t>99991231</t>
        </is>
      </c>
    </row>
    <row r="262">
      <c r="A262" t="inlineStr">
        <is>
          <t>900009255</t>
        </is>
      </c>
      <c r="B262" t="inlineStr">
        <is>
          <t>D845</t>
        </is>
      </c>
      <c r="C262" t="inlineStr">
        <is>
          <t>67360650</t>
        </is>
      </c>
      <c r="D262" t="inlineStr">
        <is>
          <t>10169508</t>
        </is>
      </c>
      <c r="E262" t="inlineStr"/>
      <c r="F262" s="11" t="n">
        <v>205</v>
      </c>
      <c r="G262" t="inlineStr"/>
      <c r="I262" t="inlineStr">
        <is>
          <t>TN</t>
        </is>
      </c>
      <c r="J262" t="inlineStr"/>
      <c r="K262" t="inlineStr">
        <is>
          <t>20260217</t>
        </is>
      </c>
      <c r="L262" t="inlineStr">
        <is>
          <t>99991231</t>
        </is>
      </c>
    </row>
    <row r="263">
      <c r="A263" t="inlineStr">
        <is>
          <t>900009255</t>
        </is>
      </c>
      <c r="B263" t="inlineStr">
        <is>
          <t>D845</t>
        </is>
      </c>
      <c r="C263" t="inlineStr">
        <is>
          <t>67362709</t>
        </is>
      </c>
      <c r="D263" t="inlineStr">
        <is>
          <t>10000536</t>
        </is>
      </c>
      <c r="E263" t="inlineStr"/>
      <c r="F263" s="11" t="n">
        <v>184</v>
      </c>
      <c r="G263" t="inlineStr"/>
      <c r="I263" t="inlineStr">
        <is>
          <t>TN</t>
        </is>
      </c>
      <c r="J263" t="inlineStr"/>
      <c r="K263" t="inlineStr">
        <is>
          <t>20260709</t>
        </is>
      </c>
      <c r="L263" t="inlineStr">
        <is>
          <t>99991231</t>
        </is>
      </c>
    </row>
    <row r="264">
      <c r="A264" t="inlineStr">
        <is>
          <t>900009255</t>
        </is>
      </c>
      <c r="B264" t="inlineStr">
        <is>
          <t>D845</t>
        </is>
      </c>
      <c r="C264" t="inlineStr">
        <is>
          <t>67362709</t>
        </is>
      </c>
      <c r="D264" t="inlineStr">
        <is>
          <t>10000578</t>
        </is>
      </c>
      <c r="E264" t="inlineStr"/>
      <c r="F264" s="11" t="n">
        <v>184</v>
      </c>
      <c r="G264" t="inlineStr"/>
      <c r="I264" t="inlineStr">
        <is>
          <t>TN</t>
        </is>
      </c>
      <c r="J264" t="inlineStr"/>
      <c r="K264" t="inlineStr">
        <is>
          <t>20260709</t>
        </is>
      </c>
      <c r="L264" t="inlineStr">
        <is>
          <t>99991231</t>
        </is>
      </c>
    </row>
    <row r="265">
      <c r="A265" t="inlineStr">
        <is>
          <t>900009255</t>
        </is>
      </c>
      <c r="B265" t="inlineStr">
        <is>
          <t>D845</t>
        </is>
      </c>
      <c r="C265" t="inlineStr">
        <is>
          <t>67362709</t>
        </is>
      </c>
      <c r="D265" t="inlineStr">
        <is>
          <t>10000617</t>
        </is>
      </c>
      <c r="E265" t="inlineStr"/>
      <c r="F265" s="11" t="n">
        <v>200</v>
      </c>
      <c r="G265" t="inlineStr"/>
      <c r="I265" t="inlineStr">
        <is>
          <t>TN</t>
        </is>
      </c>
      <c r="J265" t="inlineStr"/>
      <c r="K265" t="inlineStr">
        <is>
          <t>20260709</t>
        </is>
      </c>
      <c r="L265" t="inlineStr">
        <is>
          <t>99991231</t>
        </is>
      </c>
    </row>
    <row r="266">
      <c r="A266" t="inlineStr">
        <is>
          <t>900009255</t>
        </is>
      </c>
      <c r="B266" t="inlineStr">
        <is>
          <t>D845</t>
        </is>
      </c>
      <c r="C266" t="inlineStr">
        <is>
          <t>67362709</t>
        </is>
      </c>
      <c r="D266" t="inlineStr">
        <is>
          <t>10000656</t>
        </is>
      </c>
      <c r="E266" t="inlineStr"/>
      <c r="F266" s="11" t="n">
        <v>197</v>
      </c>
      <c r="G266" t="inlineStr"/>
      <c r="I266" t="inlineStr">
        <is>
          <t>TN</t>
        </is>
      </c>
      <c r="J266" t="inlineStr"/>
      <c r="K266" t="inlineStr">
        <is>
          <t>20260709</t>
        </is>
      </c>
      <c r="L266" t="inlineStr">
        <is>
          <t>99991231</t>
        </is>
      </c>
    </row>
    <row r="267">
      <c r="A267" t="inlineStr">
        <is>
          <t>900009255</t>
        </is>
      </c>
      <c r="B267" t="inlineStr">
        <is>
          <t>D845</t>
        </is>
      </c>
      <c r="C267" t="inlineStr">
        <is>
          <t>67362709</t>
        </is>
      </c>
      <c r="D267" t="inlineStr">
        <is>
          <t>10058501</t>
        </is>
      </c>
      <c r="E267" t="inlineStr"/>
      <c r="F267" s="11" t="n">
        <v>196</v>
      </c>
      <c r="G267" t="inlineStr"/>
      <c r="I267" t="inlineStr">
        <is>
          <t>TN</t>
        </is>
      </c>
      <c r="J267" t="inlineStr"/>
      <c r="K267" t="inlineStr">
        <is>
          <t>20260709</t>
        </is>
      </c>
      <c r="L267" t="inlineStr">
        <is>
          <t>99991231</t>
        </is>
      </c>
    </row>
    <row r="268">
      <c r="A268" t="inlineStr">
        <is>
          <t>900009255</t>
        </is>
      </c>
      <c r="B268" t="inlineStr">
        <is>
          <t>D845</t>
        </is>
      </c>
      <c r="C268" t="inlineStr">
        <is>
          <t>67362709</t>
        </is>
      </c>
      <c r="D268" t="inlineStr">
        <is>
          <t>10167749</t>
        </is>
      </c>
      <c r="E268" t="inlineStr"/>
      <c r="F268" s="11" t="n">
        <v>207</v>
      </c>
      <c r="G268" t="inlineStr"/>
      <c r="I268" t="inlineStr">
        <is>
          <t>TN</t>
        </is>
      </c>
      <c r="J268" t="inlineStr"/>
      <c r="K268" t="inlineStr">
        <is>
          <t>20260709</t>
        </is>
      </c>
      <c r="L268" t="inlineStr">
        <is>
          <t>99991231</t>
        </is>
      </c>
    </row>
    <row r="269">
      <c r="A269" t="inlineStr">
        <is>
          <t>900009255</t>
        </is>
      </c>
      <c r="B269" t="inlineStr">
        <is>
          <t>D845</t>
        </is>
      </c>
      <c r="C269" t="inlineStr">
        <is>
          <t>67362709</t>
        </is>
      </c>
      <c r="D269" t="inlineStr">
        <is>
          <t>10169508</t>
        </is>
      </c>
      <c r="E269" t="inlineStr"/>
      <c r="F269" s="11" t="n">
        <v>212</v>
      </c>
      <c r="G269" t="inlineStr"/>
      <c r="I269" t="inlineStr">
        <is>
          <t>TN</t>
        </is>
      </c>
      <c r="J269" t="inlineStr"/>
      <c r="K269" t="inlineStr">
        <is>
          <t>20260709</t>
        </is>
      </c>
      <c r="L269" t="inlineStr">
        <is>
          <t>99991231</t>
        </is>
      </c>
    </row>
    <row r="270">
      <c r="A270" t="inlineStr">
        <is>
          <t>900009255</t>
        </is>
      </c>
      <c r="B270" t="inlineStr">
        <is>
          <t>D845</t>
        </is>
      </c>
      <c r="C270" t="inlineStr">
        <is>
          <t>67367506</t>
        </is>
      </c>
      <c r="D270" t="inlineStr">
        <is>
          <t>10000536</t>
        </is>
      </c>
      <c r="E270" t="inlineStr"/>
      <c r="F270" s="11" t="n">
        <v>179</v>
      </c>
      <c r="G270" t="inlineStr"/>
      <c r="I270" t="inlineStr">
        <is>
          <t>TN</t>
        </is>
      </c>
      <c r="J270" t="inlineStr"/>
      <c r="K270" t="inlineStr">
        <is>
          <t>20260320</t>
        </is>
      </c>
      <c r="L270" t="inlineStr">
        <is>
          <t>99991231</t>
        </is>
      </c>
    </row>
    <row r="271">
      <c r="A271" t="inlineStr">
        <is>
          <t>900009255</t>
        </is>
      </c>
      <c r="B271" t="inlineStr">
        <is>
          <t>D845</t>
        </is>
      </c>
      <c r="C271" t="inlineStr">
        <is>
          <t>67367506</t>
        </is>
      </c>
      <c r="D271" t="inlineStr">
        <is>
          <t>10000578</t>
        </is>
      </c>
      <c r="E271" t="inlineStr"/>
      <c r="F271" s="11" t="n">
        <v>179</v>
      </c>
      <c r="G271" t="inlineStr"/>
      <c r="I271" t="inlineStr">
        <is>
          <t>TN</t>
        </is>
      </c>
      <c r="J271" t="inlineStr"/>
      <c r="K271" t="inlineStr">
        <is>
          <t>20260320</t>
        </is>
      </c>
      <c r="L271" t="inlineStr">
        <is>
          <t>99991231</t>
        </is>
      </c>
    </row>
    <row r="272">
      <c r="A272" t="inlineStr">
        <is>
          <t>900009255</t>
        </is>
      </c>
      <c r="B272" t="inlineStr">
        <is>
          <t>D845</t>
        </is>
      </c>
      <c r="C272" t="inlineStr">
        <is>
          <t>67367506</t>
        </is>
      </c>
      <c r="D272" t="inlineStr">
        <is>
          <t>10000617</t>
        </is>
      </c>
      <c r="E272" t="inlineStr"/>
      <c r="F272" s="11" t="n">
        <v>195</v>
      </c>
      <c r="G272" t="inlineStr"/>
      <c r="I272" t="inlineStr">
        <is>
          <t>TN</t>
        </is>
      </c>
      <c r="J272" t="inlineStr"/>
      <c r="K272" t="inlineStr">
        <is>
          <t>20260320</t>
        </is>
      </c>
      <c r="L272" t="inlineStr">
        <is>
          <t>99991231</t>
        </is>
      </c>
    </row>
    <row r="273">
      <c r="A273" t="inlineStr">
        <is>
          <t>900009255</t>
        </is>
      </c>
      <c r="B273" t="inlineStr">
        <is>
          <t>D845</t>
        </is>
      </c>
      <c r="C273" t="inlineStr">
        <is>
          <t>67367506</t>
        </is>
      </c>
      <c r="D273" t="inlineStr">
        <is>
          <t>10000656</t>
        </is>
      </c>
      <c r="E273" t="inlineStr"/>
      <c r="F273" s="11" t="n">
        <v>195</v>
      </c>
      <c r="G273" t="inlineStr"/>
      <c r="I273" t="inlineStr">
        <is>
          <t>TN</t>
        </is>
      </c>
      <c r="J273" t="inlineStr"/>
      <c r="K273" t="inlineStr">
        <is>
          <t>20260320</t>
        </is>
      </c>
      <c r="L273" t="inlineStr">
        <is>
          <t>99991231</t>
        </is>
      </c>
    </row>
    <row r="274">
      <c r="A274" t="inlineStr">
        <is>
          <t>900009255</t>
        </is>
      </c>
      <c r="B274" t="inlineStr">
        <is>
          <t>D845</t>
        </is>
      </c>
      <c r="C274" t="inlineStr">
        <is>
          <t>67374671</t>
        </is>
      </c>
      <c r="D274" t="inlineStr">
        <is>
          <t>10058501</t>
        </is>
      </c>
      <c r="E274" t="inlineStr"/>
      <c r="F274" s="11" t="n">
        <v>218</v>
      </c>
      <c r="G274" t="inlineStr"/>
      <c r="I274" t="inlineStr">
        <is>
          <t>TN</t>
        </is>
      </c>
      <c r="J274" t="inlineStr"/>
      <c r="K274" t="inlineStr">
        <is>
          <t>20260804</t>
        </is>
      </c>
      <c r="L274" t="inlineStr">
        <is>
          <t>99991231</t>
        </is>
      </c>
    </row>
    <row r="275">
      <c r="A275" t="inlineStr">
        <is>
          <t>900009256</t>
        </is>
      </c>
      <c r="B275" t="inlineStr">
        <is>
          <t>D845</t>
        </is>
      </c>
      <c r="C275" t="inlineStr">
        <is>
          <t>67367506</t>
        </is>
      </c>
      <c r="D275" t="inlineStr">
        <is>
          <t>10000536</t>
        </is>
      </c>
      <c r="E275" t="inlineStr"/>
      <c r="F275" s="11" t="n">
        <v>181.5</v>
      </c>
      <c r="G275" t="inlineStr"/>
      <c r="I275" t="inlineStr">
        <is>
          <t>TN</t>
        </is>
      </c>
      <c r="J275" t="inlineStr"/>
      <c r="K275" t="inlineStr">
        <is>
          <t>20260320</t>
        </is>
      </c>
      <c r="L275" t="inlineStr">
        <is>
          <t>99991231</t>
        </is>
      </c>
    </row>
    <row r="276">
      <c r="A276" t="inlineStr">
        <is>
          <t>900009256</t>
        </is>
      </c>
      <c r="B276" t="inlineStr">
        <is>
          <t>D845</t>
        </is>
      </c>
      <c r="C276" t="inlineStr">
        <is>
          <t>67367506</t>
        </is>
      </c>
      <c r="D276" t="inlineStr">
        <is>
          <t>10000578</t>
        </is>
      </c>
      <c r="E276" t="inlineStr"/>
      <c r="F276" s="11" t="n">
        <v>181.5</v>
      </c>
      <c r="G276" t="inlineStr"/>
      <c r="I276" t="inlineStr">
        <is>
          <t>TN</t>
        </is>
      </c>
      <c r="J276" t="inlineStr"/>
      <c r="K276" t="inlineStr">
        <is>
          <t>20260320</t>
        </is>
      </c>
      <c r="L276" t="inlineStr">
        <is>
          <t>99991231</t>
        </is>
      </c>
    </row>
    <row r="277">
      <c r="A277" t="inlineStr">
        <is>
          <t>900009256</t>
        </is>
      </c>
      <c r="B277" t="inlineStr">
        <is>
          <t>D845</t>
        </is>
      </c>
      <c r="C277" t="inlineStr">
        <is>
          <t>67367506</t>
        </is>
      </c>
      <c r="D277" t="inlineStr">
        <is>
          <t>10000617</t>
        </is>
      </c>
      <c r="E277" t="inlineStr"/>
      <c r="F277" s="11" t="n">
        <v>196.9</v>
      </c>
      <c r="G277" t="inlineStr"/>
      <c r="I277" t="inlineStr">
        <is>
          <t>TN</t>
        </is>
      </c>
      <c r="J277" t="inlineStr"/>
      <c r="K277" t="inlineStr">
        <is>
          <t>20260320</t>
        </is>
      </c>
      <c r="L277" t="inlineStr">
        <is>
          <t>99991231</t>
        </is>
      </c>
    </row>
    <row r="278">
      <c r="A278" t="inlineStr">
        <is>
          <t>900009256</t>
        </is>
      </c>
      <c r="B278" t="inlineStr">
        <is>
          <t>D845</t>
        </is>
      </c>
      <c r="C278" t="inlineStr">
        <is>
          <t>67367506</t>
        </is>
      </c>
      <c r="D278" t="inlineStr">
        <is>
          <t>10000656</t>
        </is>
      </c>
      <c r="E278" t="inlineStr"/>
      <c r="F278" s="11" t="n">
        <v>198</v>
      </c>
      <c r="G278" t="inlineStr"/>
      <c r="I278" t="inlineStr">
        <is>
          <t>TN</t>
        </is>
      </c>
      <c r="J278" t="inlineStr"/>
      <c r="K278" t="inlineStr">
        <is>
          <t>20260320</t>
        </is>
      </c>
      <c r="L278" t="inlineStr">
        <is>
          <t>99991231</t>
        </is>
      </c>
    </row>
    <row r="279">
      <c r="A279" t="inlineStr">
        <is>
          <t>900005260</t>
        </is>
      </c>
      <c r="B279" t="inlineStr">
        <is>
          <t>D845</t>
        </is>
      </c>
      <c r="C279" t="inlineStr">
        <is>
          <t>66436427</t>
        </is>
      </c>
      <c r="D279" t="inlineStr">
        <is>
          <t>10000578</t>
        </is>
      </c>
      <c r="E279" t="inlineStr"/>
      <c r="F279" s="11" t="n">
        <v>190</v>
      </c>
      <c r="G279" t="inlineStr"/>
      <c r="I279" t="inlineStr">
        <is>
          <t>TN</t>
        </is>
      </c>
      <c r="J279" t="inlineStr"/>
      <c r="K279" t="inlineStr">
        <is>
          <t>20250505</t>
        </is>
      </c>
      <c r="L279" t="inlineStr">
        <is>
          <t>20250507</t>
        </is>
      </c>
    </row>
    <row r="280">
      <c r="A280" t="inlineStr">
        <is>
          <t>900005260</t>
        </is>
      </c>
      <c r="B280" t="inlineStr">
        <is>
          <t>D845</t>
        </is>
      </c>
      <c r="C280" t="inlineStr">
        <is>
          <t>66436427</t>
        </is>
      </c>
      <c r="D280" t="inlineStr">
        <is>
          <t>10000617</t>
        </is>
      </c>
      <c r="E280" t="inlineStr"/>
      <c r="F280" s="11" t="n">
        <v>200</v>
      </c>
      <c r="G280" t="inlineStr"/>
      <c r="I280" t="inlineStr">
        <is>
          <t>TN</t>
        </is>
      </c>
      <c r="J280" t="inlineStr"/>
      <c r="K280" t="inlineStr">
        <is>
          <t>20250505</t>
        </is>
      </c>
      <c r="L280" t="inlineStr">
        <is>
          <t>20250507</t>
        </is>
      </c>
    </row>
    <row r="281">
      <c r="A281" t="inlineStr">
        <is>
          <t>900005260</t>
        </is>
      </c>
      <c r="B281" t="inlineStr">
        <is>
          <t>D845</t>
        </is>
      </c>
      <c r="C281" t="inlineStr">
        <is>
          <t>66436427</t>
        </is>
      </c>
      <c r="D281" t="inlineStr">
        <is>
          <t>10000656</t>
        </is>
      </c>
      <c r="E281" t="inlineStr"/>
      <c r="F281" s="11" t="n">
        <v>200</v>
      </c>
      <c r="G281" t="inlineStr"/>
      <c r="I281" t="inlineStr">
        <is>
          <t>TN</t>
        </is>
      </c>
      <c r="J281" t="inlineStr"/>
      <c r="K281" t="inlineStr">
        <is>
          <t>20250505</t>
        </is>
      </c>
      <c r="L281" t="inlineStr">
        <is>
          <t>20250507</t>
        </is>
      </c>
    </row>
    <row r="282">
      <c r="A282" t="inlineStr">
        <is>
          <t>900005260</t>
        </is>
      </c>
      <c r="B282" t="inlineStr">
        <is>
          <t>D845</t>
        </is>
      </c>
      <c r="C282" t="inlineStr">
        <is>
          <t>67169574</t>
        </is>
      </c>
      <c r="D282" t="inlineStr">
        <is>
          <t>10000536</t>
        </is>
      </c>
      <c r="E282" t="inlineStr"/>
      <c r="F282" s="11" t="n">
        <v>158</v>
      </c>
      <c r="G282" t="inlineStr"/>
      <c r="I282" t="inlineStr">
        <is>
          <t>TN</t>
        </is>
      </c>
      <c r="J282" t="inlineStr"/>
      <c r="K282" t="inlineStr">
        <is>
          <t>20240813</t>
        </is>
      </c>
      <c r="L282" t="inlineStr">
        <is>
          <t>20241108</t>
        </is>
      </c>
    </row>
    <row r="283">
      <c r="A283" t="inlineStr">
        <is>
          <t>900005260</t>
        </is>
      </c>
      <c r="B283" t="inlineStr">
        <is>
          <t>D845</t>
        </is>
      </c>
      <c r="C283" t="inlineStr">
        <is>
          <t>67169574</t>
        </is>
      </c>
      <c r="D283" t="inlineStr">
        <is>
          <t>10000578</t>
        </is>
      </c>
      <c r="E283" t="inlineStr"/>
      <c r="F283" s="11" t="n">
        <v>158</v>
      </c>
      <c r="G283" t="inlineStr"/>
      <c r="I283" t="inlineStr">
        <is>
          <t>TN</t>
        </is>
      </c>
      <c r="J283" t="inlineStr"/>
      <c r="K283" t="inlineStr">
        <is>
          <t>20240425</t>
        </is>
      </c>
      <c r="L283" t="inlineStr">
        <is>
          <t>20240814</t>
        </is>
      </c>
    </row>
    <row r="284">
      <c r="A284" t="inlineStr">
        <is>
          <t>900005260</t>
        </is>
      </c>
      <c r="B284" t="inlineStr">
        <is>
          <t>D845</t>
        </is>
      </c>
      <c r="C284" t="inlineStr">
        <is>
          <t>67169574</t>
        </is>
      </c>
      <c r="D284" t="inlineStr">
        <is>
          <t>10000617</t>
        </is>
      </c>
      <c r="E284" t="inlineStr"/>
      <c r="F284" s="11" t="n">
        <v>168</v>
      </c>
      <c r="G284" t="inlineStr"/>
      <c r="I284" t="inlineStr">
        <is>
          <t>TN</t>
        </is>
      </c>
      <c r="J284" t="inlineStr"/>
      <c r="K284" t="inlineStr">
        <is>
          <t>20250505</t>
        </is>
      </c>
      <c r="L284" t="inlineStr">
        <is>
          <t>20250507</t>
        </is>
      </c>
    </row>
    <row r="285">
      <c r="A285" t="inlineStr">
        <is>
          <t>900005260</t>
        </is>
      </c>
      <c r="B285" t="inlineStr">
        <is>
          <t>D845</t>
        </is>
      </c>
      <c r="C285" t="inlineStr">
        <is>
          <t>67169574</t>
        </is>
      </c>
      <c r="D285" t="inlineStr">
        <is>
          <t>10000656</t>
        </is>
      </c>
      <c r="E285" t="inlineStr"/>
      <c r="F285" s="11" t="n">
        <v>166</v>
      </c>
      <c r="G285" t="inlineStr"/>
      <c r="I285" t="inlineStr">
        <is>
          <t>TN</t>
        </is>
      </c>
      <c r="J285" t="inlineStr"/>
      <c r="K285" t="inlineStr">
        <is>
          <t>20240425</t>
        </is>
      </c>
      <c r="L285" t="inlineStr">
        <is>
          <t>20240814</t>
        </is>
      </c>
    </row>
    <row r="286">
      <c r="A286" t="inlineStr">
        <is>
          <t>900005260</t>
        </is>
      </c>
      <c r="B286" t="inlineStr">
        <is>
          <t>D845</t>
        </is>
      </c>
      <c r="C286" t="inlineStr">
        <is>
          <t>67169574</t>
        </is>
      </c>
      <c r="D286" t="inlineStr">
        <is>
          <t>10058501</t>
        </is>
      </c>
      <c r="E286" t="inlineStr"/>
      <c r="F286" s="11" t="n">
        <v>151</v>
      </c>
      <c r="G286" t="inlineStr"/>
      <c r="I286" t="inlineStr">
        <is>
          <t>TN</t>
        </is>
      </c>
      <c r="J286" t="inlineStr"/>
      <c r="K286" t="inlineStr">
        <is>
          <t>20250505</t>
        </is>
      </c>
      <c r="L286" t="inlineStr">
        <is>
          <t>20250507</t>
        </is>
      </c>
    </row>
    <row r="287">
      <c r="A287" t="inlineStr">
        <is>
          <t>900005260</t>
        </is>
      </c>
      <c r="B287" t="inlineStr">
        <is>
          <t>D845</t>
        </is>
      </c>
      <c r="C287" t="inlineStr">
        <is>
          <t>67169574</t>
        </is>
      </c>
      <c r="D287" t="inlineStr">
        <is>
          <t>10167749</t>
        </is>
      </c>
      <c r="E287" t="inlineStr"/>
      <c r="F287" s="11" t="n">
        <v>161</v>
      </c>
      <c r="G287" t="inlineStr"/>
      <c r="I287" t="inlineStr">
        <is>
          <t>TN</t>
        </is>
      </c>
      <c r="J287" t="inlineStr"/>
      <c r="K287" t="inlineStr">
        <is>
          <t>20250505</t>
        </is>
      </c>
      <c r="L287" t="inlineStr">
        <is>
          <t>20250507</t>
        </is>
      </c>
    </row>
    <row r="288">
      <c r="A288" t="inlineStr">
        <is>
          <t>900005260</t>
        </is>
      </c>
      <c r="B288" t="inlineStr">
        <is>
          <t>D845</t>
        </is>
      </c>
      <c r="C288" t="inlineStr">
        <is>
          <t>67197543</t>
        </is>
      </c>
      <c r="D288" t="inlineStr">
        <is>
          <t>10167749</t>
        </is>
      </c>
      <c r="E288" t="inlineStr"/>
      <c r="F288" s="11" t="n">
        <v>165</v>
      </c>
      <c r="G288" t="inlineStr"/>
      <c r="I288" t="inlineStr">
        <is>
          <t>TN</t>
        </is>
      </c>
      <c r="J288" t="inlineStr"/>
      <c r="K288" t="inlineStr">
        <is>
          <t>20240813</t>
        </is>
      </c>
      <c r="L288" t="inlineStr">
        <is>
          <t>20241108</t>
        </is>
      </c>
    </row>
    <row r="289">
      <c r="A289" t="inlineStr">
        <is>
          <t>900005260</t>
        </is>
      </c>
      <c r="B289" t="inlineStr">
        <is>
          <t>D845</t>
        </is>
      </c>
      <c r="C289" t="inlineStr">
        <is>
          <t>67200086</t>
        </is>
      </c>
      <c r="D289" t="inlineStr">
        <is>
          <t>10000536</t>
        </is>
      </c>
      <c r="E289" t="inlineStr"/>
      <c r="F289" s="11" t="n">
        <v>161</v>
      </c>
      <c r="G289" t="inlineStr"/>
      <c r="I289" t="inlineStr">
        <is>
          <t>TN</t>
        </is>
      </c>
      <c r="J289" t="inlineStr"/>
      <c r="K289" t="inlineStr">
        <is>
          <t>20240425</t>
        </is>
      </c>
      <c r="L289" t="inlineStr">
        <is>
          <t>20240814</t>
        </is>
      </c>
    </row>
    <row r="290">
      <c r="A290" t="inlineStr">
        <is>
          <t>900005260</t>
        </is>
      </c>
      <c r="B290" t="inlineStr">
        <is>
          <t>D845</t>
        </is>
      </c>
      <c r="C290" t="inlineStr">
        <is>
          <t>67200086</t>
        </is>
      </c>
      <c r="D290" t="inlineStr">
        <is>
          <t>10000578</t>
        </is>
      </c>
      <c r="E290" t="inlineStr"/>
      <c r="F290" s="11" t="n">
        <v>161</v>
      </c>
      <c r="G290" t="inlineStr"/>
      <c r="I290" t="inlineStr">
        <is>
          <t>TN</t>
        </is>
      </c>
      <c r="J290" t="inlineStr"/>
      <c r="K290" t="inlineStr">
        <is>
          <t>20240425</t>
        </is>
      </c>
      <c r="L290" t="inlineStr">
        <is>
          <t>20240814</t>
        </is>
      </c>
    </row>
    <row r="291">
      <c r="A291" t="inlineStr">
        <is>
          <t>900005260</t>
        </is>
      </c>
      <c r="B291" t="inlineStr">
        <is>
          <t>D845</t>
        </is>
      </c>
      <c r="C291" t="inlineStr">
        <is>
          <t>67200086</t>
        </is>
      </c>
      <c r="D291" t="inlineStr">
        <is>
          <t>10000617</t>
        </is>
      </c>
      <c r="E291" t="inlineStr"/>
      <c r="F291" s="11" t="n">
        <v>171</v>
      </c>
      <c r="G291" t="inlineStr"/>
      <c r="I291" t="inlineStr">
        <is>
          <t>TN</t>
        </is>
      </c>
      <c r="J291" t="inlineStr"/>
      <c r="K291" t="inlineStr">
        <is>
          <t>20240425</t>
        </is>
      </c>
      <c r="L291" t="inlineStr">
        <is>
          <t>20240814</t>
        </is>
      </c>
    </row>
    <row r="292">
      <c r="A292" t="inlineStr">
        <is>
          <t>900005260</t>
        </is>
      </c>
      <c r="B292" t="inlineStr">
        <is>
          <t>D845</t>
        </is>
      </c>
      <c r="C292" t="inlineStr">
        <is>
          <t>67200086</t>
        </is>
      </c>
      <c r="D292" t="inlineStr">
        <is>
          <t>10000656</t>
        </is>
      </c>
      <c r="E292" t="inlineStr"/>
      <c r="F292" s="11" t="n">
        <v>169</v>
      </c>
      <c r="G292" t="inlineStr"/>
      <c r="I292" t="inlineStr">
        <is>
          <t>TN</t>
        </is>
      </c>
      <c r="J292" t="inlineStr"/>
      <c r="K292" t="inlineStr">
        <is>
          <t>20240425</t>
        </is>
      </c>
      <c r="L292" t="inlineStr">
        <is>
          <t>20240814</t>
        </is>
      </c>
    </row>
    <row r="293">
      <c r="A293" t="inlineStr">
        <is>
          <t>900005260</t>
        </is>
      </c>
      <c r="B293" t="inlineStr">
        <is>
          <t>D845</t>
        </is>
      </c>
      <c r="C293" t="inlineStr">
        <is>
          <t>67200086</t>
        </is>
      </c>
      <c r="D293" t="inlineStr">
        <is>
          <t>10058501</t>
        </is>
      </c>
      <c r="E293" t="inlineStr"/>
      <c r="F293" s="11" t="n">
        <v>153</v>
      </c>
      <c r="G293" t="inlineStr"/>
      <c r="I293" t="inlineStr">
        <is>
          <t>TN</t>
        </is>
      </c>
      <c r="J293" t="inlineStr"/>
      <c r="K293" t="inlineStr">
        <is>
          <t>20240425</t>
        </is>
      </c>
      <c r="L293" t="inlineStr">
        <is>
          <t>20240814</t>
        </is>
      </c>
    </row>
    <row r="294">
      <c r="A294" t="inlineStr">
        <is>
          <t>900005260</t>
        </is>
      </c>
      <c r="B294" t="inlineStr">
        <is>
          <t>D845</t>
        </is>
      </c>
      <c r="C294" t="inlineStr">
        <is>
          <t>67200086</t>
        </is>
      </c>
      <c r="D294" t="inlineStr">
        <is>
          <t>10167749</t>
        </is>
      </c>
      <c r="E294" t="inlineStr"/>
      <c r="F294" s="11" t="n">
        <v>164</v>
      </c>
      <c r="G294" t="inlineStr"/>
      <c r="I294" t="inlineStr">
        <is>
          <t>TN</t>
        </is>
      </c>
      <c r="J294" t="inlineStr"/>
      <c r="K294" t="inlineStr">
        <is>
          <t>20240425</t>
        </is>
      </c>
      <c r="L294" t="inlineStr">
        <is>
          <t>20240814</t>
        </is>
      </c>
    </row>
    <row r="295">
      <c r="A295" t="inlineStr">
        <is>
          <t>900005260</t>
        </is>
      </c>
      <c r="B295" t="inlineStr">
        <is>
          <t>D845</t>
        </is>
      </c>
      <c r="C295" t="inlineStr">
        <is>
          <t>67200086</t>
        </is>
      </c>
      <c r="D295" t="inlineStr">
        <is>
          <t>10169508</t>
        </is>
      </c>
      <c r="E295" t="inlineStr"/>
      <c r="F295" s="11" t="n">
        <v>174</v>
      </c>
      <c r="G295" t="inlineStr"/>
      <c r="I295" t="inlineStr">
        <is>
          <t>TN</t>
        </is>
      </c>
      <c r="J295" t="inlineStr"/>
      <c r="K295" t="inlineStr">
        <is>
          <t>20240425</t>
        </is>
      </c>
      <c r="L295" t="inlineStr">
        <is>
          <t>20240814</t>
        </is>
      </c>
    </row>
    <row r="296">
      <c r="A296" t="inlineStr">
        <is>
          <t>900005260</t>
        </is>
      </c>
      <c r="B296" t="inlineStr">
        <is>
          <t>D845</t>
        </is>
      </c>
      <c r="C296" t="inlineStr">
        <is>
          <t>67230766</t>
        </is>
      </c>
      <c r="D296" t="inlineStr">
        <is>
          <t>10058501</t>
        </is>
      </c>
      <c r="E296" t="inlineStr"/>
      <c r="F296" s="11" t="n">
        <v>151</v>
      </c>
      <c r="G296" t="inlineStr"/>
      <c r="I296" t="inlineStr">
        <is>
          <t>TN</t>
        </is>
      </c>
      <c r="J296" t="inlineStr"/>
      <c r="K296" t="inlineStr">
        <is>
          <t>20240425</t>
        </is>
      </c>
      <c r="L296" t="inlineStr">
        <is>
          <t>20240814</t>
        </is>
      </c>
    </row>
    <row r="297">
      <c r="A297" t="inlineStr">
        <is>
          <t>900005260</t>
        </is>
      </c>
      <c r="B297" t="inlineStr">
        <is>
          <t>D845</t>
        </is>
      </c>
      <c r="C297" t="inlineStr">
        <is>
          <t>67230766</t>
        </is>
      </c>
      <c r="D297" t="inlineStr">
        <is>
          <t>10167749</t>
        </is>
      </c>
      <c r="E297" t="inlineStr"/>
      <c r="F297" s="11" t="n">
        <v>193</v>
      </c>
      <c r="G297" t="inlineStr"/>
      <c r="I297" t="inlineStr">
        <is>
          <t>TN</t>
        </is>
      </c>
      <c r="J297" t="inlineStr"/>
      <c r="K297" t="inlineStr">
        <is>
          <t>20250505</t>
        </is>
      </c>
      <c r="L297" t="inlineStr">
        <is>
          <t>20250507</t>
        </is>
      </c>
    </row>
    <row r="298">
      <c r="A298" t="inlineStr">
        <is>
          <t>900005260</t>
        </is>
      </c>
      <c r="B298" t="inlineStr">
        <is>
          <t>D845</t>
        </is>
      </c>
      <c r="C298" t="inlineStr">
        <is>
          <t>67231138</t>
        </is>
      </c>
      <c r="D298" t="inlineStr">
        <is>
          <t>10058501</t>
        </is>
      </c>
      <c r="E298" t="inlineStr"/>
      <c r="F298" s="11" t="n">
        <v>151</v>
      </c>
      <c r="G298" t="inlineStr"/>
      <c r="I298" t="inlineStr">
        <is>
          <t>TN</t>
        </is>
      </c>
      <c r="J298" t="inlineStr"/>
      <c r="K298" t="inlineStr">
        <is>
          <t>20240425</t>
        </is>
      </c>
      <c r="L298" t="inlineStr">
        <is>
          <t>20240814</t>
        </is>
      </c>
    </row>
    <row r="299">
      <c r="A299" t="inlineStr">
        <is>
          <t>900005260</t>
        </is>
      </c>
      <c r="B299" t="inlineStr">
        <is>
          <t>D845</t>
        </is>
      </c>
      <c r="C299" t="inlineStr">
        <is>
          <t>67231138</t>
        </is>
      </c>
      <c r="D299" t="inlineStr">
        <is>
          <t>10167749</t>
        </is>
      </c>
      <c r="E299" t="inlineStr"/>
      <c r="F299" s="11" t="n">
        <v>193</v>
      </c>
      <c r="G299" t="inlineStr"/>
      <c r="I299" t="inlineStr">
        <is>
          <t>TN</t>
        </is>
      </c>
      <c r="J299" t="inlineStr"/>
      <c r="K299" t="inlineStr">
        <is>
          <t>20250505</t>
        </is>
      </c>
      <c r="L299" t="inlineStr">
        <is>
          <t>20250507</t>
        </is>
      </c>
    </row>
    <row r="300">
      <c r="A300" t="inlineStr">
        <is>
          <t>900005260</t>
        </is>
      </c>
      <c r="B300" t="inlineStr">
        <is>
          <t>D845</t>
        </is>
      </c>
      <c r="C300" t="inlineStr">
        <is>
          <t>67231528</t>
        </is>
      </c>
      <c r="D300" t="inlineStr">
        <is>
          <t>10058501</t>
        </is>
      </c>
      <c r="E300" t="inlineStr"/>
      <c r="F300" s="11" t="n">
        <v>151</v>
      </c>
      <c r="G300" t="inlineStr"/>
      <c r="I300" t="inlineStr">
        <is>
          <t>TN</t>
        </is>
      </c>
      <c r="J300" t="inlineStr"/>
      <c r="K300" t="inlineStr">
        <is>
          <t>20240425</t>
        </is>
      </c>
      <c r="L300" t="inlineStr">
        <is>
          <t>20240814</t>
        </is>
      </c>
    </row>
    <row r="301">
      <c r="A301" t="inlineStr">
        <is>
          <t>900005260</t>
        </is>
      </c>
      <c r="B301" t="inlineStr">
        <is>
          <t>D845</t>
        </is>
      </c>
      <c r="C301" t="inlineStr">
        <is>
          <t>67241390</t>
        </is>
      </c>
      <c r="D301" t="inlineStr">
        <is>
          <t>10217514</t>
        </is>
      </c>
      <c r="E301" t="inlineStr"/>
      <c r="F301" s="11" t="n">
        <v>80</v>
      </c>
      <c r="G301" t="inlineStr"/>
      <c r="I301" t="inlineStr">
        <is>
          <t>M3</t>
        </is>
      </c>
      <c r="J301" t="inlineStr"/>
      <c r="K301" t="inlineStr">
        <is>
          <t>20250505</t>
        </is>
      </c>
      <c r="L301" t="inlineStr">
        <is>
          <t>20250507</t>
        </is>
      </c>
    </row>
    <row r="302">
      <c r="A302" t="inlineStr">
        <is>
          <t>900005260</t>
        </is>
      </c>
      <c r="B302" t="inlineStr">
        <is>
          <t>D845</t>
        </is>
      </c>
      <c r="C302" t="inlineStr">
        <is>
          <t>67241945</t>
        </is>
      </c>
      <c r="D302" t="inlineStr">
        <is>
          <t>10000617</t>
        </is>
      </c>
      <c r="E302" t="inlineStr"/>
      <c r="F302" s="11" t="n">
        <v>200</v>
      </c>
      <c r="G302" t="inlineStr"/>
      <c r="I302" t="inlineStr">
        <is>
          <t>TN</t>
        </is>
      </c>
      <c r="J302" t="inlineStr"/>
      <c r="K302" t="inlineStr">
        <is>
          <t>20250505</t>
        </is>
      </c>
      <c r="L302" t="inlineStr">
        <is>
          <t>20250507</t>
        </is>
      </c>
    </row>
    <row r="303">
      <c r="A303" t="inlineStr">
        <is>
          <t>900005260</t>
        </is>
      </c>
      <c r="B303" t="inlineStr">
        <is>
          <t>D845</t>
        </is>
      </c>
      <c r="C303" t="inlineStr">
        <is>
          <t>67241945</t>
        </is>
      </c>
      <c r="D303" t="inlineStr">
        <is>
          <t>10167749</t>
        </is>
      </c>
      <c r="E303" t="inlineStr"/>
      <c r="F303" s="11" t="n">
        <v>193</v>
      </c>
      <c r="G303" t="inlineStr"/>
      <c r="I303" t="inlineStr">
        <is>
          <t>TN</t>
        </is>
      </c>
      <c r="J303" t="inlineStr"/>
      <c r="K303" t="inlineStr">
        <is>
          <t>20250528</t>
        </is>
      </c>
      <c r="L303" t="inlineStr">
        <is>
          <t>20250710</t>
        </is>
      </c>
    </row>
    <row r="304">
      <c r="A304" t="inlineStr">
        <is>
          <t>900005260</t>
        </is>
      </c>
      <c r="B304" t="inlineStr">
        <is>
          <t>D845</t>
        </is>
      </c>
      <c r="C304" t="inlineStr">
        <is>
          <t>67283393</t>
        </is>
      </c>
      <c r="D304" t="inlineStr">
        <is>
          <t>10167749</t>
        </is>
      </c>
      <c r="E304" t="inlineStr"/>
      <c r="F304" s="11" t="n">
        <v>195</v>
      </c>
      <c r="G304" t="inlineStr"/>
      <c r="I304" t="inlineStr">
        <is>
          <t>TN</t>
        </is>
      </c>
      <c r="J304" t="inlineStr"/>
      <c r="K304" t="inlineStr">
        <is>
          <t>20250505</t>
        </is>
      </c>
      <c r="L304" t="inlineStr">
        <is>
          <t>20250507</t>
        </is>
      </c>
    </row>
    <row r="305">
      <c r="A305" t="inlineStr">
        <is>
          <t>900005260</t>
        </is>
      </c>
      <c r="B305" t="inlineStr">
        <is>
          <t>D845</t>
        </is>
      </c>
      <c r="C305" t="inlineStr">
        <is>
          <t>67293767</t>
        </is>
      </c>
      <c r="D305" t="inlineStr">
        <is>
          <t>10217514</t>
        </is>
      </c>
      <c r="E305" t="inlineStr"/>
      <c r="F305" s="11" t="n">
        <v>100</v>
      </c>
      <c r="G305" t="inlineStr"/>
      <c r="I305" t="inlineStr">
        <is>
          <t>M3</t>
        </is>
      </c>
      <c r="J305" t="inlineStr"/>
      <c r="K305" t="inlineStr">
        <is>
          <t>20250505</t>
        </is>
      </c>
      <c r="L305" t="inlineStr">
        <is>
          <t>20250507</t>
        </is>
      </c>
    </row>
    <row r="306">
      <c r="A306" t="inlineStr">
        <is>
          <t>900005260</t>
        </is>
      </c>
      <c r="B306" t="inlineStr">
        <is>
          <t>D845</t>
        </is>
      </c>
      <c r="C306" t="inlineStr">
        <is>
          <t>67302210</t>
        </is>
      </c>
      <c r="D306" t="inlineStr">
        <is>
          <t>10217514</t>
        </is>
      </c>
      <c r="E306" t="inlineStr"/>
      <c r="F306" s="11" t="n">
        <v>80</v>
      </c>
      <c r="G306" t="inlineStr"/>
      <c r="I306" t="inlineStr">
        <is>
          <t>M3</t>
        </is>
      </c>
      <c r="J306" t="inlineStr"/>
      <c r="K306" t="inlineStr">
        <is>
          <t>20250505</t>
        </is>
      </c>
      <c r="L306" t="inlineStr">
        <is>
          <t>20250507</t>
        </is>
      </c>
    </row>
    <row r="307">
      <c r="A307" t="inlineStr">
        <is>
          <t>900005260</t>
        </is>
      </c>
      <c r="B307" t="inlineStr">
        <is>
          <t>D845</t>
        </is>
      </c>
      <c r="C307" t="inlineStr">
        <is>
          <t>67318363</t>
        </is>
      </c>
      <c r="D307" t="inlineStr">
        <is>
          <t>10167749</t>
        </is>
      </c>
      <c r="E307" t="inlineStr"/>
      <c r="F307" s="11" t="n">
        <v>200</v>
      </c>
      <c r="G307" t="inlineStr"/>
      <c r="I307" t="inlineStr">
        <is>
          <t>TN</t>
        </is>
      </c>
      <c r="J307" t="inlineStr"/>
      <c r="K307" t="inlineStr">
        <is>
          <t>20250505</t>
        </is>
      </c>
      <c r="L307" t="inlineStr">
        <is>
          <t>20250507</t>
        </is>
      </c>
    </row>
    <row r="308">
      <c r="A308" t="inlineStr">
        <is>
          <t>900006074</t>
        </is>
      </c>
      <c r="B308" t="inlineStr">
        <is>
          <t>D845</t>
        </is>
      </c>
      <c r="C308" t="inlineStr">
        <is>
          <t>65005139</t>
        </is>
      </c>
      <c r="D308" t="inlineStr">
        <is>
          <t>10000536</t>
        </is>
      </c>
      <c r="E308" t="inlineStr"/>
      <c r="F308" s="11" t="n">
        <v>158</v>
      </c>
      <c r="G308" t="inlineStr"/>
      <c r="I308" t="inlineStr">
        <is>
          <t>TN</t>
        </is>
      </c>
      <c r="J308" t="inlineStr"/>
      <c r="K308" t="inlineStr">
        <is>
          <t>20240425</t>
        </is>
      </c>
      <c r="L308" t="inlineStr">
        <is>
          <t>20240814</t>
        </is>
      </c>
    </row>
    <row r="309">
      <c r="A309" t="inlineStr">
        <is>
          <t>900006074</t>
        </is>
      </c>
      <c r="B309" t="inlineStr">
        <is>
          <t>D845</t>
        </is>
      </c>
      <c r="C309" t="inlineStr">
        <is>
          <t>65005139</t>
        </is>
      </c>
      <c r="D309" t="inlineStr">
        <is>
          <t>10000578</t>
        </is>
      </c>
      <c r="E309" t="inlineStr"/>
      <c r="F309" s="11" t="n">
        <v>158</v>
      </c>
      <c r="G309" t="inlineStr"/>
      <c r="I309" t="inlineStr">
        <is>
          <t>TN</t>
        </is>
      </c>
      <c r="J309" t="inlineStr"/>
      <c r="K309" t="inlineStr">
        <is>
          <t>20240425</t>
        </is>
      </c>
      <c r="L309" t="inlineStr">
        <is>
          <t>20240814</t>
        </is>
      </c>
    </row>
    <row r="310">
      <c r="A310" t="inlineStr">
        <is>
          <t>900006074</t>
        </is>
      </c>
      <c r="B310" t="inlineStr">
        <is>
          <t>D845</t>
        </is>
      </c>
      <c r="C310" t="inlineStr">
        <is>
          <t>65005139</t>
        </is>
      </c>
      <c r="D310" t="inlineStr">
        <is>
          <t>10000617</t>
        </is>
      </c>
      <c r="E310" t="inlineStr"/>
      <c r="F310" s="11" t="n">
        <v>168</v>
      </c>
      <c r="G310" t="inlineStr"/>
      <c r="I310" t="inlineStr">
        <is>
          <t>TN</t>
        </is>
      </c>
      <c r="J310" t="inlineStr"/>
      <c r="K310" t="inlineStr">
        <is>
          <t>20240425</t>
        </is>
      </c>
      <c r="L310" t="inlineStr">
        <is>
          <t>20240814</t>
        </is>
      </c>
    </row>
    <row r="311">
      <c r="A311" t="inlineStr">
        <is>
          <t>900006074</t>
        </is>
      </c>
      <c r="B311" t="inlineStr">
        <is>
          <t>D845</t>
        </is>
      </c>
      <c r="C311" t="inlineStr">
        <is>
          <t>65005139</t>
        </is>
      </c>
      <c r="D311" t="inlineStr">
        <is>
          <t>10000656</t>
        </is>
      </c>
      <c r="E311" t="inlineStr"/>
      <c r="F311" s="11" t="n">
        <v>166</v>
      </c>
      <c r="G311" t="inlineStr"/>
      <c r="I311" t="inlineStr">
        <is>
          <t>TN</t>
        </is>
      </c>
      <c r="J311" t="inlineStr"/>
      <c r="K311" t="inlineStr">
        <is>
          <t>20240425</t>
        </is>
      </c>
      <c r="L311" t="inlineStr">
        <is>
          <t>20240814</t>
        </is>
      </c>
    </row>
    <row r="312">
      <c r="A312" t="inlineStr">
        <is>
          <t>900006074</t>
        </is>
      </c>
      <c r="B312" t="inlineStr">
        <is>
          <t>D845</t>
        </is>
      </c>
      <c r="C312" t="inlineStr">
        <is>
          <t>65005139</t>
        </is>
      </c>
      <c r="D312" t="inlineStr">
        <is>
          <t>10058501</t>
        </is>
      </c>
      <c r="E312" t="inlineStr"/>
      <c r="F312" s="11" t="n">
        <v>151</v>
      </c>
      <c r="G312" t="inlineStr"/>
      <c r="I312" t="inlineStr">
        <is>
          <t>TN</t>
        </is>
      </c>
      <c r="J312" t="inlineStr"/>
      <c r="K312" t="inlineStr">
        <is>
          <t>20240425</t>
        </is>
      </c>
      <c r="L312" t="inlineStr">
        <is>
          <t>20240814</t>
        </is>
      </c>
    </row>
    <row r="313">
      <c r="A313" t="inlineStr">
        <is>
          <t>900006074</t>
        </is>
      </c>
      <c r="B313" t="inlineStr">
        <is>
          <t>D845</t>
        </is>
      </c>
      <c r="C313" t="inlineStr">
        <is>
          <t>65005139</t>
        </is>
      </c>
      <c r="D313" t="inlineStr">
        <is>
          <t>10167749</t>
        </is>
      </c>
      <c r="E313" t="inlineStr"/>
      <c r="F313" s="11" t="n">
        <v>161</v>
      </c>
      <c r="G313" t="inlineStr"/>
      <c r="I313" t="inlineStr">
        <is>
          <t>TN</t>
        </is>
      </c>
      <c r="J313" t="inlineStr"/>
      <c r="K313" t="inlineStr">
        <is>
          <t>20240425</t>
        </is>
      </c>
      <c r="L313" t="inlineStr">
        <is>
          <t>20240814</t>
        </is>
      </c>
    </row>
    <row r="314">
      <c r="A314" t="inlineStr">
        <is>
          <t>900006074</t>
        </is>
      </c>
      <c r="B314" t="inlineStr">
        <is>
          <t>D845</t>
        </is>
      </c>
      <c r="C314" t="inlineStr">
        <is>
          <t>67197543</t>
        </is>
      </c>
      <c r="D314" t="inlineStr">
        <is>
          <t>10167749</t>
        </is>
      </c>
      <c r="E314" t="inlineStr"/>
      <c r="F314" s="11" t="n">
        <v>161</v>
      </c>
      <c r="G314" t="inlineStr"/>
      <c r="I314" t="inlineStr">
        <is>
          <t>TN</t>
        </is>
      </c>
      <c r="J314" t="inlineStr"/>
      <c r="K314" t="inlineStr">
        <is>
          <t>20250505</t>
        </is>
      </c>
      <c r="L314" t="inlineStr">
        <is>
          <t>20250507</t>
        </is>
      </c>
    </row>
    <row r="315">
      <c r="A315" t="inlineStr">
        <is>
          <t>900006074</t>
        </is>
      </c>
      <c r="B315" t="inlineStr">
        <is>
          <t>D845</t>
        </is>
      </c>
      <c r="C315" t="inlineStr">
        <is>
          <t>67230766</t>
        </is>
      </c>
      <c r="D315" t="inlineStr">
        <is>
          <t>10058501</t>
        </is>
      </c>
      <c r="E315" t="inlineStr"/>
      <c r="F315" s="11" t="n">
        <v>151</v>
      </c>
      <c r="G315" t="inlineStr"/>
      <c r="I315" t="inlineStr">
        <is>
          <t>TN</t>
        </is>
      </c>
      <c r="J315" t="inlineStr"/>
      <c r="K315" t="inlineStr">
        <is>
          <t>20240425</t>
        </is>
      </c>
      <c r="L315" t="inlineStr">
        <is>
          <t>20240814</t>
        </is>
      </c>
    </row>
    <row r="316">
      <c r="A316" t="inlineStr">
        <is>
          <t>900006074</t>
        </is>
      </c>
      <c r="B316" t="inlineStr">
        <is>
          <t>D845</t>
        </is>
      </c>
      <c r="C316" t="inlineStr">
        <is>
          <t>67230766</t>
        </is>
      </c>
      <c r="D316" t="inlineStr">
        <is>
          <t>10167749</t>
        </is>
      </c>
      <c r="E316" t="inlineStr"/>
      <c r="F316" s="11" t="n">
        <v>161</v>
      </c>
      <c r="G316" t="inlineStr"/>
      <c r="I316" t="inlineStr">
        <is>
          <t>TN</t>
        </is>
      </c>
      <c r="J316" t="inlineStr"/>
      <c r="K316" t="inlineStr">
        <is>
          <t>20240425</t>
        </is>
      </c>
      <c r="L316" t="inlineStr">
        <is>
          <t>20240814</t>
        </is>
      </c>
    </row>
    <row r="317">
      <c r="A317" t="inlineStr">
        <is>
          <t>900006074</t>
        </is>
      </c>
      <c r="B317" t="inlineStr">
        <is>
          <t>D845</t>
        </is>
      </c>
      <c r="C317" t="inlineStr">
        <is>
          <t>67231138</t>
        </is>
      </c>
      <c r="D317" t="inlineStr">
        <is>
          <t>10058501</t>
        </is>
      </c>
      <c r="E317" t="inlineStr"/>
      <c r="F317" s="11" t="n">
        <v>151</v>
      </c>
      <c r="G317" t="inlineStr"/>
      <c r="I317" t="inlineStr">
        <is>
          <t>TN</t>
        </is>
      </c>
      <c r="J317" t="inlineStr"/>
      <c r="K317" t="inlineStr">
        <is>
          <t>20240425</t>
        </is>
      </c>
      <c r="L317" t="inlineStr">
        <is>
          <t>20240814</t>
        </is>
      </c>
    </row>
    <row r="318">
      <c r="A318" t="inlineStr">
        <is>
          <t>900006074</t>
        </is>
      </c>
      <c r="B318" t="inlineStr">
        <is>
          <t>D845</t>
        </is>
      </c>
      <c r="C318" t="inlineStr">
        <is>
          <t>67231138</t>
        </is>
      </c>
      <c r="D318" t="inlineStr">
        <is>
          <t>10167749</t>
        </is>
      </c>
      <c r="E318" t="inlineStr"/>
      <c r="F318" s="11" t="n">
        <v>161</v>
      </c>
      <c r="G318" t="inlineStr"/>
      <c r="I318" t="inlineStr">
        <is>
          <t>TN</t>
        </is>
      </c>
      <c r="J318" t="inlineStr"/>
      <c r="K318" t="inlineStr">
        <is>
          <t>20240425</t>
        </is>
      </c>
      <c r="L318" t="inlineStr">
        <is>
          <t>20240814</t>
        </is>
      </c>
    </row>
    <row r="319">
      <c r="A319" t="inlineStr">
        <is>
          <t>900006074</t>
        </is>
      </c>
      <c r="B319" t="inlineStr">
        <is>
          <t>D845</t>
        </is>
      </c>
      <c r="C319" t="inlineStr">
        <is>
          <t>67241102</t>
        </is>
      </c>
      <c r="D319" t="inlineStr">
        <is>
          <t>10167749</t>
        </is>
      </c>
      <c r="E319" t="inlineStr"/>
      <c r="F319" s="11" t="n">
        <v>177</v>
      </c>
      <c r="G319" t="inlineStr"/>
      <c r="I319" t="inlineStr">
        <is>
          <t>TN</t>
        </is>
      </c>
      <c r="J319" t="inlineStr"/>
      <c r="K319" t="inlineStr">
        <is>
          <t>20240425</t>
        </is>
      </c>
      <c r="L319" t="inlineStr">
        <is>
          <t>20240814</t>
        </is>
      </c>
    </row>
    <row r="320">
      <c r="A320" t="inlineStr">
        <is>
          <t>900006074</t>
        </is>
      </c>
      <c r="B320" t="inlineStr">
        <is>
          <t>D845</t>
        </is>
      </c>
      <c r="C320" t="inlineStr">
        <is>
          <t>67247681</t>
        </is>
      </c>
      <c r="D320" t="inlineStr">
        <is>
          <t>10167749</t>
        </is>
      </c>
      <c r="E320" t="inlineStr"/>
      <c r="F320" s="11" t="n">
        <v>161</v>
      </c>
      <c r="G320" t="inlineStr"/>
      <c r="I320" t="inlineStr">
        <is>
          <t>TN</t>
        </is>
      </c>
      <c r="J320" t="inlineStr"/>
      <c r="K320" t="inlineStr">
        <is>
          <t>20240813</t>
        </is>
      </c>
      <c r="L320" t="inlineStr">
        <is>
          <t>20241108</t>
        </is>
      </c>
    </row>
    <row r="321">
      <c r="A321" t="inlineStr">
        <is>
          <t>900006074</t>
        </is>
      </c>
      <c r="B321" t="inlineStr">
        <is>
          <t>D845</t>
        </is>
      </c>
      <c r="C321" t="inlineStr">
        <is>
          <t>67257001</t>
        </is>
      </c>
      <c r="D321" t="inlineStr">
        <is>
          <t>10000536</t>
        </is>
      </c>
      <c r="E321" t="inlineStr"/>
      <c r="F321" s="11" t="n">
        <v>201</v>
      </c>
      <c r="G321" t="inlineStr"/>
      <c r="I321" t="inlineStr">
        <is>
          <t>TN</t>
        </is>
      </c>
      <c r="J321" t="inlineStr"/>
      <c r="K321" t="inlineStr">
        <is>
          <t>20250505</t>
        </is>
      </c>
      <c r="L321" t="inlineStr">
        <is>
          <t>20250507</t>
        </is>
      </c>
    </row>
    <row r="322">
      <c r="A322" t="inlineStr">
        <is>
          <t>900006074</t>
        </is>
      </c>
      <c r="B322" t="inlineStr">
        <is>
          <t>D845</t>
        </is>
      </c>
      <c r="C322" t="inlineStr">
        <is>
          <t>67257001</t>
        </is>
      </c>
      <c r="D322" t="inlineStr">
        <is>
          <t>10167749</t>
        </is>
      </c>
      <c r="E322" t="inlineStr"/>
      <c r="F322" s="11" t="n">
        <v>167</v>
      </c>
      <c r="G322" t="inlineStr"/>
      <c r="I322" t="inlineStr">
        <is>
          <t>TN</t>
        </is>
      </c>
      <c r="J322" t="inlineStr"/>
      <c r="K322" t="inlineStr">
        <is>
          <t>20240813</t>
        </is>
      </c>
      <c r="L322" t="inlineStr">
        <is>
          <t>20241108</t>
        </is>
      </c>
    </row>
    <row r="323">
      <c r="A323" t="inlineStr">
        <is>
          <t>900006074</t>
        </is>
      </c>
      <c r="B323" t="inlineStr">
        <is>
          <t>D845</t>
        </is>
      </c>
      <c r="C323" t="inlineStr">
        <is>
          <t>67277494</t>
        </is>
      </c>
      <c r="D323" t="inlineStr">
        <is>
          <t>10000617</t>
        </is>
      </c>
      <c r="E323" t="inlineStr"/>
      <c r="F323" s="11" t="n">
        <v>173</v>
      </c>
      <c r="G323" t="inlineStr"/>
      <c r="I323" t="inlineStr">
        <is>
          <t>TN</t>
        </is>
      </c>
      <c r="J323" t="inlineStr"/>
      <c r="K323" t="inlineStr">
        <is>
          <t>20240813</t>
        </is>
      </c>
      <c r="L323" t="inlineStr">
        <is>
          <t>20241108</t>
        </is>
      </c>
    </row>
    <row r="324">
      <c r="A324" t="inlineStr">
        <is>
          <t>900006074</t>
        </is>
      </c>
      <c r="B324" t="inlineStr">
        <is>
          <t>D845</t>
        </is>
      </c>
      <c r="C324" t="inlineStr">
        <is>
          <t>67277494</t>
        </is>
      </c>
      <c r="D324" t="inlineStr">
        <is>
          <t>10167749</t>
        </is>
      </c>
      <c r="E324" t="inlineStr"/>
      <c r="F324" s="11" t="n">
        <v>165</v>
      </c>
      <c r="G324" t="inlineStr"/>
      <c r="I324" t="inlineStr">
        <is>
          <t>TN</t>
        </is>
      </c>
      <c r="J324" t="inlineStr"/>
      <c r="K324" t="inlineStr">
        <is>
          <t>20240813</t>
        </is>
      </c>
      <c r="L324" t="inlineStr">
        <is>
          <t>20241108</t>
        </is>
      </c>
    </row>
    <row r="325">
      <c r="A325" t="inlineStr">
        <is>
          <t>900006074</t>
        </is>
      </c>
      <c r="B325" t="inlineStr">
        <is>
          <t>D845</t>
        </is>
      </c>
      <c r="C325" t="inlineStr">
        <is>
          <t>67283393</t>
        </is>
      </c>
      <c r="D325" t="inlineStr">
        <is>
          <t>10058501</t>
        </is>
      </c>
      <c r="E325" t="inlineStr"/>
      <c r="F325" s="11" t="n">
        <v>158</v>
      </c>
      <c r="G325" t="inlineStr"/>
      <c r="I325" t="inlineStr">
        <is>
          <t>TN</t>
        </is>
      </c>
      <c r="J325" t="inlineStr"/>
      <c r="K325" t="inlineStr">
        <is>
          <t>20240813</t>
        </is>
      </c>
      <c r="L325" t="inlineStr">
        <is>
          <t>20241108</t>
        </is>
      </c>
    </row>
    <row r="326">
      <c r="A326" t="inlineStr">
        <is>
          <t>900006074</t>
        </is>
      </c>
      <c r="B326" t="inlineStr">
        <is>
          <t>D845</t>
        </is>
      </c>
      <c r="C326" t="inlineStr">
        <is>
          <t>67283393</t>
        </is>
      </c>
      <c r="D326" t="inlineStr">
        <is>
          <t>10167749</t>
        </is>
      </c>
      <c r="E326" t="inlineStr"/>
      <c r="F326" s="11" t="n">
        <v>195</v>
      </c>
      <c r="G326" t="inlineStr"/>
      <c r="I326" t="inlineStr">
        <is>
          <t>TN</t>
        </is>
      </c>
      <c r="J326" t="inlineStr"/>
      <c r="K326" t="inlineStr">
        <is>
          <t>20250505</t>
        </is>
      </c>
      <c r="L326" t="inlineStr">
        <is>
          <t>20250507</t>
        </is>
      </c>
    </row>
    <row r="327">
      <c r="A327" t="inlineStr">
        <is>
          <t>900006074</t>
        </is>
      </c>
      <c r="B327" t="inlineStr">
        <is>
          <t>D845</t>
        </is>
      </c>
      <c r="C327" t="inlineStr">
        <is>
          <t>67298518</t>
        </is>
      </c>
      <c r="D327" t="inlineStr">
        <is>
          <t>10167749</t>
        </is>
      </c>
      <c r="E327" t="inlineStr"/>
      <c r="F327" s="11" t="n">
        <v>205</v>
      </c>
      <c r="G327" t="inlineStr"/>
      <c r="I327" t="inlineStr">
        <is>
          <t>TN</t>
        </is>
      </c>
      <c r="J327" t="inlineStr"/>
      <c r="K327" t="inlineStr">
        <is>
          <t>20250505</t>
        </is>
      </c>
      <c r="L327" t="inlineStr">
        <is>
          <t>20250507</t>
        </is>
      </c>
    </row>
    <row r="328">
      <c r="A328" t="inlineStr">
        <is>
          <t>900006074</t>
        </is>
      </c>
      <c r="B328" t="inlineStr">
        <is>
          <t>D845</t>
        </is>
      </c>
      <c r="C328" t="inlineStr">
        <is>
          <t>67318363</t>
        </is>
      </c>
      <c r="D328" t="inlineStr">
        <is>
          <t>10167749</t>
        </is>
      </c>
      <c r="E328" t="inlineStr"/>
      <c r="F328" s="11" t="n">
        <v>200</v>
      </c>
      <c r="G328" t="inlineStr"/>
      <c r="I328" t="inlineStr">
        <is>
          <t>TN</t>
        </is>
      </c>
      <c r="J328" t="inlineStr"/>
      <c r="K328" t="inlineStr">
        <is>
          <t>20250505</t>
        </is>
      </c>
      <c r="L328" t="inlineStr">
        <is>
          <t>20250507</t>
        </is>
      </c>
    </row>
    <row r="329">
      <c r="A329" t="inlineStr">
        <is>
          <t>900006074</t>
        </is>
      </c>
      <c r="B329" t="inlineStr">
        <is>
          <t>D845</t>
        </is>
      </c>
      <c r="C329" t="inlineStr">
        <is>
          <t>67319817</t>
        </is>
      </c>
      <c r="D329" t="inlineStr">
        <is>
          <t>10167749</t>
        </is>
      </c>
      <c r="E329" t="inlineStr"/>
      <c r="F329" s="11" t="n">
        <v>205</v>
      </c>
      <c r="G329" t="inlineStr"/>
      <c r="I329" t="inlineStr">
        <is>
          <t>TN</t>
        </is>
      </c>
      <c r="J329" t="inlineStr"/>
      <c r="K329" t="inlineStr">
        <is>
          <t>20250528</t>
        </is>
      </c>
      <c r="L329" t="inlineStr">
        <is>
          <t>20250710</t>
        </is>
      </c>
    </row>
    <row r="330">
      <c r="A330" t="inlineStr">
        <is>
          <t>900008838</t>
        </is>
      </c>
      <c r="B330" t="inlineStr">
        <is>
          <t>D845</t>
        </is>
      </c>
      <c r="C330" t="inlineStr">
        <is>
          <t>67241102</t>
        </is>
      </c>
      <c r="D330" t="inlineStr">
        <is>
          <t>10167749</t>
        </is>
      </c>
      <c r="E330" t="inlineStr"/>
      <c r="F330" s="11" t="n">
        <v>187</v>
      </c>
      <c r="G330" t="inlineStr"/>
      <c r="I330" t="inlineStr">
        <is>
          <t>TN</t>
        </is>
      </c>
      <c r="J330" t="inlineStr"/>
      <c r="K330" t="inlineStr">
        <is>
          <t>20240425</t>
        </is>
      </c>
      <c r="L330" t="inlineStr">
        <is>
          <t>20240814</t>
        </is>
      </c>
    </row>
    <row r="331">
      <c r="A331" t="inlineStr">
        <is>
          <t>900009255</t>
        </is>
      </c>
      <c r="B331" t="inlineStr">
        <is>
          <t>D845</t>
        </is>
      </c>
      <c r="C331" t="inlineStr">
        <is>
          <t>67318246</t>
        </is>
      </c>
      <c r="D331" t="inlineStr">
        <is>
          <t>10000536</t>
        </is>
      </c>
      <c r="E331" t="inlineStr"/>
      <c r="F331" s="11" t="n">
        <v>169</v>
      </c>
      <c r="G331" t="inlineStr"/>
      <c r="I331" t="inlineStr">
        <is>
          <t>TN</t>
        </is>
      </c>
      <c r="J331" t="inlineStr"/>
      <c r="K331" t="inlineStr">
        <is>
          <t>20250528</t>
        </is>
      </c>
      <c r="L331" t="inlineStr">
        <is>
          <t>20250710</t>
        </is>
      </c>
    </row>
    <row r="332">
      <c r="A332" t="inlineStr">
        <is>
          <t>900009255</t>
        </is>
      </c>
      <c r="B332" t="inlineStr">
        <is>
          <t>D845</t>
        </is>
      </c>
      <c r="C332" t="inlineStr">
        <is>
          <t>67318246</t>
        </is>
      </c>
      <c r="D332" t="inlineStr">
        <is>
          <t>10000578</t>
        </is>
      </c>
      <c r="E332" t="inlineStr"/>
      <c r="F332" s="11" t="n">
        <v>169</v>
      </c>
      <c r="G332" t="inlineStr"/>
      <c r="I332" t="inlineStr">
        <is>
          <t>TN</t>
        </is>
      </c>
      <c r="J332" t="inlineStr"/>
      <c r="K332" t="inlineStr">
        <is>
          <t>20250528</t>
        </is>
      </c>
      <c r="L332" t="inlineStr">
        <is>
          <t>20250710</t>
        </is>
      </c>
    </row>
    <row r="333">
      <c r="A333" t="inlineStr">
        <is>
          <t>900009255</t>
        </is>
      </c>
      <c r="B333" t="inlineStr">
        <is>
          <t>D845</t>
        </is>
      </c>
      <c r="C333" t="inlineStr">
        <is>
          <t>67318246</t>
        </is>
      </c>
      <c r="D333" t="inlineStr">
        <is>
          <t>10000617</t>
        </is>
      </c>
      <c r="E333" t="inlineStr"/>
      <c r="F333" s="11" t="n">
        <v>184</v>
      </c>
      <c r="G333" t="inlineStr"/>
      <c r="I333" t="inlineStr">
        <is>
          <t>TN</t>
        </is>
      </c>
      <c r="J333" t="inlineStr"/>
      <c r="K333" t="inlineStr">
        <is>
          <t>20250528</t>
        </is>
      </c>
      <c r="L333" t="inlineStr">
        <is>
          <t>20250710</t>
        </is>
      </c>
    </row>
    <row r="334">
      <c r="A334" t="inlineStr">
        <is>
          <t>900009255</t>
        </is>
      </c>
      <c r="B334" t="inlineStr">
        <is>
          <t>D845</t>
        </is>
      </c>
      <c r="C334" t="inlineStr">
        <is>
          <t>67318246</t>
        </is>
      </c>
      <c r="D334" t="inlineStr">
        <is>
          <t>10000656</t>
        </is>
      </c>
      <c r="E334" t="inlineStr"/>
      <c r="F334" s="11" t="n">
        <v>179</v>
      </c>
      <c r="G334" t="inlineStr"/>
      <c r="I334" t="inlineStr">
        <is>
          <t>TN</t>
        </is>
      </c>
      <c r="J334" t="inlineStr"/>
      <c r="K334" t="inlineStr">
        <is>
          <t>20250528</t>
        </is>
      </c>
      <c r="L334" t="inlineStr">
        <is>
          <t>20250710</t>
        </is>
      </c>
    </row>
    <row r="335">
      <c r="A335" t="inlineStr">
        <is>
          <t>900009255</t>
        </is>
      </c>
      <c r="B335" t="inlineStr">
        <is>
          <t>D845</t>
        </is>
      </c>
      <c r="C335" t="inlineStr">
        <is>
          <t>67318246</t>
        </is>
      </c>
      <c r="D335" t="inlineStr">
        <is>
          <t>10169508</t>
        </is>
      </c>
      <c r="E335" t="inlineStr"/>
      <c r="F335" s="11" t="n">
        <v>194</v>
      </c>
      <c r="G335" t="inlineStr"/>
      <c r="I335" t="inlineStr">
        <is>
          <t>TN</t>
        </is>
      </c>
      <c r="J335" t="inlineStr"/>
      <c r="K335" t="inlineStr">
        <is>
          <t>20250528</t>
        </is>
      </c>
      <c r="L335" t="inlineStr">
        <is>
          <t>20250710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900006074D8456500513910000536</t>
        </is>
      </c>
      <c r="B2" t="inlineStr">
        <is>
          <t>900006074</t>
        </is>
      </c>
      <c r="C2" t="inlineStr">
        <is>
          <t>D845</t>
        </is>
      </c>
      <c r="D2" t="inlineStr">
        <is>
          <t>65005139</t>
        </is>
      </c>
      <c r="E2" t="inlineStr">
        <is>
          <t>4</t>
        </is>
      </c>
      <c r="F2" t="inlineStr">
        <is>
          <t>10000536</t>
        </is>
      </c>
      <c r="H2" t="inlineStr"/>
      <c r="J2" t="n">
        <v>72</v>
      </c>
      <c r="K2" t="inlineStr"/>
      <c r="M2" t="inlineStr">
        <is>
          <t>TN</t>
        </is>
      </c>
      <c r="N2" t="inlineStr"/>
      <c r="P2" t="inlineStr">
        <is>
          <t>20260212</t>
        </is>
      </c>
      <c r="Q2" t="inlineStr">
        <is>
          <t>99991231</t>
        </is>
      </c>
    </row>
    <row r="3">
      <c r="A3" t="inlineStr">
        <is>
          <t>900006074D8456500513910000578</t>
        </is>
      </c>
      <c r="B3" t="inlineStr">
        <is>
          <t>900006074</t>
        </is>
      </c>
      <c r="C3" t="inlineStr">
        <is>
          <t>D845</t>
        </is>
      </c>
      <c r="D3" t="inlineStr">
        <is>
          <t>65005139</t>
        </is>
      </c>
      <c r="E3" t="inlineStr">
        <is>
          <t>4</t>
        </is>
      </c>
      <c r="F3" t="inlineStr">
        <is>
          <t>10000578</t>
        </is>
      </c>
      <c r="H3" t="inlineStr"/>
      <c r="J3" t="n">
        <v>72</v>
      </c>
      <c r="K3" t="inlineStr"/>
      <c r="M3" t="inlineStr">
        <is>
          <t>TN</t>
        </is>
      </c>
      <c r="N3" t="inlineStr"/>
      <c r="P3" t="inlineStr">
        <is>
          <t>20260212</t>
        </is>
      </c>
      <c r="Q3" t="inlineStr">
        <is>
          <t>99991231</t>
        </is>
      </c>
    </row>
    <row r="4">
      <c r="A4" t="inlineStr">
        <is>
          <t>900006074D8456500513910000617</t>
        </is>
      </c>
      <c r="B4" t="inlineStr">
        <is>
          <t>900006074</t>
        </is>
      </c>
      <c r="C4" t="inlineStr">
        <is>
          <t>D845</t>
        </is>
      </c>
      <c r="D4" t="inlineStr">
        <is>
          <t>65005139</t>
        </is>
      </c>
      <c r="E4" t="inlineStr">
        <is>
          <t>4</t>
        </is>
      </c>
      <c r="F4" t="inlineStr">
        <is>
          <t>10000617</t>
        </is>
      </c>
      <c r="H4" t="inlineStr"/>
      <c r="J4" t="n">
        <v>72</v>
      </c>
      <c r="K4" t="inlineStr"/>
      <c r="M4" t="inlineStr">
        <is>
          <t>TN</t>
        </is>
      </c>
      <c r="N4" t="inlineStr"/>
      <c r="P4" t="inlineStr">
        <is>
          <t>20260212</t>
        </is>
      </c>
      <c r="Q4" t="inlineStr">
        <is>
          <t>99991231</t>
        </is>
      </c>
    </row>
    <row r="5">
      <c r="A5" t="inlineStr">
        <is>
          <t>900006074D8456500513910000656</t>
        </is>
      </c>
      <c r="B5" t="inlineStr">
        <is>
          <t>900006074</t>
        </is>
      </c>
      <c r="C5" t="inlineStr">
        <is>
          <t>D845</t>
        </is>
      </c>
      <c r="D5" t="inlineStr">
        <is>
          <t>65005139</t>
        </is>
      </c>
      <c r="E5" t="inlineStr">
        <is>
          <t>4</t>
        </is>
      </c>
      <c r="F5" t="inlineStr">
        <is>
          <t>10000656</t>
        </is>
      </c>
      <c r="H5" t="inlineStr"/>
      <c r="J5" t="n">
        <v>72</v>
      </c>
      <c r="K5" t="inlineStr"/>
      <c r="M5" t="inlineStr">
        <is>
          <t>TN</t>
        </is>
      </c>
      <c r="N5" t="inlineStr"/>
      <c r="P5" t="inlineStr">
        <is>
          <t>20260212</t>
        </is>
      </c>
      <c r="Q5" t="inlineStr">
        <is>
          <t>99991231</t>
        </is>
      </c>
    </row>
    <row r="6">
      <c r="A6" t="inlineStr">
        <is>
          <t>900006074D8456500513910058501</t>
        </is>
      </c>
      <c r="B6" t="inlineStr">
        <is>
          <t>900006074</t>
        </is>
      </c>
      <c r="C6" t="inlineStr">
        <is>
          <t>D845</t>
        </is>
      </c>
      <c r="D6" t="inlineStr">
        <is>
          <t>65005139</t>
        </is>
      </c>
      <c r="E6" t="inlineStr">
        <is>
          <t>4</t>
        </is>
      </c>
      <c r="F6" t="inlineStr">
        <is>
          <t>10058501</t>
        </is>
      </c>
      <c r="H6" t="inlineStr"/>
      <c r="J6" t="n">
        <v>65</v>
      </c>
      <c r="K6" t="inlineStr"/>
      <c r="M6" t="inlineStr">
        <is>
          <t>TN</t>
        </is>
      </c>
      <c r="N6" t="inlineStr"/>
      <c r="P6" t="inlineStr">
        <is>
          <t>20191211</t>
        </is>
      </c>
      <c r="Q6" t="inlineStr">
        <is>
          <t>20251031</t>
        </is>
      </c>
    </row>
    <row r="7">
      <c r="A7" t="inlineStr">
        <is>
          <t>900006074D8456500513910167749</t>
        </is>
      </c>
      <c r="B7" t="inlineStr">
        <is>
          <t>900006074</t>
        </is>
      </c>
      <c r="C7" t="inlineStr">
        <is>
          <t>D845</t>
        </is>
      </c>
      <c r="D7" t="inlineStr">
        <is>
          <t>65005139</t>
        </is>
      </c>
      <c r="E7" t="inlineStr">
        <is>
          <t>4</t>
        </is>
      </c>
      <c r="F7" t="inlineStr">
        <is>
          <t>10167749</t>
        </is>
      </c>
      <c r="H7" t="inlineStr"/>
      <c r="J7" t="n">
        <v>72</v>
      </c>
      <c r="K7" t="inlineStr"/>
      <c r="M7" t="inlineStr">
        <is>
          <t>TN</t>
        </is>
      </c>
      <c r="N7" t="inlineStr"/>
      <c r="P7" t="inlineStr">
        <is>
          <t>20260212</t>
        </is>
      </c>
      <c r="Q7" t="inlineStr">
        <is>
          <t>99991231</t>
        </is>
      </c>
    </row>
    <row r="8">
      <c r="A8" t="inlineStr">
        <is>
          <t>900006074D8456500513910169508</t>
        </is>
      </c>
      <c r="B8" t="inlineStr">
        <is>
          <t>900006074</t>
        </is>
      </c>
      <c r="C8" t="inlineStr">
        <is>
          <t>D845</t>
        </is>
      </c>
      <c r="D8" t="inlineStr">
        <is>
          <t>65005139</t>
        </is>
      </c>
      <c r="E8" t="inlineStr">
        <is>
          <t>4</t>
        </is>
      </c>
      <c r="F8" t="inlineStr">
        <is>
          <t>10169508</t>
        </is>
      </c>
      <c r="H8" t="inlineStr"/>
      <c r="J8" t="n">
        <v>72</v>
      </c>
      <c r="K8" t="inlineStr"/>
      <c r="M8" t="inlineStr">
        <is>
          <t>TN</t>
        </is>
      </c>
      <c r="N8" t="inlineStr"/>
      <c r="P8" t="inlineStr">
        <is>
          <t>20260212</t>
        </is>
      </c>
      <c r="Q8" t="inlineStr">
        <is>
          <t>99991231</t>
        </is>
      </c>
    </row>
    <row r="9">
      <c r="A9" t="inlineStr">
        <is>
          <t>900006074D8456500698910000536</t>
        </is>
      </c>
      <c r="B9" t="inlineStr">
        <is>
          <t>900006074</t>
        </is>
      </c>
      <c r="C9" t="inlineStr">
        <is>
          <t>D845</t>
        </is>
      </c>
      <c r="D9" t="inlineStr">
        <is>
          <t>65006989</t>
        </is>
      </c>
      <c r="E9" t="inlineStr">
        <is>
          <t>4</t>
        </is>
      </c>
      <c r="F9" t="inlineStr">
        <is>
          <t>10000536</t>
        </is>
      </c>
      <c r="H9" t="inlineStr"/>
      <c r="J9" t="n">
        <v>323</v>
      </c>
      <c r="K9" t="inlineStr"/>
      <c r="M9" t="inlineStr">
        <is>
          <t>TN</t>
        </is>
      </c>
      <c r="N9" t="inlineStr"/>
      <c r="P9" t="inlineStr">
        <is>
          <t>20251230</t>
        </is>
      </c>
      <c r="Q9" t="inlineStr">
        <is>
          <t>99991231</t>
        </is>
      </c>
    </row>
    <row r="10">
      <c r="A10" t="inlineStr">
        <is>
          <t>900006074D8456500698910000578</t>
        </is>
      </c>
      <c r="B10" t="inlineStr">
        <is>
          <t>900006074</t>
        </is>
      </c>
      <c r="C10" t="inlineStr">
        <is>
          <t>D845</t>
        </is>
      </c>
      <c r="D10" t="inlineStr">
        <is>
          <t>65006989</t>
        </is>
      </c>
      <c r="E10" t="inlineStr">
        <is>
          <t>4</t>
        </is>
      </c>
      <c r="F10" t="inlineStr">
        <is>
          <t>10000578</t>
        </is>
      </c>
      <c r="H10" t="inlineStr"/>
      <c r="J10" t="n">
        <v>323</v>
      </c>
      <c r="K10" t="inlineStr"/>
      <c r="M10" t="inlineStr">
        <is>
          <t>TN</t>
        </is>
      </c>
      <c r="N10" t="inlineStr"/>
      <c r="P10" t="inlineStr">
        <is>
          <t>20251230</t>
        </is>
      </c>
      <c r="Q10" t="inlineStr">
        <is>
          <t>99991231</t>
        </is>
      </c>
    </row>
    <row r="11">
      <c r="A11" t="inlineStr">
        <is>
          <t>900006074D8456500698910000617</t>
        </is>
      </c>
      <c r="B11" t="inlineStr">
        <is>
          <t>900006074</t>
        </is>
      </c>
      <c r="C11" t="inlineStr">
        <is>
          <t>D845</t>
        </is>
      </c>
      <c r="D11" t="inlineStr">
        <is>
          <t>65006989</t>
        </is>
      </c>
      <c r="E11" t="inlineStr">
        <is>
          <t>4</t>
        </is>
      </c>
      <c r="F11" t="inlineStr">
        <is>
          <t>10000617</t>
        </is>
      </c>
      <c r="H11" t="inlineStr"/>
      <c r="J11" t="n">
        <v>323</v>
      </c>
      <c r="K11" t="inlineStr"/>
      <c r="M11" t="inlineStr">
        <is>
          <t>TN</t>
        </is>
      </c>
      <c r="N11" t="inlineStr"/>
      <c r="P11" t="inlineStr">
        <is>
          <t>20251230</t>
        </is>
      </c>
      <c r="Q11" t="inlineStr">
        <is>
          <t>99991231</t>
        </is>
      </c>
    </row>
    <row r="12">
      <c r="A12" t="inlineStr">
        <is>
          <t>900006074D8456500698910000656</t>
        </is>
      </c>
      <c r="B12" t="inlineStr">
        <is>
          <t>900006074</t>
        </is>
      </c>
      <c r="C12" t="inlineStr">
        <is>
          <t>D845</t>
        </is>
      </c>
      <c r="D12" t="inlineStr">
        <is>
          <t>65006989</t>
        </is>
      </c>
      <c r="E12" t="inlineStr">
        <is>
          <t>4</t>
        </is>
      </c>
      <c r="F12" t="inlineStr">
        <is>
          <t>10000656</t>
        </is>
      </c>
      <c r="H12" t="inlineStr"/>
      <c r="J12" t="n">
        <v>323</v>
      </c>
      <c r="K12" t="inlineStr"/>
      <c r="M12" t="inlineStr">
        <is>
          <t>TN</t>
        </is>
      </c>
      <c r="N12" t="inlineStr"/>
      <c r="P12" t="inlineStr">
        <is>
          <t>20251230</t>
        </is>
      </c>
      <c r="Q12" t="inlineStr">
        <is>
          <t>99991231</t>
        </is>
      </c>
    </row>
    <row r="13">
      <c r="A13" t="inlineStr">
        <is>
          <t>900006074D8456565836210000536</t>
        </is>
      </c>
      <c r="B13" t="inlineStr">
        <is>
          <t>900006074</t>
        </is>
      </c>
      <c r="C13" t="inlineStr">
        <is>
          <t>D845</t>
        </is>
      </c>
      <c r="D13" t="inlineStr">
        <is>
          <t>65658362</t>
        </is>
      </c>
      <c r="E13" t="inlineStr">
        <is>
          <t>4</t>
        </is>
      </c>
      <c r="F13" t="inlineStr">
        <is>
          <t>10000536</t>
        </is>
      </c>
      <c r="H13" t="inlineStr"/>
      <c r="J13" t="n">
        <v>38</v>
      </c>
      <c r="K13" t="inlineStr"/>
      <c r="M13" t="inlineStr">
        <is>
          <t>TN</t>
        </is>
      </c>
      <c r="N13" t="inlineStr"/>
      <c r="P13" t="inlineStr">
        <is>
          <t>20191211</t>
        </is>
      </c>
      <c r="Q13" t="inlineStr">
        <is>
          <t>20251031</t>
        </is>
      </c>
    </row>
    <row r="14">
      <c r="A14" t="inlineStr">
        <is>
          <t>900006074D8456565836210000578</t>
        </is>
      </c>
      <c r="B14" t="inlineStr">
        <is>
          <t>900006074</t>
        </is>
      </c>
      <c r="C14" t="inlineStr">
        <is>
          <t>D845</t>
        </is>
      </c>
      <c r="D14" t="inlineStr">
        <is>
          <t>65658362</t>
        </is>
      </c>
      <c r="E14" t="inlineStr">
        <is>
          <t>4</t>
        </is>
      </c>
      <c r="F14" t="inlineStr">
        <is>
          <t>10000578</t>
        </is>
      </c>
      <c r="H14" t="inlineStr"/>
      <c r="J14" t="n">
        <v>38</v>
      </c>
      <c r="K14" t="inlineStr"/>
      <c r="M14" t="inlineStr">
        <is>
          <t>TN</t>
        </is>
      </c>
      <c r="N14" t="inlineStr"/>
      <c r="P14" t="inlineStr">
        <is>
          <t>20191211</t>
        </is>
      </c>
      <c r="Q14" t="inlineStr">
        <is>
          <t>20251031</t>
        </is>
      </c>
    </row>
    <row r="15">
      <c r="A15" t="inlineStr">
        <is>
          <t>900006074D8456565836210000617</t>
        </is>
      </c>
      <c r="B15" t="inlineStr">
        <is>
          <t>900006074</t>
        </is>
      </c>
      <c r="C15" t="inlineStr">
        <is>
          <t>D845</t>
        </is>
      </c>
      <c r="D15" t="inlineStr">
        <is>
          <t>65658362</t>
        </is>
      </c>
      <c r="E15" t="inlineStr">
        <is>
          <t>4</t>
        </is>
      </c>
      <c r="F15" t="inlineStr">
        <is>
          <t>10000617</t>
        </is>
      </c>
      <c r="H15" t="inlineStr"/>
      <c r="J15" t="n">
        <v>38</v>
      </c>
      <c r="K15" t="inlineStr"/>
      <c r="M15" t="inlineStr">
        <is>
          <t>TN</t>
        </is>
      </c>
      <c r="N15" t="inlineStr"/>
      <c r="P15" t="inlineStr">
        <is>
          <t>20191211</t>
        </is>
      </c>
      <c r="Q15" t="inlineStr">
        <is>
          <t>20251031</t>
        </is>
      </c>
    </row>
    <row r="16">
      <c r="A16" t="inlineStr">
        <is>
          <t>900006074D8456565836210000656</t>
        </is>
      </c>
      <c r="B16" t="inlineStr">
        <is>
          <t>900006074</t>
        </is>
      </c>
      <c r="C16" t="inlineStr">
        <is>
          <t>D845</t>
        </is>
      </c>
      <c r="D16" t="inlineStr">
        <is>
          <t>65658362</t>
        </is>
      </c>
      <c r="E16" t="inlineStr">
        <is>
          <t>4</t>
        </is>
      </c>
      <c r="F16" t="inlineStr">
        <is>
          <t>10000656</t>
        </is>
      </c>
      <c r="H16" t="inlineStr"/>
      <c r="J16" t="n">
        <v>38</v>
      </c>
      <c r="K16" t="inlineStr"/>
      <c r="M16" t="inlineStr">
        <is>
          <t>TN</t>
        </is>
      </c>
      <c r="N16" t="inlineStr"/>
      <c r="P16" t="inlineStr">
        <is>
          <t>20191211</t>
        </is>
      </c>
      <c r="Q16" t="inlineStr">
        <is>
          <t>20251031</t>
        </is>
      </c>
    </row>
    <row r="17">
      <c r="A17" t="inlineStr">
        <is>
          <t>900006074D8456677912110000536</t>
        </is>
      </c>
      <c r="B17" t="inlineStr">
        <is>
          <t>900006074</t>
        </is>
      </c>
      <c r="C17" t="inlineStr">
        <is>
          <t>D845</t>
        </is>
      </c>
      <c r="D17" t="inlineStr">
        <is>
          <t>66779121</t>
        </is>
      </c>
      <c r="E17" t="inlineStr">
        <is>
          <t>4</t>
        </is>
      </c>
      <c r="F17" t="inlineStr">
        <is>
          <t>10000536</t>
        </is>
      </c>
      <c r="H17" t="inlineStr"/>
      <c r="J17" t="n">
        <v>96.84999999999999</v>
      </c>
      <c r="K17" t="inlineStr"/>
      <c r="M17" t="inlineStr">
        <is>
          <t>TN</t>
        </is>
      </c>
      <c r="N17" t="inlineStr"/>
      <c r="P17" t="inlineStr">
        <is>
          <t>20191211</t>
        </is>
      </c>
      <c r="Q17" t="inlineStr">
        <is>
          <t>20251031</t>
        </is>
      </c>
    </row>
    <row r="18">
      <c r="A18" t="inlineStr">
        <is>
          <t>900006074D8456677912110000578</t>
        </is>
      </c>
      <c r="B18" t="inlineStr">
        <is>
          <t>900006074</t>
        </is>
      </c>
      <c r="C18" t="inlineStr">
        <is>
          <t>D845</t>
        </is>
      </c>
      <c r="D18" t="inlineStr">
        <is>
          <t>66779121</t>
        </is>
      </c>
      <c r="E18" t="inlineStr">
        <is>
          <t>4</t>
        </is>
      </c>
      <c r="F18" t="inlineStr">
        <is>
          <t>10000578</t>
        </is>
      </c>
      <c r="H18" t="inlineStr"/>
      <c r="J18" t="n">
        <v>96.84999999999999</v>
      </c>
      <c r="K18" t="inlineStr"/>
      <c r="M18" t="inlineStr">
        <is>
          <t>TN</t>
        </is>
      </c>
      <c r="N18" t="inlineStr"/>
      <c r="P18" t="inlineStr">
        <is>
          <t>20191211</t>
        </is>
      </c>
      <c r="Q18" t="inlineStr">
        <is>
          <t>20251031</t>
        </is>
      </c>
    </row>
    <row r="19">
      <c r="A19" t="inlineStr">
        <is>
          <t>900006074D8456677912110000617</t>
        </is>
      </c>
      <c r="B19" t="inlineStr">
        <is>
          <t>900006074</t>
        </is>
      </c>
      <c r="C19" t="inlineStr">
        <is>
          <t>D845</t>
        </is>
      </c>
      <c r="D19" t="inlineStr">
        <is>
          <t>66779121</t>
        </is>
      </c>
      <c r="E19" t="inlineStr">
        <is>
          <t>4</t>
        </is>
      </c>
      <c r="F19" t="inlineStr">
        <is>
          <t>10000617</t>
        </is>
      </c>
      <c r="H19" t="inlineStr"/>
      <c r="J19" t="n">
        <v>96.84999999999999</v>
      </c>
      <c r="K19" t="inlineStr"/>
      <c r="M19" t="inlineStr">
        <is>
          <t>TN</t>
        </is>
      </c>
      <c r="N19" t="inlineStr"/>
      <c r="P19" t="inlineStr">
        <is>
          <t>20191211</t>
        </is>
      </c>
      <c r="Q19" t="inlineStr">
        <is>
          <t>20251031</t>
        </is>
      </c>
    </row>
    <row r="20">
      <c r="A20" t="inlineStr">
        <is>
          <t>900006074D8456677912110000656</t>
        </is>
      </c>
      <c r="B20" t="inlineStr">
        <is>
          <t>900006074</t>
        </is>
      </c>
      <c r="C20" t="inlineStr">
        <is>
          <t>D845</t>
        </is>
      </c>
      <c r="D20" t="inlineStr">
        <is>
          <t>66779121</t>
        </is>
      </c>
      <c r="E20" t="inlineStr">
        <is>
          <t>4</t>
        </is>
      </c>
      <c r="F20" t="inlineStr">
        <is>
          <t>10000656</t>
        </is>
      </c>
      <c r="H20" t="inlineStr"/>
      <c r="J20" t="n">
        <v>96.84999999999999</v>
      </c>
      <c r="K20" t="inlineStr"/>
      <c r="M20" t="inlineStr">
        <is>
          <t>TN</t>
        </is>
      </c>
      <c r="N20" t="inlineStr"/>
      <c r="P20" t="inlineStr">
        <is>
          <t>20191211</t>
        </is>
      </c>
      <c r="Q20" t="inlineStr">
        <is>
          <t>20251031</t>
        </is>
      </c>
    </row>
    <row r="21">
      <c r="A21" t="inlineStr">
        <is>
          <t>900006074D8456677912110169508</t>
        </is>
      </c>
      <c r="B21" t="inlineStr">
        <is>
          <t>900006074</t>
        </is>
      </c>
      <c r="C21" t="inlineStr">
        <is>
          <t>D845</t>
        </is>
      </c>
      <c r="D21" t="inlineStr">
        <is>
          <t>66779121</t>
        </is>
      </c>
      <c r="E21" t="inlineStr">
        <is>
          <t>4</t>
        </is>
      </c>
      <c r="F21" t="inlineStr">
        <is>
          <t>10169508</t>
        </is>
      </c>
      <c r="H21" t="inlineStr"/>
      <c r="J21" t="n">
        <v>96.84999999999999</v>
      </c>
      <c r="K21" t="inlineStr"/>
      <c r="M21" t="inlineStr">
        <is>
          <t>TN</t>
        </is>
      </c>
      <c r="N21" t="inlineStr"/>
      <c r="P21" t="inlineStr">
        <is>
          <t>20190621</t>
        </is>
      </c>
      <c r="Q21" t="inlineStr">
        <is>
          <t>99991231</t>
        </is>
      </c>
    </row>
    <row r="22">
      <c r="A22" t="inlineStr">
        <is>
          <t>900006074D8456689166310000578</t>
        </is>
      </c>
      <c r="B22" t="inlineStr">
        <is>
          <t>900006074</t>
        </is>
      </c>
      <c r="C22" t="inlineStr">
        <is>
          <t>D845</t>
        </is>
      </c>
      <c r="D22" t="inlineStr">
        <is>
          <t>66891663</t>
        </is>
      </c>
      <c r="E22" t="inlineStr">
        <is>
          <t>4</t>
        </is>
      </c>
      <c r="F22" t="inlineStr">
        <is>
          <t>10000578</t>
        </is>
      </c>
      <c r="H22" t="inlineStr"/>
      <c r="J22" t="n">
        <v>29</v>
      </c>
      <c r="K22" t="inlineStr"/>
      <c r="M22" t="inlineStr">
        <is>
          <t>TN</t>
        </is>
      </c>
      <c r="N22" t="inlineStr"/>
      <c r="P22" t="inlineStr">
        <is>
          <t>20191211</t>
        </is>
      </c>
      <c r="Q22" t="inlineStr">
        <is>
          <t>20251031</t>
        </is>
      </c>
    </row>
    <row r="23">
      <c r="A23" t="inlineStr">
        <is>
          <t>900006074D8456689166310000617</t>
        </is>
      </c>
      <c r="B23" t="inlineStr">
        <is>
          <t>900006074</t>
        </is>
      </c>
      <c r="C23" t="inlineStr">
        <is>
          <t>D845</t>
        </is>
      </c>
      <c r="D23" t="inlineStr">
        <is>
          <t>66891663</t>
        </is>
      </c>
      <c r="E23" t="inlineStr">
        <is>
          <t>4</t>
        </is>
      </c>
      <c r="F23" t="inlineStr">
        <is>
          <t>10000617</t>
        </is>
      </c>
      <c r="H23" t="inlineStr"/>
      <c r="J23" t="n">
        <v>29</v>
      </c>
      <c r="K23" t="inlineStr"/>
      <c r="M23" t="inlineStr">
        <is>
          <t>TN</t>
        </is>
      </c>
      <c r="N23" t="inlineStr"/>
      <c r="P23" t="inlineStr">
        <is>
          <t>20191211</t>
        </is>
      </c>
      <c r="Q23" t="inlineStr">
        <is>
          <t>20251031</t>
        </is>
      </c>
    </row>
    <row r="24">
      <c r="A24" t="inlineStr">
        <is>
          <t>900006074D8456689166310000656</t>
        </is>
      </c>
      <c r="B24" t="inlineStr">
        <is>
          <t>900006074</t>
        </is>
      </c>
      <c r="C24" t="inlineStr">
        <is>
          <t>D845</t>
        </is>
      </c>
      <c r="D24" t="inlineStr">
        <is>
          <t>66891663</t>
        </is>
      </c>
      <c r="E24" t="inlineStr">
        <is>
          <t>4</t>
        </is>
      </c>
      <c r="F24" t="inlineStr">
        <is>
          <t>10000656</t>
        </is>
      </c>
      <c r="H24" t="inlineStr"/>
      <c r="J24" t="n">
        <v>29</v>
      </c>
      <c r="K24" t="inlineStr"/>
      <c r="M24" t="inlineStr">
        <is>
          <t>TN</t>
        </is>
      </c>
      <c r="N24" t="inlineStr"/>
      <c r="P24" t="inlineStr">
        <is>
          <t>20191211</t>
        </is>
      </c>
      <c r="Q24" t="inlineStr">
        <is>
          <t>20251031</t>
        </is>
      </c>
    </row>
    <row r="25">
      <c r="A25" t="inlineStr">
        <is>
          <t>900006074D8456689166310167749</t>
        </is>
      </c>
      <c r="B25" t="inlineStr">
        <is>
          <t>900006074</t>
        </is>
      </c>
      <c r="C25" t="inlineStr">
        <is>
          <t>D845</t>
        </is>
      </c>
      <c r="D25" t="inlineStr">
        <is>
          <t>66891663</t>
        </is>
      </c>
      <c r="E25" t="inlineStr">
        <is>
          <t>4</t>
        </is>
      </c>
      <c r="F25" t="inlineStr">
        <is>
          <t>10167749</t>
        </is>
      </c>
      <c r="H25" t="inlineStr"/>
      <c r="J25" t="n">
        <v>29</v>
      </c>
      <c r="K25" t="inlineStr"/>
      <c r="M25" t="inlineStr">
        <is>
          <t>TN</t>
        </is>
      </c>
      <c r="N25" t="inlineStr"/>
      <c r="P25" t="inlineStr">
        <is>
          <t>20191211</t>
        </is>
      </c>
      <c r="Q25" t="inlineStr">
        <is>
          <t>20251031</t>
        </is>
      </c>
    </row>
    <row r="26">
      <c r="A26" t="inlineStr">
        <is>
          <t>900006074D8456698519010000403</t>
        </is>
      </c>
      <c r="B26" t="inlineStr">
        <is>
          <t>900006074</t>
        </is>
      </c>
      <c r="C26" t="inlineStr">
        <is>
          <t>D845</t>
        </is>
      </c>
      <c r="D26" t="inlineStr">
        <is>
          <t>66985190</t>
        </is>
      </c>
      <c r="E26" t="inlineStr">
        <is>
          <t>4</t>
        </is>
      </c>
      <c r="F26" t="inlineStr">
        <is>
          <t>10000403</t>
        </is>
      </c>
      <c r="H26" t="inlineStr"/>
      <c r="J26" t="n">
        <v>61.5</v>
      </c>
      <c r="K26" t="inlineStr"/>
      <c r="M26" t="inlineStr">
        <is>
          <t>TN</t>
        </is>
      </c>
      <c r="N26" t="inlineStr"/>
      <c r="P26" t="inlineStr">
        <is>
          <t>20191211</t>
        </is>
      </c>
      <c r="Q26" t="inlineStr">
        <is>
          <t>20251031</t>
        </is>
      </c>
    </row>
    <row r="27">
      <c r="A27" t="inlineStr">
        <is>
          <t>900006074D8456698519010000536</t>
        </is>
      </c>
      <c r="B27" t="inlineStr">
        <is>
          <t>900006074</t>
        </is>
      </c>
      <c r="C27" t="inlineStr">
        <is>
          <t>D845</t>
        </is>
      </c>
      <c r="D27" t="inlineStr">
        <is>
          <t>66985190</t>
        </is>
      </c>
      <c r="E27" t="inlineStr">
        <is>
          <t>4</t>
        </is>
      </c>
      <c r="F27" t="inlineStr">
        <is>
          <t>10000536</t>
        </is>
      </c>
      <c r="H27" t="inlineStr"/>
      <c r="J27" t="n">
        <v>61.5</v>
      </c>
      <c r="K27" t="inlineStr"/>
      <c r="M27" t="inlineStr">
        <is>
          <t>TN</t>
        </is>
      </c>
      <c r="N27" t="inlineStr"/>
      <c r="P27" t="inlineStr">
        <is>
          <t>20191211</t>
        </is>
      </c>
      <c r="Q27" t="inlineStr">
        <is>
          <t>20251031</t>
        </is>
      </c>
    </row>
    <row r="28">
      <c r="A28" t="inlineStr">
        <is>
          <t>900006074D8456698519010000578</t>
        </is>
      </c>
      <c r="B28" t="inlineStr">
        <is>
          <t>900006074</t>
        </is>
      </c>
      <c r="C28" t="inlineStr">
        <is>
          <t>D845</t>
        </is>
      </c>
      <c r="D28" t="inlineStr">
        <is>
          <t>66985190</t>
        </is>
      </c>
      <c r="E28" t="inlineStr">
        <is>
          <t>4</t>
        </is>
      </c>
      <c r="F28" t="inlineStr">
        <is>
          <t>10000578</t>
        </is>
      </c>
      <c r="H28" t="inlineStr"/>
      <c r="J28" t="n">
        <v>61.5</v>
      </c>
      <c r="K28" t="inlineStr"/>
      <c r="M28" t="inlineStr">
        <is>
          <t>TN</t>
        </is>
      </c>
      <c r="N28" t="inlineStr"/>
      <c r="P28" t="inlineStr">
        <is>
          <t>20191211</t>
        </is>
      </c>
      <c r="Q28" t="inlineStr">
        <is>
          <t>20251031</t>
        </is>
      </c>
    </row>
    <row r="29">
      <c r="A29" t="inlineStr">
        <is>
          <t>900006074D8456698519010000617</t>
        </is>
      </c>
      <c r="B29" t="inlineStr">
        <is>
          <t>900006074</t>
        </is>
      </c>
      <c r="C29" t="inlineStr">
        <is>
          <t>D845</t>
        </is>
      </c>
      <c r="D29" t="inlineStr">
        <is>
          <t>66985190</t>
        </is>
      </c>
      <c r="E29" t="inlineStr">
        <is>
          <t>4</t>
        </is>
      </c>
      <c r="F29" t="inlineStr">
        <is>
          <t>10000617</t>
        </is>
      </c>
      <c r="H29" t="inlineStr"/>
      <c r="J29" t="n">
        <v>61.5</v>
      </c>
      <c r="K29" t="inlineStr"/>
      <c r="M29" t="inlineStr">
        <is>
          <t>TN</t>
        </is>
      </c>
      <c r="N29" t="inlineStr"/>
      <c r="P29" t="inlineStr">
        <is>
          <t>20191211</t>
        </is>
      </c>
      <c r="Q29" t="inlineStr">
        <is>
          <t>20251031</t>
        </is>
      </c>
    </row>
    <row r="30">
      <c r="A30" t="inlineStr">
        <is>
          <t>900006074D8456698519010000656</t>
        </is>
      </c>
      <c r="B30" t="inlineStr">
        <is>
          <t>900006074</t>
        </is>
      </c>
      <c r="C30" t="inlineStr">
        <is>
          <t>D845</t>
        </is>
      </c>
      <c r="D30" t="inlineStr">
        <is>
          <t>66985190</t>
        </is>
      </c>
      <c r="E30" t="inlineStr">
        <is>
          <t>4</t>
        </is>
      </c>
      <c r="F30" t="inlineStr">
        <is>
          <t>10000656</t>
        </is>
      </c>
      <c r="H30" t="inlineStr"/>
      <c r="J30" t="n">
        <v>61.5</v>
      </c>
      <c r="K30" t="inlineStr"/>
      <c r="M30" t="inlineStr">
        <is>
          <t>TN</t>
        </is>
      </c>
      <c r="N30" t="inlineStr"/>
      <c r="P30" t="inlineStr">
        <is>
          <t>20191211</t>
        </is>
      </c>
      <c r="Q30" t="inlineStr">
        <is>
          <t>20251031</t>
        </is>
      </c>
    </row>
    <row r="31">
      <c r="A31" t="inlineStr">
        <is>
          <t>900006074D8456698519010167749</t>
        </is>
      </c>
      <c r="B31" t="inlineStr">
        <is>
          <t>900006074</t>
        </is>
      </c>
      <c r="C31" t="inlineStr">
        <is>
          <t>D845</t>
        </is>
      </c>
      <c r="D31" t="inlineStr">
        <is>
          <t>66985190</t>
        </is>
      </c>
      <c r="E31" t="inlineStr">
        <is>
          <t>4</t>
        </is>
      </c>
      <c r="F31" t="inlineStr">
        <is>
          <t>10167749</t>
        </is>
      </c>
      <c r="H31" t="inlineStr"/>
      <c r="J31" t="n">
        <v>61.5</v>
      </c>
      <c r="K31" t="inlineStr"/>
      <c r="M31" t="inlineStr">
        <is>
          <t>TN</t>
        </is>
      </c>
      <c r="N31" t="inlineStr"/>
      <c r="P31" t="inlineStr">
        <is>
          <t>20191211</t>
        </is>
      </c>
      <c r="Q31" t="inlineStr">
        <is>
          <t>20251031</t>
        </is>
      </c>
    </row>
    <row r="32">
      <c r="A32" t="inlineStr">
        <is>
          <t>900006074D8456699814910000617</t>
        </is>
      </c>
      <c r="B32" t="inlineStr">
        <is>
          <t>900006074</t>
        </is>
      </c>
      <c r="C32" t="inlineStr">
        <is>
          <t>D845</t>
        </is>
      </c>
      <c r="D32" t="inlineStr">
        <is>
          <t>66998149</t>
        </is>
      </c>
      <c r="E32" t="inlineStr">
        <is>
          <t>4</t>
        </is>
      </c>
      <c r="F32" t="inlineStr">
        <is>
          <t>10000617</t>
        </is>
      </c>
      <c r="H32" t="inlineStr"/>
      <c r="J32" t="n">
        <v>85</v>
      </c>
      <c r="K32" t="inlineStr"/>
      <c r="M32" t="inlineStr">
        <is>
          <t>TN</t>
        </is>
      </c>
      <c r="N32" t="inlineStr"/>
      <c r="P32" t="inlineStr">
        <is>
          <t>20191211</t>
        </is>
      </c>
      <c r="Q32" t="inlineStr">
        <is>
          <t>20251031</t>
        </is>
      </c>
    </row>
    <row r="33">
      <c r="A33" t="inlineStr">
        <is>
          <t>900006074D8456699814910000656</t>
        </is>
      </c>
      <c r="B33" t="inlineStr">
        <is>
          <t>900006074</t>
        </is>
      </c>
      <c r="C33" t="inlineStr">
        <is>
          <t>D845</t>
        </is>
      </c>
      <c r="D33" t="inlineStr">
        <is>
          <t>66998149</t>
        </is>
      </c>
      <c r="E33" t="inlineStr">
        <is>
          <t>4</t>
        </is>
      </c>
      <c r="F33" t="inlineStr">
        <is>
          <t>10000656</t>
        </is>
      </c>
      <c r="H33" t="inlineStr"/>
      <c r="J33" t="n">
        <v>85</v>
      </c>
      <c r="K33" t="inlineStr"/>
      <c r="M33" t="inlineStr">
        <is>
          <t>TN</t>
        </is>
      </c>
      <c r="N33" t="inlineStr"/>
      <c r="P33" t="inlineStr">
        <is>
          <t>20191211</t>
        </is>
      </c>
      <c r="Q33" t="inlineStr">
        <is>
          <t>20251031</t>
        </is>
      </c>
    </row>
    <row r="34">
      <c r="A34" t="inlineStr">
        <is>
          <t>900006074D8456699814910167749</t>
        </is>
      </c>
      <c r="B34" t="inlineStr">
        <is>
          <t>900006074</t>
        </is>
      </c>
      <c r="C34" t="inlineStr">
        <is>
          <t>D845</t>
        </is>
      </c>
      <c r="D34" t="inlineStr">
        <is>
          <t>66998149</t>
        </is>
      </c>
      <c r="E34" t="inlineStr">
        <is>
          <t>4</t>
        </is>
      </c>
      <c r="F34" t="inlineStr">
        <is>
          <t>10167749</t>
        </is>
      </c>
      <c r="H34" t="inlineStr"/>
      <c r="J34" t="n">
        <v>85</v>
      </c>
      <c r="K34" t="inlineStr"/>
      <c r="M34" t="inlineStr">
        <is>
          <t>TN</t>
        </is>
      </c>
      <c r="N34" t="inlineStr"/>
      <c r="P34" t="inlineStr">
        <is>
          <t>20191211</t>
        </is>
      </c>
      <c r="Q34" t="inlineStr">
        <is>
          <t>20251031</t>
        </is>
      </c>
    </row>
    <row r="35">
      <c r="A35" t="inlineStr">
        <is>
          <t>900006074D8456699814910178270</t>
        </is>
      </c>
      <c r="B35" t="inlineStr">
        <is>
          <t>900006074</t>
        </is>
      </c>
      <c r="C35" t="inlineStr">
        <is>
          <t>D845</t>
        </is>
      </c>
      <c r="D35" t="inlineStr">
        <is>
          <t>66998149</t>
        </is>
      </c>
      <c r="E35" t="inlineStr">
        <is>
          <t>4</t>
        </is>
      </c>
      <c r="F35" t="inlineStr">
        <is>
          <t>10178270</t>
        </is>
      </c>
      <c r="H35" t="inlineStr"/>
      <c r="J35" t="n">
        <v>85</v>
      </c>
      <c r="K35" t="inlineStr"/>
      <c r="M35" t="inlineStr">
        <is>
          <t>TN</t>
        </is>
      </c>
      <c r="N35" t="inlineStr"/>
      <c r="P35" t="inlineStr">
        <is>
          <t>20191211</t>
        </is>
      </c>
      <c r="Q35" t="inlineStr">
        <is>
          <t>20251031</t>
        </is>
      </c>
    </row>
    <row r="36">
      <c r="A36" t="inlineStr">
        <is>
          <t>900006074D8456705950510000536</t>
        </is>
      </c>
      <c r="B36" t="inlineStr">
        <is>
          <t>900006074</t>
        </is>
      </c>
      <c r="C36" t="inlineStr">
        <is>
          <t>D845</t>
        </is>
      </c>
      <c r="D36" t="inlineStr">
        <is>
          <t>67059505</t>
        </is>
      </c>
      <c r="E36" t="inlineStr">
        <is>
          <t>4</t>
        </is>
      </c>
      <c r="F36" t="inlineStr">
        <is>
          <t>10000536</t>
        </is>
      </c>
      <c r="H36" t="inlineStr"/>
      <c r="J36" t="n">
        <v>63</v>
      </c>
      <c r="K36" t="inlineStr"/>
      <c r="M36" t="inlineStr">
        <is>
          <t>TN</t>
        </is>
      </c>
      <c r="N36" t="inlineStr"/>
      <c r="P36" t="inlineStr">
        <is>
          <t>20240227</t>
        </is>
      </c>
      <c r="Q36" t="inlineStr">
        <is>
          <t>99991231</t>
        </is>
      </c>
    </row>
    <row r="37">
      <c r="A37" t="inlineStr">
        <is>
          <t>900006074D8456705950510000578</t>
        </is>
      </c>
      <c r="B37" t="inlineStr">
        <is>
          <t>900006074</t>
        </is>
      </c>
      <c r="C37" t="inlineStr">
        <is>
          <t>D845</t>
        </is>
      </c>
      <c r="D37" t="inlineStr">
        <is>
          <t>67059505</t>
        </is>
      </c>
      <c r="E37" t="inlineStr">
        <is>
          <t>4</t>
        </is>
      </c>
      <c r="F37" t="inlineStr">
        <is>
          <t>10000578</t>
        </is>
      </c>
      <c r="H37" t="inlineStr"/>
      <c r="J37" t="n">
        <v>63</v>
      </c>
      <c r="K37" t="inlineStr"/>
      <c r="M37" t="inlineStr">
        <is>
          <t>TN</t>
        </is>
      </c>
      <c r="N37" t="inlineStr"/>
      <c r="P37" t="inlineStr">
        <is>
          <t>20191211</t>
        </is>
      </c>
      <c r="Q37" t="inlineStr">
        <is>
          <t>20251031</t>
        </is>
      </c>
    </row>
    <row r="38">
      <c r="A38" t="inlineStr">
        <is>
          <t>900006074D8456705950510000617</t>
        </is>
      </c>
      <c r="B38" t="inlineStr">
        <is>
          <t>900006074</t>
        </is>
      </c>
      <c r="C38" t="inlineStr">
        <is>
          <t>D845</t>
        </is>
      </c>
      <c r="D38" t="inlineStr">
        <is>
          <t>67059505</t>
        </is>
      </c>
      <c r="E38" t="inlineStr">
        <is>
          <t>4</t>
        </is>
      </c>
      <c r="F38" t="inlineStr">
        <is>
          <t>10000617</t>
        </is>
      </c>
      <c r="H38" t="inlineStr"/>
      <c r="J38" t="n">
        <v>63</v>
      </c>
      <c r="K38" t="inlineStr"/>
      <c r="M38" t="inlineStr">
        <is>
          <t>TN</t>
        </is>
      </c>
      <c r="N38" t="inlineStr"/>
      <c r="P38" t="inlineStr">
        <is>
          <t>20191211</t>
        </is>
      </c>
      <c r="Q38" t="inlineStr">
        <is>
          <t>20251031</t>
        </is>
      </c>
    </row>
    <row r="39">
      <c r="A39" t="inlineStr">
        <is>
          <t>900006074D8456705950510000656</t>
        </is>
      </c>
      <c r="B39" t="inlineStr">
        <is>
          <t>900006074</t>
        </is>
      </c>
      <c r="C39" t="inlineStr">
        <is>
          <t>D845</t>
        </is>
      </c>
      <c r="D39" t="inlineStr">
        <is>
          <t>67059505</t>
        </is>
      </c>
      <c r="E39" t="inlineStr">
        <is>
          <t>4</t>
        </is>
      </c>
      <c r="F39" t="inlineStr">
        <is>
          <t>10000656</t>
        </is>
      </c>
      <c r="H39" t="inlineStr"/>
      <c r="J39" t="n">
        <v>63</v>
      </c>
      <c r="K39" t="inlineStr"/>
      <c r="M39" t="inlineStr">
        <is>
          <t>TN</t>
        </is>
      </c>
      <c r="N39" t="inlineStr"/>
      <c r="P39" t="inlineStr">
        <is>
          <t>20191211</t>
        </is>
      </c>
      <c r="Q39" t="inlineStr">
        <is>
          <t>20251031</t>
        </is>
      </c>
    </row>
    <row r="40">
      <c r="A40" t="inlineStr">
        <is>
          <t>900006074D8456708237910000536</t>
        </is>
      </c>
      <c r="B40" t="inlineStr">
        <is>
          <t>900006074</t>
        </is>
      </c>
      <c r="C40" t="inlineStr">
        <is>
          <t>D845</t>
        </is>
      </c>
      <c r="D40" t="inlineStr">
        <is>
          <t>67082379</t>
        </is>
      </c>
      <c r="E40" t="inlineStr">
        <is>
          <t>4</t>
        </is>
      </c>
      <c r="F40" t="inlineStr">
        <is>
          <t>10000536</t>
        </is>
      </c>
      <c r="H40" t="inlineStr"/>
      <c r="J40" t="n">
        <v>53</v>
      </c>
      <c r="K40" t="inlineStr"/>
      <c r="M40" t="inlineStr">
        <is>
          <t>TN</t>
        </is>
      </c>
      <c r="N40" t="inlineStr"/>
      <c r="P40" t="inlineStr">
        <is>
          <t>20191211</t>
        </is>
      </c>
      <c r="Q40" t="inlineStr">
        <is>
          <t>20251031</t>
        </is>
      </c>
    </row>
    <row r="41">
      <c r="A41" t="inlineStr">
        <is>
          <t>900006074D8456708237910000578</t>
        </is>
      </c>
      <c r="B41" t="inlineStr">
        <is>
          <t>900006074</t>
        </is>
      </c>
      <c r="C41" t="inlineStr">
        <is>
          <t>D845</t>
        </is>
      </c>
      <c r="D41" t="inlineStr">
        <is>
          <t>67082379</t>
        </is>
      </c>
      <c r="E41" t="inlineStr">
        <is>
          <t>4</t>
        </is>
      </c>
      <c r="F41" t="inlineStr">
        <is>
          <t>10000578</t>
        </is>
      </c>
      <c r="H41" t="inlineStr"/>
      <c r="J41" t="n">
        <v>53</v>
      </c>
      <c r="K41" t="inlineStr"/>
      <c r="M41" t="inlineStr">
        <is>
          <t>TN</t>
        </is>
      </c>
      <c r="N41" t="inlineStr"/>
      <c r="P41" t="inlineStr">
        <is>
          <t>20191211</t>
        </is>
      </c>
      <c r="Q41" t="inlineStr">
        <is>
          <t>20251031</t>
        </is>
      </c>
    </row>
    <row r="42">
      <c r="A42" t="inlineStr">
        <is>
          <t>900006074D8456708237910000617</t>
        </is>
      </c>
      <c r="B42" t="inlineStr">
        <is>
          <t>900006074</t>
        </is>
      </c>
      <c r="C42" t="inlineStr">
        <is>
          <t>D845</t>
        </is>
      </c>
      <c r="D42" t="inlineStr">
        <is>
          <t>67082379</t>
        </is>
      </c>
      <c r="E42" t="inlineStr">
        <is>
          <t>4</t>
        </is>
      </c>
      <c r="F42" t="inlineStr">
        <is>
          <t>10000617</t>
        </is>
      </c>
      <c r="H42" t="inlineStr"/>
      <c r="J42" t="n">
        <v>53</v>
      </c>
      <c r="K42" t="inlineStr"/>
      <c r="M42" t="inlineStr">
        <is>
          <t>TN</t>
        </is>
      </c>
      <c r="N42" t="inlineStr"/>
      <c r="P42" t="inlineStr">
        <is>
          <t>20191211</t>
        </is>
      </c>
      <c r="Q42" t="inlineStr">
        <is>
          <t>20251031</t>
        </is>
      </c>
    </row>
    <row r="43">
      <c r="A43" t="inlineStr">
        <is>
          <t>900006074D8456708237910000656</t>
        </is>
      </c>
      <c r="B43" t="inlineStr">
        <is>
          <t>900006074</t>
        </is>
      </c>
      <c r="C43" t="inlineStr">
        <is>
          <t>D845</t>
        </is>
      </c>
      <c r="D43" t="inlineStr">
        <is>
          <t>67082379</t>
        </is>
      </c>
      <c r="E43" t="inlineStr">
        <is>
          <t>4</t>
        </is>
      </c>
      <c r="F43" t="inlineStr">
        <is>
          <t>10000656</t>
        </is>
      </c>
      <c r="H43" t="inlineStr"/>
      <c r="J43" t="n">
        <v>53</v>
      </c>
      <c r="K43" t="inlineStr"/>
      <c r="M43" t="inlineStr">
        <is>
          <t>TN</t>
        </is>
      </c>
      <c r="N43" t="inlineStr"/>
      <c r="P43" t="inlineStr">
        <is>
          <t>20191211</t>
        </is>
      </c>
      <c r="Q43" t="inlineStr">
        <is>
          <t>20251031</t>
        </is>
      </c>
    </row>
    <row r="44">
      <c r="A44" t="inlineStr">
        <is>
          <t>900006074D8456712807710167749</t>
        </is>
      </c>
      <c r="B44" t="inlineStr">
        <is>
          <t>900006074</t>
        </is>
      </c>
      <c r="C44" t="inlineStr">
        <is>
          <t>D845</t>
        </is>
      </c>
      <c r="D44" t="inlineStr">
        <is>
          <t>67128077</t>
        </is>
      </c>
      <c r="E44" t="inlineStr">
        <is>
          <t>4</t>
        </is>
      </c>
      <c r="F44" t="inlineStr">
        <is>
          <t>10167749</t>
        </is>
      </c>
      <c r="H44" t="inlineStr"/>
      <c r="J44" t="n">
        <v>77</v>
      </c>
      <c r="K44" t="inlineStr"/>
      <c r="M44" t="inlineStr">
        <is>
          <t>TN</t>
        </is>
      </c>
      <c r="N44" t="inlineStr"/>
      <c r="P44" t="inlineStr">
        <is>
          <t>20191211</t>
        </is>
      </c>
      <c r="Q44" t="inlineStr">
        <is>
          <t>20251031</t>
        </is>
      </c>
    </row>
    <row r="45">
      <c r="A45" t="inlineStr">
        <is>
          <t>900006074D8456714159410167749</t>
        </is>
      </c>
      <c r="B45" t="inlineStr">
        <is>
          <t>900006074</t>
        </is>
      </c>
      <c r="C45" t="inlineStr">
        <is>
          <t>D845</t>
        </is>
      </c>
      <c r="D45" t="inlineStr">
        <is>
          <t>67141594</t>
        </is>
      </c>
      <c r="E45" t="inlineStr">
        <is>
          <t>4</t>
        </is>
      </c>
      <c r="F45" t="inlineStr">
        <is>
          <t>10167749</t>
        </is>
      </c>
      <c r="H45" t="inlineStr"/>
      <c r="J45" t="n">
        <v>70</v>
      </c>
      <c r="K45" t="inlineStr"/>
      <c r="M45" t="inlineStr">
        <is>
          <t>TN</t>
        </is>
      </c>
      <c r="N45" t="inlineStr"/>
      <c r="P45" t="inlineStr">
        <is>
          <t>20191211</t>
        </is>
      </c>
      <c r="Q45" t="inlineStr">
        <is>
          <t>20251031</t>
        </is>
      </c>
    </row>
    <row r="46">
      <c r="A46" t="inlineStr">
        <is>
          <t>900006074D8456717023610167749</t>
        </is>
      </c>
      <c r="B46" t="inlineStr">
        <is>
          <t>900006074</t>
        </is>
      </c>
      <c r="C46" t="inlineStr">
        <is>
          <t>D845</t>
        </is>
      </c>
      <c r="D46" t="inlineStr">
        <is>
          <t>67170236</t>
        </is>
      </c>
      <c r="E46" t="inlineStr">
        <is>
          <t>4</t>
        </is>
      </c>
      <c r="F46" t="inlineStr">
        <is>
          <t>10167749</t>
        </is>
      </c>
      <c r="H46" t="inlineStr"/>
      <c r="J46" t="n">
        <v>66</v>
      </c>
      <c r="K46" t="inlineStr"/>
      <c r="M46" t="inlineStr">
        <is>
          <t>TN</t>
        </is>
      </c>
      <c r="N46" t="inlineStr"/>
      <c r="P46" t="inlineStr">
        <is>
          <t>20240325</t>
        </is>
      </c>
      <c r="Q46" t="inlineStr">
        <is>
          <t>99991231</t>
        </is>
      </c>
    </row>
    <row r="47">
      <c r="A47" t="inlineStr">
        <is>
          <t>900006074D8456717028210167749</t>
        </is>
      </c>
      <c r="B47" t="inlineStr">
        <is>
          <t>900006074</t>
        </is>
      </c>
      <c r="C47" t="inlineStr">
        <is>
          <t>D845</t>
        </is>
      </c>
      <c r="D47" t="inlineStr">
        <is>
          <t>67170282</t>
        </is>
      </c>
      <c r="E47" t="inlineStr">
        <is>
          <t>4</t>
        </is>
      </c>
      <c r="F47" t="inlineStr">
        <is>
          <t>10167749</t>
        </is>
      </c>
      <c r="H47" t="inlineStr"/>
      <c r="J47" t="n">
        <v>44</v>
      </c>
      <c r="K47" t="inlineStr"/>
      <c r="M47" t="inlineStr">
        <is>
          <t>TN</t>
        </is>
      </c>
      <c r="N47" t="inlineStr"/>
      <c r="P47" t="inlineStr">
        <is>
          <t>20191211</t>
        </is>
      </c>
      <c r="Q47" t="inlineStr">
        <is>
          <t>20251031</t>
        </is>
      </c>
    </row>
    <row r="48">
      <c r="A48" t="inlineStr">
        <is>
          <t>900006074D8456719754310167749</t>
        </is>
      </c>
      <c r="B48" t="inlineStr">
        <is>
          <t>900006074</t>
        </is>
      </c>
      <c r="C48" t="inlineStr">
        <is>
          <t>D845</t>
        </is>
      </c>
      <c r="D48" t="inlineStr">
        <is>
          <t>67197543</t>
        </is>
      </c>
      <c r="E48" t="inlineStr">
        <is>
          <t>4</t>
        </is>
      </c>
      <c r="F48" t="inlineStr">
        <is>
          <t>10167749</t>
        </is>
      </c>
      <c r="H48" t="inlineStr"/>
      <c r="J48" t="n">
        <v>79</v>
      </c>
      <c r="K48" t="inlineStr"/>
      <c r="M48" t="inlineStr">
        <is>
          <t>TN</t>
        </is>
      </c>
      <c r="N48" t="inlineStr"/>
      <c r="P48" t="inlineStr">
        <is>
          <t>20191211</t>
        </is>
      </c>
      <c r="Q48" t="inlineStr">
        <is>
          <t>20251031</t>
        </is>
      </c>
    </row>
    <row r="49">
      <c r="A49" t="inlineStr">
        <is>
          <t>900006074D8456720008610000536</t>
        </is>
      </c>
      <c r="B49" t="inlineStr">
        <is>
          <t>900006074</t>
        </is>
      </c>
      <c r="C49" t="inlineStr">
        <is>
          <t>D845</t>
        </is>
      </c>
      <c r="D49" t="inlineStr">
        <is>
          <t>67200086</t>
        </is>
      </c>
      <c r="E49" t="inlineStr">
        <is>
          <t>4</t>
        </is>
      </c>
      <c r="F49" t="inlineStr">
        <is>
          <t>10000536</t>
        </is>
      </c>
      <c r="H49" t="inlineStr"/>
      <c r="J49" t="n">
        <v>70</v>
      </c>
      <c r="K49" t="inlineStr"/>
      <c r="M49" t="inlineStr">
        <is>
          <t>TN</t>
        </is>
      </c>
      <c r="N49" t="inlineStr"/>
      <c r="P49" t="inlineStr">
        <is>
          <t>20240404</t>
        </is>
      </c>
      <c r="Q49" t="inlineStr">
        <is>
          <t>99991231</t>
        </is>
      </c>
    </row>
    <row r="50">
      <c r="A50" t="inlineStr">
        <is>
          <t>900006074D8456720008610000578</t>
        </is>
      </c>
      <c r="B50" t="inlineStr">
        <is>
          <t>900006074</t>
        </is>
      </c>
      <c r="C50" t="inlineStr">
        <is>
          <t>D845</t>
        </is>
      </c>
      <c r="D50" t="inlineStr">
        <is>
          <t>67200086</t>
        </is>
      </c>
      <c r="E50" t="inlineStr">
        <is>
          <t>4</t>
        </is>
      </c>
      <c r="F50" t="inlineStr">
        <is>
          <t>10000578</t>
        </is>
      </c>
      <c r="H50" t="inlineStr"/>
      <c r="J50" t="n">
        <v>69</v>
      </c>
      <c r="K50" t="inlineStr"/>
      <c r="M50" t="inlineStr">
        <is>
          <t>TN</t>
        </is>
      </c>
      <c r="N50" t="inlineStr"/>
      <c r="P50" t="inlineStr">
        <is>
          <t>20191211</t>
        </is>
      </c>
      <c r="Q50" t="inlineStr">
        <is>
          <t>20251031</t>
        </is>
      </c>
    </row>
    <row r="51">
      <c r="A51" t="inlineStr">
        <is>
          <t>900006074D8456720008610167749</t>
        </is>
      </c>
      <c r="B51" t="inlineStr">
        <is>
          <t>900006074</t>
        </is>
      </c>
      <c r="C51" t="inlineStr">
        <is>
          <t>D845</t>
        </is>
      </c>
      <c r="D51" t="inlineStr">
        <is>
          <t>67200086</t>
        </is>
      </c>
      <c r="E51" t="inlineStr">
        <is>
          <t>4</t>
        </is>
      </c>
      <c r="F51" t="inlineStr">
        <is>
          <t>10167749</t>
        </is>
      </c>
      <c r="H51" t="inlineStr"/>
      <c r="J51" t="n">
        <v>69</v>
      </c>
      <c r="K51" t="inlineStr"/>
      <c r="M51" t="inlineStr">
        <is>
          <t>TN</t>
        </is>
      </c>
      <c r="N51" t="inlineStr"/>
      <c r="P51" t="inlineStr">
        <is>
          <t>20191211</t>
        </is>
      </c>
      <c r="Q51" t="inlineStr">
        <is>
          <t>20251031</t>
        </is>
      </c>
    </row>
    <row r="52">
      <c r="A52" t="inlineStr">
        <is>
          <t>900006074D8456720390510000578</t>
        </is>
      </c>
      <c r="B52" t="inlineStr">
        <is>
          <t>900006074</t>
        </is>
      </c>
      <c r="C52" t="inlineStr">
        <is>
          <t>D845</t>
        </is>
      </c>
      <c r="D52" t="inlineStr">
        <is>
          <t>67203905</t>
        </is>
      </c>
      <c r="E52" t="inlineStr">
        <is>
          <t>4</t>
        </is>
      </c>
      <c r="F52" t="inlineStr">
        <is>
          <t>10000578</t>
        </is>
      </c>
      <c r="H52" t="inlineStr"/>
      <c r="J52" t="n">
        <v>70</v>
      </c>
      <c r="K52" t="inlineStr"/>
      <c r="M52" t="inlineStr">
        <is>
          <t>TN</t>
        </is>
      </c>
      <c r="N52" t="inlineStr"/>
      <c r="P52" t="inlineStr">
        <is>
          <t>20191211</t>
        </is>
      </c>
      <c r="Q52" t="inlineStr">
        <is>
          <t>20251031</t>
        </is>
      </c>
    </row>
    <row r="53">
      <c r="A53" t="inlineStr">
        <is>
          <t>900006074D8456720390510000617</t>
        </is>
      </c>
      <c r="B53" t="inlineStr">
        <is>
          <t>900006074</t>
        </is>
      </c>
      <c r="C53" t="inlineStr">
        <is>
          <t>D845</t>
        </is>
      </c>
      <c r="D53" t="inlineStr">
        <is>
          <t>67203905</t>
        </is>
      </c>
      <c r="E53" t="inlineStr">
        <is>
          <t>4</t>
        </is>
      </c>
      <c r="F53" t="inlineStr">
        <is>
          <t>10000617</t>
        </is>
      </c>
      <c r="H53" t="inlineStr"/>
      <c r="J53" t="n">
        <v>70</v>
      </c>
      <c r="K53" t="inlineStr"/>
      <c r="M53" t="inlineStr">
        <is>
          <t>TN</t>
        </is>
      </c>
      <c r="N53" t="inlineStr"/>
      <c r="P53" t="inlineStr">
        <is>
          <t>20191211</t>
        </is>
      </c>
      <c r="Q53" t="inlineStr">
        <is>
          <t>20251031</t>
        </is>
      </c>
    </row>
    <row r="54">
      <c r="A54" t="inlineStr">
        <is>
          <t>900006074D8456720390510167749</t>
        </is>
      </c>
      <c r="B54" t="inlineStr">
        <is>
          <t>900006074</t>
        </is>
      </c>
      <c r="C54" t="inlineStr">
        <is>
          <t>D845</t>
        </is>
      </c>
      <c r="D54" t="inlineStr">
        <is>
          <t>67203905</t>
        </is>
      </c>
      <c r="E54" t="inlineStr">
        <is>
          <t>4</t>
        </is>
      </c>
      <c r="F54" t="inlineStr">
        <is>
          <t>10167749</t>
        </is>
      </c>
      <c r="H54" t="inlineStr"/>
      <c r="J54" t="n">
        <v>70</v>
      </c>
      <c r="K54" t="inlineStr"/>
      <c r="M54" t="inlineStr">
        <is>
          <t>TN</t>
        </is>
      </c>
      <c r="N54" t="inlineStr"/>
      <c r="P54" t="inlineStr">
        <is>
          <t>20191211</t>
        </is>
      </c>
      <c r="Q54" t="inlineStr">
        <is>
          <t>20251031</t>
        </is>
      </c>
    </row>
    <row r="55">
      <c r="A55" t="inlineStr">
        <is>
          <t>900006074D8456720610210000536</t>
        </is>
      </c>
      <c r="B55" t="inlineStr">
        <is>
          <t>900006074</t>
        </is>
      </c>
      <c r="C55" t="inlineStr">
        <is>
          <t>D845</t>
        </is>
      </c>
      <c r="D55" t="inlineStr">
        <is>
          <t>67206102</t>
        </is>
      </c>
      <c r="E55" t="inlineStr">
        <is>
          <t>4</t>
        </is>
      </c>
      <c r="F55" t="inlineStr">
        <is>
          <t>10000536</t>
        </is>
      </c>
      <c r="H55" t="inlineStr"/>
      <c r="J55" t="n">
        <v>63</v>
      </c>
      <c r="K55" t="inlineStr"/>
      <c r="M55" t="inlineStr">
        <is>
          <t>TN</t>
        </is>
      </c>
      <c r="N55" t="inlineStr"/>
      <c r="P55" t="inlineStr">
        <is>
          <t>20191211</t>
        </is>
      </c>
      <c r="Q55" t="inlineStr">
        <is>
          <t>20251031</t>
        </is>
      </c>
    </row>
    <row r="56">
      <c r="A56" t="inlineStr">
        <is>
          <t>900006074D8456720610210000578</t>
        </is>
      </c>
      <c r="B56" t="inlineStr">
        <is>
          <t>900006074</t>
        </is>
      </c>
      <c r="C56" t="inlineStr">
        <is>
          <t>D845</t>
        </is>
      </c>
      <c r="D56" t="inlineStr">
        <is>
          <t>67206102</t>
        </is>
      </c>
      <c r="E56" t="inlineStr">
        <is>
          <t>4</t>
        </is>
      </c>
      <c r="F56" t="inlineStr">
        <is>
          <t>10000578</t>
        </is>
      </c>
      <c r="H56" t="inlineStr"/>
      <c r="J56" t="n">
        <v>63</v>
      </c>
      <c r="K56" t="inlineStr"/>
      <c r="M56" t="inlineStr">
        <is>
          <t>TN</t>
        </is>
      </c>
      <c r="N56" t="inlineStr"/>
      <c r="P56" t="inlineStr">
        <is>
          <t>20191211</t>
        </is>
      </c>
      <c r="Q56" t="inlineStr">
        <is>
          <t>20251031</t>
        </is>
      </c>
    </row>
    <row r="57">
      <c r="A57" t="inlineStr">
        <is>
          <t>900006074D8456720610210000617</t>
        </is>
      </c>
      <c r="B57" t="inlineStr">
        <is>
          <t>900006074</t>
        </is>
      </c>
      <c r="C57" t="inlineStr">
        <is>
          <t>D845</t>
        </is>
      </c>
      <c r="D57" t="inlineStr">
        <is>
          <t>67206102</t>
        </is>
      </c>
      <c r="E57" t="inlineStr">
        <is>
          <t>4</t>
        </is>
      </c>
      <c r="F57" t="inlineStr">
        <is>
          <t>10000617</t>
        </is>
      </c>
      <c r="H57" t="inlineStr"/>
      <c r="J57" t="n">
        <v>63</v>
      </c>
      <c r="K57" t="inlineStr"/>
      <c r="M57" t="inlineStr">
        <is>
          <t>TN</t>
        </is>
      </c>
      <c r="N57" t="inlineStr"/>
      <c r="P57" t="inlineStr">
        <is>
          <t>20191211</t>
        </is>
      </c>
      <c r="Q57" t="inlineStr">
        <is>
          <t>20251031</t>
        </is>
      </c>
    </row>
    <row r="58">
      <c r="A58" t="inlineStr">
        <is>
          <t>900006074D8456720610210000656</t>
        </is>
      </c>
      <c r="B58" t="inlineStr">
        <is>
          <t>900006074</t>
        </is>
      </c>
      <c r="C58" t="inlineStr">
        <is>
          <t>D845</t>
        </is>
      </c>
      <c r="D58" t="inlineStr">
        <is>
          <t>67206102</t>
        </is>
      </c>
      <c r="E58" t="inlineStr">
        <is>
          <t>4</t>
        </is>
      </c>
      <c r="F58" t="inlineStr">
        <is>
          <t>10000656</t>
        </is>
      </c>
      <c r="H58" t="inlineStr"/>
      <c r="J58" t="n">
        <v>63</v>
      </c>
      <c r="K58" t="inlineStr"/>
      <c r="M58" t="inlineStr">
        <is>
          <t>TN</t>
        </is>
      </c>
      <c r="N58" t="inlineStr"/>
      <c r="P58" t="inlineStr">
        <is>
          <t>20191211</t>
        </is>
      </c>
      <c r="Q58" t="inlineStr">
        <is>
          <t>20251031</t>
        </is>
      </c>
    </row>
    <row r="59">
      <c r="A59" t="inlineStr">
        <is>
          <t>900006074D8456723076610058501</t>
        </is>
      </c>
      <c r="B59" t="inlineStr">
        <is>
          <t>900006074</t>
        </is>
      </c>
      <c r="C59" t="inlineStr">
        <is>
          <t>D845</t>
        </is>
      </c>
      <c r="D59" t="inlineStr">
        <is>
          <t>67230766</t>
        </is>
      </c>
      <c r="E59" t="inlineStr">
        <is>
          <t>4</t>
        </is>
      </c>
      <c r="F59" t="inlineStr">
        <is>
          <t>10058501</t>
        </is>
      </c>
      <c r="H59" t="inlineStr"/>
      <c r="J59" t="n">
        <v>89</v>
      </c>
      <c r="K59" t="inlineStr"/>
      <c r="M59" t="inlineStr">
        <is>
          <t>TN</t>
        </is>
      </c>
      <c r="N59" t="inlineStr"/>
      <c r="P59" t="inlineStr">
        <is>
          <t>20191211</t>
        </is>
      </c>
      <c r="Q59" t="inlineStr">
        <is>
          <t>20251031</t>
        </is>
      </c>
    </row>
    <row r="60">
      <c r="A60" t="inlineStr">
        <is>
          <t>900006074D8456723076610167749</t>
        </is>
      </c>
      <c r="B60" t="inlineStr">
        <is>
          <t>900006074</t>
        </is>
      </c>
      <c r="C60" t="inlineStr">
        <is>
          <t>D845</t>
        </is>
      </c>
      <c r="D60" t="inlineStr">
        <is>
          <t>67230766</t>
        </is>
      </c>
      <c r="E60" t="inlineStr">
        <is>
          <t>4</t>
        </is>
      </c>
      <c r="F60" t="inlineStr">
        <is>
          <t>10167749</t>
        </is>
      </c>
      <c r="H60" t="inlineStr"/>
      <c r="J60" t="n">
        <v>89</v>
      </c>
      <c r="K60" t="inlineStr"/>
      <c r="M60" t="inlineStr">
        <is>
          <t>TN</t>
        </is>
      </c>
      <c r="N60" t="inlineStr"/>
      <c r="P60" t="inlineStr">
        <is>
          <t>20191211</t>
        </is>
      </c>
      <c r="Q60" t="inlineStr">
        <is>
          <t>20251031</t>
        </is>
      </c>
    </row>
    <row r="61">
      <c r="A61" t="inlineStr">
        <is>
          <t>900006074D8456723113810058501</t>
        </is>
      </c>
      <c r="B61" t="inlineStr">
        <is>
          <t>900006074</t>
        </is>
      </c>
      <c r="C61" t="inlineStr">
        <is>
          <t>D845</t>
        </is>
      </c>
      <c r="D61" t="inlineStr">
        <is>
          <t>67231138</t>
        </is>
      </c>
      <c r="E61" t="inlineStr">
        <is>
          <t>4</t>
        </is>
      </c>
      <c r="F61" t="inlineStr">
        <is>
          <t>10058501</t>
        </is>
      </c>
      <c r="H61" t="inlineStr"/>
      <c r="J61" t="n">
        <v>89</v>
      </c>
      <c r="K61" t="inlineStr"/>
      <c r="M61" t="inlineStr">
        <is>
          <t>TN</t>
        </is>
      </c>
      <c r="N61" t="inlineStr"/>
      <c r="P61" t="inlineStr">
        <is>
          <t>20191211</t>
        </is>
      </c>
      <c r="Q61" t="inlineStr">
        <is>
          <t>20251031</t>
        </is>
      </c>
    </row>
    <row r="62">
      <c r="A62" t="inlineStr">
        <is>
          <t>900006074D8456723113810167749</t>
        </is>
      </c>
      <c r="B62" t="inlineStr">
        <is>
          <t>900006074</t>
        </is>
      </c>
      <c r="C62" t="inlineStr">
        <is>
          <t>D845</t>
        </is>
      </c>
      <c r="D62" t="inlineStr">
        <is>
          <t>67231138</t>
        </is>
      </c>
      <c r="E62" t="inlineStr">
        <is>
          <t>4</t>
        </is>
      </c>
      <c r="F62" t="inlineStr">
        <is>
          <t>10167749</t>
        </is>
      </c>
      <c r="H62" t="inlineStr"/>
      <c r="J62" t="n">
        <v>89</v>
      </c>
      <c r="K62" t="inlineStr"/>
      <c r="M62" t="inlineStr">
        <is>
          <t>TN</t>
        </is>
      </c>
      <c r="N62" t="inlineStr"/>
      <c r="P62" t="inlineStr">
        <is>
          <t>20191211</t>
        </is>
      </c>
      <c r="Q62" t="inlineStr">
        <is>
          <t>20251031</t>
        </is>
      </c>
    </row>
    <row r="63">
      <c r="A63" t="inlineStr">
        <is>
          <t>900006074D8456724110210167749</t>
        </is>
      </c>
      <c r="B63" t="inlineStr">
        <is>
          <t>900006074</t>
        </is>
      </c>
      <c r="C63" t="inlineStr">
        <is>
          <t>D845</t>
        </is>
      </c>
      <c r="D63" t="inlineStr">
        <is>
          <t>67241102</t>
        </is>
      </c>
      <c r="E63" t="inlineStr">
        <is>
          <t>4</t>
        </is>
      </c>
      <c r="F63" t="inlineStr">
        <is>
          <t>10167749</t>
        </is>
      </c>
      <c r="H63" t="inlineStr"/>
      <c r="J63" t="n">
        <v>208</v>
      </c>
      <c r="K63" t="inlineStr"/>
      <c r="M63" t="inlineStr">
        <is>
          <t>TN</t>
        </is>
      </c>
      <c r="N63" t="inlineStr"/>
      <c r="P63" t="inlineStr">
        <is>
          <t>20191211</t>
        </is>
      </c>
      <c r="Q63" t="inlineStr">
        <is>
          <t>20251031</t>
        </is>
      </c>
    </row>
    <row r="64">
      <c r="A64" t="inlineStr">
        <is>
          <t>900006074D8456724768110167749</t>
        </is>
      </c>
      <c r="B64" t="inlineStr">
        <is>
          <t>900006074</t>
        </is>
      </c>
      <c r="C64" t="inlineStr">
        <is>
          <t>D845</t>
        </is>
      </c>
      <c r="D64" t="inlineStr">
        <is>
          <t>67247681</t>
        </is>
      </c>
      <c r="E64" t="inlineStr">
        <is>
          <t>4</t>
        </is>
      </c>
      <c r="F64" t="inlineStr">
        <is>
          <t>10167749</t>
        </is>
      </c>
      <c r="H64" t="inlineStr"/>
      <c r="J64" t="n">
        <v>63</v>
      </c>
      <c r="K64" t="inlineStr"/>
      <c r="M64" t="inlineStr">
        <is>
          <t>TN</t>
        </is>
      </c>
      <c r="N64" t="inlineStr"/>
      <c r="P64" t="inlineStr">
        <is>
          <t>20260203</t>
        </is>
      </c>
      <c r="Q64" t="inlineStr">
        <is>
          <t>99991231</t>
        </is>
      </c>
    </row>
    <row r="65">
      <c r="A65" t="inlineStr">
        <is>
          <t>900006074D8456725700110000536</t>
        </is>
      </c>
      <c r="B65" t="inlineStr">
        <is>
          <t>900006074</t>
        </is>
      </c>
      <c r="C65" t="inlineStr">
        <is>
          <t>D845</t>
        </is>
      </c>
      <c r="D65" t="inlineStr">
        <is>
          <t>67257001</t>
        </is>
      </c>
      <c r="E65" t="inlineStr">
        <is>
          <t>4</t>
        </is>
      </c>
      <c r="F65" t="inlineStr">
        <is>
          <t>10000536</t>
        </is>
      </c>
      <c r="H65" t="inlineStr"/>
      <c r="J65" t="n">
        <v>89</v>
      </c>
      <c r="K65" t="inlineStr"/>
      <c r="M65" t="inlineStr">
        <is>
          <t>TN</t>
        </is>
      </c>
      <c r="N65" t="inlineStr"/>
      <c r="P65" t="inlineStr">
        <is>
          <t>20250409</t>
        </is>
      </c>
      <c r="Q65" t="inlineStr">
        <is>
          <t>99991231</t>
        </is>
      </c>
    </row>
    <row r="66">
      <c r="A66" t="inlineStr">
        <is>
          <t>900006074D8456725700110167749</t>
        </is>
      </c>
      <c r="B66" t="inlineStr">
        <is>
          <t>900006074</t>
        </is>
      </c>
      <c r="C66" t="inlineStr">
        <is>
          <t>D845</t>
        </is>
      </c>
      <c r="D66" t="inlineStr">
        <is>
          <t>67257001</t>
        </is>
      </c>
      <c r="E66" t="inlineStr">
        <is>
          <t>4</t>
        </is>
      </c>
      <c r="F66" t="inlineStr">
        <is>
          <t>10167749</t>
        </is>
      </c>
      <c r="H66" t="inlineStr"/>
      <c r="J66" t="n">
        <v>92</v>
      </c>
      <c r="K66" t="inlineStr"/>
      <c r="M66" t="inlineStr">
        <is>
          <t>TN</t>
        </is>
      </c>
      <c r="N66" t="inlineStr"/>
      <c r="P66" t="inlineStr">
        <is>
          <t>20250311</t>
        </is>
      </c>
      <c r="Q66" t="inlineStr">
        <is>
          <t>99991231</t>
        </is>
      </c>
    </row>
    <row r="67">
      <c r="A67" t="inlineStr">
        <is>
          <t>900006074D8456727749410000617</t>
        </is>
      </c>
      <c r="B67" t="inlineStr">
        <is>
          <t>900006074</t>
        </is>
      </c>
      <c r="C67" t="inlineStr">
        <is>
          <t>D845</t>
        </is>
      </c>
      <c r="D67" t="inlineStr">
        <is>
          <t>67277494</t>
        </is>
      </c>
      <c r="E67" t="inlineStr">
        <is>
          <t>4</t>
        </is>
      </c>
      <c r="F67" t="inlineStr">
        <is>
          <t>10000617</t>
        </is>
      </c>
      <c r="H67" t="inlineStr"/>
      <c r="J67" t="n">
        <v>110</v>
      </c>
      <c r="K67" t="inlineStr"/>
      <c r="M67" t="inlineStr">
        <is>
          <t>TN</t>
        </is>
      </c>
      <c r="N67" t="inlineStr"/>
      <c r="P67" t="inlineStr">
        <is>
          <t>20191211</t>
        </is>
      </c>
      <c r="Q67" t="inlineStr">
        <is>
          <t>20251031</t>
        </is>
      </c>
    </row>
    <row r="68">
      <c r="A68" t="inlineStr">
        <is>
          <t>900006074D8456727749410167749</t>
        </is>
      </c>
      <c r="B68" t="inlineStr">
        <is>
          <t>900006074</t>
        </is>
      </c>
      <c r="C68" t="inlineStr">
        <is>
          <t>D845</t>
        </is>
      </c>
      <c r="D68" t="inlineStr">
        <is>
          <t>67277494</t>
        </is>
      </c>
      <c r="E68" t="inlineStr">
        <is>
          <t>4</t>
        </is>
      </c>
      <c r="F68" t="inlineStr">
        <is>
          <t>10167749</t>
        </is>
      </c>
      <c r="H68" t="inlineStr"/>
      <c r="J68" t="n">
        <v>110</v>
      </c>
      <c r="K68" t="inlineStr"/>
      <c r="M68" t="inlineStr">
        <is>
          <t>TN</t>
        </is>
      </c>
      <c r="N68" t="inlineStr"/>
      <c r="P68" t="inlineStr">
        <is>
          <t>20191211</t>
        </is>
      </c>
      <c r="Q68" t="inlineStr">
        <is>
          <t>20251031</t>
        </is>
      </c>
    </row>
    <row r="69">
      <c r="A69" t="inlineStr">
        <is>
          <t>900006074D8456728337510167749</t>
        </is>
      </c>
      <c r="B69" t="inlineStr">
        <is>
          <t>900006074</t>
        </is>
      </c>
      <c r="C69" t="inlineStr">
        <is>
          <t>D845</t>
        </is>
      </c>
      <c r="D69" t="inlineStr">
        <is>
          <t>67283375</t>
        </is>
      </c>
      <c r="E69" t="inlineStr">
        <is>
          <t>4</t>
        </is>
      </c>
      <c r="F69" t="inlineStr">
        <is>
          <t>10167749</t>
        </is>
      </c>
      <c r="H69" t="inlineStr"/>
      <c r="J69" t="n">
        <v>97</v>
      </c>
      <c r="K69" t="inlineStr"/>
      <c r="M69" t="inlineStr">
        <is>
          <t>TN</t>
        </is>
      </c>
      <c r="N69" t="inlineStr"/>
      <c r="P69" t="inlineStr">
        <is>
          <t>20191211</t>
        </is>
      </c>
      <c r="Q69" t="inlineStr">
        <is>
          <t>20251031</t>
        </is>
      </c>
    </row>
    <row r="70">
      <c r="A70" t="inlineStr">
        <is>
          <t>900006074D8456728339310058501</t>
        </is>
      </c>
      <c r="B70" t="inlineStr">
        <is>
          <t>900006074</t>
        </is>
      </c>
      <c r="C70" t="inlineStr">
        <is>
          <t>D845</t>
        </is>
      </c>
      <c r="D70" t="inlineStr">
        <is>
          <t>67283393</t>
        </is>
      </c>
      <c r="E70" t="inlineStr">
        <is>
          <t>4</t>
        </is>
      </c>
      <c r="F70" t="inlineStr">
        <is>
          <t>10058501</t>
        </is>
      </c>
      <c r="H70" t="inlineStr"/>
      <c r="J70" t="n">
        <v>41</v>
      </c>
      <c r="K70" t="inlineStr"/>
      <c r="M70" t="inlineStr">
        <is>
          <t>TN</t>
        </is>
      </c>
      <c r="N70" t="inlineStr"/>
      <c r="P70" t="inlineStr">
        <is>
          <t>20191211</t>
        </is>
      </c>
      <c r="Q70" t="inlineStr">
        <is>
          <t>20251031</t>
        </is>
      </c>
    </row>
    <row r="71">
      <c r="A71" t="inlineStr">
        <is>
          <t>900006074D8456728339310167749</t>
        </is>
      </c>
      <c r="B71" t="inlineStr">
        <is>
          <t>900006074</t>
        </is>
      </c>
      <c r="C71" t="inlineStr">
        <is>
          <t>D845</t>
        </is>
      </c>
      <c r="D71" t="inlineStr">
        <is>
          <t>67283393</t>
        </is>
      </c>
      <c r="E71" t="inlineStr">
        <is>
          <t>4</t>
        </is>
      </c>
      <c r="F71" t="inlineStr">
        <is>
          <t>10167749</t>
        </is>
      </c>
      <c r="H71" t="inlineStr"/>
      <c r="J71" t="n">
        <v>49</v>
      </c>
      <c r="K71" t="inlineStr"/>
      <c r="M71" t="inlineStr">
        <is>
          <t>TN</t>
        </is>
      </c>
      <c r="N71" t="inlineStr"/>
      <c r="P71" t="inlineStr">
        <is>
          <t>20250408</t>
        </is>
      </c>
      <c r="Q71" t="inlineStr">
        <is>
          <t>99991231</t>
        </is>
      </c>
    </row>
    <row r="72">
      <c r="A72" t="inlineStr">
        <is>
          <t>900006074D8456729261710167749</t>
        </is>
      </c>
      <c r="B72" t="inlineStr">
        <is>
          <t>900006074</t>
        </is>
      </c>
      <c r="C72" t="inlineStr">
        <is>
          <t>D845</t>
        </is>
      </c>
      <c r="D72" t="inlineStr">
        <is>
          <t>67292617</t>
        </is>
      </c>
      <c r="E72" t="inlineStr">
        <is>
          <t>4</t>
        </is>
      </c>
      <c r="F72" t="inlineStr">
        <is>
          <t>10167749</t>
        </is>
      </c>
      <c r="H72" t="inlineStr"/>
      <c r="J72" t="n">
        <v>72</v>
      </c>
      <c r="K72" t="inlineStr"/>
      <c r="M72" t="inlineStr">
        <is>
          <t>TN</t>
        </is>
      </c>
      <c r="N72" t="inlineStr"/>
      <c r="P72" t="inlineStr">
        <is>
          <t>20241210</t>
        </is>
      </c>
      <c r="Q72" t="inlineStr">
        <is>
          <t>99991231</t>
        </is>
      </c>
    </row>
    <row r="73">
      <c r="A73" t="inlineStr">
        <is>
          <t>900006074D8456729851810167749</t>
        </is>
      </c>
      <c r="B73" t="inlineStr">
        <is>
          <t>900006074</t>
        </is>
      </c>
      <c r="C73" t="inlineStr">
        <is>
          <t>D845</t>
        </is>
      </c>
      <c r="D73" t="inlineStr">
        <is>
          <t>67298518</t>
        </is>
      </c>
      <c r="E73" t="inlineStr">
        <is>
          <t>4</t>
        </is>
      </c>
      <c r="F73" t="inlineStr">
        <is>
          <t>10167749</t>
        </is>
      </c>
      <c r="H73" t="inlineStr"/>
      <c r="J73" t="n">
        <v>70</v>
      </c>
      <c r="K73" t="inlineStr"/>
      <c r="M73" t="inlineStr">
        <is>
          <t>TN</t>
        </is>
      </c>
      <c r="N73" t="inlineStr"/>
      <c r="P73" t="inlineStr">
        <is>
          <t>20250425</t>
        </is>
      </c>
      <c r="Q73" t="inlineStr">
        <is>
          <t>99991231</t>
        </is>
      </c>
    </row>
    <row r="74">
      <c r="A74" t="inlineStr">
        <is>
          <t>900006074D8456730740210000536</t>
        </is>
      </c>
      <c r="B74" t="inlineStr">
        <is>
          <t>900006074</t>
        </is>
      </c>
      <c r="C74" t="inlineStr">
        <is>
          <t>D845</t>
        </is>
      </c>
      <c r="D74" t="inlineStr">
        <is>
          <t>67307402</t>
        </is>
      </c>
      <c r="E74" t="inlineStr">
        <is>
          <t>4</t>
        </is>
      </c>
      <c r="F74" t="inlineStr">
        <is>
          <t>10000536</t>
        </is>
      </c>
      <c r="H74" t="inlineStr"/>
      <c r="J74" t="n">
        <v>50</v>
      </c>
      <c r="K74" t="inlineStr"/>
      <c r="M74" t="inlineStr">
        <is>
          <t>TN</t>
        </is>
      </c>
      <c r="N74" t="inlineStr"/>
      <c r="P74" t="inlineStr">
        <is>
          <t>20191211</t>
        </is>
      </c>
      <c r="Q74" t="inlineStr">
        <is>
          <t>20251031</t>
        </is>
      </c>
    </row>
    <row r="75">
      <c r="A75" t="inlineStr">
        <is>
          <t>900006074D8456730740210000578</t>
        </is>
      </c>
      <c r="B75" t="inlineStr">
        <is>
          <t>900006074</t>
        </is>
      </c>
      <c r="C75" t="inlineStr">
        <is>
          <t>D845</t>
        </is>
      </c>
      <c r="D75" t="inlineStr">
        <is>
          <t>67307402</t>
        </is>
      </c>
      <c r="E75" t="inlineStr">
        <is>
          <t>4</t>
        </is>
      </c>
      <c r="F75" t="inlineStr">
        <is>
          <t>10000578</t>
        </is>
      </c>
      <c r="H75" t="inlineStr"/>
      <c r="J75" t="n">
        <v>50</v>
      </c>
      <c r="K75" t="inlineStr"/>
      <c r="M75" t="inlineStr">
        <is>
          <t>TN</t>
        </is>
      </c>
      <c r="N75" t="inlineStr"/>
      <c r="P75" t="inlineStr">
        <is>
          <t>20250708</t>
        </is>
      </c>
      <c r="Q75" t="inlineStr">
        <is>
          <t>99991231</t>
        </is>
      </c>
    </row>
    <row r="76">
      <c r="A76" t="inlineStr">
        <is>
          <t>900006074D8456730740210000617</t>
        </is>
      </c>
      <c r="B76" t="inlineStr">
        <is>
          <t>900006074</t>
        </is>
      </c>
      <c r="C76" t="inlineStr">
        <is>
          <t>D845</t>
        </is>
      </c>
      <c r="D76" t="inlineStr">
        <is>
          <t>67307402</t>
        </is>
      </c>
      <c r="E76" t="inlineStr">
        <is>
          <t>4</t>
        </is>
      </c>
      <c r="F76" t="inlineStr">
        <is>
          <t>10000617</t>
        </is>
      </c>
      <c r="H76" t="inlineStr"/>
      <c r="J76" t="n">
        <v>50</v>
      </c>
      <c r="K76" t="inlineStr"/>
      <c r="M76" t="inlineStr">
        <is>
          <t>TN</t>
        </is>
      </c>
      <c r="N76" t="inlineStr"/>
      <c r="P76" t="inlineStr">
        <is>
          <t>20250708</t>
        </is>
      </c>
      <c r="Q76" t="inlineStr">
        <is>
          <t>99991231</t>
        </is>
      </c>
    </row>
    <row r="77">
      <c r="A77" t="inlineStr">
        <is>
          <t>900006074D8456730740210167749</t>
        </is>
      </c>
      <c r="B77" t="inlineStr">
        <is>
          <t>900006074</t>
        </is>
      </c>
      <c r="C77" t="inlineStr">
        <is>
          <t>D845</t>
        </is>
      </c>
      <c r="D77" t="inlineStr">
        <is>
          <t>67307402</t>
        </is>
      </c>
      <c r="E77" t="inlineStr">
        <is>
          <t>4</t>
        </is>
      </c>
      <c r="F77" t="inlineStr">
        <is>
          <t>10167749</t>
        </is>
      </c>
      <c r="H77" t="inlineStr"/>
      <c r="J77" t="n">
        <v>50</v>
      </c>
      <c r="K77" t="inlineStr"/>
      <c r="M77" t="inlineStr">
        <is>
          <t>TN</t>
        </is>
      </c>
      <c r="N77" t="inlineStr"/>
      <c r="P77" t="inlineStr">
        <is>
          <t>20191211</t>
        </is>
      </c>
      <c r="Q77" t="inlineStr">
        <is>
          <t>20251031</t>
        </is>
      </c>
    </row>
    <row r="78">
      <c r="A78" t="inlineStr">
        <is>
          <t>900006074D8456731378310167749</t>
        </is>
      </c>
      <c r="B78" t="inlineStr">
        <is>
          <t>900006074</t>
        </is>
      </c>
      <c r="C78" t="inlineStr">
        <is>
          <t>D845</t>
        </is>
      </c>
      <c r="D78" t="inlineStr">
        <is>
          <t>67313783</t>
        </is>
      </c>
      <c r="E78" t="inlineStr">
        <is>
          <t>4</t>
        </is>
      </c>
      <c r="F78" t="inlineStr">
        <is>
          <t>10167749</t>
        </is>
      </c>
      <c r="H78" t="inlineStr"/>
      <c r="J78" t="n">
        <v>67</v>
      </c>
      <c r="K78" t="inlineStr"/>
      <c r="M78" t="inlineStr">
        <is>
          <t>TN</t>
        </is>
      </c>
      <c r="N78" t="inlineStr"/>
      <c r="P78" t="inlineStr">
        <is>
          <t>20250325</t>
        </is>
      </c>
      <c r="Q78" t="inlineStr">
        <is>
          <t>99991231</t>
        </is>
      </c>
    </row>
    <row r="79">
      <c r="A79" t="inlineStr">
        <is>
          <t>900006074D8456731824610000536</t>
        </is>
      </c>
      <c r="B79" t="inlineStr">
        <is>
          <t>900006074</t>
        </is>
      </c>
      <c r="C79" t="inlineStr">
        <is>
          <t>D845</t>
        </is>
      </c>
      <c r="D79" t="inlineStr">
        <is>
          <t>67318246</t>
        </is>
      </c>
      <c r="E79" t="inlineStr">
        <is>
          <t>4</t>
        </is>
      </c>
      <c r="F79" t="inlineStr">
        <is>
          <t>10000536</t>
        </is>
      </c>
      <c r="H79" t="inlineStr"/>
      <c r="J79" t="n">
        <v>141</v>
      </c>
      <c r="K79" t="inlineStr"/>
      <c r="M79" t="inlineStr">
        <is>
          <t>TN</t>
        </is>
      </c>
      <c r="N79" t="inlineStr"/>
      <c r="P79" t="inlineStr">
        <is>
          <t>20260122</t>
        </is>
      </c>
      <c r="Q79" t="inlineStr">
        <is>
          <t>99991231</t>
        </is>
      </c>
    </row>
    <row r="80">
      <c r="A80" t="inlineStr">
        <is>
          <t>900006074D8456731824610000578</t>
        </is>
      </c>
      <c r="B80" t="inlineStr">
        <is>
          <t>900006074</t>
        </is>
      </c>
      <c r="C80" t="inlineStr">
        <is>
          <t>D845</t>
        </is>
      </c>
      <c r="D80" t="inlineStr">
        <is>
          <t>67318246</t>
        </is>
      </c>
      <c r="E80" t="inlineStr">
        <is>
          <t>4</t>
        </is>
      </c>
      <c r="F80" t="inlineStr">
        <is>
          <t>10000578</t>
        </is>
      </c>
      <c r="H80" t="inlineStr"/>
      <c r="J80" t="n">
        <v>141</v>
      </c>
      <c r="K80" t="inlineStr"/>
      <c r="M80" t="inlineStr">
        <is>
          <t>TN</t>
        </is>
      </c>
      <c r="N80" t="inlineStr"/>
      <c r="P80" t="inlineStr">
        <is>
          <t>20260122</t>
        </is>
      </c>
      <c r="Q80" t="inlineStr">
        <is>
          <t>99991231</t>
        </is>
      </c>
    </row>
    <row r="81">
      <c r="A81" t="inlineStr">
        <is>
          <t>900006074D8456731824610000617</t>
        </is>
      </c>
      <c r="B81" t="inlineStr">
        <is>
          <t>900006074</t>
        </is>
      </c>
      <c r="C81" t="inlineStr">
        <is>
          <t>D845</t>
        </is>
      </c>
      <c r="D81" t="inlineStr">
        <is>
          <t>67318246</t>
        </is>
      </c>
      <c r="E81" t="inlineStr">
        <is>
          <t>4</t>
        </is>
      </c>
      <c r="F81" t="inlineStr">
        <is>
          <t>10000617</t>
        </is>
      </c>
      <c r="H81" t="inlineStr"/>
      <c r="J81" t="n">
        <v>141</v>
      </c>
      <c r="K81" t="inlineStr"/>
      <c r="M81" t="inlineStr">
        <is>
          <t>TN</t>
        </is>
      </c>
      <c r="N81" t="inlineStr"/>
      <c r="P81" t="inlineStr">
        <is>
          <t>20260122</t>
        </is>
      </c>
      <c r="Q81" t="inlineStr">
        <is>
          <t>99991231</t>
        </is>
      </c>
    </row>
    <row r="82">
      <c r="A82" t="inlineStr">
        <is>
          <t>900006074D8456731824610000656</t>
        </is>
      </c>
      <c r="B82" t="inlineStr">
        <is>
          <t>900006074</t>
        </is>
      </c>
      <c r="C82" t="inlineStr">
        <is>
          <t>D845</t>
        </is>
      </c>
      <c r="D82" t="inlineStr">
        <is>
          <t>67318246</t>
        </is>
      </c>
      <c r="E82" t="inlineStr">
        <is>
          <t>4</t>
        </is>
      </c>
      <c r="F82" t="inlineStr">
        <is>
          <t>10000656</t>
        </is>
      </c>
      <c r="H82" t="inlineStr"/>
      <c r="J82" t="n">
        <v>141</v>
      </c>
      <c r="K82" t="inlineStr"/>
      <c r="M82" t="inlineStr">
        <is>
          <t>TN</t>
        </is>
      </c>
      <c r="N82" t="inlineStr"/>
      <c r="P82" t="inlineStr">
        <is>
          <t>20260122</t>
        </is>
      </c>
      <c r="Q82" t="inlineStr">
        <is>
          <t>99991231</t>
        </is>
      </c>
    </row>
    <row r="83">
      <c r="A83" t="inlineStr">
        <is>
          <t>900006074D8456731824610169508</t>
        </is>
      </c>
      <c r="B83" t="inlineStr">
        <is>
          <t>900006074</t>
        </is>
      </c>
      <c r="C83" t="inlineStr">
        <is>
          <t>D845</t>
        </is>
      </c>
      <c r="D83" t="inlineStr">
        <is>
          <t>67318246</t>
        </is>
      </c>
      <c r="E83" t="inlineStr">
        <is>
          <t>4</t>
        </is>
      </c>
      <c r="F83" t="inlineStr">
        <is>
          <t>10169508</t>
        </is>
      </c>
      <c r="H83" t="inlineStr"/>
      <c r="J83" t="n">
        <v>141</v>
      </c>
      <c r="K83" t="inlineStr"/>
      <c r="M83" t="inlineStr">
        <is>
          <t>TN</t>
        </is>
      </c>
      <c r="N83" t="inlineStr"/>
      <c r="P83" t="inlineStr">
        <is>
          <t>20191211</t>
        </is>
      </c>
      <c r="Q83" t="inlineStr">
        <is>
          <t>20251031</t>
        </is>
      </c>
    </row>
    <row r="84">
      <c r="A84" t="inlineStr">
        <is>
          <t>900006074D8456731836310167749</t>
        </is>
      </c>
      <c r="B84" t="inlineStr">
        <is>
          <t>900006074</t>
        </is>
      </c>
      <c r="C84" t="inlineStr">
        <is>
          <t>D845</t>
        </is>
      </c>
      <c r="D84" t="inlineStr">
        <is>
          <t>67318363</t>
        </is>
      </c>
      <c r="E84" t="inlineStr">
        <is>
          <t>4</t>
        </is>
      </c>
      <c r="F84" t="inlineStr">
        <is>
          <t>10167749</t>
        </is>
      </c>
      <c r="H84" t="inlineStr"/>
      <c r="J84" t="n">
        <v>72</v>
      </c>
      <c r="K84" t="inlineStr"/>
      <c r="M84" t="inlineStr">
        <is>
          <t>TN</t>
        </is>
      </c>
      <c r="N84" t="inlineStr"/>
      <c r="P84" t="inlineStr">
        <is>
          <t>20250425</t>
        </is>
      </c>
      <c r="Q84" t="inlineStr">
        <is>
          <t>99991231</t>
        </is>
      </c>
    </row>
    <row r="85">
      <c r="A85" t="inlineStr">
        <is>
          <t>900006074D8456731981710167749</t>
        </is>
      </c>
      <c r="B85" t="inlineStr">
        <is>
          <t>900006074</t>
        </is>
      </c>
      <c r="C85" t="inlineStr">
        <is>
          <t>D845</t>
        </is>
      </c>
      <c r="D85" t="inlineStr">
        <is>
          <t>67319817</t>
        </is>
      </c>
      <c r="E85" t="inlineStr">
        <is>
          <t>4</t>
        </is>
      </c>
      <c r="F85" t="inlineStr">
        <is>
          <t>10167749</t>
        </is>
      </c>
      <c r="H85" t="inlineStr"/>
      <c r="J85" t="n">
        <v>70</v>
      </c>
      <c r="K85" t="inlineStr"/>
      <c r="M85" t="inlineStr">
        <is>
          <t>TN</t>
        </is>
      </c>
      <c r="N85" t="inlineStr"/>
      <c r="P85" t="inlineStr">
        <is>
          <t>20250509</t>
        </is>
      </c>
      <c r="Q85" t="inlineStr">
        <is>
          <t>99991231</t>
        </is>
      </c>
    </row>
    <row r="86">
      <c r="A86" t="inlineStr">
        <is>
          <t>900006074D8456734147210000536</t>
        </is>
      </c>
      <c r="B86" t="inlineStr">
        <is>
          <t>900006074</t>
        </is>
      </c>
      <c r="C86" t="inlineStr">
        <is>
          <t>D845</t>
        </is>
      </c>
      <c r="D86" t="inlineStr">
        <is>
          <t>67341472</t>
        </is>
      </c>
      <c r="E86" t="inlineStr">
        <is>
          <t>4</t>
        </is>
      </c>
      <c r="F86" t="inlineStr">
        <is>
          <t>10000536</t>
        </is>
      </c>
      <c r="H86" t="inlineStr"/>
      <c r="J86" t="n">
        <v>78</v>
      </c>
      <c r="K86" t="inlineStr"/>
      <c r="M86" t="inlineStr">
        <is>
          <t>TN</t>
        </is>
      </c>
      <c r="N86" t="inlineStr"/>
      <c r="P86" t="inlineStr">
        <is>
          <t>20251015</t>
        </is>
      </c>
      <c r="Q86" t="inlineStr">
        <is>
          <t>99991231</t>
        </is>
      </c>
    </row>
    <row r="87">
      <c r="A87" t="inlineStr">
        <is>
          <t>900006074D8456734147210000578</t>
        </is>
      </c>
      <c r="B87" t="inlineStr">
        <is>
          <t>900006074</t>
        </is>
      </c>
      <c r="C87" t="inlineStr">
        <is>
          <t>D845</t>
        </is>
      </c>
      <c r="D87" t="inlineStr">
        <is>
          <t>67341472</t>
        </is>
      </c>
      <c r="E87" t="inlineStr">
        <is>
          <t>4</t>
        </is>
      </c>
      <c r="F87" t="inlineStr">
        <is>
          <t>10000578</t>
        </is>
      </c>
      <c r="H87" t="inlineStr"/>
      <c r="J87" t="n">
        <v>78</v>
      </c>
      <c r="K87" t="inlineStr"/>
      <c r="M87" t="inlineStr">
        <is>
          <t>TN</t>
        </is>
      </c>
      <c r="N87" t="inlineStr"/>
      <c r="P87" t="inlineStr">
        <is>
          <t>20251015</t>
        </is>
      </c>
      <c r="Q87" t="inlineStr">
        <is>
          <t>99991231</t>
        </is>
      </c>
    </row>
    <row r="88">
      <c r="A88" t="inlineStr">
        <is>
          <t>900006074D8456734147210000617</t>
        </is>
      </c>
      <c r="B88" t="inlineStr">
        <is>
          <t>900006074</t>
        </is>
      </c>
      <c r="C88" t="inlineStr">
        <is>
          <t>D845</t>
        </is>
      </c>
      <c r="D88" t="inlineStr">
        <is>
          <t>67341472</t>
        </is>
      </c>
      <c r="E88" t="inlineStr">
        <is>
          <t>4</t>
        </is>
      </c>
      <c r="F88" t="inlineStr">
        <is>
          <t>10000617</t>
        </is>
      </c>
      <c r="H88" t="inlineStr"/>
      <c r="J88" t="n">
        <v>78</v>
      </c>
      <c r="K88" t="inlineStr"/>
      <c r="M88" t="inlineStr">
        <is>
          <t>TN</t>
        </is>
      </c>
      <c r="N88" t="inlineStr"/>
      <c r="P88" t="inlineStr">
        <is>
          <t>20251015</t>
        </is>
      </c>
      <c r="Q88" t="inlineStr">
        <is>
          <t>99991231</t>
        </is>
      </c>
    </row>
    <row r="89">
      <c r="A89" t="inlineStr">
        <is>
          <t>900006074D8456734147210167749</t>
        </is>
      </c>
      <c r="B89" t="inlineStr">
        <is>
          <t>900006074</t>
        </is>
      </c>
      <c r="C89" t="inlineStr">
        <is>
          <t>D845</t>
        </is>
      </c>
      <c r="D89" t="inlineStr">
        <is>
          <t>67341472</t>
        </is>
      </c>
      <c r="E89" t="inlineStr">
        <is>
          <t>4</t>
        </is>
      </c>
      <c r="F89" t="inlineStr">
        <is>
          <t>10167749</t>
        </is>
      </c>
      <c r="H89" t="inlineStr"/>
      <c r="J89" t="n">
        <v>78</v>
      </c>
      <c r="K89" t="inlineStr"/>
      <c r="M89" t="inlineStr">
        <is>
          <t>TN</t>
        </is>
      </c>
      <c r="N89" t="inlineStr"/>
      <c r="P89" t="inlineStr">
        <is>
          <t>20251015</t>
        </is>
      </c>
      <c r="Q89" t="inlineStr">
        <is>
          <t>99991231</t>
        </is>
      </c>
    </row>
    <row r="90">
      <c r="A90" t="inlineStr">
        <is>
          <t>900006074D8456734609410058501</t>
        </is>
      </c>
      <c r="B90" t="inlineStr">
        <is>
          <t>900006074</t>
        </is>
      </c>
      <c r="C90" t="inlineStr">
        <is>
          <t>D845</t>
        </is>
      </c>
      <c r="D90" t="inlineStr">
        <is>
          <t>67346094</t>
        </is>
      </c>
      <c r="E90" t="inlineStr">
        <is>
          <t>4</t>
        </is>
      </c>
      <c r="F90" t="inlineStr">
        <is>
          <t>10058501</t>
        </is>
      </c>
      <c r="H90" t="inlineStr"/>
      <c r="J90" t="n">
        <v>77</v>
      </c>
      <c r="K90" t="inlineStr"/>
      <c r="M90" t="inlineStr">
        <is>
          <t>TN</t>
        </is>
      </c>
      <c r="N90" t="inlineStr"/>
      <c r="P90" t="inlineStr">
        <is>
          <t>20251031</t>
        </is>
      </c>
      <c r="Q90" t="inlineStr">
        <is>
          <t>99991231</t>
        </is>
      </c>
    </row>
    <row r="91">
      <c r="A91" t="inlineStr">
        <is>
          <t>900006074D8456734609410167749</t>
        </is>
      </c>
      <c r="B91" t="inlineStr">
        <is>
          <t>900006074</t>
        </is>
      </c>
      <c r="C91" t="inlineStr">
        <is>
          <t>D845</t>
        </is>
      </c>
      <c r="D91" t="inlineStr">
        <is>
          <t>67346094</t>
        </is>
      </c>
      <c r="E91" t="inlineStr">
        <is>
          <t>4</t>
        </is>
      </c>
      <c r="F91" t="inlineStr">
        <is>
          <t>10167749</t>
        </is>
      </c>
      <c r="H91" t="inlineStr"/>
      <c r="J91" t="n">
        <v>77</v>
      </c>
      <c r="K91" t="inlineStr"/>
      <c r="M91" t="inlineStr">
        <is>
          <t>TN</t>
        </is>
      </c>
      <c r="N91" t="inlineStr"/>
      <c r="P91" t="inlineStr">
        <is>
          <t>20251031</t>
        </is>
      </c>
      <c r="Q91" t="inlineStr">
        <is>
          <t>99991231</t>
        </is>
      </c>
    </row>
    <row r="92">
      <c r="A92" t="inlineStr">
        <is>
          <t>900006074D8456734808910167749</t>
        </is>
      </c>
      <c r="B92" t="inlineStr">
        <is>
          <t>900006074</t>
        </is>
      </c>
      <c r="C92" t="inlineStr">
        <is>
          <t>D845</t>
        </is>
      </c>
      <c r="D92" t="inlineStr">
        <is>
          <t>67348089</t>
        </is>
      </c>
      <c r="E92" t="inlineStr">
        <is>
          <t>4</t>
        </is>
      </c>
      <c r="F92" t="inlineStr">
        <is>
          <t>10167749</t>
        </is>
      </c>
      <c r="H92" t="inlineStr"/>
      <c r="J92" t="n">
        <v>86</v>
      </c>
      <c r="K92" t="inlineStr"/>
      <c r="M92" t="inlineStr">
        <is>
          <t>TN</t>
        </is>
      </c>
      <c r="N92" t="inlineStr"/>
      <c r="P92" t="inlineStr">
        <is>
          <t>20251118</t>
        </is>
      </c>
      <c r="Q92" t="inlineStr">
        <is>
          <t>99991231</t>
        </is>
      </c>
    </row>
    <row r="93">
      <c r="A93" t="inlineStr">
        <is>
          <t>900006074D8456734854410167749</t>
        </is>
      </c>
      <c r="B93" t="inlineStr">
        <is>
          <t>900006074</t>
        </is>
      </c>
      <c r="C93" t="inlineStr">
        <is>
          <t>D845</t>
        </is>
      </c>
      <c r="D93" t="inlineStr">
        <is>
          <t>67348544</t>
        </is>
      </c>
      <c r="E93" t="inlineStr">
        <is>
          <t>4</t>
        </is>
      </c>
      <c r="F93" t="inlineStr">
        <is>
          <t>10167749</t>
        </is>
      </c>
      <c r="H93" t="inlineStr"/>
      <c r="J93" t="n">
        <v>75</v>
      </c>
      <c r="K93" t="inlineStr"/>
      <c r="M93" t="inlineStr">
        <is>
          <t>TN</t>
        </is>
      </c>
      <c r="N93" t="inlineStr"/>
      <c r="P93" t="inlineStr">
        <is>
          <t>20251118</t>
        </is>
      </c>
      <c r="Q93" t="inlineStr">
        <is>
          <t>99991231</t>
        </is>
      </c>
    </row>
    <row r="94">
      <c r="A94" t="inlineStr">
        <is>
          <t>900006074D8456735495710167749</t>
        </is>
      </c>
      <c r="B94" t="inlineStr">
        <is>
          <t>900006074</t>
        </is>
      </c>
      <c r="C94" t="inlineStr">
        <is>
          <t>D845</t>
        </is>
      </c>
      <c r="D94" t="inlineStr">
        <is>
          <t>67354957</t>
        </is>
      </c>
      <c r="E94" t="inlineStr">
        <is>
          <t>4</t>
        </is>
      </c>
      <c r="F94" t="inlineStr">
        <is>
          <t>10167749</t>
        </is>
      </c>
      <c r="H94" t="inlineStr"/>
      <c r="J94" t="n">
        <v>80</v>
      </c>
      <c r="K94" t="inlineStr"/>
      <c r="M94" t="inlineStr">
        <is>
          <t>TN</t>
        </is>
      </c>
      <c r="N94" t="inlineStr"/>
      <c r="P94" t="inlineStr">
        <is>
          <t>20251128</t>
        </is>
      </c>
      <c r="Q94" t="inlineStr">
        <is>
          <t>99991231</t>
        </is>
      </c>
    </row>
    <row r="95">
      <c r="A95" t="inlineStr">
        <is>
          <t>900006074D8456735589710000536</t>
        </is>
      </c>
      <c r="B95" t="inlineStr">
        <is>
          <t>900006074</t>
        </is>
      </c>
      <c r="C95" t="inlineStr">
        <is>
          <t>D845</t>
        </is>
      </c>
      <c r="D95" t="inlineStr">
        <is>
          <t>67355897</t>
        </is>
      </c>
      <c r="E95" t="inlineStr">
        <is>
          <t>4</t>
        </is>
      </c>
      <c r="F95" t="inlineStr">
        <is>
          <t>10000536</t>
        </is>
      </c>
      <c r="H95" t="inlineStr"/>
      <c r="J95" t="n">
        <v>70</v>
      </c>
      <c r="K95" t="inlineStr"/>
      <c r="M95" t="inlineStr">
        <is>
          <t>TN</t>
        </is>
      </c>
      <c r="N95" t="inlineStr"/>
      <c r="P95" t="inlineStr">
        <is>
          <t>20260123</t>
        </is>
      </c>
      <c r="Q95" t="inlineStr">
        <is>
          <t>99991231</t>
        </is>
      </c>
    </row>
    <row r="96">
      <c r="A96" t="inlineStr">
        <is>
          <t>900006074D8456735589710000578</t>
        </is>
      </c>
      <c r="B96" t="inlineStr">
        <is>
          <t>900006074</t>
        </is>
      </c>
      <c r="C96" t="inlineStr">
        <is>
          <t>D845</t>
        </is>
      </c>
      <c r="D96" t="inlineStr">
        <is>
          <t>67355897</t>
        </is>
      </c>
      <c r="E96" t="inlineStr">
        <is>
          <t>4</t>
        </is>
      </c>
      <c r="F96" t="inlineStr">
        <is>
          <t>10000578</t>
        </is>
      </c>
      <c r="H96" t="inlineStr"/>
      <c r="J96" t="n">
        <v>70</v>
      </c>
      <c r="K96" t="inlineStr"/>
      <c r="M96" t="inlineStr">
        <is>
          <t>TN</t>
        </is>
      </c>
      <c r="N96" t="inlineStr"/>
      <c r="P96" t="inlineStr">
        <is>
          <t>20260123</t>
        </is>
      </c>
      <c r="Q96" t="inlineStr">
        <is>
          <t>99991231</t>
        </is>
      </c>
    </row>
    <row r="97">
      <c r="A97" t="inlineStr">
        <is>
          <t>900006074D8456735589710167749</t>
        </is>
      </c>
      <c r="B97" t="inlineStr">
        <is>
          <t>900006074</t>
        </is>
      </c>
      <c r="C97" t="inlineStr">
        <is>
          <t>D845</t>
        </is>
      </c>
      <c r="D97" t="inlineStr">
        <is>
          <t>67355897</t>
        </is>
      </c>
      <c r="E97" t="inlineStr">
        <is>
          <t>4</t>
        </is>
      </c>
      <c r="F97" t="inlineStr">
        <is>
          <t>10167749</t>
        </is>
      </c>
      <c r="H97" t="inlineStr"/>
      <c r="J97" t="n">
        <v>70</v>
      </c>
      <c r="K97" t="inlineStr"/>
      <c r="M97" t="inlineStr">
        <is>
          <t>TN</t>
        </is>
      </c>
      <c r="N97" t="inlineStr"/>
      <c r="P97" t="inlineStr">
        <is>
          <t>20260123</t>
        </is>
      </c>
      <c r="Q97" t="inlineStr">
        <is>
          <t>99991231</t>
        </is>
      </c>
    </row>
    <row r="98">
      <c r="A98" t="inlineStr">
        <is>
          <t>900006074D8456737467110167749</t>
        </is>
      </c>
      <c r="B98" t="inlineStr">
        <is>
          <t>900006074</t>
        </is>
      </c>
      <c r="C98" t="inlineStr">
        <is>
          <t>D845</t>
        </is>
      </c>
      <c r="D98" t="inlineStr">
        <is>
          <t>67374671</t>
        </is>
      </c>
      <c r="E98" t="inlineStr">
        <is>
          <t>4</t>
        </is>
      </c>
      <c r="F98" t="inlineStr">
        <is>
          <t>10167749</t>
        </is>
      </c>
      <c r="H98" t="inlineStr"/>
      <c r="J98" t="n">
        <v>86</v>
      </c>
      <c r="K98" t="inlineStr"/>
      <c r="M98" t="inlineStr">
        <is>
          <t>TN</t>
        </is>
      </c>
      <c r="N98" t="inlineStr"/>
      <c r="P98" t="inlineStr">
        <is>
          <t>20260417</t>
        </is>
      </c>
      <c r="Q98" t="inlineStr">
        <is>
          <t>99991231</t>
        </is>
      </c>
    </row>
    <row r="99">
      <c r="A99" t="inlineStr">
        <is>
          <t>900006124D8456649548310000337</t>
        </is>
      </c>
      <c r="B99" t="inlineStr">
        <is>
          <t>900006124</t>
        </is>
      </c>
      <c r="C99" t="inlineStr">
        <is>
          <t>D845</t>
        </is>
      </c>
      <c r="D99" t="inlineStr">
        <is>
          <t>66495483</t>
        </is>
      </c>
      <c r="E99" t="inlineStr">
        <is>
          <t>1</t>
        </is>
      </c>
      <c r="F99" t="inlineStr">
        <is>
          <t>10000337</t>
        </is>
      </c>
      <c r="H99" t="inlineStr"/>
      <c r="J99" t="n">
        <v>48.87</v>
      </c>
      <c r="K99" t="inlineStr"/>
      <c r="M99" t="inlineStr">
        <is>
          <t>TN</t>
        </is>
      </c>
      <c r="N99" t="inlineStr"/>
      <c r="P99" t="inlineStr">
        <is>
          <t>20191211</t>
        </is>
      </c>
      <c r="Q99" t="inlineStr">
        <is>
          <t>20251031</t>
        </is>
      </c>
    </row>
    <row r="100">
      <c r="A100" t="inlineStr">
        <is>
          <t>900006124D8456649548310000646</t>
        </is>
      </c>
      <c r="B100" t="inlineStr">
        <is>
          <t>900006124</t>
        </is>
      </c>
      <c r="C100" t="inlineStr">
        <is>
          <t>D845</t>
        </is>
      </c>
      <c r="D100" t="inlineStr">
        <is>
          <t>66495483</t>
        </is>
      </c>
      <c r="E100" t="inlineStr">
        <is>
          <t>1</t>
        </is>
      </c>
      <c r="F100" t="inlineStr">
        <is>
          <t>10000646</t>
        </is>
      </c>
      <c r="H100" t="inlineStr"/>
      <c r="J100" t="n">
        <v>48.87</v>
      </c>
      <c r="K100" t="inlineStr"/>
      <c r="M100" t="inlineStr">
        <is>
          <t>TN</t>
        </is>
      </c>
      <c r="N100" t="inlineStr"/>
      <c r="P100" t="inlineStr">
        <is>
          <t>20191211</t>
        </is>
      </c>
      <c r="Q100" t="inlineStr">
        <is>
          <t>20251031</t>
        </is>
      </c>
    </row>
    <row r="101">
      <c r="A101" t="inlineStr">
        <is>
          <t>900008838D8456724110210167749</t>
        </is>
      </c>
      <c r="B101" t="inlineStr">
        <is>
          <t>900008838</t>
        </is>
      </c>
      <c r="C101" t="inlineStr">
        <is>
          <t>D845</t>
        </is>
      </c>
      <c r="D101" t="inlineStr">
        <is>
          <t>67241102</t>
        </is>
      </c>
      <c r="E101" t="inlineStr">
        <is>
          <t>4</t>
        </is>
      </c>
      <c r="F101" t="inlineStr">
        <is>
          <t>10167749</t>
        </is>
      </c>
      <c r="H101" t="inlineStr"/>
      <c r="J101" t="n">
        <v>150</v>
      </c>
      <c r="K101" t="inlineStr"/>
      <c r="M101" t="inlineStr">
        <is>
          <t>TN</t>
        </is>
      </c>
      <c r="N101" t="inlineStr"/>
      <c r="P101" t="inlineStr">
        <is>
          <t>20191211</t>
        </is>
      </c>
      <c r="Q101" t="inlineStr">
        <is>
          <t>20251031</t>
        </is>
      </c>
    </row>
    <row r="102">
      <c r="A102" t="inlineStr">
        <is>
          <t>900009256D8456736750610000536</t>
        </is>
      </c>
      <c r="B102" t="inlineStr">
        <is>
          <t>900009256</t>
        </is>
      </c>
      <c r="C102" t="inlineStr">
        <is>
          <t>D845</t>
        </is>
      </c>
      <c r="D102" t="inlineStr">
        <is>
          <t>67367506</t>
        </is>
      </c>
      <c r="E102" t="inlineStr">
        <is>
          <t>4</t>
        </is>
      </c>
      <c r="F102" t="inlineStr">
        <is>
          <t>10000536</t>
        </is>
      </c>
      <c r="H102" t="inlineStr"/>
      <c r="J102" t="n">
        <v>115</v>
      </c>
      <c r="K102" t="inlineStr"/>
      <c r="M102" t="inlineStr">
        <is>
          <t>TN</t>
        </is>
      </c>
      <c r="N102" t="inlineStr"/>
      <c r="P102" t="inlineStr">
        <is>
          <t>20260320</t>
        </is>
      </c>
      <c r="Q102" t="inlineStr">
        <is>
          <t>99991231</t>
        </is>
      </c>
    </row>
    <row r="103">
      <c r="A103" t="inlineStr">
        <is>
          <t>900009256D8456736750610000578</t>
        </is>
      </c>
      <c r="B103" t="inlineStr">
        <is>
          <t>900009256</t>
        </is>
      </c>
      <c r="C103" t="inlineStr">
        <is>
          <t>D845</t>
        </is>
      </c>
      <c r="D103" t="inlineStr">
        <is>
          <t>67367506</t>
        </is>
      </c>
      <c r="E103" t="inlineStr">
        <is>
          <t>4</t>
        </is>
      </c>
      <c r="F103" t="inlineStr">
        <is>
          <t>10000578</t>
        </is>
      </c>
      <c r="H103" t="inlineStr"/>
      <c r="J103" t="n">
        <v>115</v>
      </c>
      <c r="K103" t="inlineStr"/>
      <c r="M103" t="inlineStr">
        <is>
          <t>TN</t>
        </is>
      </c>
      <c r="N103" t="inlineStr"/>
      <c r="P103" t="inlineStr">
        <is>
          <t>20260320</t>
        </is>
      </c>
      <c r="Q103" t="inlineStr">
        <is>
          <t>99991231</t>
        </is>
      </c>
    </row>
    <row r="104">
      <c r="A104" t="inlineStr">
        <is>
          <t>900009256D8456736750610000617</t>
        </is>
      </c>
      <c r="B104" t="inlineStr">
        <is>
          <t>900009256</t>
        </is>
      </c>
      <c r="C104" t="inlineStr">
        <is>
          <t>D845</t>
        </is>
      </c>
      <c r="D104" t="inlineStr">
        <is>
          <t>67367506</t>
        </is>
      </c>
      <c r="E104" t="inlineStr">
        <is>
          <t>4</t>
        </is>
      </c>
      <c r="F104" t="inlineStr">
        <is>
          <t>10000617</t>
        </is>
      </c>
      <c r="H104" t="inlineStr"/>
      <c r="J104" t="n">
        <v>115</v>
      </c>
      <c r="K104" t="inlineStr"/>
      <c r="M104" t="inlineStr">
        <is>
          <t>TN</t>
        </is>
      </c>
      <c r="N104" t="inlineStr"/>
      <c r="P104" t="inlineStr">
        <is>
          <t>20260320</t>
        </is>
      </c>
      <c r="Q104" t="inlineStr">
        <is>
          <t>99991231</t>
        </is>
      </c>
    </row>
    <row r="105">
      <c r="A105" t="inlineStr">
        <is>
          <t>900009256D8456736750610000656</t>
        </is>
      </c>
      <c r="B105" t="inlineStr">
        <is>
          <t>900009256</t>
        </is>
      </c>
      <c r="C105" t="inlineStr">
        <is>
          <t>D845</t>
        </is>
      </c>
      <c r="D105" t="inlineStr">
        <is>
          <t>67367506</t>
        </is>
      </c>
      <c r="E105" t="inlineStr">
        <is>
          <t>4</t>
        </is>
      </c>
      <c r="F105" t="inlineStr">
        <is>
          <t>10000656</t>
        </is>
      </c>
      <c r="H105" t="inlineStr"/>
      <c r="J105" t="n">
        <v>115</v>
      </c>
      <c r="K105" t="inlineStr"/>
      <c r="M105" t="inlineStr">
        <is>
          <t>TN</t>
        </is>
      </c>
      <c r="N105" t="inlineStr"/>
      <c r="P105" t="inlineStr">
        <is>
          <t>20260320</t>
        </is>
      </c>
      <c r="Q105" t="inlineStr">
        <is>
          <t>99991231</t>
        </is>
      </c>
    </row>
    <row r="106">
      <c r="A106" t="inlineStr">
        <is>
          <t>900006074D8456500513910000536</t>
        </is>
      </c>
      <c r="B106" t="inlineStr">
        <is>
          <t>900006074</t>
        </is>
      </c>
      <c r="C106" t="inlineStr">
        <is>
          <t>D845</t>
        </is>
      </c>
      <c r="D106" t="inlineStr">
        <is>
          <t>65005139</t>
        </is>
      </c>
      <c r="E106" t="inlineStr">
        <is>
          <t>4</t>
        </is>
      </c>
      <c r="F106" t="inlineStr">
        <is>
          <t>10000536</t>
        </is>
      </c>
      <c r="H106" t="inlineStr"/>
      <c r="J106" t="n">
        <v>65</v>
      </c>
      <c r="K106" t="inlineStr"/>
      <c r="M106" t="inlineStr">
        <is>
          <t>TN</t>
        </is>
      </c>
      <c r="N106" t="inlineStr"/>
      <c r="P106" t="inlineStr">
        <is>
          <t>20240706</t>
        </is>
      </c>
      <c r="Q106" t="inlineStr">
        <is>
          <t>20240814</t>
        </is>
      </c>
    </row>
    <row r="107">
      <c r="A107" t="inlineStr">
        <is>
          <t>900006074D8456500513910000578</t>
        </is>
      </c>
      <c r="B107" t="inlineStr">
        <is>
          <t>900006074</t>
        </is>
      </c>
      <c r="C107" t="inlineStr">
        <is>
          <t>D845</t>
        </is>
      </c>
      <c r="D107" t="inlineStr">
        <is>
          <t>65005139</t>
        </is>
      </c>
      <c r="E107" t="inlineStr">
        <is>
          <t>4</t>
        </is>
      </c>
      <c r="F107" t="inlineStr">
        <is>
          <t>10000578</t>
        </is>
      </c>
      <c r="H107" t="inlineStr"/>
      <c r="J107" t="n">
        <v>65</v>
      </c>
      <c r="K107" t="inlineStr"/>
      <c r="M107" t="inlineStr">
        <is>
          <t>TN</t>
        </is>
      </c>
      <c r="N107" t="inlineStr"/>
      <c r="P107" t="inlineStr">
        <is>
          <t>20240706</t>
        </is>
      </c>
      <c r="Q107" t="inlineStr">
        <is>
          <t>20240814</t>
        </is>
      </c>
    </row>
    <row r="108">
      <c r="A108" t="inlineStr">
        <is>
          <t>900006074D8456500513910000617</t>
        </is>
      </c>
      <c r="B108" t="inlineStr">
        <is>
          <t>900006074</t>
        </is>
      </c>
      <c r="C108" t="inlineStr">
        <is>
          <t>D845</t>
        </is>
      </c>
      <c r="D108" t="inlineStr">
        <is>
          <t>65005139</t>
        </is>
      </c>
      <c r="E108" t="inlineStr">
        <is>
          <t>4</t>
        </is>
      </c>
      <c r="F108" t="inlineStr">
        <is>
          <t>10000617</t>
        </is>
      </c>
      <c r="H108" t="inlineStr"/>
      <c r="J108" t="n">
        <v>65</v>
      </c>
      <c r="K108" t="inlineStr"/>
      <c r="M108" t="inlineStr">
        <is>
          <t>TN</t>
        </is>
      </c>
      <c r="N108" t="inlineStr"/>
      <c r="P108" t="inlineStr">
        <is>
          <t>20240706</t>
        </is>
      </c>
      <c r="Q108" t="inlineStr">
        <is>
          <t>20240814</t>
        </is>
      </c>
    </row>
    <row r="109">
      <c r="A109" t="inlineStr">
        <is>
          <t>900006074D8456500513910000656</t>
        </is>
      </c>
      <c r="B109" t="inlineStr">
        <is>
          <t>900006074</t>
        </is>
      </c>
      <c r="C109" t="inlineStr">
        <is>
          <t>D845</t>
        </is>
      </c>
      <c r="D109" t="inlineStr">
        <is>
          <t>65005139</t>
        </is>
      </c>
      <c r="E109" t="inlineStr">
        <is>
          <t>4</t>
        </is>
      </c>
      <c r="F109" t="inlineStr">
        <is>
          <t>10000656</t>
        </is>
      </c>
      <c r="H109" t="inlineStr"/>
      <c r="J109" t="n">
        <v>65</v>
      </c>
      <c r="K109" t="inlineStr"/>
      <c r="M109" t="inlineStr">
        <is>
          <t>TN</t>
        </is>
      </c>
      <c r="N109" t="inlineStr"/>
      <c r="P109" t="inlineStr">
        <is>
          <t>20240706</t>
        </is>
      </c>
      <c r="Q109" t="inlineStr">
        <is>
          <t>20240814</t>
        </is>
      </c>
    </row>
    <row r="110">
      <c r="A110" t="inlineStr">
        <is>
          <t>900006074D8456500513910058501</t>
        </is>
      </c>
      <c r="B110" t="inlineStr">
        <is>
          <t>900006074</t>
        </is>
      </c>
      <c r="C110" t="inlineStr">
        <is>
          <t>D845</t>
        </is>
      </c>
      <c r="D110" t="inlineStr">
        <is>
          <t>65005139</t>
        </is>
      </c>
      <c r="E110" t="inlineStr">
        <is>
          <t>4</t>
        </is>
      </c>
      <c r="F110" t="inlineStr">
        <is>
          <t>10058501</t>
        </is>
      </c>
      <c r="H110" t="inlineStr"/>
      <c r="J110" t="n">
        <v>65</v>
      </c>
      <c r="K110" t="inlineStr"/>
      <c r="M110" t="inlineStr">
        <is>
          <t>TN</t>
        </is>
      </c>
      <c r="N110" t="inlineStr"/>
      <c r="P110" t="inlineStr">
        <is>
          <t>20240706</t>
        </is>
      </c>
      <c r="Q110" t="inlineStr">
        <is>
          <t>20240814</t>
        </is>
      </c>
    </row>
    <row r="111">
      <c r="A111" t="inlineStr">
        <is>
          <t>900006074D8456500513910167749</t>
        </is>
      </c>
      <c r="B111" t="inlineStr">
        <is>
          <t>900006074</t>
        </is>
      </c>
      <c r="C111" t="inlineStr">
        <is>
          <t>D845</t>
        </is>
      </c>
      <c r="D111" t="inlineStr">
        <is>
          <t>65005139</t>
        </is>
      </c>
      <c r="E111" t="inlineStr">
        <is>
          <t>4</t>
        </is>
      </c>
      <c r="F111" t="inlineStr">
        <is>
          <t>10167749</t>
        </is>
      </c>
      <c r="H111" t="inlineStr"/>
      <c r="J111" t="n">
        <v>65</v>
      </c>
      <c r="K111" t="inlineStr"/>
      <c r="M111" t="inlineStr">
        <is>
          <t>TN</t>
        </is>
      </c>
      <c r="N111" t="inlineStr"/>
      <c r="P111" t="inlineStr">
        <is>
          <t>20240706</t>
        </is>
      </c>
      <c r="Q111" t="inlineStr">
        <is>
          <t>20240814</t>
        </is>
      </c>
    </row>
    <row r="112">
      <c r="A112" t="inlineStr">
        <is>
          <t>900006074D8456719754310167749</t>
        </is>
      </c>
      <c r="B112" t="inlineStr">
        <is>
          <t>900006074</t>
        </is>
      </c>
      <c r="C112" t="inlineStr">
        <is>
          <t>D845</t>
        </is>
      </c>
      <c r="D112" t="inlineStr">
        <is>
          <t>67197543</t>
        </is>
      </c>
      <c r="E112" t="inlineStr">
        <is>
          <t>4</t>
        </is>
      </c>
      <c r="F112" t="inlineStr">
        <is>
          <t>10167749</t>
        </is>
      </c>
      <c r="H112" t="inlineStr"/>
      <c r="J112" t="n">
        <v>79</v>
      </c>
      <c r="K112" t="inlineStr"/>
      <c r="M112" t="inlineStr">
        <is>
          <t>TN</t>
        </is>
      </c>
      <c r="N112" t="inlineStr"/>
      <c r="P112" t="inlineStr">
        <is>
          <t>20240706</t>
        </is>
      </c>
      <c r="Q112" t="inlineStr">
        <is>
          <t>20240814</t>
        </is>
      </c>
    </row>
    <row r="113">
      <c r="A113" t="inlineStr">
        <is>
          <t>900006074D8456723076610058501</t>
        </is>
      </c>
      <c r="B113" t="inlineStr">
        <is>
          <t>900006074</t>
        </is>
      </c>
      <c r="C113" t="inlineStr">
        <is>
          <t>D845</t>
        </is>
      </c>
      <c r="D113" t="inlineStr">
        <is>
          <t>67230766</t>
        </is>
      </c>
      <c r="E113" t="inlineStr">
        <is>
          <t>4</t>
        </is>
      </c>
      <c r="F113" t="inlineStr">
        <is>
          <t>10058501</t>
        </is>
      </c>
      <c r="H113" t="inlineStr"/>
      <c r="J113" t="n">
        <v>89</v>
      </c>
      <c r="K113" t="inlineStr"/>
      <c r="M113" t="inlineStr">
        <is>
          <t>TN</t>
        </is>
      </c>
      <c r="N113" t="inlineStr"/>
      <c r="P113" t="inlineStr">
        <is>
          <t>20240706</t>
        </is>
      </c>
      <c r="Q113" t="inlineStr">
        <is>
          <t>20240814</t>
        </is>
      </c>
    </row>
    <row r="114">
      <c r="A114" t="inlineStr">
        <is>
          <t>900006074D8456723076610167749</t>
        </is>
      </c>
      <c r="B114" t="inlineStr">
        <is>
          <t>900006074</t>
        </is>
      </c>
      <c r="C114" t="inlineStr">
        <is>
          <t>D845</t>
        </is>
      </c>
      <c r="D114" t="inlineStr">
        <is>
          <t>67230766</t>
        </is>
      </c>
      <c r="E114" t="inlineStr">
        <is>
          <t>4</t>
        </is>
      </c>
      <c r="F114" t="inlineStr">
        <is>
          <t>10167749</t>
        </is>
      </c>
      <c r="H114" t="inlineStr"/>
      <c r="J114" t="n">
        <v>89</v>
      </c>
      <c r="K114" t="inlineStr"/>
      <c r="M114" t="inlineStr">
        <is>
          <t>TN</t>
        </is>
      </c>
      <c r="N114" t="inlineStr"/>
      <c r="P114" t="inlineStr">
        <is>
          <t>20240706</t>
        </is>
      </c>
      <c r="Q114" t="inlineStr">
        <is>
          <t>20240814</t>
        </is>
      </c>
    </row>
    <row r="115">
      <c r="A115" t="inlineStr">
        <is>
          <t>900006074D8456723113810058501</t>
        </is>
      </c>
      <c r="B115" t="inlineStr">
        <is>
          <t>900006074</t>
        </is>
      </c>
      <c r="C115" t="inlineStr">
        <is>
          <t>D845</t>
        </is>
      </c>
      <c r="D115" t="inlineStr">
        <is>
          <t>67231138</t>
        </is>
      </c>
      <c r="E115" t="inlineStr">
        <is>
          <t>4</t>
        </is>
      </c>
      <c r="F115" t="inlineStr">
        <is>
          <t>10058501</t>
        </is>
      </c>
      <c r="H115" t="inlineStr"/>
      <c r="J115" t="n">
        <v>89</v>
      </c>
      <c r="K115" t="inlineStr"/>
      <c r="M115" t="inlineStr">
        <is>
          <t>TN</t>
        </is>
      </c>
      <c r="N115" t="inlineStr"/>
      <c r="P115" t="inlineStr">
        <is>
          <t>20240706</t>
        </is>
      </c>
      <c r="Q115" t="inlineStr">
        <is>
          <t>20240814</t>
        </is>
      </c>
    </row>
    <row r="116">
      <c r="A116" t="inlineStr">
        <is>
          <t>900006074D8456723113810167749</t>
        </is>
      </c>
      <c r="B116" t="inlineStr">
        <is>
          <t>900006074</t>
        </is>
      </c>
      <c r="C116" t="inlineStr">
        <is>
          <t>D845</t>
        </is>
      </c>
      <c r="D116" t="inlineStr">
        <is>
          <t>67231138</t>
        </is>
      </c>
      <c r="E116" t="inlineStr">
        <is>
          <t>4</t>
        </is>
      </c>
      <c r="F116" t="inlineStr">
        <is>
          <t>10167749</t>
        </is>
      </c>
      <c r="H116" t="inlineStr"/>
      <c r="J116" t="n">
        <v>89</v>
      </c>
      <c r="K116" t="inlineStr"/>
      <c r="M116" t="inlineStr">
        <is>
          <t>TN</t>
        </is>
      </c>
      <c r="N116" t="inlineStr"/>
      <c r="P116" t="inlineStr">
        <is>
          <t>20240706</t>
        </is>
      </c>
      <c r="Q116" t="inlineStr">
        <is>
          <t>20240814</t>
        </is>
      </c>
    </row>
    <row r="117">
      <c r="A117" t="inlineStr">
        <is>
          <t>900006074D8456724110210167749</t>
        </is>
      </c>
      <c r="B117" t="inlineStr">
        <is>
          <t>900006074</t>
        </is>
      </c>
      <c r="C117" t="inlineStr">
        <is>
          <t>D845</t>
        </is>
      </c>
      <c r="D117" t="inlineStr">
        <is>
          <t>67241102</t>
        </is>
      </c>
      <c r="E117" t="inlineStr">
        <is>
          <t>4</t>
        </is>
      </c>
      <c r="F117" t="inlineStr">
        <is>
          <t>10167749</t>
        </is>
      </c>
      <c r="H117" t="inlineStr"/>
      <c r="J117" t="n">
        <v>208</v>
      </c>
      <c r="K117" t="inlineStr"/>
      <c r="M117" t="inlineStr">
        <is>
          <t>TN</t>
        </is>
      </c>
      <c r="N117" t="inlineStr"/>
      <c r="P117" t="inlineStr">
        <is>
          <t>20240706</t>
        </is>
      </c>
      <c r="Q117" t="inlineStr">
        <is>
          <t>20240814</t>
        </is>
      </c>
    </row>
    <row r="118">
      <c r="A118" t="inlineStr">
        <is>
          <t>900006074D8456724768110167749</t>
        </is>
      </c>
      <c r="B118" t="inlineStr">
        <is>
          <t>900006074</t>
        </is>
      </c>
      <c r="C118" t="inlineStr">
        <is>
          <t>D845</t>
        </is>
      </c>
      <c r="D118" t="inlineStr">
        <is>
          <t>67247681</t>
        </is>
      </c>
      <c r="E118" t="inlineStr">
        <is>
          <t>4</t>
        </is>
      </c>
      <c r="F118" t="inlineStr">
        <is>
          <t>10167749</t>
        </is>
      </c>
      <c r="H118" t="inlineStr"/>
      <c r="J118" t="n">
        <v>68</v>
      </c>
      <c r="K118" t="inlineStr"/>
      <c r="M118" t="inlineStr">
        <is>
          <t>TN</t>
        </is>
      </c>
      <c r="N118" t="inlineStr"/>
      <c r="P118" t="inlineStr">
        <is>
          <t>20240826</t>
        </is>
      </c>
      <c r="Q118" t="inlineStr">
        <is>
          <t>99991231</t>
        </is>
      </c>
    </row>
    <row r="119">
      <c r="A119" t="inlineStr">
        <is>
          <t>900006074D8456725700110000536</t>
        </is>
      </c>
      <c r="B119" t="inlineStr">
        <is>
          <t>900006074</t>
        </is>
      </c>
      <c r="C119" t="inlineStr">
        <is>
          <t>D845</t>
        </is>
      </c>
      <c r="D119" t="inlineStr">
        <is>
          <t>67257001</t>
        </is>
      </c>
      <c r="E119" t="inlineStr">
        <is>
          <t>4</t>
        </is>
      </c>
      <c r="F119" t="inlineStr">
        <is>
          <t>10000536</t>
        </is>
      </c>
      <c r="H119" t="inlineStr"/>
      <c r="J119" t="n">
        <v>89</v>
      </c>
      <c r="K119" t="inlineStr"/>
      <c r="M119" t="inlineStr">
        <is>
          <t>TN</t>
        </is>
      </c>
      <c r="N119" t="inlineStr"/>
      <c r="P119" t="inlineStr">
        <is>
          <t>20250304</t>
        </is>
      </c>
      <c r="Q119" t="inlineStr">
        <is>
          <t>20250507</t>
        </is>
      </c>
    </row>
    <row r="120">
      <c r="A120" t="inlineStr">
        <is>
          <t>900006074D8456725700110167749</t>
        </is>
      </c>
      <c r="B120" t="inlineStr">
        <is>
          <t>900006074</t>
        </is>
      </c>
      <c r="C120" t="inlineStr">
        <is>
          <t>D845</t>
        </is>
      </c>
      <c r="D120" t="inlineStr">
        <is>
          <t>67257001</t>
        </is>
      </c>
      <c r="E120" t="inlineStr">
        <is>
          <t>4</t>
        </is>
      </c>
      <c r="F120" t="inlineStr">
        <is>
          <t>10167749</t>
        </is>
      </c>
      <c r="H120" t="inlineStr"/>
      <c r="J120" t="n">
        <v>92</v>
      </c>
      <c r="K120" t="inlineStr"/>
      <c r="M120" t="inlineStr">
        <is>
          <t>TN</t>
        </is>
      </c>
      <c r="N120" t="inlineStr"/>
      <c r="P120" t="inlineStr">
        <is>
          <t>20250304</t>
        </is>
      </c>
      <c r="Q120" t="inlineStr">
        <is>
          <t>20250507</t>
        </is>
      </c>
    </row>
    <row r="121">
      <c r="A121" t="inlineStr">
        <is>
          <t>900006074D8456727749410000617</t>
        </is>
      </c>
      <c r="B121" t="inlineStr">
        <is>
          <t>900006074</t>
        </is>
      </c>
      <c r="C121" t="inlineStr">
        <is>
          <t>D845</t>
        </is>
      </c>
      <c r="D121" t="inlineStr">
        <is>
          <t>67277494</t>
        </is>
      </c>
      <c r="E121" t="inlineStr">
        <is>
          <t>4</t>
        </is>
      </c>
      <c r="F121" t="inlineStr">
        <is>
          <t>10000617</t>
        </is>
      </c>
      <c r="H121" t="inlineStr"/>
      <c r="J121" t="n">
        <v>110</v>
      </c>
      <c r="K121" t="inlineStr"/>
      <c r="M121" t="inlineStr">
        <is>
          <t>TN</t>
        </is>
      </c>
      <c r="N121" t="inlineStr"/>
      <c r="P121" t="inlineStr">
        <is>
          <t>20240923</t>
        </is>
      </c>
      <c r="Q121" t="inlineStr">
        <is>
          <t>99991231</t>
        </is>
      </c>
    </row>
    <row r="122">
      <c r="A122" t="inlineStr">
        <is>
          <t>900006074D8456727749410167749</t>
        </is>
      </c>
      <c r="B122" t="inlineStr">
        <is>
          <t>900006074</t>
        </is>
      </c>
      <c r="C122" t="inlineStr">
        <is>
          <t>D845</t>
        </is>
      </c>
      <c r="D122" t="inlineStr">
        <is>
          <t>67277494</t>
        </is>
      </c>
      <c r="E122" t="inlineStr">
        <is>
          <t>4</t>
        </is>
      </c>
      <c r="F122" t="inlineStr">
        <is>
          <t>10167749</t>
        </is>
      </c>
      <c r="H122" t="inlineStr"/>
      <c r="J122" t="n">
        <v>110</v>
      </c>
      <c r="K122" t="inlineStr"/>
      <c r="M122" t="inlineStr">
        <is>
          <t>TN</t>
        </is>
      </c>
      <c r="N122" t="inlineStr"/>
      <c r="P122" t="inlineStr">
        <is>
          <t>20240813</t>
        </is>
      </c>
      <c r="Q122" t="inlineStr">
        <is>
          <t>99991231</t>
        </is>
      </c>
    </row>
    <row r="123">
      <c r="A123" t="inlineStr">
        <is>
          <t>900006074D8456728339310058501</t>
        </is>
      </c>
      <c r="B123" t="inlineStr">
        <is>
          <t>900006074</t>
        </is>
      </c>
      <c r="C123" t="inlineStr">
        <is>
          <t>D845</t>
        </is>
      </c>
      <c r="D123" t="inlineStr">
        <is>
          <t>67283393</t>
        </is>
      </c>
      <c r="E123" t="inlineStr">
        <is>
          <t>4</t>
        </is>
      </c>
      <c r="F123" t="inlineStr">
        <is>
          <t>10058501</t>
        </is>
      </c>
      <c r="H123" t="inlineStr"/>
      <c r="J123" t="n">
        <v>41</v>
      </c>
      <c r="K123" t="inlineStr"/>
      <c r="M123" t="inlineStr">
        <is>
          <t>TN</t>
        </is>
      </c>
      <c r="N123" t="inlineStr"/>
      <c r="P123" t="inlineStr">
        <is>
          <t>20240924</t>
        </is>
      </c>
      <c r="Q123" t="inlineStr">
        <is>
          <t>99991231</t>
        </is>
      </c>
    </row>
    <row r="124">
      <c r="A124" t="inlineStr">
        <is>
          <t>900006074D8456728339310167749</t>
        </is>
      </c>
      <c r="B124" t="inlineStr">
        <is>
          <t>900006074</t>
        </is>
      </c>
      <c r="C124" t="inlineStr">
        <is>
          <t>D845</t>
        </is>
      </c>
      <c r="D124" t="inlineStr">
        <is>
          <t>67283393</t>
        </is>
      </c>
      <c r="E124" t="inlineStr">
        <is>
          <t>4</t>
        </is>
      </c>
      <c r="F124" t="inlineStr">
        <is>
          <t>10167749</t>
        </is>
      </c>
      <c r="H124" t="inlineStr"/>
      <c r="J124" t="n">
        <v>49</v>
      </c>
      <c r="K124" t="inlineStr"/>
      <c r="M124" t="inlineStr">
        <is>
          <t>TN</t>
        </is>
      </c>
      <c r="N124" t="inlineStr"/>
      <c r="P124" t="inlineStr">
        <is>
          <t>20250304</t>
        </is>
      </c>
      <c r="Q124" t="inlineStr">
        <is>
          <t>20250507</t>
        </is>
      </c>
    </row>
    <row r="125">
      <c r="A125" t="inlineStr">
        <is>
          <t>900006074D8456729851810167749</t>
        </is>
      </c>
      <c r="B125" t="inlineStr">
        <is>
          <t>900006074</t>
        </is>
      </c>
      <c r="C125" t="inlineStr">
        <is>
          <t>D845</t>
        </is>
      </c>
      <c r="D125" t="inlineStr">
        <is>
          <t>67298518</t>
        </is>
      </c>
      <c r="E125" t="inlineStr">
        <is>
          <t>4</t>
        </is>
      </c>
      <c r="F125" t="inlineStr">
        <is>
          <t>10167749</t>
        </is>
      </c>
      <c r="H125" t="inlineStr"/>
      <c r="J125" t="n">
        <v>70</v>
      </c>
      <c r="K125" t="inlineStr"/>
      <c r="M125" t="inlineStr">
        <is>
          <t>TN</t>
        </is>
      </c>
      <c r="N125" t="inlineStr"/>
      <c r="P125" t="inlineStr">
        <is>
          <t>20250304</t>
        </is>
      </c>
      <c r="Q125" t="inlineStr">
        <is>
          <t>20250507</t>
        </is>
      </c>
    </row>
    <row r="126">
      <c r="A126" t="inlineStr">
        <is>
          <t>900006074D8456731981710167749</t>
        </is>
      </c>
      <c r="B126" t="inlineStr">
        <is>
          <t>900006074</t>
        </is>
      </c>
      <c r="C126" t="inlineStr">
        <is>
          <t>D845</t>
        </is>
      </c>
      <c r="D126" t="inlineStr">
        <is>
          <t>67319817</t>
        </is>
      </c>
      <c r="E126" t="inlineStr">
        <is>
          <t>4</t>
        </is>
      </c>
      <c r="F126" t="inlineStr">
        <is>
          <t>10167749</t>
        </is>
      </c>
      <c r="H126" t="inlineStr"/>
      <c r="J126" t="n">
        <v>70</v>
      </c>
      <c r="K126" t="inlineStr"/>
      <c r="M126" t="inlineStr">
        <is>
          <t>TN</t>
        </is>
      </c>
      <c r="N126" t="inlineStr"/>
      <c r="P126" t="inlineStr">
        <is>
          <t>20230313</t>
        </is>
      </c>
      <c r="Q126" t="inlineStr">
        <is>
          <t>20250709</t>
        </is>
      </c>
    </row>
    <row r="127">
      <c r="A127" t="inlineStr">
        <is>
          <t>900008838D8456724110210167749</t>
        </is>
      </c>
      <c r="B127" t="inlineStr">
        <is>
          <t>900008838</t>
        </is>
      </c>
      <c r="C127" t="inlineStr">
        <is>
          <t>D845</t>
        </is>
      </c>
      <c r="D127" t="inlineStr">
        <is>
          <t>67241102</t>
        </is>
      </c>
      <c r="E127" t="inlineStr">
        <is>
          <t>4</t>
        </is>
      </c>
      <c r="F127" t="inlineStr">
        <is>
          <t>10167749</t>
        </is>
      </c>
      <c r="H127" t="inlineStr"/>
      <c r="J127" t="n">
        <v>150</v>
      </c>
      <c r="K127" t="inlineStr"/>
      <c r="M127" t="inlineStr">
        <is>
          <t>TN</t>
        </is>
      </c>
      <c r="N127" t="inlineStr"/>
      <c r="P127" t="inlineStr">
        <is>
          <t>20240706</t>
        </is>
      </c>
      <c r="Q127" t="inlineStr">
        <is>
          <t>20240814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900009255D84510000656</t>
        </is>
      </c>
      <c r="B2" t="inlineStr">
        <is>
          <t>4600071321-20</t>
        </is>
      </c>
      <c r="C2" t="n">
        <v>4600071321</v>
      </c>
      <c r="D2" t="n">
        <v>20</v>
      </c>
      <c r="E2" t="inlineStr">
        <is>
          <t>MXPO</t>
        </is>
      </c>
      <c r="F2" t="inlineStr">
        <is>
          <t>MXL</t>
        </is>
      </c>
      <c r="G2" t="n">
        <v>900009255</v>
      </c>
      <c r="H2" t="inlineStr">
        <is>
          <t>SF TP-GRAMOL CLIENTES FORANEOS</t>
        </is>
      </c>
      <c r="I2" t="n">
        <v>5005459</v>
      </c>
      <c r="J2" t="inlineStr">
        <is>
          <t>TRITURADOS GRAMOL SA DE CV</t>
        </is>
      </c>
      <c r="K2" t="inlineStr">
        <is>
          <t>Z04</t>
        </is>
      </c>
      <c r="L2" t="inlineStr">
        <is>
          <t>(AP) 30 Dias</t>
        </is>
      </c>
      <c r="M2" t="n">
        <v>10000656</v>
      </c>
      <c r="N2" t="inlineStr">
        <is>
          <t>Grava Triturada Caliza 10 mm - 3/8"</t>
        </is>
      </c>
      <c r="O2" t="inlineStr">
        <is>
          <t>D845</t>
        </is>
      </c>
      <c r="P2" t="inlineStr">
        <is>
          <t>MX-CED. SLP</t>
        </is>
      </c>
      <c r="Q2" t="n">
        <v>20250604</v>
      </c>
      <c r="R2" t="n">
        <v>20301231</v>
      </c>
      <c r="S2" t="n">
        <v>20260826</v>
      </c>
      <c r="T2" t="n">
        <v>20301231</v>
      </c>
      <c r="U2" t="n">
        <v>176</v>
      </c>
      <c r="V2" t="inlineStr">
        <is>
          <t>MXN</t>
        </is>
      </c>
      <c r="W2" t="inlineStr">
        <is>
          <t>TN</t>
        </is>
      </c>
      <c r="X2" t="n">
        <v>0</v>
      </c>
      <c r="Y2" t="inlineStr">
        <is>
          <t>MXN</t>
        </is>
      </c>
      <c r="Z2" t="inlineStr">
        <is>
          <t>TN</t>
        </is>
      </c>
      <c r="AC2" t="n">
        <v>56103637</v>
      </c>
      <c r="AD2" t="n">
        <v>6622351540</v>
      </c>
      <c r="AE2" t="n">
        <v>1</v>
      </c>
      <c r="AF2" t="inlineStr">
        <is>
          <t>ENTREGADO</t>
        </is>
      </c>
      <c r="AG2" t="n">
        <v>1</v>
      </c>
      <c r="AH2" t="inlineStr">
        <is>
          <t>TO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20260826</v>
      </c>
      <c r="AM2" t="inlineStr">
        <is>
          <t>D845-900009255-10000656</t>
        </is>
      </c>
    </row>
    <row r="3">
      <c r="A3" t="inlineStr">
        <is>
          <t>900009255D84510058501</t>
        </is>
      </c>
      <c r="B3" t="inlineStr">
        <is>
          <t>4600072516-10</t>
        </is>
      </c>
      <c r="C3" t="n">
        <v>4600072516</v>
      </c>
      <c r="D3" t="n">
        <v>10</v>
      </c>
      <c r="E3" t="inlineStr">
        <is>
          <t>MXPO</t>
        </is>
      </c>
      <c r="F3" t="inlineStr">
        <is>
          <t>MXL</t>
        </is>
      </c>
      <c r="G3" t="n">
        <v>900009255</v>
      </c>
      <c r="H3" t="inlineStr">
        <is>
          <t>SF TP-GRAMOL CLIENTES FORANEOS</t>
        </is>
      </c>
      <c r="I3" t="n">
        <v>5005459</v>
      </c>
      <c r="J3" t="inlineStr">
        <is>
          <t>TRITURADOS GRAMOL SA DE CV</t>
        </is>
      </c>
      <c r="K3" t="inlineStr">
        <is>
          <t>Z04</t>
        </is>
      </c>
      <c r="L3" t="inlineStr">
        <is>
          <t>(AP) 30 Dias</t>
        </is>
      </c>
      <c r="M3" t="n">
        <v>10058501</v>
      </c>
      <c r="N3" t="inlineStr">
        <is>
          <t>Base H Triturada Caliza 1 1/2" a Finos</t>
        </is>
      </c>
      <c r="O3" t="inlineStr">
        <is>
          <t>D845</t>
        </is>
      </c>
      <c r="P3" t="inlineStr">
        <is>
          <t>MX-CED. SLP</t>
        </is>
      </c>
      <c r="Q3" t="n">
        <v>20260804</v>
      </c>
      <c r="R3" t="n">
        <v>20301231</v>
      </c>
      <c r="S3" t="n">
        <v>20260804</v>
      </c>
      <c r="T3" t="n">
        <v>20301231</v>
      </c>
      <c r="U3" t="n">
        <v>175</v>
      </c>
      <c r="V3" t="inlineStr">
        <is>
          <t>MXN</t>
        </is>
      </c>
      <c r="W3" t="inlineStr">
        <is>
          <t>TN</t>
        </is>
      </c>
      <c r="X3" t="n">
        <v>0</v>
      </c>
      <c r="Y3" t="inlineStr">
        <is>
          <t>MXN</t>
        </is>
      </c>
      <c r="Z3" t="inlineStr">
        <is>
          <t>TN</t>
        </is>
      </c>
      <c r="AC3" t="n">
        <v>56103590</v>
      </c>
      <c r="AD3" t="n">
        <v>6622351540</v>
      </c>
      <c r="AE3" t="n">
        <v>1</v>
      </c>
      <c r="AF3" t="inlineStr">
        <is>
          <t>ENTREGADO</t>
        </is>
      </c>
      <c r="AG3" t="n">
        <v>1</v>
      </c>
      <c r="AH3" t="inlineStr">
        <is>
          <t>TO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20260806</v>
      </c>
      <c r="AM3" t="inlineStr">
        <is>
          <t>D845-900009255-10058501</t>
        </is>
      </c>
    </row>
    <row r="4">
      <c r="A4" t="inlineStr">
        <is>
          <t>900008838D8456724110210167749</t>
        </is>
      </c>
      <c r="B4" t="inlineStr">
        <is>
          <t>4600069664-10</t>
        </is>
      </c>
      <c r="C4" t="n">
        <v>4600069664</v>
      </c>
      <c r="D4" t="n">
        <v>10</v>
      </c>
      <c r="E4" t="inlineStr">
        <is>
          <t>MXPO</t>
        </is>
      </c>
      <c r="F4" t="inlineStr">
        <is>
          <t>MXL</t>
        </is>
      </c>
      <c r="G4" t="n">
        <v>900008838</v>
      </c>
      <c r="H4" t="inlineStr">
        <is>
          <t>SF TP-ED LA MISION RP</t>
        </is>
      </c>
      <c r="I4" t="n">
        <v>5086121</v>
      </c>
      <c r="J4" t="inlineStr">
        <is>
          <t>LA MISION RP DEL BAJIO S DE RL DE C</t>
        </is>
      </c>
      <c r="K4" t="inlineStr">
        <is>
          <t>N15</t>
        </is>
      </c>
      <c r="L4" t="inlineStr">
        <is>
          <t>(AP) NAFIN 15 Dias</t>
        </is>
      </c>
      <c r="M4" t="n">
        <v>10167749</v>
      </c>
      <c r="N4" t="inlineStr">
        <is>
          <t>BASE H CALIZA 1 1/2" A FINOS ESPECIAL</t>
        </is>
      </c>
      <c r="O4" t="inlineStr">
        <is>
          <t>D845</t>
        </is>
      </c>
      <c r="P4" t="inlineStr">
        <is>
          <t>MX-CED. SLP</t>
        </is>
      </c>
      <c r="Q4" t="n">
        <v>20240606</v>
      </c>
      <c r="R4" t="n">
        <v>20291231</v>
      </c>
      <c r="S4" t="n">
        <v>20240606</v>
      </c>
      <c r="T4" t="n">
        <v>20291231</v>
      </c>
      <c r="U4" t="n">
        <v>307</v>
      </c>
      <c r="V4" t="inlineStr">
        <is>
          <t>MXN</t>
        </is>
      </c>
      <c r="W4" t="inlineStr">
        <is>
          <t>TN</t>
        </is>
      </c>
      <c r="X4" t="n">
        <v>150</v>
      </c>
      <c r="Y4" t="inlineStr">
        <is>
          <t>MXN</t>
        </is>
      </c>
      <c r="Z4" t="inlineStr">
        <is>
          <t>TN</t>
        </is>
      </c>
      <c r="AA4" t="inlineStr">
        <is>
          <t>67241102</t>
        </is>
      </c>
      <c r="AB4" t="inlineStr">
        <is>
          <t>Estación Moctezuma Lmr</t>
        </is>
      </c>
      <c r="AC4" t="n">
        <v>56103590</v>
      </c>
      <c r="AD4" t="n">
        <v>6622351540</v>
      </c>
      <c r="AE4" t="n">
        <v>4</v>
      </c>
      <c r="AF4" t="inlineStr">
        <is>
          <t>ENTREGA DIRECTA</t>
        </is>
      </c>
      <c r="AG4" t="n">
        <v>1</v>
      </c>
      <c r="AH4" t="inlineStr">
        <is>
          <t>TO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20240806</v>
      </c>
      <c r="AM4" t="inlineStr">
        <is>
          <t>D845-900008838-67241102-10167749-4</t>
        </is>
      </c>
    </row>
    <row r="5">
      <c r="A5" t="inlineStr">
        <is>
          <t>900006074D8456731824610169508</t>
        </is>
      </c>
      <c r="B5" t="inlineStr">
        <is>
          <t>4600044538-1090</t>
        </is>
      </c>
      <c r="C5" t="n">
        <v>4600044538</v>
      </c>
      <c r="D5" t="n">
        <v>1090</v>
      </c>
      <c r="E5" t="inlineStr">
        <is>
          <t>MXPO</t>
        </is>
      </c>
      <c r="F5" t="inlineStr">
        <is>
          <t>MXL</t>
        </is>
      </c>
      <c r="G5" t="n">
        <v>900006074</v>
      </c>
      <c r="H5" t="inlineStr">
        <is>
          <t>SF TP-ED- GRAMOL SLP</t>
        </is>
      </c>
      <c r="I5" t="n">
        <v>5005459</v>
      </c>
      <c r="J5" t="inlineStr">
        <is>
          <t>TRITURADOS GRAMOL SA DE CV</t>
        </is>
      </c>
      <c r="K5" t="inlineStr">
        <is>
          <t>Z04</t>
        </is>
      </c>
      <c r="L5" t="inlineStr">
        <is>
          <t>(AP) 30 Dias</t>
        </is>
      </c>
      <c r="M5" t="n">
        <v>10169508</v>
      </c>
      <c r="N5" t="inlineStr">
        <is>
          <t>GRAVA TRITURADA CALIZA 13 MM - 1/2"</t>
        </is>
      </c>
      <c r="O5" t="inlineStr">
        <is>
          <t>D845</t>
        </is>
      </c>
      <c r="P5" t="inlineStr">
        <is>
          <t>MX-CED. SLP</t>
        </is>
      </c>
      <c r="Q5" t="n">
        <v>20190415</v>
      </c>
      <c r="R5" t="n">
        <v>20291231</v>
      </c>
      <c r="S5" t="n">
        <v>20250517</v>
      </c>
      <c r="T5" t="n">
        <v>20301231</v>
      </c>
      <c r="U5" t="n">
        <v>314</v>
      </c>
      <c r="V5" t="inlineStr">
        <is>
          <t>MXN</t>
        </is>
      </c>
      <c r="W5" t="inlineStr">
        <is>
          <t>TN</t>
        </is>
      </c>
      <c r="X5" t="n">
        <v>141</v>
      </c>
      <c r="Y5" t="inlineStr">
        <is>
          <t>MXN</t>
        </is>
      </c>
      <c r="Z5" t="inlineStr">
        <is>
          <t>TN</t>
        </is>
      </c>
      <c r="AA5" t="inlineStr">
        <is>
          <t>67318246</t>
        </is>
      </c>
      <c r="AB5" t="inlineStr">
        <is>
          <t>DC CONCRETOS EL FUERTE</t>
        </is>
      </c>
      <c r="AC5" t="n">
        <v>56103637</v>
      </c>
      <c r="AD5" t="n">
        <v>6622351540</v>
      </c>
      <c r="AE5" t="n">
        <v>4</v>
      </c>
      <c r="AF5" t="inlineStr">
        <is>
          <t>ENTREGA DIRECTA</t>
        </is>
      </c>
      <c r="AG5" t="n">
        <v>1</v>
      </c>
      <c r="AH5" t="inlineStr">
        <is>
          <t>TO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20250520</v>
      </c>
      <c r="AM5" t="inlineStr">
        <is>
          <t>D845-900006074-67318246-10169508-4</t>
        </is>
      </c>
    </row>
    <row r="6">
      <c r="A6" t="inlineStr">
        <is>
          <t>900006074D8456699814910167749</t>
        </is>
      </c>
      <c r="B6" t="inlineStr">
        <is>
          <t>4600044538-480</t>
        </is>
      </c>
      <c r="C6" t="n">
        <v>4600044538</v>
      </c>
      <c r="D6" t="n">
        <v>480</v>
      </c>
      <c r="E6" t="inlineStr">
        <is>
          <t>MXPO</t>
        </is>
      </c>
      <c r="F6" t="inlineStr">
        <is>
          <t>MXL</t>
        </is>
      </c>
      <c r="G6" t="n">
        <v>900006074</v>
      </c>
      <c r="H6" t="inlineStr">
        <is>
          <t>SF TP-ED- GRAMOL SLP</t>
        </is>
      </c>
      <c r="I6" t="n">
        <v>5005459</v>
      </c>
      <c r="J6" t="inlineStr">
        <is>
          <t>TRITURADOS GRAMOL SA DE CV</t>
        </is>
      </c>
      <c r="K6" t="inlineStr">
        <is>
          <t>Z04</t>
        </is>
      </c>
      <c r="L6" t="inlineStr">
        <is>
          <t>(AP) 30 Dias</t>
        </is>
      </c>
      <c r="M6" t="n">
        <v>10167749</v>
      </c>
      <c r="N6" t="inlineStr">
        <is>
          <t>BASE H CALIZA 1 1/2" A FINOS ESPECIAL</t>
        </is>
      </c>
      <c r="O6" t="inlineStr">
        <is>
          <t>D845</t>
        </is>
      </c>
      <c r="P6" t="inlineStr">
        <is>
          <t>MX-CED. SLP</t>
        </is>
      </c>
      <c r="Q6" t="n">
        <v>20190415</v>
      </c>
      <c r="R6" t="n">
        <v>20291231</v>
      </c>
      <c r="S6" t="n">
        <v>20211203</v>
      </c>
      <c r="T6" t="n">
        <v>20261231</v>
      </c>
      <c r="U6" t="n">
        <v>175</v>
      </c>
      <c r="V6" t="inlineStr">
        <is>
          <t>MXN</t>
        </is>
      </c>
      <c r="W6" t="inlineStr">
        <is>
          <t>TN</t>
        </is>
      </c>
      <c r="X6" t="n">
        <v>85</v>
      </c>
      <c r="Y6" t="inlineStr">
        <is>
          <t>MXN</t>
        </is>
      </c>
      <c r="Z6" t="inlineStr">
        <is>
          <t>TN</t>
        </is>
      </c>
      <c r="AA6" t="inlineStr">
        <is>
          <t>66998149</t>
        </is>
      </c>
      <c r="AB6" t="inlineStr">
        <is>
          <t>KANSAS</t>
        </is>
      </c>
      <c r="AC6" t="n">
        <v>56103590</v>
      </c>
      <c r="AD6" t="n">
        <v>6622351540</v>
      </c>
      <c r="AE6" t="n">
        <v>4</v>
      </c>
      <c r="AF6" t="inlineStr">
        <is>
          <t>ENTREGA DIRECTA</t>
        </is>
      </c>
      <c r="AG6" t="n">
        <v>1</v>
      </c>
      <c r="AH6" t="inlineStr">
        <is>
          <t>TO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20230920</v>
      </c>
      <c r="AM6" t="inlineStr">
        <is>
          <t>D845-900006074-66998149-10167749-4</t>
        </is>
      </c>
    </row>
    <row r="7">
      <c r="A7" t="inlineStr">
        <is>
          <t>900006074D8456699814910000617</t>
        </is>
      </c>
      <c r="B7" t="inlineStr">
        <is>
          <t>4600044538-490</t>
        </is>
      </c>
      <c r="C7" t="n">
        <v>4600044538</v>
      </c>
      <c r="D7" t="n">
        <v>490</v>
      </c>
      <c r="E7" t="inlineStr">
        <is>
          <t>MXPO</t>
        </is>
      </c>
      <c r="F7" t="inlineStr">
        <is>
          <t>MXL</t>
        </is>
      </c>
      <c r="G7" t="n">
        <v>900006074</v>
      </c>
      <c r="H7" t="inlineStr">
        <is>
          <t>SF TP-ED- GRAMOL SLP</t>
        </is>
      </c>
      <c r="I7" t="n">
        <v>5005459</v>
      </c>
      <c r="J7" t="inlineStr">
        <is>
          <t>TRITURADOS GRAMOL SA DE CV</t>
        </is>
      </c>
      <c r="K7" t="inlineStr">
        <is>
          <t>Z04</t>
        </is>
      </c>
      <c r="L7" t="inlineStr">
        <is>
          <t>(AP) 30 Dias</t>
        </is>
      </c>
      <c r="M7" t="n">
        <v>10000617</v>
      </c>
      <c r="N7" t="inlineStr">
        <is>
          <t>Arena Triturada Caliza Malla 5</t>
        </is>
      </c>
      <c r="O7" t="inlineStr">
        <is>
          <t>D845</t>
        </is>
      </c>
      <c r="P7" t="inlineStr">
        <is>
          <t>MX-CED. SLP</t>
        </is>
      </c>
      <c r="Q7" t="n">
        <v>20190415</v>
      </c>
      <c r="R7" t="n">
        <v>20291231</v>
      </c>
      <c r="S7" t="n">
        <v>20220223</v>
      </c>
      <c r="T7" t="n">
        <v>20271231</v>
      </c>
      <c r="U7" t="n">
        <v>182</v>
      </c>
      <c r="V7" t="inlineStr">
        <is>
          <t>MXN</t>
        </is>
      </c>
      <c r="W7" t="inlineStr">
        <is>
          <t>TN</t>
        </is>
      </c>
      <c r="X7" t="n">
        <v>85</v>
      </c>
      <c r="Y7" t="inlineStr">
        <is>
          <t>MXN</t>
        </is>
      </c>
      <c r="Z7" t="inlineStr">
        <is>
          <t>TN</t>
        </is>
      </c>
      <c r="AA7" t="inlineStr">
        <is>
          <t>66998149</t>
        </is>
      </c>
      <c r="AB7" t="inlineStr">
        <is>
          <t>KANSAS</t>
        </is>
      </c>
      <c r="AC7" t="n">
        <v>56103638</v>
      </c>
      <c r="AD7" t="n">
        <v>6622351540</v>
      </c>
      <c r="AE7" t="n">
        <v>4</v>
      </c>
      <c r="AF7" t="inlineStr">
        <is>
          <t>ENTREGA DIRECTA</t>
        </is>
      </c>
      <c r="AG7" t="n">
        <v>1</v>
      </c>
      <c r="AH7" t="inlineStr">
        <is>
          <t>TO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D845-900006074-66998149-10000617-4</t>
        </is>
      </c>
    </row>
    <row r="8">
      <c r="A8" t="inlineStr">
        <is>
          <t>900006074D8456699814910000656</t>
        </is>
      </c>
      <c r="B8" t="inlineStr">
        <is>
          <t>4600044538-500</t>
        </is>
      </c>
      <c r="C8" t="n">
        <v>4600044538</v>
      </c>
      <c r="D8" t="n">
        <v>500</v>
      </c>
      <c r="E8" t="inlineStr">
        <is>
          <t>MXPO</t>
        </is>
      </c>
      <c r="F8" t="inlineStr">
        <is>
          <t>MXL</t>
        </is>
      </c>
      <c r="G8" t="n">
        <v>900006074</v>
      </c>
      <c r="H8" t="inlineStr">
        <is>
          <t>SF TP-ED- GRAMOL SLP</t>
        </is>
      </c>
      <c r="I8" t="n">
        <v>5005459</v>
      </c>
      <c r="J8" t="inlineStr">
        <is>
          <t>TRITURADOS GRAMOL SA DE CV</t>
        </is>
      </c>
      <c r="K8" t="inlineStr">
        <is>
          <t>Z04</t>
        </is>
      </c>
      <c r="L8" t="inlineStr">
        <is>
          <t>(AP) 30 Dias</t>
        </is>
      </c>
      <c r="M8" t="n">
        <v>10000656</v>
      </c>
      <c r="N8" t="inlineStr">
        <is>
          <t>Grava Triturada Caliza 10 mm - 3/8"</t>
        </is>
      </c>
      <c r="O8" t="inlineStr">
        <is>
          <t>D845</t>
        </is>
      </c>
      <c r="P8" t="inlineStr">
        <is>
          <t>MX-CED. SLP</t>
        </is>
      </c>
      <c r="Q8" t="n">
        <v>20190415</v>
      </c>
      <c r="R8" t="n">
        <v>20291231</v>
      </c>
      <c r="S8" t="n">
        <v>20220223</v>
      </c>
      <c r="T8" t="n">
        <v>20271231</v>
      </c>
      <c r="U8" t="n">
        <v>180</v>
      </c>
      <c r="V8" t="inlineStr">
        <is>
          <t>MXN</t>
        </is>
      </c>
      <c r="W8" t="inlineStr">
        <is>
          <t>TN</t>
        </is>
      </c>
      <c r="X8" t="n">
        <v>85</v>
      </c>
      <c r="Y8" t="inlineStr">
        <is>
          <t>MXN</t>
        </is>
      </c>
      <c r="Z8" t="inlineStr">
        <is>
          <t>TN</t>
        </is>
      </c>
      <c r="AA8" t="inlineStr">
        <is>
          <t>66998149</t>
        </is>
      </c>
      <c r="AB8" t="inlineStr">
        <is>
          <t>KANSAS</t>
        </is>
      </c>
      <c r="AC8" t="n">
        <v>56103637</v>
      </c>
      <c r="AD8" t="n">
        <v>6622351540</v>
      </c>
      <c r="AE8" t="n">
        <v>4</v>
      </c>
      <c r="AF8" t="inlineStr">
        <is>
          <t>ENTREGA DIRECTA</t>
        </is>
      </c>
      <c r="AG8" t="n">
        <v>1</v>
      </c>
      <c r="AH8" t="inlineStr">
        <is>
          <t>TO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D845-900006074-66998149-10000656-4</t>
        </is>
      </c>
    </row>
    <row r="9">
      <c r="A9" t="inlineStr">
        <is>
          <t>900006074D8456725700110000536</t>
        </is>
      </c>
      <c r="B9" t="inlineStr">
        <is>
          <t>4600044538-1000</t>
        </is>
      </c>
      <c r="C9" t="n">
        <v>4600044538</v>
      </c>
      <c r="D9" t="n">
        <v>1000</v>
      </c>
      <c r="E9" t="inlineStr">
        <is>
          <t>MXPO</t>
        </is>
      </c>
      <c r="F9" t="inlineStr">
        <is>
          <t>MXL</t>
        </is>
      </c>
      <c r="G9" t="n">
        <v>900006074</v>
      </c>
      <c r="H9" t="inlineStr">
        <is>
          <t>SF TP-ED- GRAMOL SLP</t>
        </is>
      </c>
      <c r="I9" t="n">
        <v>5005459</v>
      </c>
      <c r="J9" t="inlineStr">
        <is>
          <t>TRITURADOS GRAMOL SA DE CV</t>
        </is>
      </c>
      <c r="K9" t="inlineStr">
        <is>
          <t>Z04</t>
        </is>
      </c>
      <c r="L9" t="inlineStr">
        <is>
          <t>(AP) 30 Dias</t>
        </is>
      </c>
      <c r="M9" t="n">
        <v>10000536</v>
      </c>
      <c r="N9" t="inlineStr">
        <is>
          <t>Grava Triturada Caliza 40 mm - 1 1/2"</t>
        </is>
      </c>
      <c r="O9" t="inlineStr">
        <is>
          <t>D845</t>
        </is>
      </c>
      <c r="P9" t="inlineStr">
        <is>
          <t>MX-CED. SLP</t>
        </is>
      </c>
      <c r="Q9" t="n">
        <v>20190415</v>
      </c>
      <c r="R9" t="n">
        <v>20291231</v>
      </c>
      <c r="S9" t="n">
        <v>20250409</v>
      </c>
      <c r="T9" t="n">
        <v>20301231</v>
      </c>
      <c r="U9" t="n">
        <v>270</v>
      </c>
      <c r="V9" t="inlineStr">
        <is>
          <t>MXN</t>
        </is>
      </c>
      <c r="W9" t="inlineStr">
        <is>
          <t>TN</t>
        </is>
      </c>
      <c r="X9" t="n">
        <v>89</v>
      </c>
      <c r="Y9" t="inlineStr">
        <is>
          <t>MXN</t>
        </is>
      </c>
      <c r="Z9" t="inlineStr">
        <is>
          <t>TN</t>
        </is>
      </c>
      <c r="AA9" t="inlineStr">
        <is>
          <t>67257001</t>
        </is>
      </c>
      <c r="AB9" t="inlineStr">
        <is>
          <t>KANSAS TERCERA GRANDE (ERA)</t>
        </is>
      </c>
      <c r="AC9" t="n">
        <v>56103637</v>
      </c>
      <c r="AD9" t="n">
        <v>6622351540</v>
      </c>
      <c r="AE9" t="n">
        <v>4</v>
      </c>
      <c r="AF9" t="inlineStr">
        <is>
          <t>ENTREGA DIRECTA</t>
        </is>
      </c>
      <c r="AG9" t="n">
        <v>1</v>
      </c>
      <c r="AH9" t="inlineStr">
        <is>
          <t>TO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20250410</v>
      </c>
      <c r="AM9" t="inlineStr">
        <is>
          <t>D845-900006074-67257001-10000536-4</t>
        </is>
      </c>
    </row>
    <row r="10">
      <c r="A10" t="inlineStr">
        <is>
          <t>900006074D8456717023610167749</t>
        </is>
      </c>
      <c r="B10" t="inlineStr">
        <is>
          <t>4600044538-830</t>
        </is>
      </c>
      <c r="C10" t="n">
        <v>4600044538</v>
      </c>
      <c r="D10" t="n">
        <v>830</v>
      </c>
      <c r="E10" t="inlineStr">
        <is>
          <t>MXPO</t>
        </is>
      </c>
      <c r="F10" t="inlineStr">
        <is>
          <t>MXL</t>
        </is>
      </c>
      <c r="G10" t="n">
        <v>900006074</v>
      </c>
      <c r="H10" t="inlineStr">
        <is>
          <t>SF TP-ED- GRAMOL SLP</t>
        </is>
      </c>
      <c r="I10" t="n">
        <v>5005459</v>
      </c>
      <c r="J10" t="inlineStr">
        <is>
          <t>TRITURADOS GRAMOL SA DE CV</t>
        </is>
      </c>
      <c r="K10" t="inlineStr">
        <is>
          <t>Z04</t>
        </is>
      </c>
      <c r="L10" t="inlineStr">
        <is>
          <t>(AP) 30 Dias</t>
        </is>
      </c>
      <c r="M10" t="n">
        <v>10167749</v>
      </c>
      <c r="N10" t="inlineStr">
        <is>
          <t>BASE H CALIZA 1 1/2" A FINOS ESPECIAL</t>
        </is>
      </c>
      <c r="O10" t="inlineStr">
        <is>
          <t>D845</t>
        </is>
      </c>
      <c r="P10" t="inlineStr">
        <is>
          <t>MX-CED. SLP</t>
        </is>
      </c>
      <c r="Q10" t="n">
        <v>20190415</v>
      </c>
      <c r="R10" t="n">
        <v>20291231</v>
      </c>
      <c r="S10" t="n">
        <v>20240325</v>
      </c>
      <c r="T10" t="n">
        <v>20291231</v>
      </c>
      <c r="U10" t="n">
        <v>219</v>
      </c>
      <c r="V10" t="inlineStr">
        <is>
          <t>MXN</t>
        </is>
      </c>
      <c r="W10" t="inlineStr">
        <is>
          <t>TN</t>
        </is>
      </c>
      <c r="X10" t="n">
        <v>66</v>
      </c>
      <c r="Y10" t="inlineStr">
        <is>
          <t>MXN</t>
        </is>
      </c>
      <c r="Z10" t="inlineStr">
        <is>
          <t>TN</t>
        </is>
      </c>
      <c r="AA10" t="inlineStr">
        <is>
          <t>67170236</t>
        </is>
      </c>
      <c r="AB10" t="inlineStr">
        <is>
          <t>URBANIZACIÓN RANCHO ZAMORA 2DA(ERA</t>
        </is>
      </c>
      <c r="AC10" t="n">
        <v>56103590</v>
      </c>
      <c r="AD10" t="n">
        <v>6622351540</v>
      </c>
      <c r="AE10" t="n">
        <v>4</v>
      </c>
      <c r="AF10" t="inlineStr">
        <is>
          <t>ENTREGA DIRECTA</t>
        </is>
      </c>
      <c r="AG10" t="n">
        <v>1</v>
      </c>
      <c r="AH10" t="inlineStr">
        <is>
          <t>TO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20240331</v>
      </c>
      <c r="AM10" t="inlineStr">
        <is>
          <t>D845-900006074-67170236-10167749-4</t>
        </is>
      </c>
    </row>
    <row r="11">
      <c r="A11" t="inlineStr">
        <is>
          <t>900006074D8456699814910178270</t>
        </is>
      </c>
      <c r="B11" t="inlineStr">
        <is>
          <t>4600044538-470</t>
        </is>
      </c>
      <c r="C11" t="n">
        <v>4600044538</v>
      </c>
      <c r="D11" t="n">
        <v>470</v>
      </c>
      <c r="E11" t="inlineStr">
        <is>
          <t>MXPO</t>
        </is>
      </c>
      <c r="F11" t="inlineStr">
        <is>
          <t>MXL</t>
        </is>
      </c>
      <c r="G11" t="n">
        <v>900006074</v>
      </c>
      <c r="H11" t="inlineStr">
        <is>
          <t>SF TP-ED- GRAMOL SLP</t>
        </is>
      </c>
      <c r="I11" t="n">
        <v>5005459</v>
      </c>
      <c r="J11" t="inlineStr">
        <is>
          <t>TRITURADOS GRAMOL SA DE CV</t>
        </is>
      </c>
      <c r="K11" t="inlineStr">
        <is>
          <t>Z04</t>
        </is>
      </c>
      <c r="L11" t="inlineStr">
        <is>
          <t>(AP) 30 Dias</t>
        </is>
      </c>
      <c r="M11" t="n">
        <v>10178270</v>
      </c>
      <c r="N11" t="inlineStr">
        <is>
          <t>SUB BASE H TRITURADA CALIZA 1 1/2" A FIN</t>
        </is>
      </c>
      <c r="O11" t="inlineStr">
        <is>
          <t>D845</t>
        </is>
      </c>
      <c r="P11" t="inlineStr">
        <is>
          <t>MX-CED. SLP</t>
        </is>
      </c>
      <c r="Q11" t="n">
        <v>20190415</v>
      </c>
      <c r="R11" t="n">
        <v>20291231</v>
      </c>
      <c r="S11" t="n">
        <v>20211203</v>
      </c>
      <c r="T11" t="n">
        <v>20261231</v>
      </c>
      <c r="U11" t="n">
        <v>155</v>
      </c>
      <c r="V11" t="inlineStr">
        <is>
          <t>MXN</t>
        </is>
      </c>
      <c r="W11" t="inlineStr">
        <is>
          <t>TN</t>
        </is>
      </c>
      <c r="X11" t="n">
        <v>85</v>
      </c>
      <c r="Y11" t="inlineStr">
        <is>
          <t>MXN</t>
        </is>
      </c>
      <c r="Z11" t="inlineStr">
        <is>
          <t>TN</t>
        </is>
      </c>
      <c r="AA11" t="inlineStr">
        <is>
          <t>66998149</t>
        </is>
      </c>
      <c r="AB11" t="inlineStr">
        <is>
          <t>KANSAS</t>
        </is>
      </c>
      <c r="AC11" t="n">
        <v>56103590</v>
      </c>
      <c r="AD11" t="n">
        <v>6622351540</v>
      </c>
      <c r="AE11" t="n">
        <v>4</v>
      </c>
      <c r="AF11" t="inlineStr">
        <is>
          <t>ENTREGA DIRECTA</t>
        </is>
      </c>
      <c r="AG11" t="n">
        <v>1</v>
      </c>
      <c r="AH11" t="inlineStr">
        <is>
          <t>TO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D845-900006074-66998149-10178270-4</t>
        </is>
      </c>
    </row>
    <row r="12">
      <c r="A12" t="inlineStr">
        <is>
          <t>900006124D84510000646</t>
        </is>
      </c>
      <c r="B12" t="inlineStr">
        <is>
          <t>4600044703-10</t>
        </is>
      </c>
      <c r="C12" t="n">
        <v>4600044703</v>
      </c>
      <c r="D12" t="n">
        <v>10</v>
      </c>
      <c r="E12" t="inlineStr">
        <is>
          <t>MXPO</t>
        </is>
      </c>
      <c r="F12" t="inlineStr">
        <is>
          <t>MXL</t>
        </is>
      </c>
      <c r="G12" t="n">
        <v>900006124</v>
      </c>
      <c r="H12" t="inlineStr">
        <is>
          <t>SF TP- INCASA</t>
        </is>
      </c>
      <c r="I12" t="n">
        <v>5001208</v>
      </c>
      <c r="J12" t="inlineStr">
        <is>
          <t>INDUSTRIALIZADORA DE CALIZA SA DE</t>
        </is>
      </c>
      <c r="K12" t="inlineStr">
        <is>
          <t>Z04</t>
        </is>
      </c>
      <c r="L12" t="inlineStr">
        <is>
          <t>(AP) 30 Dias</t>
        </is>
      </c>
      <c r="M12" t="n">
        <v>10000646</v>
      </c>
      <c r="N12" t="inlineStr">
        <is>
          <t>Grava Triturada Caliza 20 mm - 3/4"</t>
        </is>
      </c>
      <c r="O12" t="inlineStr">
        <is>
          <t>D845</t>
        </is>
      </c>
      <c r="P12" t="inlineStr">
        <is>
          <t>MX-CED. SLP</t>
        </is>
      </c>
      <c r="Q12" t="n">
        <v>20190501</v>
      </c>
      <c r="R12" t="n">
        <v>20291231</v>
      </c>
      <c r="S12" t="n">
        <v>20210308</v>
      </c>
      <c r="T12" t="n">
        <v>20291231</v>
      </c>
      <c r="U12" t="n">
        <v>87</v>
      </c>
      <c r="V12" t="inlineStr">
        <is>
          <t>MXN</t>
        </is>
      </c>
      <c r="W12" t="inlineStr">
        <is>
          <t>TN</t>
        </is>
      </c>
      <c r="AC12" t="n">
        <v>56103637</v>
      </c>
      <c r="AD12" t="n">
        <v>6622351540</v>
      </c>
      <c r="AE12" t="n">
        <v>1</v>
      </c>
      <c r="AF12" t="inlineStr">
        <is>
          <t>ENTREGADO</t>
        </is>
      </c>
      <c r="AG12" t="n">
        <v>1</v>
      </c>
      <c r="AH12" t="inlineStr">
        <is>
          <t>TO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D845-900006124-10000646</t>
        </is>
      </c>
    </row>
    <row r="13">
      <c r="A13" t="inlineStr">
        <is>
          <t>900006074D8456734808910167749</t>
        </is>
      </c>
      <c r="B13" t="inlineStr">
        <is>
          <t>4600044538-1230</t>
        </is>
      </c>
      <c r="C13" t="n">
        <v>4600044538</v>
      </c>
      <c r="D13" t="n">
        <v>1230</v>
      </c>
      <c r="E13" t="inlineStr">
        <is>
          <t>MXPO</t>
        </is>
      </c>
      <c r="F13" t="inlineStr">
        <is>
          <t>MXL</t>
        </is>
      </c>
      <c r="G13" t="n">
        <v>900006074</v>
      </c>
      <c r="H13" t="inlineStr">
        <is>
          <t>SF TP-ED- GRAMOL SLP</t>
        </is>
      </c>
      <c r="I13" t="n">
        <v>5005459</v>
      </c>
      <c r="J13" t="inlineStr">
        <is>
          <t>TRITURADOS GRAMOL SA DE CV</t>
        </is>
      </c>
      <c r="K13" t="inlineStr">
        <is>
          <t>Z04</t>
        </is>
      </c>
      <c r="L13" t="inlineStr">
        <is>
          <t>(AP) 30 Dias</t>
        </is>
      </c>
      <c r="M13" t="n">
        <v>10167749</v>
      </c>
      <c r="N13" t="inlineStr">
        <is>
          <t>BASE H CALIZA 1 1/2" A FINOS ESPECIAL</t>
        </is>
      </c>
      <c r="O13" t="inlineStr">
        <is>
          <t>D845</t>
        </is>
      </c>
      <c r="P13" t="inlineStr">
        <is>
          <t>MX-CED. SLP</t>
        </is>
      </c>
      <c r="Q13" t="n">
        <v>20190415</v>
      </c>
      <c r="R13" t="n">
        <v>20291231</v>
      </c>
      <c r="S13" t="n">
        <v>20251118</v>
      </c>
      <c r="T13" t="n">
        <v>20301231</v>
      </c>
      <c r="U13" t="n">
        <v>269</v>
      </c>
      <c r="V13" t="inlineStr">
        <is>
          <t>MXN</t>
        </is>
      </c>
      <c r="W13" t="inlineStr">
        <is>
          <t>TN</t>
        </is>
      </c>
      <c r="X13" t="n">
        <v>86</v>
      </c>
      <c r="Y13" t="inlineStr">
        <is>
          <t>MXN</t>
        </is>
      </c>
      <c r="Z13" t="inlineStr">
        <is>
          <t>TN</t>
        </is>
      </c>
      <c r="AA13" t="inlineStr">
        <is>
          <t>67348089</t>
        </is>
      </c>
      <c r="AB13" t="inlineStr">
        <is>
          <t>CIMENTACIÓN DE TANQUE BOSCALIA</t>
        </is>
      </c>
      <c r="AC13" t="n">
        <v>56103590</v>
      </c>
      <c r="AD13" t="n">
        <v>6622351540</v>
      </c>
      <c r="AE13" t="n">
        <v>4</v>
      </c>
      <c r="AF13" t="inlineStr">
        <is>
          <t>ENTREGA DIRECTA</t>
        </is>
      </c>
      <c r="AG13" t="n">
        <v>1</v>
      </c>
      <c r="AH13" t="inlineStr">
        <is>
          <t>TO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20251120</v>
      </c>
      <c r="AM13" t="inlineStr">
        <is>
          <t>D845-900006074-67348089-10167749-4</t>
        </is>
      </c>
    </row>
    <row r="14">
      <c r="A14" t="inlineStr">
        <is>
          <t>900006074D8456734854410167749</t>
        </is>
      </c>
      <c r="B14" t="inlineStr">
        <is>
          <t>4600044538-1220</t>
        </is>
      </c>
      <c r="C14" t="n">
        <v>4600044538</v>
      </c>
      <c r="D14" t="n">
        <v>1220</v>
      </c>
      <c r="E14" t="inlineStr">
        <is>
          <t>MXPO</t>
        </is>
      </c>
      <c r="F14" t="inlineStr">
        <is>
          <t>MXL</t>
        </is>
      </c>
      <c r="G14" t="n">
        <v>900006074</v>
      </c>
      <c r="H14" t="inlineStr">
        <is>
          <t>SF TP-ED- GRAMOL SLP</t>
        </is>
      </c>
      <c r="I14" t="n">
        <v>5005459</v>
      </c>
      <c r="J14" t="inlineStr">
        <is>
          <t>TRITURADOS GRAMOL SA DE CV</t>
        </is>
      </c>
      <c r="K14" t="inlineStr">
        <is>
          <t>Z04</t>
        </is>
      </c>
      <c r="L14" t="inlineStr">
        <is>
          <t>(AP) 30 Dias</t>
        </is>
      </c>
      <c r="M14" t="n">
        <v>10167749</v>
      </c>
      <c r="N14" t="inlineStr">
        <is>
          <t>BASE H CALIZA 1 1/2" A FINOS ESPECIAL</t>
        </is>
      </c>
      <c r="O14" t="inlineStr">
        <is>
          <t>D845</t>
        </is>
      </c>
      <c r="P14" t="inlineStr">
        <is>
          <t>MX-CED. SLP</t>
        </is>
      </c>
      <c r="Q14" t="n">
        <v>20190415</v>
      </c>
      <c r="R14" t="n">
        <v>20291231</v>
      </c>
      <c r="S14" t="n">
        <v>20251118</v>
      </c>
      <c r="T14" t="n">
        <v>20301231</v>
      </c>
      <c r="U14" t="n">
        <v>258</v>
      </c>
      <c r="V14" t="inlineStr">
        <is>
          <t>MXN</t>
        </is>
      </c>
      <c r="W14" t="inlineStr">
        <is>
          <t>TN</t>
        </is>
      </c>
      <c r="X14" t="n">
        <v>75</v>
      </c>
      <c r="Y14" t="inlineStr">
        <is>
          <t>MXN</t>
        </is>
      </c>
      <c r="Z14" t="inlineStr">
        <is>
          <t>TN</t>
        </is>
      </c>
      <c r="AA14" t="inlineStr">
        <is>
          <t>67348544</t>
        </is>
      </c>
      <c r="AB14" t="inlineStr">
        <is>
          <t>PRIVADA HIDALGO LA PILA GLL</t>
        </is>
      </c>
      <c r="AC14" t="n">
        <v>56103590</v>
      </c>
      <c r="AD14" t="n">
        <v>6622351540</v>
      </c>
      <c r="AE14" t="n">
        <v>4</v>
      </c>
      <c r="AF14" t="inlineStr">
        <is>
          <t>ENTREGA DIRECTA</t>
        </is>
      </c>
      <c r="AG14" t="n">
        <v>1</v>
      </c>
      <c r="AH14" t="inlineStr">
        <is>
          <t>TO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20251120</v>
      </c>
      <c r="AM14" t="inlineStr">
        <is>
          <t>D845-900006074-67348544-10167749-4</t>
        </is>
      </c>
    </row>
    <row r="15">
      <c r="A15" t="inlineStr">
        <is>
          <t>900003510D84510000405</t>
        </is>
      </c>
      <c r="B15" t="inlineStr">
        <is>
          <t>4600038453-30</t>
        </is>
      </c>
      <c r="C15" t="n">
        <v>4600038453</v>
      </c>
      <c r="D15" t="n">
        <v>30</v>
      </c>
      <c r="E15" t="inlineStr">
        <is>
          <t>MXPO</t>
        </is>
      </c>
      <c r="F15" t="inlineStr">
        <is>
          <t>MXL</t>
        </is>
      </c>
      <c r="G15" t="n">
        <v>900003510</v>
      </c>
      <c r="H15" t="inlineStr">
        <is>
          <t>TP-TRISEGO</t>
        </is>
      </c>
      <c r="I15" t="n">
        <v>5041773</v>
      </c>
      <c r="J15" t="inlineStr">
        <is>
          <t>TRISEGO SA DE CV</t>
        </is>
      </c>
      <c r="K15" t="inlineStr">
        <is>
          <t>N90</t>
        </is>
      </c>
      <c r="L15" t="inlineStr">
        <is>
          <t>(AP) NAFIN 90 Dias</t>
        </is>
      </c>
      <c r="M15" t="n">
        <v>10000405</v>
      </c>
      <c r="N15" t="inlineStr">
        <is>
          <t>Grava Triturada Caliza 20 mm - 3/4"</t>
        </is>
      </c>
      <c r="O15" t="inlineStr">
        <is>
          <t>D845</t>
        </is>
      </c>
      <c r="P15" t="inlineStr">
        <is>
          <t>MX-CED. SLP</t>
        </is>
      </c>
      <c r="Q15" t="n">
        <v>20170621</v>
      </c>
      <c r="R15" t="n">
        <v>20241231</v>
      </c>
      <c r="S15" t="n">
        <v>20170621</v>
      </c>
      <c r="T15" t="n">
        <v>20241231</v>
      </c>
      <c r="U15" t="n">
        <v>110</v>
      </c>
      <c r="V15" t="inlineStr">
        <is>
          <t>MXN</t>
        </is>
      </c>
      <c r="W15" t="inlineStr">
        <is>
          <t>M3</t>
        </is>
      </c>
      <c r="X15" t="n">
        <v>0</v>
      </c>
      <c r="Y15" t="inlineStr">
        <is>
          <t>MXN</t>
        </is>
      </c>
      <c r="Z15" t="inlineStr">
        <is>
          <t>M3</t>
        </is>
      </c>
      <c r="AC15" t="n">
        <v>56103637</v>
      </c>
      <c r="AD15" t="n">
        <v>6622351540</v>
      </c>
      <c r="AE15" t="n">
        <v>1</v>
      </c>
      <c r="AF15" t="inlineStr">
        <is>
          <t>ENTREGADO</t>
        </is>
      </c>
      <c r="AG15" t="n">
        <v>1.4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D845-900003510-10000405</t>
        </is>
      </c>
    </row>
    <row r="16">
      <c r="A16" t="inlineStr">
        <is>
          <t>900003510D84510000624</t>
        </is>
      </c>
      <c r="B16" t="inlineStr">
        <is>
          <t>4600038453-40</t>
        </is>
      </c>
      <c r="C16" t="n">
        <v>4600038453</v>
      </c>
      <c r="D16" t="n">
        <v>40</v>
      </c>
      <c r="E16" t="inlineStr">
        <is>
          <t>MXPO</t>
        </is>
      </c>
      <c r="F16" t="inlineStr">
        <is>
          <t>MXL</t>
        </is>
      </c>
      <c r="G16" t="n">
        <v>900003510</v>
      </c>
      <c r="H16" t="inlineStr">
        <is>
          <t>TP-TRISEGO</t>
        </is>
      </c>
      <c r="I16" t="n">
        <v>5041773</v>
      </c>
      <c r="J16" t="inlineStr">
        <is>
          <t>TRISEGO SA DE CV</t>
        </is>
      </c>
      <c r="K16" t="inlineStr">
        <is>
          <t>N90</t>
        </is>
      </c>
      <c r="L16" t="inlineStr">
        <is>
          <t>(AP) NAFIN 90 Dias</t>
        </is>
      </c>
      <c r="M16" t="n">
        <v>10000624</v>
      </c>
      <c r="N16" t="inlineStr">
        <is>
          <t>Grava Triturada Caliza 40 mm - 1 1/2"</t>
        </is>
      </c>
      <c r="O16" t="inlineStr">
        <is>
          <t>D845</t>
        </is>
      </c>
      <c r="P16" t="inlineStr">
        <is>
          <t>MX-CED. SLP</t>
        </is>
      </c>
      <c r="Q16" t="n">
        <v>20170621</v>
      </c>
      <c r="R16" t="n">
        <v>20241231</v>
      </c>
      <c r="S16" t="n">
        <v>20170621</v>
      </c>
      <c r="T16" t="n">
        <v>20241231</v>
      </c>
      <c r="U16" t="n">
        <v>110</v>
      </c>
      <c r="V16" t="inlineStr">
        <is>
          <t>MXN</t>
        </is>
      </c>
      <c r="W16" t="inlineStr">
        <is>
          <t>M3</t>
        </is>
      </c>
      <c r="X16" t="n">
        <v>0</v>
      </c>
      <c r="Y16" t="inlineStr">
        <is>
          <t>MXN</t>
        </is>
      </c>
      <c r="Z16" t="inlineStr">
        <is>
          <t>M3</t>
        </is>
      </c>
      <c r="AC16" t="n">
        <v>56103637</v>
      </c>
      <c r="AD16" t="n">
        <v>6622351540</v>
      </c>
      <c r="AE16" t="n">
        <v>1</v>
      </c>
      <c r="AF16" t="inlineStr">
        <is>
          <t>ENTREGADO</t>
        </is>
      </c>
      <c r="AG16" t="n">
        <v>1.45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20230920</v>
      </c>
      <c r="AM16" t="inlineStr">
        <is>
          <t>D845-900003510-10000624</t>
        </is>
      </c>
    </row>
    <row r="17">
      <c r="A17" t="inlineStr">
        <is>
          <t>900003510D84510000403</t>
        </is>
      </c>
      <c r="B17" t="inlineStr">
        <is>
          <t>4600038453-10</t>
        </is>
      </c>
      <c r="C17" t="n">
        <v>4600038453</v>
      </c>
      <c r="D17" t="n">
        <v>10</v>
      </c>
      <c r="E17" t="inlineStr">
        <is>
          <t>MXPO</t>
        </is>
      </c>
      <c r="F17" t="inlineStr">
        <is>
          <t>MXL</t>
        </is>
      </c>
      <c r="G17" t="n">
        <v>900003510</v>
      </c>
      <c r="H17" t="inlineStr">
        <is>
          <t>TP-TRISEGO</t>
        </is>
      </c>
      <c r="I17" t="n">
        <v>5041773</v>
      </c>
      <c r="J17" t="inlineStr">
        <is>
          <t>TRISEGO SA DE CV</t>
        </is>
      </c>
      <c r="K17" t="inlineStr">
        <is>
          <t>N90</t>
        </is>
      </c>
      <c r="L17" t="inlineStr">
        <is>
          <t>(AP) NAFIN 90 Dias</t>
        </is>
      </c>
      <c r="M17" t="n">
        <v>10000403</v>
      </c>
      <c r="N17" t="inlineStr">
        <is>
          <t>Arena Triturada Caliza Malla 4</t>
        </is>
      </c>
      <c r="O17" t="inlineStr">
        <is>
          <t>D845</t>
        </is>
      </c>
      <c r="P17" t="inlineStr">
        <is>
          <t>MX-CED. SLP</t>
        </is>
      </c>
      <c r="Q17" t="n">
        <v>20170621</v>
      </c>
      <c r="R17" t="n">
        <v>20241231</v>
      </c>
      <c r="S17" t="n">
        <v>20170621</v>
      </c>
      <c r="T17" t="n">
        <v>20241231</v>
      </c>
      <c r="U17" t="n">
        <v>137</v>
      </c>
      <c r="V17" t="inlineStr">
        <is>
          <t>MXN</t>
        </is>
      </c>
      <c r="W17" t="inlineStr">
        <is>
          <t>M3</t>
        </is>
      </c>
      <c r="X17" t="n">
        <v>0</v>
      </c>
      <c r="Y17" t="inlineStr">
        <is>
          <t>MXN</t>
        </is>
      </c>
      <c r="Z17" t="inlineStr">
        <is>
          <t>M3</t>
        </is>
      </c>
      <c r="AC17" t="n">
        <v>56103638</v>
      </c>
      <c r="AD17" t="n">
        <v>6622351540</v>
      </c>
      <c r="AE17" t="n">
        <v>1</v>
      </c>
      <c r="AF17" t="inlineStr">
        <is>
          <t>ENTREGADO</t>
        </is>
      </c>
      <c r="AG17" t="n">
        <v>1.56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20230920</v>
      </c>
      <c r="AM17" t="inlineStr">
        <is>
          <t>D845-900003510-10000403</t>
        </is>
      </c>
    </row>
    <row r="18">
      <c r="A18" t="inlineStr">
        <is>
          <t>900003510D84510000617</t>
        </is>
      </c>
      <c r="B18" t="inlineStr">
        <is>
          <t>4600038453-20</t>
        </is>
      </c>
      <c r="C18" t="n">
        <v>4600038453</v>
      </c>
      <c r="D18" t="n">
        <v>20</v>
      </c>
      <c r="E18" t="inlineStr">
        <is>
          <t>MXPO</t>
        </is>
      </c>
      <c r="F18" t="inlineStr">
        <is>
          <t>MXL</t>
        </is>
      </c>
      <c r="G18" t="n">
        <v>900003510</v>
      </c>
      <c r="H18" t="inlineStr">
        <is>
          <t>TP-TRISEGO</t>
        </is>
      </c>
      <c r="I18" t="n">
        <v>5041773</v>
      </c>
      <c r="J18" t="inlineStr">
        <is>
          <t>TRISEGO SA DE CV</t>
        </is>
      </c>
      <c r="K18" t="inlineStr">
        <is>
          <t>N90</t>
        </is>
      </c>
      <c r="L18" t="inlineStr">
        <is>
          <t>(AP) NAFIN 90 Dias</t>
        </is>
      </c>
      <c r="M18" t="n">
        <v>10000617</v>
      </c>
      <c r="N18" t="inlineStr">
        <is>
          <t>Arena Triturada Caliza Malla 5</t>
        </is>
      </c>
      <c r="O18" t="inlineStr">
        <is>
          <t>D845</t>
        </is>
      </c>
      <c r="P18" t="inlineStr">
        <is>
          <t>MX-CED. SLP</t>
        </is>
      </c>
      <c r="Q18" t="n">
        <v>20170621</v>
      </c>
      <c r="R18" t="n">
        <v>20241231</v>
      </c>
      <c r="S18" t="n">
        <v>20170621</v>
      </c>
      <c r="T18" t="n">
        <v>20241231</v>
      </c>
      <c r="U18" t="n">
        <v>137</v>
      </c>
      <c r="V18" t="inlineStr">
        <is>
          <t>MXN</t>
        </is>
      </c>
      <c r="W18" t="inlineStr">
        <is>
          <t>M3</t>
        </is>
      </c>
      <c r="X18" t="n">
        <v>0</v>
      </c>
      <c r="Y18" t="inlineStr">
        <is>
          <t>MXN</t>
        </is>
      </c>
      <c r="Z18" t="inlineStr">
        <is>
          <t>M3</t>
        </is>
      </c>
      <c r="AC18" t="n">
        <v>56103638</v>
      </c>
      <c r="AD18" t="n">
        <v>6622351540</v>
      </c>
      <c r="AE18" t="n">
        <v>1</v>
      </c>
      <c r="AF18" t="inlineStr">
        <is>
          <t>ENTREGADO</t>
        </is>
      </c>
      <c r="AG18" t="n">
        <v>1.56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D845-900003510-10000617</t>
        </is>
      </c>
    </row>
    <row r="19">
      <c r="A19" t="inlineStr">
        <is>
          <t>900003510D84510043202</t>
        </is>
      </c>
      <c r="B19" t="inlineStr">
        <is>
          <t>4600038453-50</t>
        </is>
      </c>
      <c r="C19" t="n">
        <v>4600038453</v>
      </c>
      <c r="D19" t="n">
        <v>50</v>
      </c>
      <c r="E19" t="inlineStr">
        <is>
          <t>MXPO</t>
        </is>
      </c>
      <c r="F19" t="inlineStr">
        <is>
          <t>MXL</t>
        </is>
      </c>
      <c r="G19" t="n">
        <v>900003510</v>
      </c>
      <c r="H19" t="inlineStr">
        <is>
          <t>TP-TRISEGO</t>
        </is>
      </c>
      <c r="I19" t="n">
        <v>5041773</v>
      </c>
      <c r="J19" t="inlineStr">
        <is>
          <t>TRISEGO SA DE CV</t>
        </is>
      </c>
      <c r="K19" t="inlineStr">
        <is>
          <t>N90</t>
        </is>
      </c>
      <c r="L19" t="inlineStr">
        <is>
          <t>(AP) NAFIN 90 Dias</t>
        </is>
      </c>
      <c r="M19" t="n">
        <v>10043202</v>
      </c>
      <c r="N19" t="inlineStr">
        <is>
          <t>Grava Triturada Caliza 10 mm - 3/8"</t>
        </is>
      </c>
      <c r="O19" t="inlineStr">
        <is>
          <t>D845</t>
        </is>
      </c>
      <c r="P19" t="inlineStr">
        <is>
          <t>MX-CED. SLP</t>
        </is>
      </c>
      <c r="Q19" t="n">
        <v>20170621</v>
      </c>
      <c r="R19" t="n">
        <v>20241231</v>
      </c>
      <c r="S19" t="n">
        <v>20170621</v>
      </c>
      <c r="T19" t="n">
        <v>20241231</v>
      </c>
      <c r="U19" t="n">
        <v>115</v>
      </c>
      <c r="V19" t="inlineStr">
        <is>
          <t>MXN</t>
        </is>
      </c>
      <c r="W19" t="inlineStr">
        <is>
          <t>M3</t>
        </is>
      </c>
      <c r="X19" t="n">
        <v>0</v>
      </c>
      <c r="Y19" t="inlineStr">
        <is>
          <t>MXN</t>
        </is>
      </c>
      <c r="Z19" t="inlineStr">
        <is>
          <t>M3</t>
        </is>
      </c>
      <c r="AC19" t="n">
        <v>56103637</v>
      </c>
      <c r="AD19" t="n">
        <v>6622351540</v>
      </c>
      <c r="AE19" t="n">
        <v>1</v>
      </c>
      <c r="AF19" t="inlineStr">
        <is>
          <t>ENTREGADO</t>
        </is>
      </c>
      <c r="AG19" t="n">
        <v>1.355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D845-900003510-10043202</t>
        </is>
      </c>
    </row>
    <row r="20">
      <c r="A20" t="inlineStr">
        <is>
          <t>900005260D84510217514</t>
        </is>
      </c>
      <c r="B20" t="inlineStr">
        <is>
          <t>4600068951-190</t>
        </is>
      </c>
      <c r="C20" t="n">
        <v>4600068951</v>
      </c>
      <c r="D20" t="n">
        <v>190</v>
      </c>
      <c r="E20" t="inlineStr">
        <is>
          <t>MXPO</t>
        </is>
      </c>
      <c r="F20" t="inlineStr">
        <is>
          <t>MXL</t>
        </is>
      </c>
      <c r="G20" t="n">
        <v>900005260</v>
      </c>
      <c r="H20" t="inlineStr">
        <is>
          <t>TP-GRAMOL SLP ESPECIAL</t>
        </is>
      </c>
      <c r="I20" t="n">
        <v>5005459</v>
      </c>
      <c r="J20" t="inlineStr">
        <is>
          <t>TRITURADOS GRAMOL SA DE CV</t>
        </is>
      </c>
      <c r="K20" t="inlineStr">
        <is>
          <t>Z04</t>
        </is>
      </c>
      <c r="L20" t="inlineStr">
        <is>
          <t>(AP) 30 Dias</t>
        </is>
      </c>
      <c r="M20" t="n">
        <v>10217514</v>
      </c>
      <c r="N20" t="inlineStr">
        <is>
          <t>ECOBASE</t>
        </is>
      </c>
      <c r="O20" t="inlineStr">
        <is>
          <t>D845</t>
        </is>
      </c>
      <c r="P20" t="inlineStr">
        <is>
          <t>MX-CED. SLP</t>
        </is>
      </c>
      <c r="Q20" t="n">
        <v>20231201</v>
      </c>
      <c r="R20" t="n">
        <v>20291231</v>
      </c>
      <c r="S20" t="n">
        <v>20250127</v>
      </c>
      <c r="T20" t="n">
        <v>20301231</v>
      </c>
      <c r="U20" t="n">
        <v>75</v>
      </c>
      <c r="V20" t="inlineStr">
        <is>
          <t>MXN</t>
        </is>
      </c>
      <c r="W20" t="inlineStr">
        <is>
          <t>M3</t>
        </is>
      </c>
      <c r="X20" t="n">
        <v>0</v>
      </c>
      <c r="Y20" t="inlineStr">
        <is>
          <t>MXN</t>
        </is>
      </c>
      <c r="Z20" t="inlineStr">
        <is>
          <t>M3</t>
        </is>
      </c>
      <c r="AC20" t="n">
        <v>56103590</v>
      </c>
      <c r="AD20" t="n">
        <v>6622351540</v>
      </c>
      <c r="AE20" t="n">
        <v>1</v>
      </c>
      <c r="AF20" t="inlineStr">
        <is>
          <t>ENTREGADO</t>
        </is>
      </c>
      <c r="AG20" t="n">
        <v>1.5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20250212</v>
      </c>
      <c r="AM20" t="inlineStr">
        <is>
          <t>D845-900005260-10217514</t>
        </is>
      </c>
    </row>
    <row r="21">
      <c r="A21" t="inlineStr">
        <is>
          <t>900006074D8456735589710000578</t>
        </is>
      </c>
      <c r="B21" t="inlineStr">
        <is>
          <t>4600044538-1390</t>
        </is>
      </c>
      <c r="C21" t="n">
        <v>4600044538</v>
      </c>
      <c r="D21" t="n">
        <v>1390</v>
      </c>
      <c r="E21" t="inlineStr">
        <is>
          <t>MXPO</t>
        </is>
      </c>
      <c r="F21" t="inlineStr">
        <is>
          <t>MXL</t>
        </is>
      </c>
      <c r="G21" t="n">
        <v>900006074</v>
      </c>
      <c r="H21" t="inlineStr">
        <is>
          <t>SF TP-ED- GRAMOL SLP</t>
        </is>
      </c>
      <c r="I21" t="n">
        <v>5005459</v>
      </c>
      <c r="J21" t="inlineStr">
        <is>
          <t>TRITURADOS GRAMOL SA DE CV</t>
        </is>
      </c>
      <c r="K21" t="inlineStr">
        <is>
          <t>Z04</t>
        </is>
      </c>
      <c r="L21" t="inlineStr">
        <is>
          <t>(AP) 30 Dias</t>
        </is>
      </c>
      <c r="M21" t="n">
        <v>10000578</v>
      </c>
      <c r="N21" t="inlineStr">
        <is>
          <t>GRAVA TRITURADA CALIZA 20 MM - 3/4"</t>
        </is>
      </c>
      <c r="O21" t="inlineStr">
        <is>
          <t>D845</t>
        </is>
      </c>
      <c r="P21" t="inlineStr">
        <is>
          <t>MX-CED. SLP</t>
        </is>
      </c>
      <c r="Q21" t="n">
        <v>20190415</v>
      </c>
      <c r="R21" t="n">
        <v>20291231</v>
      </c>
      <c r="S21" t="n">
        <v>20260123</v>
      </c>
      <c r="T21" t="n">
        <v>20301231</v>
      </c>
      <c r="U21" t="n">
        <v>251</v>
      </c>
      <c r="V21" t="inlineStr">
        <is>
          <t>MXN</t>
        </is>
      </c>
      <c r="W21" t="inlineStr">
        <is>
          <t>TN</t>
        </is>
      </c>
      <c r="X21" t="n">
        <v>70</v>
      </c>
      <c r="Y21" t="inlineStr">
        <is>
          <t>MXN</t>
        </is>
      </c>
      <c r="Z21" t="inlineStr">
        <is>
          <t>TN</t>
        </is>
      </c>
      <c r="AA21" t="inlineStr">
        <is>
          <t>67355897</t>
        </is>
      </c>
      <c r="AB21" t="inlineStr">
        <is>
          <t>ACCESO A HUIZACHES</t>
        </is>
      </c>
      <c r="AC21" t="n">
        <v>56103637</v>
      </c>
      <c r="AD21" t="n">
        <v>6622351540</v>
      </c>
      <c r="AE21" t="n">
        <v>4</v>
      </c>
      <c r="AF21" t="inlineStr">
        <is>
          <t>ENTREGA DIRECTA</t>
        </is>
      </c>
      <c r="AG21" t="n">
        <v>1</v>
      </c>
      <c r="AH21" t="inlineStr">
        <is>
          <t>TO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20260127</v>
      </c>
      <c r="AM21" t="inlineStr">
        <is>
          <t>D845-900006074-67355897-10000578-4</t>
        </is>
      </c>
    </row>
    <row r="22">
      <c r="A22" t="inlineStr">
        <is>
          <t>900006074D8456735589710167749</t>
        </is>
      </c>
      <c r="B22" t="inlineStr">
        <is>
          <t>4600044538-1370</t>
        </is>
      </c>
      <c r="C22" t="n">
        <v>4600044538</v>
      </c>
      <c r="D22" t="n">
        <v>1370</v>
      </c>
      <c r="E22" t="inlineStr">
        <is>
          <t>MXPO</t>
        </is>
      </c>
      <c r="F22" t="inlineStr">
        <is>
          <t>MXL</t>
        </is>
      </c>
      <c r="G22" t="n">
        <v>900006074</v>
      </c>
      <c r="H22" t="inlineStr">
        <is>
          <t>SF TP-ED- GRAMOL SLP</t>
        </is>
      </c>
      <c r="I22" t="n">
        <v>5005459</v>
      </c>
      <c r="J22" t="inlineStr">
        <is>
          <t>TRITURADOS GRAMOL SA DE CV</t>
        </is>
      </c>
      <c r="K22" t="inlineStr">
        <is>
          <t>Z04</t>
        </is>
      </c>
      <c r="L22" t="inlineStr">
        <is>
          <t>(AP) 30 Dias</t>
        </is>
      </c>
      <c r="M22" t="n">
        <v>10167749</v>
      </c>
      <c r="N22" t="inlineStr">
        <is>
          <t>BASE H CALIZA 1 1/2" A FINOS ESPECIAL</t>
        </is>
      </c>
      <c r="O22" t="inlineStr">
        <is>
          <t>D845</t>
        </is>
      </c>
      <c r="P22" t="inlineStr">
        <is>
          <t>MX-CED. SLP</t>
        </is>
      </c>
      <c r="Q22" t="n">
        <v>20190415</v>
      </c>
      <c r="R22" t="n">
        <v>20291231</v>
      </c>
      <c r="S22" t="n">
        <v>20260123</v>
      </c>
      <c r="T22" t="n">
        <v>20301231</v>
      </c>
      <c r="U22" t="n">
        <v>253</v>
      </c>
      <c r="V22" t="inlineStr">
        <is>
          <t>MXN</t>
        </is>
      </c>
      <c r="W22" t="inlineStr">
        <is>
          <t>TN</t>
        </is>
      </c>
      <c r="X22" t="n">
        <v>70</v>
      </c>
      <c r="Y22" t="inlineStr">
        <is>
          <t>MXN</t>
        </is>
      </c>
      <c r="Z22" t="inlineStr">
        <is>
          <t>TN</t>
        </is>
      </c>
      <c r="AA22" t="inlineStr">
        <is>
          <t>67355897</t>
        </is>
      </c>
      <c r="AB22" t="inlineStr">
        <is>
          <t>ACCESO A HUIZACHES</t>
        </is>
      </c>
      <c r="AC22" t="n">
        <v>56103590</v>
      </c>
      <c r="AD22" t="n">
        <v>6622351540</v>
      </c>
      <c r="AE22" t="n">
        <v>4</v>
      </c>
      <c r="AF22" t="inlineStr">
        <is>
          <t>ENTREGA DIRECTA</t>
        </is>
      </c>
      <c r="AG22" t="n">
        <v>1</v>
      </c>
      <c r="AH22" t="inlineStr">
        <is>
          <t>TO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20260127</v>
      </c>
      <c r="AM22" t="inlineStr">
        <is>
          <t>D845-900006074-67355897-10167749-4</t>
        </is>
      </c>
    </row>
    <row r="23">
      <c r="A23" t="inlineStr">
        <is>
          <t>900006074D8456720008610167749</t>
        </is>
      </c>
      <c r="B23" t="inlineStr">
        <is>
          <t>4600044538-730</t>
        </is>
      </c>
      <c r="C23" t="n">
        <v>4600044538</v>
      </c>
      <c r="D23" t="n">
        <v>730</v>
      </c>
      <c r="E23" t="inlineStr">
        <is>
          <t>MXPO</t>
        </is>
      </c>
      <c r="F23" t="inlineStr">
        <is>
          <t>MXL</t>
        </is>
      </c>
      <c r="G23" t="n">
        <v>900006074</v>
      </c>
      <c r="H23" t="inlineStr">
        <is>
          <t>SF TP-ED- GRAMOL SLP</t>
        </is>
      </c>
      <c r="I23" t="n">
        <v>5005459</v>
      </c>
      <c r="J23" t="inlineStr">
        <is>
          <t>TRITURADOS GRAMOL SA DE CV</t>
        </is>
      </c>
      <c r="K23" t="inlineStr">
        <is>
          <t>Z04</t>
        </is>
      </c>
      <c r="L23" t="inlineStr">
        <is>
          <t>(AP) 30 Dias</t>
        </is>
      </c>
      <c r="M23" t="n">
        <v>10167749</v>
      </c>
      <c r="N23" t="inlineStr">
        <is>
          <t>BASE H CALIZA 1 1/2" A FINOS ESPECIAL</t>
        </is>
      </c>
      <c r="O23" t="inlineStr">
        <is>
          <t>D845</t>
        </is>
      </c>
      <c r="P23" t="inlineStr">
        <is>
          <t>MX-CED. SLP</t>
        </is>
      </c>
      <c r="Q23" t="n">
        <v>20190415</v>
      </c>
      <c r="R23" t="n">
        <v>20291231</v>
      </c>
      <c r="S23" t="n">
        <v>20240227</v>
      </c>
      <c r="T23" t="n">
        <v>20291231</v>
      </c>
      <c r="U23" t="n">
        <v>218</v>
      </c>
      <c r="V23" t="inlineStr">
        <is>
          <t>MXN</t>
        </is>
      </c>
      <c r="W23" t="inlineStr">
        <is>
          <t>TN</t>
        </is>
      </c>
      <c r="X23" t="n">
        <v>65</v>
      </c>
      <c r="Y23" t="inlineStr">
        <is>
          <t>MXN</t>
        </is>
      </c>
      <c r="Z23" t="inlineStr">
        <is>
          <t>TN</t>
        </is>
      </c>
      <c r="AA23" t="inlineStr">
        <is>
          <t>67200086</t>
        </is>
      </c>
      <c r="AB23" t="inlineStr">
        <is>
          <t>MABE AGREGADOS (ERA)</t>
        </is>
      </c>
      <c r="AC23" t="n">
        <v>56103590</v>
      </c>
      <c r="AD23" t="n">
        <v>6622351540</v>
      </c>
      <c r="AE23" t="n">
        <v>4</v>
      </c>
      <c r="AF23" t="inlineStr">
        <is>
          <t>ENTREGA DIRECTA</t>
        </is>
      </c>
      <c r="AG23" t="n">
        <v>1</v>
      </c>
      <c r="AH23" t="inlineStr">
        <is>
          <t>TO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20240229</v>
      </c>
      <c r="AM23" t="inlineStr">
        <is>
          <t>D845-900006074-67200086-10167749-4</t>
        </is>
      </c>
    </row>
    <row r="24">
      <c r="A24" t="inlineStr">
        <is>
          <t>900006074D8456720008610000578</t>
        </is>
      </c>
      <c r="B24" t="inlineStr">
        <is>
          <t>4600044538-750</t>
        </is>
      </c>
      <c r="C24" t="n">
        <v>4600044538</v>
      </c>
      <c r="D24" t="n">
        <v>750</v>
      </c>
      <c r="E24" t="inlineStr">
        <is>
          <t>MXPO</t>
        </is>
      </c>
      <c r="F24" t="inlineStr">
        <is>
          <t>MXL</t>
        </is>
      </c>
      <c r="G24" t="n">
        <v>900006074</v>
      </c>
      <c r="H24" t="inlineStr">
        <is>
          <t>SF TP-ED- GRAMOL SLP</t>
        </is>
      </c>
      <c r="I24" t="n">
        <v>5005459</v>
      </c>
      <c r="J24" t="inlineStr">
        <is>
          <t>TRITURADOS GRAMOL SA DE CV</t>
        </is>
      </c>
      <c r="K24" t="inlineStr">
        <is>
          <t>Z04</t>
        </is>
      </c>
      <c r="L24" t="inlineStr">
        <is>
          <t>(AP) 30 Dias</t>
        </is>
      </c>
      <c r="M24" t="n">
        <v>10000578</v>
      </c>
      <c r="N24" t="inlineStr">
        <is>
          <t>Grava Triturada Caliza 20 mm - 3/4"</t>
        </is>
      </c>
      <c r="O24" t="inlineStr">
        <is>
          <t>D845</t>
        </is>
      </c>
      <c r="P24" t="inlineStr">
        <is>
          <t>MX-CED. SLP</t>
        </is>
      </c>
      <c r="Q24" t="n">
        <v>20190415</v>
      </c>
      <c r="R24" t="n">
        <v>20291231</v>
      </c>
      <c r="S24" t="n">
        <v>20240227</v>
      </c>
      <c r="T24" t="n">
        <v>20291231</v>
      </c>
      <c r="U24" t="n">
        <v>215</v>
      </c>
      <c r="V24" t="inlineStr">
        <is>
          <t>MXN</t>
        </is>
      </c>
      <c r="W24" t="inlineStr">
        <is>
          <t>TN</t>
        </is>
      </c>
      <c r="X24" t="n">
        <v>65</v>
      </c>
      <c r="Y24" t="inlineStr">
        <is>
          <t>MXN</t>
        </is>
      </c>
      <c r="Z24" t="inlineStr">
        <is>
          <t>TN</t>
        </is>
      </c>
      <c r="AA24" t="inlineStr">
        <is>
          <t>67200086</t>
        </is>
      </c>
      <c r="AB24" t="inlineStr">
        <is>
          <t>MABE AGREGADOS (ERA)</t>
        </is>
      </c>
      <c r="AC24" t="n">
        <v>56103637</v>
      </c>
      <c r="AD24" t="n">
        <v>6622351540</v>
      </c>
      <c r="AE24" t="n">
        <v>4</v>
      </c>
      <c r="AF24" t="inlineStr">
        <is>
          <t>ENTREGA DIRECTA</t>
        </is>
      </c>
      <c r="AG24" t="n">
        <v>1</v>
      </c>
      <c r="AH24" t="inlineStr">
        <is>
          <t>TO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20240229</v>
      </c>
      <c r="AM24" t="inlineStr">
        <is>
          <t>D845-900006074-67200086-10000578-4</t>
        </is>
      </c>
    </row>
    <row r="25">
      <c r="A25" t="inlineStr">
        <is>
          <t>900006074D8456737467110167749</t>
        </is>
      </c>
      <c r="B25" t="inlineStr">
        <is>
          <t>4600044538-1400</t>
        </is>
      </c>
      <c r="C25" t="n">
        <v>4600044538</v>
      </c>
      <c r="D25" t="n">
        <v>1400</v>
      </c>
      <c r="E25" t="inlineStr">
        <is>
          <t>MXPO</t>
        </is>
      </c>
      <c r="F25" t="inlineStr">
        <is>
          <t>MXL</t>
        </is>
      </c>
      <c r="G25" t="n">
        <v>900006074</v>
      </c>
      <c r="H25" t="inlineStr">
        <is>
          <t>SF TP-ED- GRAMOL SLP</t>
        </is>
      </c>
      <c r="I25" t="n">
        <v>5005459</v>
      </c>
      <c r="J25" t="inlineStr">
        <is>
          <t>TRITURADOS GRAMOL SA DE CV</t>
        </is>
      </c>
      <c r="K25" t="inlineStr">
        <is>
          <t>Z04</t>
        </is>
      </c>
      <c r="L25" t="inlineStr">
        <is>
          <t>(AP) 30 Dias</t>
        </is>
      </c>
      <c r="M25" t="n">
        <v>10167749</v>
      </c>
      <c r="N25" t="inlineStr">
        <is>
          <t>BASE H CALIZA 1 1/2" A FINOS ESPECIAL</t>
        </is>
      </c>
      <c r="O25" t="inlineStr">
        <is>
          <t>D845</t>
        </is>
      </c>
      <c r="P25" t="inlineStr">
        <is>
          <t>MX-CED. SLP</t>
        </is>
      </c>
      <c r="Q25" t="n">
        <v>20190415</v>
      </c>
      <c r="R25" t="n">
        <v>20291231</v>
      </c>
      <c r="S25" t="n">
        <v>20260417</v>
      </c>
      <c r="T25" t="n">
        <v>20301231</v>
      </c>
      <c r="U25" t="n">
        <v>306</v>
      </c>
      <c r="V25" t="inlineStr">
        <is>
          <t>MXN</t>
        </is>
      </c>
      <c r="W25" t="inlineStr">
        <is>
          <t>TN</t>
        </is>
      </c>
      <c r="X25" t="n">
        <v>86</v>
      </c>
      <c r="Y25" t="inlineStr">
        <is>
          <t>MXN</t>
        </is>
      </c>
      <c r="Z25" t="inlineStr">
        <is>
          <t>TN</t>
        </is>
      </c>
      <c r="AA25" t="inlineStr">
        <is>
          <t>67374671</t>
        </is>
      </c>
      <c r="AB25" t="inlineStr">
        <is>
          <t>ACCESO A LOS DUARTE</t>
        </is>
      </c>
      <c r="AC25" t="n">
        <v>56103590</v>
      </c>
      <c r="AD25" t="n">
        <v>6622351540</v>
      </c>
      <c r="AE25" t="n">
        <v>4</v>
      </c>
      <c r="AF25" t="inlineStr">
        <is>
          <t>ENTREGA DIRECTA</t>
        </is>
      </c>
      <c r="AG25" t="n">
        <v>1</v>
      </c>
      <c r="AH25" t="inlineStr">
        <is>
          <t>TO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20260422</v>
      </c>
      <c r="AM25" t="inlineStr">
        <is>
          <t>D845-900006074-67374671-10167749-4</t>
        </is>
      </c>
    </row>
    <row r="26">
      <c r="A26" t="inlineStr">
        <is>
          <t>900006074D8456735589710000536</t>
        </is>
      </c>
      <c r="B26" t="inlineStr">
        <is>
          <t>4600044538-1380</t>
        </is>
      </c>
      <c r="C26" t="n">
        <v>4600044538</v>
      </c>
      <c r="D26" t="n">
        <v>1380</v>
      </c>
      <c r="E26" t="inlineStr">
        <is>
          <t>MXPO</t>
        </is>
      </c>
      <c r="F26" t="inlineStr">
        <is>
          <t>MXL</t>
        </is>
      </c>
      <c r="G26" t="n">
        <v>900006074</v>
      </c>
      <c r="H26" t="inlineStr">
        <is>
          <t>SF TP-ED- GRAMOL SLP</t>
        </is>
      </c>
      <c r="I26" t="n">
        <v>5005459</v>
      </c>
      <c r="J26" t="inlineStr">
        <is>
          <t>TRITURADOS GRAMOL SA DE CV</t>
        </is>
      </c>
      <c r="K26" t="inlineStr">
        <is>
          <t>Z04</t>
        </is>
      </c>
      <c r="L26" t="inlineStr">
        <is>
          <t>(AP) 30 Dias</t>
        </is>
      </c>
      <c r="M26" t="n">
        <v>10000536</v>
      </c>
      <c r="N26" t="inlineStr">
        <is>
          <t>Grava Triturada Caliza 40 mm - 1 1/2"</t>
        </is>
      </c>
      <c r="O26" t="inlineStr">
        <is>
          <t>D845</t>
        </is>
      </c>
      <c r="P26" t="inlineStr">
        <is>
          <t>MX-CED. SLP</t>
        </is>
      </c>
      <c r="Q26" t="n">
        <v>20190415</v>
      </c>
      <c r="R26" t="n">
        <v>20291231</v>
      </c>
      <c r="S26" t="n">
        <v>20260123</v>
      </c>
      <c r="T26" t="n">
        <v>20301231</v>
      </c>
      <c r="U26" t="n">
        <v>251</v>
      </c>
      <c r="V26" t="inlineStr">
        <is>
          <t>MXN</t>
        </is>
      </c>
      <c r="W26" t="inlineStr">
        <is>
          <t>TN</t>
        </is>
      </c>
      <c r="X26" t="n">
        <v>70</v>
      </c>
      <c r="Y26" t="inlineStr">
        <is>
          <t>MXN</t>
        </is>
      </c>
      <c r="Z26" t="inlineStr">
        <is>
          <t>TN</t>
        </is>
      </c>
      <c r="AA26" t="inlineStr">
        <is>
          <t>67355897</t>
        </is>
      </c>
      <c r="AB26" t="inlineStr">
        <is>
          <t>ACCESO A HUIZACHES</t>
        </is>
      </c>
      <c r="AC26" t="n">
        <v>56103637</v>
      </c>
      <c r="AD26" t="n">
        <v>6622351540</v>
      </c>
      <c r="AE26" t="n">
        <v>4</v>
      </c>
      <c r="AF26" t="inlineStr">
        <is>
          <t>ENTREGA DIRECTA</t>
        </is>
      </c>
      <c r="AG26" t="n">
        <v>1</v>
      </c>
      <c r="AH26" t="inlineStr">
        <is>
          <t>TO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20260127</v>
      </c>
      <c r="AM26" t="inlineStr">
        <is>
          <t>D845-900006074-67355897-10000536-4</t>
        </is>
      </c>
    </row>
    <row r="27">
      <c r="A27" t="inlineStr">
        <is>
          <t>900006074D8456728337510167749</t>
        </is>
      </c>
      <c r="B27" t="inlineStr">
        <is>
          <t>4600044538-960</t>
        </is>
      </c>
      <c r="C27" t="n">
        <v>4600044538</v>
      </c>
      <c r="D27" t="n">
        <v>960</v>
      </c>
      <c r="E27" t="inlineStr">
        <is>
          <t>MXPO</t>
        </is>
      </c>
      <c r="F27" t="inlineStr">
        <is>
          <t>MXL</t>
        </is>
      </c>
      <c r="G27" t="n">
        <v>900006074</v>
      </c>
      <c r="H27" t="inlineStr">
        <is>
          <t>SF TP-ED- GRAMOL SLP</t>
        </is>
      </c>
      <c r="I27" t="n">
        <v>5005459</v>
      </c>
      <c r="J27" t="inlineStr">
        <is>
          <t>TRITURADOS GRAMOL SA DE CV</t>
        </is>
      </c>
      <c r="K27" t="inlineStr">
        <is>
          <t>Z04</t>
        </is>
      </c>
      <c r="L27" t="inlineStr">
        <is>
          <t>(AP) 30 Dias</t>
        </is>
      </c>
      <c r="M27" t="n">
        <v>10167749</v>
      </c>
      <c r="N27" t="inlineStr">
        <is>
          <t>BASE H CALIZA 1 1/2" A FINOS ESPECIAL</t>
        </is>
      </c>
      <c r="O27" t="inlineStr">
        <is>
          <t>D845</t>
        </is>
      </c>
      <c r="P27" t="inlineStr">
        <is>
          <t>MX-CED. SLP</t>
        </is>
      </c>
      <c r="Q27" t="n">
        <v>20190415</v>
      </c>
      <c r="R27" t="n">
        <v>20291231</v>
      </c>
      <c r="S27" t="n">
        <v>20240918</v>
      </c>
      <c r="T27" t="n">
        <v>20291231</v>
      </c>
      <c r="U27" t="n">
        <v>238</v>
      </c>
      <c r="V27" t="inlineStr">
        <is>
          <t>MXN</t>
        </is>
      </c>
      <c r="W27" t="inlineStr">
        <is>
          <t>TN</t>
        </is>
      </c>
      <c r="X27" t="n">
        <v>85</v>
      </c>
      <c r="Y27" t="inlineStr">
        <is>
          <t>MXN</t>
        </is>
      </c>
      <c r="Z27" t="inlineStr">
        <is>
          <t>TN</t>
        </is>
      </c>
      <c r="AA27" t="inlineStr">
        <is>
          <t>67283375</t>
        </is>
      </c>
      <c r="AB27" t="inlineStr">
        <is>
          <t>LA SECA 24 K</t>
        </is>
      </c>
      <c r="AC27" t="n">
        <v>56103590</v>
      </c>
      <c r="AD27" t="n">
        <v>6622351540</v>
      </c>
      <c r="AE27" t="n">
        <v>4</v>
      </c>
      <c r="AF27" t="inlineStr">
        <is>
          <t>ENTREGA DIRECTA</t>
        </is>
      </c>
      <c r="AG27" t="n">
        <v>1</v>
      </c>
      <c r="AH27" t="inlineStr">
        <is>
          <t>TO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20241004</v>
      </c>
      <c r="AM27" t="inlineStr">
        <is>
          <t>D845-900006074-67283375-10167749-4</t>
        </is>
      </c>
    </row>
    <row r="28">
      <c r="A28" t="inlineStr">
        <is>
          <t>900006074D8456730740210000536</t>
        </is>
      </c>
      <c r="B28" t="inlineStr">
        <is>
          <t>4600044538-1140</t>
        </is>
      </c>
      <c r="C28" t="n">
        <v>4600044538</v>
      </c>
      <c r="D28" t="n">
        <v>1140</v>
      </c>
      <c r="E28" t="inlineStr">
        <is>
          <t>MXPO</t>
        </is>
      </c>
      <c r="F28" t="inlineStr">
        <is>
          <t>MXL</t>
        </is>
      </c>
      <c r="G28" t="n">
        <v>900006074</v>
      </c>
      <c r="H28" t="inlineStr">
        <is>
          <t>SF TP-ED- GRAMOL SLP</t>
        </is>
      </c>
      <c r="I28" t="n">
        <v>5005459</v>
      </c>
      <c r="J28" t="inlineStr">
        <is>
          <t>TRITURADOS GRAMOL SA DE CV</t>
        </is>
      </c>
      <c r="K28" t="inlineStr">
        <is>
          <t>Z04</t>
        </is>
      </c>
      <c r="L28" t="inlineStr">
        <is>
          <t>(AP) 30 Dias</t>
        </is>
      </c>
      <c r="M28" t="n">
        <v>10000536</v>
      </c>
      <c r="N28" t="inlineStr">
        <is>
          <t>Grava Triturada Caliza 40 mm - 1 1/2"</t>
        </is>
      </c>
      <c r="O28" t="inlineStr">
        <is>
          <t>D845</t>
        </is>
      </c>
      <c r="P28" t="inlineStr">
        <is>
          <t>MX-CED. SLP</t>
        </is>
      </c>
      <c r="Q28" t="n">
        <v>20190415</v>
      </c>
      <c r="R28" t="n">
        <v>20291231</v>
      </c>
      <c r="S28" t="n">
        <v>20250708</v>
      </c>
      <c r="T28" t="n">
        <v>20301231</v>
      </c>
      <c r="U28" t="n">
        <v>231</v>
      </c>
      <c r="V28" t="inlineStr">
        <is>
          <t>MXN</t>
        </is>
      </c>
      <c r="W28" t="inlineStr">
        <is>
          <t>TN</t>
        </is>
      </c>
      <c r="X28" t="n">
        <v>50</v>
      </c>
      <c r="Y28" t="inlineStr">
        <is>
          <t>MXN</t>
        </is>
      </c>
      <c r="Z28" t="inlineStr">
        <is>
          <t>TN</t>
        </is>
      </c>
      <c r="AA28" t="inlineStr">
        <is>
          <t>67307402</t>
        </is>
      </c>
      <c r="AB28" t="inlineStr">
        <is>
          <t>C1802 WTC 3B SLP</t>
        </is>
      </c>
      <c r="AC28" t="n">
        <v>56103637</v>
      </c>
      <c r="AD28" t="n">
        <v>6622351540</v>
      </c>
      <c r="AE28" t="n">
        <v>4</v>
      </c>
      <c r="AF28" t="inlineStr">
        <is>
          <t>ENTREGA DIRECTA</t>
        </is>
      </c>
      <c r="AG28" t="n">
        <v>1</v>
      </c>
      <c r="AH28" t="inlineStr">
        <is>
          <t>TO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20250711</v>
      </c>
      <c r="AM28" t="inlineStr">
        <is>
          <t>D845-900006074-67307402-10000536-4</t>
        </is>
      </c>
    </row>
    <row r="29">
      <c r="A29" t="inlineStr">
        <is>
          <t>900006074D8456730740210167749</t>
        </is>
      </c>
      <c r="B29" t="inlineStr">
        <is>
          <t>4600044538-1150</t>
        </is>
      </c>
      <c r="C29" t="n">
        <v>4600044538</v>
      </c>
      <c r="D29" t="n">
        <v>1150</v>
      </c>
      <c r="E29" t="inlineStr">
        <is>
          <t>MXPO</t>
        </is>
      </c>
      <c r="F29" t="inlineStr">
        <is>
          <t>MXL</t>
        </is>
      </c>
      <c r="G29" t="n">
        <v>900006074</v>
      </c>
      <c r="H29" t="inlineStr">
        <is>
          <t>SF TP-ED- GRAMOL SLP</t>
        </is>
      </c>
      <c r="I29" t="n">
        <v>5005459</v>
      </c>
      <c r="J29" t="inlineStr">
        <is>
          <t>TRITURADOS GRAMOL SA DE CV</t>
        </is>
      </c>
      <c r="K29" t="inlineStr">
        <is>
          <t>Z04</t>
        </is>
      </c>
      <c r="L29" t="inlineStr">
        <is>
          <t>(AP) 30 Dias</t>
        </is>
      </c>
      <c r="M29" t="n">
        <v>10167749</v>
      </c>
      <c r="N29" t="inlineStr">
        <is>
          <t>BASE H CALIZA 1 1/2" A FINOS ESPECIAL</t>
        </is>
      </c>
      <c r="O29" t="inlineStr">
        <is>
          <t>D845</t>
        </is>
      </c>
      <c r="P29" t="inlineStr">
        <is>
          <t>MX-CED. SLP</t>
        </is>
      </c>
      <c r="Q29" t="n">
        <v>20190415</v>
      </c>
      <c r="R29" t="n">
        <v>20291231</v>
      </c>
      <c r="S29" t="n">
        <v>20250708</v>
      </c>
      <c r="T29" t="n">
        <v>20301231</v>
      </c>
      <c r="U29" t="n">
        <v>233</v>
      </c>
      <c r="V29" t="inlineStr">
        <is>
          <t>MXN</t>
        </is>
      </c>
      <c r="W29" t="inlineStr">
        <is>
          <t>TN</t>
        </is>
      </c>
      <c r="X29" t="n">
        <v>50</v>
      </c>
      <c r="Y29" t="inlineStr">
        <is>
          <t>MXN</t>
        </is>
      </c>
      <c r="Z29" t="inlineStr">
        <is>
          <t>TN</t>
        </is>
      </c>
      <c r="AA29" t="inlineStr">
        <is>
          <t>67307402</t>
        </is>
      </c>
      <c r="AB29" t="inlineStr">
        <is>
          <t>C1802 WTC 3B SLP</t>
        </is>
      </c>
      <c r="AC29" t="n">
        <v>56103590</v>
      </c>
      <c r="AD29" t="n">
        <v>6622351540</v>
      </c>
      <c r="AE29" t="n">
        <v>4</v>
      </c>
      <c r="AF29" t="inlineStr">
        <is>
          <t>ENTREGA DIRECTA</t>
        </is>
      </c>
      <c r="AG29" t="n">
        <v>1</v>
      </c>
      <c r="AH29" t="inlineStr">
        <is>
          <t>TO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20250711</v>
      </c>
      <c r="AM29" t="inlineStr">
        <is>
          <t>D845-900006074-67307402-10167749-4</t>
        </is>
      </c>
    </row>
    <row r="30">
      <c r="A30" t="inlineStr">
        <is>
          <t>900006074D8456730740210000578</t>
        </is>
      </c>
      <c r="B30" t="inlineStr">
        <is>
          <t>4600044538-1130</t>
        </is>
      </c>
      <c r="C30" t="n">
        <v>4600044538</v>
      </c>
      <c r="D30" t="n">
        <v>1130</v>
      </c>
      <c r="E30" t="inlineStr">
        <is>
          <t>MXPO</t>
        </is>
      </c>
      <c r="F30" t="inlineStr">
        <is>
          <t>MXL</t>
        </is>
      </c>
      <c r="G30" t="n">
        <v>900006074</v>
      </c>
      <c r="H30" t="inlineStr">
        <is>
          <t>SF TP-ED- GRAMOL SLP</t>
        </is>
      </c>
      <c r="I30" t="n">
        <v>5005459</v>
      </c>
      <c r="J30" t="inlineStr">
        <is>
          <t>TRITURADOS GRAMOL SA DE CV</t>
        </is>
      </c>
      <c r="K30" t="inlineStr">
        <is>
          <t>Z04</t>
        </is>
      </c>
      <c r="L30" t="inlineStr">
        <is>
          <t>(AP) 30 Dias</t>
        </is>
      </c>
      <c r="M30" t="n">
        <v>10000578</v>
      </c>
      <c r="N30" t="inlineStr">
        <is>
          <t>Grava Triturada Caliza 20 mm - 3/4"</t>
        </is>
      </c>
      <c r="O30" t="inlineStr">
        <is>
          <t>D845</t>
        </is>
      </c>
      <c r="P30" t="inlineStr">
        <is>
          <t>MX-CED. SLP</t>
        </is>
      </c>
      <c r="Q30" t="n">
        <v>20190415</v>
      </c>
      <c r="R30" t="n">
        <v>20291231</v>
      </c>
      <c r="S30" t="n">
        <v>20250708</v>
      </c>
      <c r="T30" t="n">
        <v>20301231</v>
      </c>
      <c r="U30" t="n">
        <v>231</v>
      </c>
      <c r="V30" t="inlineStr">
        <is>
          <t>MXN</t>
        </is>
      </c>
      <c r="W30" t="inlineStr">
        <is>
          <t>TN</t>
        </is>
      </c>
      <c r="X30" t="n">
        <v>50</v>
      </c>
      <c r="Y30" t="inlineStr">
        <is>
          <t>MXN</t>
        </is>
      </c>
      <c r="Z30" t="inlineStr">
        <is>
          <t>TN</t>
        </is>
      </c>
      <c r="AA30" t="inlineStr">
        <is>
          <t>67307402</t>
        </is>
      </c>
      <c r="AB30" t="inlineStr">
        <is>
          <t>C1802 WTC 3B SLP</t>
        </is>
      </c>
      <c r="AC30" t="n">
        <v>56103637</v>
      </c>
      <c r="AD30" t="n">
        <v>6622351540</v>
      </c>
      <c r="AE30" t="n">
        <v>4</v>
      </c>
      <c r="AF30" t="inlineStr">
        <is>
          <t>ENTREGA DIRECTA</t>
        </is>
      </c>
      <c r="AG30" t="n">
        <v>1</v>
      </c>
      <c r="AH30" t="inlineStr">
        <is>
          <t>TO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20250711</v>
      </c>
      <c r="AM30" t="inlineStr">
        <is>
          <t>D845-900006074-67307402-10000578-4</t>
        </is>
      </c>
    </row>
    <row r="31">
      <c r="A31" t="inlineStr">
        <is>
          <t>900006074D8456705950510000578</t>
        </is>
      </c>
      <c r="B31" t="inlineStr">
        <is>
          <t>4600044538-520</t>
        </is>
      </c>
      <c r="C31" t="n">
        <v>4600044538</v>
      </c>
      <c r="D31" t="n">
        <v>520</v>
      </c>
      <c r="E31" t="inlineStr">
        <is>
          <t>MXPO</t>
        </is>
      </c>
      <c r="F31" t="inlineStr">
        <is>
          <t>MXL</t>
        </is>
      </c>
      <c r="G31" t="n">
        <v>900006074</v>
      </c>
      <c r="H31" t="inlineStr">
        <is>
          <t>SF TP-ED- GRAMOL SLP</t>
        </is>
      </c>
      <c r="I31" t="n">
        <v>5005459</v>
      </c>
      <c r="J31" t="inlineStr">
        <is>
          <t>TRITURADOS GRAMOL SA DE CV</t>
        </is>
      </c>
      <c r="K31" t="inlineStr">
        <is>
          <t>Z04</t>
        </is>
      </c>
      <c r="L31" t="inlineStr">
        <is>
          <t>(AP) 30 Dias</t>
        </is>
      </c>
      <c r="M31" t="n">
        <v>10000578</v>
      </c>
      <c r="N31" t="inlineStr">
        <is>
          <t>Grava Triturada Caliza 20 mm - 3/4"</t>
        </is>
      </c>
      <c r="O31" t="inlineStr">
        <is>
          <t>D845</t>
        </is>
      </c>
      <c r="P31" t="inlineStr">
        <is>
          <t>MX-CED. SLP</t>
        </is>
      </c>
      <c r="Q31" t="n">
        <v>20190415</v>
      </c>
      <c r="R31" t="n">
        <v>20291231</v>
      </c>
      <c r="S31" t="n">
        <v>20240227</v>
      </c>
      <c r="T31" t="n">
        <v>20291231</v>
      </c>
      <c r="U31" t="n">
        <v>209</v>
      </c>
      <c r="V31" t="inlineStr">
        <is>
          <t>MXN</t>
        </is>
      </c>
      <c r="W31" t="inlineStr">
        <is>
          <t>TN</t>
        </is>
      </c>
      <c r="X31" t="n">
        <v>59</v>
      </c>
      <c r="Y31" t="inlineStr">
        <is>
          <t>MXN</t>
        </is>
      </c>
      <c r="Z31" t="inlineStr">
        <is>
          <t>TN</t>
        </is>
      </c>
      <c r="AA31" t="inlineStr">
        <is>
          <t>67059505</t>
        </is>
      </c>
      <c r="AB31" t="inlineStr">
        <is>
          <t>PLANTA SAN LUIS POTOSI</t>
        </is>
      </c>
      <c r="AC31" t="n">
        <v>56103637</v>
      </c>
      <c r="AD31" t="n">
        <v>6622351540</v>
      </c>
      <c r="AE31" t="n">
        <v>4</v>
      </c>
      <c r="AF31" t="inlineStr">
        <is>
          <t>ENTREGA DIRECTA</t>
        </is>
      </c>
      <c r="AG31" t="n">
        <v>1</v>
      </c>
      <c r="AH31" t="inlineStr">
        <is>
          <t>TO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20240417</v>
      </c>
      <c r="AM31" t="inlineStr">
        <is>
          <t>D845-900006074-67059505-10000578-4</t>
        </is>
      </c>
    </row>
    <row r="32">
      <c r="A32" t="inlineStr">
        <is>
          <t>900006074D8456730740210000617</t>
        </is>
      </c>
      <c r="B32" t="inlineStr">
        <is>
          <t>4600044538-1120</t>
        </is>
      </c>
      <c r="C32" t="n">
        <v>4600044538</v>
      </c>
      <c r="D32" t="n">
        <v>1120</v>
      </c>
      <c r="E32" t="inlineStr">
        <is>
          <t>MXPO</t>
        </is>
      </c>
      <c r="F32" t="inlineStr">
        <is>
          <t>MXL</t>
        </is>
      </c>
      <c r="G32" t="n">
        <v>900006074</v>
      </c>
      <c r="H32" t="inlineStr">
        <is>
          <t>SF TP-ED- GRAMOL SLP</t>
        </is>
      </c>
      <c r="I32" t="n">
        <v>5005459</v>
      </c>
      <c r="J32" t="inlineStr">
        <is>
          <t>TRITURADOS GRAMOL SA DE CV</t>
        </is>
      </c>
      <c r="K32" t="inlineStr">
        <is>
          <t>Z04</t>
        </is>
      </c>
      <c r="L32" t="inlineStr">
        <is>
          <t>(AP) 30 Dias</t>
        </is>
      </c>
      <c r="M32" t="n">
        <v>10000617</v>
      </c>
      <c r="N32" t="inlineStr">
        <is>
          <t>Arena Triturada Caliza Malla 5</t>
        </is>
      </c>
      <c r="O32" t="inlineStr">
        <is>
          <t>D845</t>
        </is>
      </c>
      <c r="P32" t="inlineStr">
        <is>
          <t>MX-CED. SLP</t>
        </is>
      </c>
      <c r="Q32" t="n">
        <v>20190415</v>
      </c>
      <c r="R32" t="n">
        <v>20291231</v>
      </c>
      <c r="S32" t="n">
        <v>20250708</v>
      </c>
      <c r="T32" t="n">
        <v>20301231</v>
      </c>
      <c r="U32" t="n">
        <v>240</v>
      </c>
      <c r="V32" t="inlineStr">
        <is>
          <t>MXN</t>
        </is>
      </c>
      <c r="W32" t="inlineStr">
        <is>
          <t>TN</t>
        </is>
      </c>
      <c r="X32" t="n">
        <v>50</v>
      </c>
      <c r="Y32" t="inlineStr">
        <is>
          <t>MXN</t>
        </is>
      </c>
      <c r="Z32" t="inlineStr">
        <is>
          <t>TN</t>
        </is>
      </c>
      <c r="AA32" t="inlineStr">
        <is>
          <t>67307402</t>
        </is>
      </c>
      <c r="AB32" t="inlineStr">
        <is>
          <t>C1802 WTC 3B SLP</t>
        </is>
      </c>
      <c r="AC32" t="n">
        <v>56103638</v>
      </c>
      <c r="AD32" t="n">
        <v>6622351540</v>
      </c>
      <c r="AE32" t="n">
        <v>4</v>
      </c>
      <c r="AF32" t="inlineStr">
        <is>
          <t>ENTREGA DIRECTA</t>
        </is>
      </c>
      <c r="AG32" t="n">
        <v>1</v>
      </c>
      <c r="AH32" t="inlineStr">
        <is>
          <t>TO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20250711</v>
      </c>
      <c r="AM32" t="inlineStr">
        <is>
          <t>D845-900006074-67307402-10000617-4</t>
        </is>
      </c>
    </row>
    <row r="33">
      <c r="A33" t="inlineStr">
        <is>
          <t>900006074D8456500513910000656</t>
        </is>
      </c>
      <c r="B33" t="inlineStr">
        <is>
          <t>4600044538-710</t>
        </is>
      </c>
      <c r="C33" t="n">
        <v>4600044538</v>
      </c>
      <c r="D33" t="n">
        <v>710</v>
      </c>
      <c r="E33" t="inlineStr">
        <is>
          <t>MXPO</t>
        </is>
      </c>
      <c r="F33" t="inlineStr">
        <is>
          <t>MXL</t>
        </is>
      </c>
      <c r="G33" t="n">
        <v>900006074</v>
      </c>
      <c r="H33" t="inlineStr">
        <is>
          <t>SF TP-ED- GRAMOL SLP</t>
        </is>
      </c>
      <c r="I33" t="n">
        <v>5005459</v>
      </c>
      <c r="J33" t="inlineStr">
        <is>
          <t>TRITURADOS GRAMOL SA DE CV</t>
        </is>
      </c>
      <c r="K33" t="inlineStr">
        <is>
          <t>Z04</t>
        </is>
      </c>
      <c r="L33" t="inlineStr">
        <is>
          <t>(AP) 30 Dias</t>
        </is>
      </c>
      <c r="M33" t="n">
        <v>10000656</v>
      </c>
      <c r="N33" t="inlineStr">
        <is>
          <t>Grava Triturada Caliza 10 mm - 3/8"</t>
        </is>
      </c>
      <c r="O33" t="inlineStr">
        <is>
          <t>D845</t>
        </is>
      </c>
      <c r="P33" t="inlineStr">
        <is>
          <t>MX-CED. SLP</t>
        </is>
      </c>
      <c r="Q33" t="n">
        <v>20190415</v>
      </c>
      <c r="R33" t="n">
        <v>20291231</v>
      </c>
      <c r="S33" t="n">
        <v>20260212</v>
      </c>
      <c r="T33" t="n">
        <v>20301231</v>
      </c>
      <c r="U33" t="n">
        <v>301</v>
      </c>
      <c r="V33" t="inlineStr">
        <is>
          <t>MXN</t>
        </is>
      </c>
      <c r="W33" t="inlineStr">
        <is>
          <t>TN</t>
        </is>
      </c>
      <c r="X33" t="n">
        <v>68</v>
      </c>
      <c r="Y33" t="inlineStr">
        <is>
          <t>MXN</t>
        </is>
      </c>
      <c r="Z33" t="inlineStr">
        <is>
          <t>TN</t>
        </is>
      </c>
      <c r="AA33" t="inlineStr">
        <is>
          <t>65005139</t>
        </is>
      </c>
      <c r="AB33" t="inlineStr">
        <is>
          <t>CONSTRUCTORA QUID S.A. DE C.V.</t>
        </is>
      </c>
      <c r="AC33" t="n">
        <v>56103637</v>
      </c>
      <c r="AD33" t="n">
        <v>6622351540</v>
      </c>
      <c r="AE33" t="n">
        <v>4</v>
      </c>
      <c r="AF33" t="inlineStr">
        <is>
          <t>ENTREGA DIRECTA</t>
        </is>
      </c>
      <c r="AG33" t="n">
        <v>1</v>
      </c>
      <c r="AH33" t="inlineStr">
        <is>
          <t>TO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20260216</v>
      </c>
      <c r="AM33" t="inlineStr">
        <is>
          <t>D845-900006074-65005139-10000656-4</t>
        </is>
      </c>
    </row>
    <row r="34">
      <c r="A34" t="inlineStr">
        <is>
          <t>900006074D8456500513910167749</t>
        </is>
      </c>
      <c r="B34" t="inlineStr">
        <is>
          <t>4600044538-920</t>
        </is>
      </c>
      <c r="C34" t="n">
        <v>4600044538</v>
      </c>
      <c r="D34" t="n">
        <v>920</v>
      </c>
      <c r="E34" t="inlineStr">
        <is>
          <t>MXPO</t>
        </is>
      </c>
      <c r="F34" t="inlineStr">
        <is>
          <t>MXL</t>
        </is>
      </c>
      <c r="G34" t="n">
        <v>900006074</v>
      </c>
      <c r="H34" t="inlineStr">
        <is>
          <t>SF TP-ED- GRAMOL SLP</t>
        </is>
      </c>
      <c r="I34" t="n">
        <v>5005459</v>
      </c>
      <c r="J34" t="inlineStr">
        <is>
          <t>TRITURADOS GRAMOL SA DE CV</t>
        </is>
      </c>
      <c r="K34" t="inlineStr">
        <is>
          <t>Z04</t>
        </is>
      </c>
      <c r="L34" t="inlineStr">
        <is>
          <t>(AP) 30 Dias</t>
        </is>
      </c>
      <c r="M34" t="n">
        <v>10167749</v>
      </c>
      <c r="N34" t="inlineStr">
        <is>
          <t>BASE H CALIZA 1 1/2" A FINOS ESPECIAL</t>
        </is>
      </c>
      <c r="O34" t="inlineStr">
        <is>
          <t>D845</t>
        </is>
      </c>
      <c r="P34" t="inlineStr">
        <is>
          <t>MX-CED. SLP</t>
        </is>
      </c>
      <c r="Q34" t="n">
        <v>20190415</v>
      </c>
      <c r="R34" t="n">
        <v>20291231</v>
      </c>
      <c r="S34" t="n">
        <v>20260212</v>
      </c>
      <c r="T34" t="n">
        <v>20301231</v>
      </c>
      <c r="U34" t="n">
        <v>288</v>
      </c>
      <c r="V34" t="inlineStr">
        <is>
          <t>MXN</t>
        </is>
      </c>
      <c r="W34" t="inlineStr">
        <is>
          <t>TN</t>
        </is>
      </c>
      <c r="X34" t="n">
        <v>68</v>
      </c>
      <c r="Y34" t="inlineStr">
        <is>
          <t>MXN</t>
        </is>
      </c>
      <c r="Z34" t="inlineStr">
        <is>
          <t>TN</t>
        </is>
      </c>
      <c r="AA34" t="inlineStr">
        <is>
          <t>65005139</t>
        </is>
      </c>
      <c r="AB34" t="inlineStr">
        <is>
          <t>CONSTRUCTORA QUID S.A. DE C.V.</t>
        </is>
      </c>
      <c r="AC34" t="n">
        <v>56103590</v>
      </c>
      <c r="AD34" t="n">
        <v>6622351540</v>
      </c>
      <c r="AE34" t="n">
        <v>4</v>
      </c>
      <c r="AF34" t="inlineStr">
        <is>
          <t>ENTREGA DIRECTA</t>
        </is>
      </c>
      <c r="AG34" t="n">
        <v>1</v>
      </c>
      <c r="AH34" t="inlineStr">
        <is>
          <t>TO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20260216</v>
      </c>
      <c r="AM34" t="inlineStr">
        <is>
          <t>D845-900006074-65005139-10167749-4</t>
        </is>
      </c>
    </row>
    <row r="35">
      <c r="A35" t="inlineStr">
        <is>
          <t>900006074D8456500513910000617</t>
        </is>
      </c>
      <c r="B35" t="inlineStr">
        <is>
          <t>4600044538-680</t>
        </is>
      </c>
      <c r="C35" t="n">
        <v>4600044538</v>
      </c>
      <c r="D35" t="n">
        <v>680</v>
      </c>
      <c r="E35" t="inlineStr">
        <is>
          <t>MXPO</t>
        </is>
      </c>
      <c r="F35" t="inlineStr">
        <is>
          <t>MXL</t>
        </is>
      </c>
      <c r="G35" t="n">
        <v>900006074</v>
      </c>
      <c r="H35" t="inlineStr">
        <is>
          <t>SF TP-ED- GRAMOL SLP</t>
        </is>
      </c>
      <c r="I35" t="n">
        <v>5005459</v>
      </c>
      <c r="J35" t="inlineStr">
        <is>
          <t>TRITURADOS GRAMOL SA DE CV</t>
        </is>
      </c>
      <c r="K35" t="inlineStr">
        <is>
          <t>Z04</t>
        </is>
      </c>
      <c r="L35" t="inlineStr">
        <is>
          <t>(AP) 30 Dias</t>
        </is>
      </c>
      <c r="M35" t="n">
        <v>10000617</v>
      </c>
      <c r="N35" t="inlineStr">
        <is>
          <t>Arena Triturada Caliza Malla 5</t>
        </is>
      </c>
      <c r="O35" t="inlineStr">
        <is>
          <t>D845</t>
        </is>
      </c>
      <c r="P35" t="inlineStr">
        <is>
          <t>MX-CED. SLP</t>
        </is>
      </c>
      <c r="Q35" t="n">
        <v>20190415</v>
      </c>
      <c r="R35" t="n">
        <v>20291231</v>
      </c>
      <c r="S35" t="n">
        <v>20260212</v>
      </c>
      <c r="T35" t="n">
        <v>20301231</v>
      </c>
      <c r="U35" t="n">
        <v>296</v>
      </c>
      <c r="V35" t="inlineStr">
        <is>
          <t>MXN</t>
        </is>
      </c>
      <c r="W35" t="inlineStr">
        <is>
          <t>TN</t>
        </is>
      </c>
      <c r="X35" t="n">
        <v>68</v>
      </c>
      <c r="Y35" t="inlineStr">
        <is>
          <t>MXN</t>
        </is>
      </c>
      <c r="Z35" t="inlineStr">
        <is>
          <t>TN</t>
        </is>
      </c>
      <c r="AA35" t="inlineStr">
        <is>
          <t>65005139</t>
        </is>
      </c>
      <c r="AB35" t="inlineStr">
        <is>
          <t>CONSTRUCTORA QUID S.A. DE C.V.</t>
        </is>
      </c>
      <c r="AC35" t="n">
        <v>56103638</v>
      </c>
      <c r="AD35" t="n">
        <v>6622351540</v>
      </c>
      <c r="AE35" t="n">
        <v>4</v>
      </c>
      <c r="AF35" t="inlineStr">
        <is>
          <t>ENTREGA DIRECTA</t>
        </is>
      </c>
      <c r="AG35" t="n">
        <v>1</v>
      </c>
      <c r="AH35" t="inlineStr">
        <is>
          <t>TO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20260216</v>
      </c>
      <c r="AM35" t="inlineStr">
        <is>
          <t>D845-900006074-65005139-10000617-4</t>
        </is>
      </c>
    </row>
    <row r="36">
      <c r="A36" t="inlineStr">
        <is>
          <t>900006074D8456500513910000578</t>
        </is>
      </c>
      <c r="B36" t="inlineStr">
        <is>
          <t>4600044538-690</t>
        </is>
      </c>
      <c r="C36" t="n">
        <v>4600044538</v>
      </c>
      <c r="D36" t="n">
        <v>690</v>
      </c>
      <c r="E36" t="inlineStr">
        <is>
          <t>MXPO</t>
        </is>
      </c>
      <c r="F36" t="inlineStr">
        <is>
          <t>MXL</t>
        </is>
      </c>
      <c r="G36" t="n">
        <v>900006074</v>
      </c>
      <c r="H36" t="inlineStr">
        <is>
          <t>SF TP-ED- GRAMOL SLP</t>
        </is>
      </c>
      <c r="I36" t="n">
        <v>5005459</v>
      </c>
      <c r="J36" t="inlineStr">
        <is>
          <t>TRITURADOS GRAMOL SA DE CV</t>
        </is>
      </c>
      <c r="K36" t="inlineStr">
        <is>
          <t>Z04</t>
        </is>
      </c>
      <c r="L36" t="inlineStr">
        <is>
          <t>(AP) 30 Dias</t>
        </is>
      </c>
      <c r="M36" t="n">
        <v>10000578</v>
      </c>
      <c r="N36" t="inlineStr">
        <is>
          <t>Grava Triturada Caliza 20 mm - 3/4"</t>
        </is>
      </c>
      <c r="O36" t="inlineStr">
        <is>
          <t>D845</t>
        </is>
      </c>
      <c r="P36" t="inlineStr">
        <is>
          <t>MX-CED. SLP</t>
        </is>
      </c>
      <c r="Q36" t="n">
        <v>20190415</v>
      </c>
      <c r="R36" t="n">
        <v>20291231</v>
      </c>
      <c r="S36" t="n">
        <v>20260212</v>
      </c>
      <c r="T36" t="n">
        <v>20301231</v>
      </c>
      <c r="U36" t="n">
        <v>296</v>
      </c>
      <c r="V36" t="inlineStr">
        <is>
          <t>MXN</t>
        </is>
      </c>
      <c r="W36" t="inlineStr">
        <is>
          <t>TN</t>
        </is>
      </c>
      <c r="X36" t="n">
        <v>68</v>
      </c>
      <c r="Y36" t="inlineStr">
        <is>
          <t>MXN</t>
        </is>
      </c>
      <c r="Z36" t="inlineStr">
        <is>
          <t>TN</t>
        </is>
      </c>
      <c r="AA36" t="inlineStr">
        <is>
          <t>65005139</t>
        </is>
      </c>
      <c r="AB36" t="inlineStr">
        <is>
          <t>CONSTRUCTORA QUID S.A. DE C.V.</t>
        </is>
      </c>
      <c r="AC36" t="n">
        <v>56103637</v>
      </c>
      <c r="AD36" t="n">
        <v>6622351540</v>
      </c>
      <c r="AE36" t="n">
        <v>4</v>
      </c>
      <c r="AF36" t="inlineStr">
        <is>
          <t>ENTREGA DIRECTA</t>
        </is>
      </c>
      <c r="AG36" t="n">
        <v>1</v>
      </c>
      <c r="AH36" t="inlineStr">
        <is>
          <t>TO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20260216</v>
      </c>
      <c r="AM36" t="inlineStr">
        <is>
          <t>D845-900006074-65005139-10000578-4</t>
        </is>
      </c>
    </row>
    <row r="37">
      <c r="A37" t="inlineStr">
        <is>
          <t>900006074D8456500513910169508</t>
        </is>
      </c>
      <c r="B37" t="inlineStr">
        <is>
          <t>4600044538-1060</t>
        </is>
      </c>
      <c r="C37" t="n">
        <v>4600044538</v>
      </c>
      <c r="D37" t="n">
        <v>1060</v>
      </c>
      <c r="E37" t="inlineStr">
        <is>
          <t>MXPO</t>
        </is>
      </c>
      <c r="F37" t="inlineStr">
        <is>
          <t>MXL</t>
        </is>
      </c>
      <c r="G37" t="n">
        <v>900006074</v>
      </c>
      <c r="H37" t="inlineStr">
        <is>
          <t>SF TP-ED- GRAMOL SLP</t>
        </is>
      </c>
      <c r="I37" t="n">
        <v>5005459</v>
      </c>
      <c r="J37" t="inlineStr">
        <is>
          <t>TRITURADOS GRAMOL SA DE CV</t>
        </is>
      </c>
      <c r="K37" t="inlineStr">
        <is>
          <t>Z04</t>
        </is>
      </c>
      <c r="L37" t="inlineStr">
        <is>
          <t>(AP) 30 Dias</t>
        </is>
      </c>
      <c r="M37" t="n">
        <v>10169508</v>
      </c>
      <c r="N37" t="inlineStr">
        <is>
          <t>GRAVA TRITURADA CALIZA 13 MM - 1/2"</t>
        </is>
      </c>
      <c r="O37" t="inlineStr">
        <is>
          <t>D845</t>
        </is>
      </c>
      <c r="P37" t="inlineStr">
        <is>
          <t>MX-CED. SLP</t>
        </is>
      </c>
      <c r="Q37" t="n">
        <v>20190415</v>
      </c>
      <c r="R37" t="n">
        <v>20291231</v>
      </c>
      <c r="S37" t="n">
        <v>20260212</v>
      </c>
      <c r="T37" t="n">
        <v>20301231</v>
      </c>
      <c r="U37" t="n">
        <v>306</v>
      </c>
      <c r="V37" t="inlineStr">
        <is>
          <t>MXN</t>
        </is>
      </c>
      <c r="W37" t="inlineStr">
        <is>
          <t>TN</t>
        </is>
      </c>
      <c r="X37" t="n">
        <v>68</v>
      </c>
      <c r="Y37" t="inlineStr">
        <is>
          <t>MXN</t>
        </is>
      </c>
      <c r="Z37" t="inlineStr">
        <is>
          <t>TN</t>
        </is>
      </c>
      <c r="AA37" t="inlineStr">
        <is>
          <t>65005139</t>
        </is>
      </c>
      <c r="AB37" t="inlineStr">
        <is>
          <t>CONSTRUCTORA QUID S.A. DE C.V.</t>
        </is>
      </c>
      <c r="AC37" t="n">
        <v>56103637</v>
      </c>
      <c r="AD37" t="n">
        <v>6622351540</v>
      </c>
      <c r="AE37" t="n">
        <v>4</v>
      </c>
      <c r="AF37" t="inlineStr">
        <is>
          <t>ENTREGA DIRECTA</t>
        </is>
      </c>
      <c r="AG37" t="n">
        <v>1</v>
      </c>
      <c r="AH37" t="inlineStr">
        <is>
          <t>TO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20260216</v>
      </c>
      <c r="AM37" t="inlineStr">
        <is>
          <t>D845-900006074-65005139-10169508-4</t>
        </is>
      </c>
    </row>
    <row r="38">
      <c r="A38" t="inlineStr">
        <is>
          <t>900006074D8456500513910000536</t>
        </is>
      </c>
      <c r="B38" t="inlineStr">
        <is>
          <t>4600044538-700</t>
        </is>
      </c>
      <c r="C38" t="n">
        <v>4600044538</v>
      </c>
      <c r="D38" t="n">
        <v>700</v>
      </c>
      <c r="E38" t="inlineStr">
        <is>
          <t>MXPO</t>
        </is>
      </c>
      <c r="F38" t="inlineStr">
        <is>
          <t>MXL</t>
        </is>
      </c>
      <c r="G38" t="n">
        <v>900006074</v>
      </c>
      <c r="H38" t="inlineStr">
        <is>
          <t>SF TP-ED- GRAMOL SLP</t>
        </is>
      </c>
      <c r="I38" t="n">
        <v>5005459</v>
      </c>
      <c r="J38" t="inlineStr">
        <is>
          <t>TRITURADOS GRAMOL SA DE CV</t>
        </is>
      </c>
      <c r="K38" t="inlineStr">
        <is>
          <t>Z04</t>
        </is>
      </c>
      <c r="L38" t="inlineStr">
        <is>
          <t>(AP) 30 Dias</t>
        </is>
      </c>
      <c r="M38" t="n">
        <v>10000536</v>
      </c>
      <c r="N38" t="inlineStr">
        <is>
          <t>Grava Triturada Caliza 40 mm - 1 1/2"</t>
        </is>
      </c>
      <c r="O38" t="inlineStr">
        <is>
          <t>D845</t>
        </is>
      </c>
      <c r="P38" t="inlineStr">
        <is>
          <t>MX-CED. SLP</t>
        </is>
      </c>
      <c r="Q38" t="n">
        <v>20190415</v>
      </c>
      <c r="R38" t="n">
        <v>20291231</v>
      </c>
      <c r="S38" t="n">
        <v>20260212</v>
      </c>
      <c r="T38" t="n">
        <v>20301231</v>
      </c>
      <c r="U38" t="n">
        <v>296</v>
      </c>
      <c r="V38" t="inlineStr">
        <is>
          <t>MXN</t>
        </is>
      </c>
      <c r="W38" t="inlineStr">
        <is>
          <t>TN</t>
        </is>
      </c>
      <c r="X38" t="n">
        <v>68</v>
      </c>
      <c r="Y38" t="inlineStr">
        <is>
          <t>MXN</t>
        </is>
      </c>
      <c r="Z38" t="inlineStr">
        <is>
          <t>TN</t>
        </is>
      </c>
      <c r="AA38" t="inlineStr">
        <is>
          <t>65005139</t>
        </is>
      </c>
      <c r="AB38" t="inlineStr">
        <is>
          <t>CONSTRUCTORA QUID S.A. DE C.V.</t>
        </is>
      </c>
      <c r="AC38" t="n">
        <v>56103637</v>
      </c>
      <c r="AD38" t="n">
        <v>6622351540</v>
      </c>
      <c r="AE38" t="n">
        <v>4</v>
      </c>
      <c r="AF38" t="inlineStr">
        <is>
          <t>ENTREGA DIRECTA</t>
        </is>
      </c>
      <c r="AG38" t="n">
        <v>1</v>
      </c>
      <c r="AH38" t="inlineStr">
        <is>
          <t>TO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20260216</v>
      </c>
      <c r="AM38" t="inlineStr">
        <is>
          <t>D845-900006074-65005139-10000536-4</t>
        </is>
      </c>
    </row>
    <row r="39">
      <c r="A39" t="inlineStr">
        <is>
          <t>900005260D84510268651</t>
        </is>
      </c>
      <c r="B39" t="inlineStr">
        <is>
          <t>4600068951-210</t>
        </is>
      </c>
      <c r="C39" t="n">
        <v>4600068951</v>
      </c>
      <c r="D39" t="n">
        <v>210</v>
      </c>
      <c r="E39" t="inlineStr">
        <is>
          <t>MXPO</t>
        </is>
      </c>
      <c r="F39" t="inlineStr">
        <is>
          <t>MXL</t>
        </is>
      </c>
      <c r="G39" t="n">
        <v>900005260</v>
      </c>
      <c r="H39" t="inlineStr">
        <is>
          <t>TP-GRAMOL SLP ESPECIAL</t>
        </is>
      </c>
      <c r="I39" t="n">
        <v>5005459</v>
      </c>
      <c r="J39" t="inlineStr">
        <is>
          <t>TRITURADOS GRAMOL SA DE CV</t>
        </is>
      </c>
      <c r="K39" t="inlineStr">
        <is>
          <t>Z04</t>
        </is>
      </c>
      <c r="L39" t="inlineStr">
        <is>
          <t>(AP) 30 Dias</t>
        </is>
      </c>
      <c r="M39" t="n">
        <v>10268651</v>
      </c>
      <c r="N39" t="inlineStr">
        <is>
          <t>MP PIEDRA CALIZA 6 - 8"</t>
        </is>
      </c>
      <c r="O39" t="inlineStr">
        <is>
          <t>D845</t>
        </is>
      </c>
      <c r="P39" t="inlineStr">
        <is>
          <t>MX-CED. SLP</t>
        </is>
      </c>
      <c r="Q39" t="n">
        <v>20231201</v>
      </c>
      <c r="R39" t="n">
        <v>20291231</v>
      </c>
      <c r="S39" t="n">
        <v>20260210</v>
      </c>
      <c r="T39" t="n">
        <v>20301231</v>
      </c>
      <c r="U39" t="n">
        <v>200</v>
      </c>
      <c r="V39" t="inlineStr">
        <is>
          <t>MXN</t>
        </is>
      </c>
      <c r="W39" t="inlineStr">
        <is>
          <t>TN</t>
        </is>
      </c>
      <c r="X39" t="n">
        <v>0</v>
      </c>
      <c r="Y39" t="inlineStr">
        <is>
          <t>MXN</t>
        </is>
      </c>
      <c r="Z39" t="inlineStr">
        <is>
          <t>TN</t>
        </is>
      </c>
      <c r="AC39" t="n">
        <v>56103637</v>
      </c>
      <c r="AD39" t="n">
        <v>6622351540</v>
      </c>
      <c r="AE39" t="n">
        <v>1</v>
      </c>
      <c r="AF39" t="inlineStr">
        <is>
          <t>ENTREGADO</t>
        </is>
      </c>
      <c r="AG39" t="n">
        <v>1</v>
      </c>
      <c r="AH39" t="inlineStr">
        <is>
          <t>TO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20260212</v>
      </c>
      <c r="AM39" t="inlineStr">
        <is>
          <t>D845-900005260-10268651</t>
        </is>
      </c>
    </row>
    <row r="40">
      <c r="A40" t="inlineStr">
        <is>
          <t>900005260D84510000536</t>
        </is>
      </c>
      <c r="B40" t="inlineStr">
        <is>
          <t>4600068951-150</t>
        </is>
      </c>
      <c r="C40" t="n">
        <v>4600068951</v>
      </c>
      <c r="D40" t="n">
        <v>150</v>
      </c>
      <c r="E40" t="inlineStr">
        <is>
          <t>MXPO</t>
        </is>
      </c>
      <c r="F40" t="inlineStr">
        <is>
          <t>MXL</t>
        </is>
      </c>
      <c r="G40" t="n">
        <v>900005260</v>
      </c>
      <c r="H40" t="inlineStr">
        <is>
          <t>TP-GRAMOL SLP ESPECIAL</t>
        </is>
      </c>
      <c r="I40" t="n">
        <v>5005459</v>
      </c>
      <c r="J40" t="inlineStr">
        <is>
          <t>TRITURADOS GRAMOL SA DE CV</t>
        </is>
      </c>
      <c r="K40" t="inlineStr">
        <is>
          <t>Z04</t>
        </is>
      </c>
      <c r="L40" t="inlineStr">
        <is>
          <t>(AP) 30 Dias</t>
        </is>
      </c>
      <c r="M40" t="n">
        <v>10000536</v>
      </c>
      <c r="N40" t="inlineStr">
        <is>
          <t>Grava Triturada Caliza 40 mm - 1 1/2"</t>
        </is>
      </c>
      <c r="O40" t="inlineStr">
        <is>
          <t>D845</t>
        </is>
      </c>
      <c r="P40" t="inlineStr">
        <is>
          <t>MX-CED. SLP</t>
        </is>
      </c>
      <c r="Q40" t="n">
        <v>20231201</v>
      </c>
      <c r="R40" t="n">
        <v>20291231</v>
      </c>
      <c r="S40" t="n">
        <v>20260210</v>
      </c>
      <c r="T40" t="n">
        <v>20301231</v>
      </c>
      <c r="U40" t="n">
        <v>228</v>
      </c>
      <c r="V40" t="inlineStr">
        <is>
          <t>MXN</t>
        </is>
      </c>
      <c r="W40" t="inlineStr">
        <is>
          <t>TN</t>
        </is>
      </c>
      <c r="X40" t="n">
        <v>0</v>
      </c>
      <c r="Y40" t="inlineStr">
        <is>
          <t>MXN</t>
        </is>
      </c>
      <c r="Z40" t="inlineStr">
        <is>
          <t>TN</t>
        </is>
      </c>
      <c r="AC40" t="n">
        <v>56103637</v>
      </c>
      <c r="AD40" t="n">
        <v>6622351540</v>
      </c>
      <c r="AE40" t="n">
        <v>1</v>
      </c>
      <c r="AF40" t="inlineStr">
        <is>
          <t>ENTREGADO</t>
        </is>
      </c>
      <c r="AG40" t="n">
        <v>1</v>
      </c>
      <c r="AH40" t="inlineStr">
        <is>
          <t>TO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20260212</v>
      </c>
      <c r="AM40" t="inlineStr">
        <is>
          <t>D845-900005260-10000536</t>
        </is>
      </c>
    </row>
    <row r="41">
      <c r="A41" t="inlineStr">
        <is>
          <t>900005260D84510000617</t>
        </is>
      </c>
      <c r="B41" t="inlineStr">
        <is>
          <t>4600068951-130</t>
        </is>
      </c>
      <c r="C41" t="n">
        <v>4600068951</v>
      </c>
      <c r="D41" t="n">
        <v>130</v>
      </c>
      <c r="E41" t="inlineStr">
        <is>
          <t>MXPO</t>
        </is>
      </c>
      <c r="F41" t="inlineStr">
        <is>
          <t>MXL</t>
        </is>
      </c>
      <c r="G41" t="n">
        <v>900005260</v>
      </c>
      <c r="H41" t="inlineStr">
        <is>
          <t>TP-GRAMOL SLP ESPECIAL</t>
        </is>
      </c>
      <c r="I41" t="n">
        <v>5005459</v>
      </c>
      <c r="J41" t="inlineStr">
        <is>
          <t>TRITURADOS GRAMOL SA DE CV</t>
        </is>
      </c>
      <c r="K41" t="inlineStr">
        <is>
          <t>Z04</t>
        </is>
      </c>
      <c r="L41" t="inlineStr">
        <is>
          <t>(AP) 30 Dias</t>
        </is>
      </c>
      <c r="M41" t="n">
        <v>10000617</v>
      </c>
      <c r="N41" t="inlineStr">
        <is>
          <t>Arena Triturada Caliza Malla 5</t>
        </is>
      </c>
      <c r="O41" t="inlineStr">
        <is>
          <t>D845</t>
        </is>
      </c>
      <c r="P41" t="inlineStr">
        <is>
          <t>MX-CED. SLP</t>
        </is>
      </c>
      <c r="Q41" t="n">
        <v>20231201</v>
      </c>
      <c r="R41" t="n">
        <v>20291231</v>
      </c>
      <c r="S41" t="n">
        <v>20260210</v>
      </c>
      <c r="T41" t="n">
        <v>20301231</v>
      </c>
      <c r="U41" t="n">
        <v>228</v>
      </c>
      <c r="V41" t="inlineStr">
        <is>
          <t>MXN</t>
        </is>
      </c>
      <c r="W41" t="inlineStr">
        <is>
          <t>TN</t>
        </is>
      </c>
      <c r="X41" t="n">
        <v>0</v>
      </c>
      <c r="Y41" t="inlineStr">
        <is>
          <t>MXN</t>
        </is>
      </c>
      <c r="Z41" t="inlineStr">
        <is>
          <t>TN</t>
        </is>
      </c>
      <c r="AC41" t="n">
        <v>56103638</v>
      </c>
      <c r="AD41" t="n">
        <v>6622351540</v>
      </c>
      <c r="AE41" t="n">
        <v>1</v>
      </c>
      <c r="AF41" t="inlineStr">
        <is>
          <t>ENTREGADO</t>
        </is>
      </c>
      <c r="AG41" t="n">
        <v>1</v>
      </c>
      <c r="AH41" t="inlineStr">
        <is>
          <t>TO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20260212</v>
      </c>
      <c r="AM41" t="inlineStr">
        <is>
          <t>D845-900005260-10000617</t>
        </is>
      </c>
    </row>
    <row r="42">
      <c r="A42" t="inlineStr">
        <is>
          <t>900005260D84510169508</t>
        </is>
      </c>
      <c r="B42" t="inlineStr">
        <is>
          <t>4600068951-170</t>
        </is>
      </c>
      <c r="C42" t="n">
        <v>4600068951</v>
      </c>
      <c r="D42" t="n">
        <v>170</v>
      </c>
      <c r="E42" t="inlineStr">
        <is>
          <t>MXPO</t>
        </is>
      </c>
      <c r="F42" t="inlineStr">
        <is>
          <t>MXL</t>
        </is>
      </c>
      <c r="G42" t="n">
        <v>900005260</v>
      </c>
      <c r="H42" t="inlineStr">
        <is>
          <t>TP-GRAMOL SLP ESPECIAL</t>
        </is>
      </c>
      <c r="I42" t="n">
        <v>5005459</v>
      </c>
      <c r="J42" t="inlineStr">
        <is>
          <t>TRITURADOS GRAMOL SA DE CV</t>
        </is>
      </c>
      <c r="K42" t="inlineStr">
        <is>
          <t>Z04</t>
        </is>
      </c>
      <c r="L42" t="inlineStr">
        <is>
          <t>(AP) 30 Dias</t>
        </is>
      </c>
      <c r="M42" t="n">
        <v>10169508</v>
      </c>
      <c r="N42" t="inlineStr">
        <is>
          <t>GRAVA TRITURADA CALIZA 13 MM - 1/2"</t>
        </is>
      </c>
      <c r="O42" t="inlineStr">
        <is>
          <t>D845</t>
        </is>
      </c>
      <c r="P42" t="inlineStr">
        <is>
          <t>MX-CED. SLP</t>
        </is>
      </c>
      <c r="Q42" t="n">
        <v>20231201</v>
      </c>
      <c r="R42" t="n">
        <v>20291231</v>
      </c>
      <c r="S42" t="n">
        <v>20260210</v>
      </c>
      <c r="T42" t="n">
        <v>20301231</v>
      </c>
      <c r="U42" t="n">
        <v>238</v>
      </c>
      <c r="V42" t="inlineStr">
        <is>
          <t>MXN</t>
        </is>
      </c>
      <c r="W42" t="inlineStr">
        <is>
          <t>TN</t>
        </is>
      </c>
      <c r="X42" t="n">
        <v>0</v>
      </c>
      <c r="Y42" t="inlineStr">
        <is>
          <t>MXN</t>
        </is>
      </c>
      <c r="Z42" t="inlineStr">
        <is>
          <t>TN</t>
        </is>
      </c>
      <c r="AC42" t="n">
        <v>56103637</v>
      </c>
      <c r="AD42" t="n">
        <v>6622351540</v>
      </c>
      <c r="AE42" t="n">
        <v>1</v>
      </c>
      <c r="AF42" t="inlineStr">
        <is>
          <t>ENTREGADO</t>
        </is>
      </c>
      <c r="AG42" t="n">
        <v>1</v>
      </c>
      <c r="AH42" t="inlineStr">
        <is>
          <t>TO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20260212</v>
      </c>
      <c r="AM42" t="inlineStr">
        <is>
          <t>D845-900005260-10169508</t>
        </is>
      </c>
    </row>
    <row r="43">
      <c r="A43" t="inlineStr">
        <is>
          <t>900005260D84510167749</t>
        </is>
      </c>
      <c r="B43" t="inlineStr">
        <is>
          <t>4600068951-120</t>
        </is>
      </c>
      <c r="C43" t="n">
        <v>4600068951</v>
      </c>
      <c r="D43" t="n">
        <v>120</v>
      </c>
      <c r="E43" t="inlineStr">
        <is>
          <t>MXPO</t>
        </is>
      </c>
      <c r="F43" t="inlineStr">
        <is>
          <t>MXL</t>
        </is>
      </c>
      <c r="G43" t="n">
        <v>900005260</v>
      </c>
      <c r="H43" t="inlineStr">
        <is>
          <t>TP-GRAMOL SLP ESPECIAL</t>
        </is>
      </c>
      <c r="I43" t="n">
        <v>5005459</v>
      </c>
      <c r="J43" t="inlineStr">
        <is>
          <t>TRITURADOS GRAMOL SA DE CV</t>
        </is>
      </c>
      <c r="K43" t="inlineStr">
        <is>
          <t>Z04</t>
        </is>
      </c>
      <c r="L43" t="inlineStr">
        <is>
          <t>(AP) 30 Dias</t>
        </is>
      </c>
      <c r="M43" t="n">
        <v>10167749</v>
      </c>
      <c r="N43" t="inlineStr">
        <is>
          <t>BASE H CALIZA 1 1/2" A FINOS ESPECIAL</t>
        </is>
      </c>
      <c r="O43" t="inlineStr">
        <is>
          <t>D845</t>
        </is>
      </c>
      <c r="P43" t="inlineStr">
        <is>
          <t>MX-CED. SLP</t>
        </is>
      </c>
      <c r="Q43" t="n">
        <v>20231201</v>
      </c>
      <c r="R43" t="n">
        <v>20291231</v>
      </c>
      <c r="S43" t="n">
        <v>20260210</v>
      </c>
      <c r="T43" t="n">
        <v>20301231</v>
      </c>
      <c r="U43" t="n">
        <v>220</v>
      </c>
      <c r="V43" t="inlineStr">
        <is>
          <t>MXN</t>
        </is>
      </c>
      <c r="W43" t="inlineStr">
        <is>
          <t>TN</t>
        </is>
      </c>
      <c r="X43" t="n">
        <v>0</v>
      </c>
      <c r="Y43" t="inlineStr">
        <is>
          <t>MXN</t>
        </is>
      </c>
      <c r="Z43" t="inlineStr">
        <is>
          <t>TN</t>
        </is>
      </c>
      <c r="AC43" t="n">
        <v>56103590</v>
      </c>
      <c r="AD43" t="n">
        <v>6622351540</v>
      </c>
      <c r="AE43" t="n">
        <v>1</v>
      </c>
      <c r="AF43" t="inlineStr">
        <is>
          <t>ENTREGADO</t>
        </is>
      </c>
      <c r="AG43" t="n">
        <v>1</v>
      </c>
      <c r="AH43" t="inlineStr">
        <is>
          <t>TO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20260212</v>
      </c>
      <c r="AM43" t="inlineStr">
        <is>
          <t>D845-900005260-10167749</t>
        </is>
      </c>
    </row>
    <row r="44">
      <c r="A44" t="inlineStr">
        <is>
          <t>900005260D84510000656</t>
        </is>
      </c>
      <c r="B44" t="inlineStr">
        <is>
          <t>4600068951-160</t>
        </is>
      </c>
      <c r="C44" t="n">
        <v>4600068951</v>
      </c>
      <c r="D44" t="n">
        <v>160</v>
      </c>
      <c r="E44" t="inlineStr">
        <is>
          <t>MXPO</t>
        </is>
      </c>
      <c r="F44" t="inlineStr">
        <is>
          <t>MXL</t>
        </is>
      </c>
      <c r="G44" t="n">
        <v>900005260</v>
      </c>
      <c r="H44" t="inlineStr">
        <is>
          <t>TP-GRAMOL SLP ESPECIAL</t>
        </is>
      </c>
      <c r="I44" t="n">
        <v>5005459</v>
      </c>
      <c r="J44" t="inlineStr">
        <is>
          <t>TRITURADOS GRAMOL SA DE CV</t>
        </is>
      </c>
      <c r="K44" t="inlineStr">
        <is>
          <t>Z04</t>
        </is>
      </c>
      <c r="L44" t="inlineStr">
        <is>
          <t>(AP) 30 Dias</t>
        </is>
      </c>
      <c r="M44" t="n">
        <v>10000656</v>
      </c>
      <c r="N44" t="inlineStr">
        <is>
          <t>Grava Triturada Caliza 10 mm - 3/8"</t>
        </is>
      </c>
      <c r="O44" t="inlineStr">
        <is>
          <t>D845</t>
        </is>
      </c>
      <c r="P44" t="inlineStr">
        <is>
          <t>MX-CED. SLP</t>
        </is>
      </c>
      <c r="Q44" t="n">
        <v>20231201</v>
      </c>
      <c r="R44" t="n">
        <v>20291231</v>
      </c>
      <c r="S44" t="n">
        <v>20260210</v>
      </c>
      <c r="T44" t="n">
        <v>20301231</v>
      </c>
      <c r="U44" t="n">
        <v>233</v>
      </c>
      <c r="V44" t="inlineStr">
        <is>
          <t>MXN</t>
        </is>
      </c>
      <c r="W44" t="inlineStr">
        <is>
          <t>TN</t>
        </is>
      </c>
      <c r="X44" t="n">
        <v>0</v>
      </c>
      <c r="Y44" t="inlineStr">
        <is>
          <t>MXN</t>
        </is>
      </c>
      <c r="Z44" t="inlineStr">
        <is>
          <t>TN</t>
        </is>
      </c>
      <c r="AC44" t="n">
        <v>56103637</v>
      </c>
      <c r="AD44" t="n">
        <v>6622351540</v>
      </c>
      <c r="AE44" t="n">
        <v>1</v>
      </c>
      <c r="AF44" t="inlineStr">
        <is>
          <t>ENTREGADO</t>
        </is>
      </c>
      <c r="AG44" t="n">
        <v>1</v>
      </c>
      <c r="AH44" t="inlineStr">
        <is>
          <t>TO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20260212</v>
      </c>
      <c r="AM44" t="inlineStr">
        <is>
          <t>D845-900005260-10000656</t>
        </is>
      </c>
    </row>
    <row r="45">
      <c r="A45" t="inlineStr">
        <is>
          <t>900005260D84510000578</t>
        </is>
      </c>
      <c r="B45" t="inlineStr">
        <is>
          <t>4600068951-140</t>
        </is>
      </c>
      <c r="C45" t="n">
        <v>4600068951</v>
      </c>
      <c r="D45" t="n">
        <v>140</v>
      </c>
      <c r="E45" t="inlineStr">
        <is>
          <t>MXPO</t>
        </is>
      </c>
      <c r="F45" t="inlineStr">
        <is>
          <t>MXL</t>
        </is>
      </c>
      <c r="G45" t="n">
        <v>900005260</v>
      </c>
      <c r="H45" t="inlineStr">
        <is>
          <t>TP-GRAMOL SLP ESPECIAL</t>
        </is>
      </c>
      <c r="I45" t="n">
        <v>5005459</v>
      </c>
      <c r="J45" t="inlineStr">
        <is>
          <t>TRITURADOS GRAMOL SA DE CV</t>
        </is>
      </c>
      <c r="K45" t="inlineStr">
        <is>
          <t>Z04</t>
        </is>
      </c>
      <c r="L45" t="inlineStr">
        <is>
          <t>(AP) 30 Dias</t>
        </is>
      </c>
      <c r="M45" t="n">
        <v>10000578</v>
      </c>
      <c r="N45" t="inlineStr">
        <is>
          <t>Grava Triturada Caliza 20 mm - 3/4"</t>
        </is>
      </c>
      <c r="O45" t="inlineStr">
        <is>
          <t>D845</t>
        </is>
      </c>
      <c r="P45" t="inlineStr">
        <is>
          <t>MX-CED. SLP</t>
        </is>
      </c>
      <c r="Q45" t="n">
        <v>20231201</v>
      </c>
      <c r="R45" t="n">
        <v>20291231</v>
      </c>
      <c r="S45" t="n">
        <v>20260210</v>
      </c>
      <c r="T45" t="n">
        <v>20301231</v>
      </c>
      <c r="U45" t="n">
        <v>228</v>
      </c>
      <c r="V45" t="inlineStr">
        <is>
          <t>MXN</t>
        </is>
      </c>
      <c r="W45" t="inlineStr">
        <is>
          <t>TN</t>
        </is>
      </c>
      <c r="X45" t="n">
        <v>0</v>
      </c>
      <c r="Y45" t="inlineStr">
        <is>
          <t>MXN</t>
        </is>
      </c>
      <c r="Z45" t="inlineStr">
        <is>
          <t>TN</t>
        </is>
      </c>
      <c r="AC45" t="n">
        <v>56103637</v>
      </c>
      <c r="AD45" t="n">
        <v>6622351540</v>
      </c>
      <c r="AE45" t="n">
        <v>1</v>
      </c>
      <c r="AF45" t="inlineStr">
        <is>
          <t>ENTREGADO</t>
        </is>
      </c>
      <c r="AG45" t="n">
        <v>1</v>
      </c>
      <c r="AH45" t="inlineStr">
        <is>
          <t>TO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20260212</v>
      </c>
      <c r="AM45" t="inlineStr">
        <is>
          <t>D845-900005260-10000578</t>
        </is>
      </c>
    </row>
    <row r="46">
      <c r="A46" t="inlineStr">
        <is>
          <t>900005260D84510058501</t>
        </is>
      </c>
      <c r="B46" t="inlineStr">
        <is>
          <t>4600068951-180</t>
        </is>
      </c>
      <c r="C46" t="n">
        <v>4600068951</v>
      </c>
      <c r="D46" t="n">
        <v>180</v>
      </c>
      <c r="E46" t="inlineStr">
        <is>
          <t>MXPO</t>
        </is>
      </c>
      <c r="F46" t="inlineStr">
        <is>
          <t>MXL</t>
        </is>
      </c>
      <c r="G46" t="n">
        <v>900005260</v>
      </c>
      <c r="H46" t="inlineStr">
        <is>
          <t>TP-GRAMOL SLP ESPECIAL</t>
        </is>
      </c>
      <c r="I46" t="n">
        <v>5005459</v>
      </c>
      <c r="J46" t="inlineStr">
        <is>
          <t>TRITURADOS GRAMOL SA DE CV</t>
        </is>
      </c>
      <c r="K46" t="inlineStr">
        <is>
          <t>Z04</t>
        </is>
      </c>
      <c r="L46" t="inlineStr">
        <is>
          <t>(AP) 30 Dias</t>
        </is>
      </c>
      <c r="M46" t="n">
        <v>10058501</v>
      </c>
      <c r="N46" t="inlineStr">
        <is>
          <t>Base H Triturada Caliza 1 1/2" a Finos</t>
        </is>
      </c>
      <c r="O46" t="inlineStr">
        <is>
          <t>D845</t>
        </is>
      </c>
      <c r="P46" t="inlineStr">
        <is>
          <t>MX-CED. SLP</t>
        </is>
      </c>
      <c r="Q46" t="n">
        <v>20231201</v>
      </c>
      <c r="R46" t="n">
        <v>20291231</v>
      </c>
      <c r="S46" t="n">
        <v>20260210</v>
      </c>
      <c r="T46" t="n">
        <v>20301231</v>
      </c>
      <c r="U46" t="n">
        <v>207</v>
      </c>
      <c r="V46" t="inlineStr">
        <is>
          <t>MXN</t>
        </is>
      </c>
      <c r="W46" t="inlineStr">
        <is>
          <t>TN</t>
        </is>
      </c>
      <c r="X46" t="n">
        <v>0</v>
      </c>
      <c r="Y46" t="inlineStr">
        <is>
          <t>MXN</t>
        </is>
      </c>
      <c r="Z46" t="inlineStr">
        <is>
          <t>TN</t>
        </is>
      </c>
      <c r="AC46" t="n">
        <v>56103590</v>
      </c>
      <c r="AD46" t="n">
        <v>6622351540</v>
      </c>
      <c r="AE46" t="n">
        <v>1</v>
      </c>
      <c r="AF46" t="inlineStr">
        <is>
          <t>ENTREGADO</t>
        </is>
      </c>
      <c r="AG46" t="n">
        <v>1</v>
      </c>
      <c r="AH46" t="inlineStr">
        <is>
          <t>TO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20260212</v>
      </c>
      <c r="AM46" t="inlineStr">
        <is>
          <t>D845-900005260-10058501</t>
        </is>
      </c>
    </row>
    <row r="47">
      <c r="A47" t="inlineStr">
        <is>
          <t>900005260D84510038941</t>
        </is>
      </c>
      <c r="B47" t="inlineStr">
        <is>
          <t>4600068951-220</t>
        </is>
      </c>
      <c r="C47" t="n">
        <v>4600068951</v>
      </c>
      <c r="D47" t="n">
        <v>220</v>
      </c>
      <c r="E47" t="inlineStr">
        <is>
          <t>MXPO</t>
        </is>
      </c>
      <c r="F47" t="inlineStr">
        <is>
          <t>MXL</t>
        </is>
      </c>
      <c r="G47" t="n">
        <v>900005260</v>
      </c>
      <c r="H47" t="inlineStr">
        <is>
          <t>TP-GRAMOL SLP ESPECIAL</t>
        </is>
      </c>
      <c r="I47" t="n">
        <v>5005459</v>
      </c>
      <c r="J47" t="inlineStr">
        <is>
          <t>TRITURADOS GRAMOL SA DE CV</t>
        </is>
      </c>
      <c r="K47" t="inlineStr">
        <is>
          <t>Z04</t>
        </is>
      </c>
      <c r="L47" t="inlineStr">
        <is>
          <t>(AP) 30 Dias</t>
        </is>
      </c>
      <c r="M47" t="n">
        <v>10038941</v>
      </c>
      <c r="N47" t="inlineStr">
        <is>
          <t>Desperdicio Triturado Caliza</t>
        </is>
      </c>
      <c r="O47" t="inlineStr">
        <is>
          <t>D845</t>
        </is>
      </c>
      <c r="P47" t="inlineStr">
        <is>
          <t>MX-CED. SLP</t>
        </is>
      </c>
      <c r="Q47" t="n">
        <v>20231201</v>
      </c>
      <c r="R47" t="n">
        <v>20291231</v>
      </c>
      <c r="S47" t="n">
        <v>20260210</v>
      </c>
      <c r="T47" t="n">
        <v>20301231</v>
      </c>
      <c r="U47" t="n">
        <v>33</v>
      </c>
      <c r="V47" t="inlineStr">
        <is>
          <t>MXN</t>
        </is>
      </c>
      <c r="W47" t="inlineStr">
        <is>
          <t>TN</t>
        </is>
      </c>
      <c r="X47" t="n">
        <v>0</v>
      </c>
      <c r="Y47" t="inlineStr">
        <is>
          <t>MXN</t>
        </is>
      </c>
      <c r="Z47" t="inlineStr">
        <is>
          <t>TN</t>
        </is>
      </c>
      <c r="AC47" t="n">
        <v>56103695</v>
      </c>
      <c r="AD47" t="n">
        <v>6622351540</v>
      </c>
      <c r="AE47" t="n">
        <v>1</v>
      </c>
      <c r="AF47" t="inlineStr">
        <is>
          <t>ENTREGADO</t>
        </is>
      </c>
      <c r="AG47" t="n">
        <v>1</v>
      </c>
      <c r="AH47" t="inlineStr">
        <is>
          <t>TO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20260212</v>
      </c>
      <c r="AM47" t="inlineStr">
        <is>
          <t>D845-900005260-10038941</t>
        </is>
      </c>
    </row>
    <row r="48">
      <c r="A48" t="inlineStr">
        <is>
          <t>900006074D8456723113810167749</t>
        </is>
      </c>
      <c r="B48" t="inlineStr">
        <is>
          <t>4600044538-870</t>
        </is>
      </c>
      <c r="C48" t="n">
        <v>4600044538</v>
      </c>
      <c r="D48" t="n">
        <v>870</v>
      </c>
      <c r="E48" t="inlineStr">
        <is>
          <t>MXPO</t>
        </is>
      </c>
      <c r="F48" t="inlineStr">
        <is>
          <t>MXL</t>
        </is>
      </c>
      <c r="G48" t="n">
        <v>900006074</v>
      </c>
      <c r="H48" t="inlineStr">
        <is>
          <t>SF TP-ED- GRAMOL SLP</t>
        </is>
      </c>
      <c r="I48" t="n">
        <v>5005459</v>
      </c>
      <c r="J48" t="inlineStr">
        <is>
          <t>TRITURADOS GRAMOL SA DE CV</t>
        </is>
      </c>
      <c r="K48" t="inlineStr">
        <is>
          <t>Z04</t>
        </is>
      </c>
      <c r="L48" t="inlineStr">
        <is>
          <t>(AP) 30 Dias</t>
        </is>
      </c>
      <c r="M48" t="n">
        <v>10167749</v>
      </c>
      <c r="N48" t="inlineStr">
        <is>
          <t>BASE H CALIZA 1 1/2" A FINOS ESPECIAL</t>
        </is>
      </c>
      <c r="O48" t="inlineStr">
        <is>
          <t>D845</t>
        </is>
      </c>
      <c r="P48" t="inlineStr">
        <is>
          <t>MX-CED. SLP</t>
        </is>
      </c>
      <c r="Q48" t="n">
        <v>20190415</v>
      </c>
      <c r="R48" t="n">
        <v>20291231</v>
      </c>
      <c r="S48" t="n">
        <v>20240624</v>
      </c>
      <c r="T48" t="n">
        <v>20291231</v>
      </c>
      <c r="U48" t="n">
        <v>234</v>
      </c>
      <c r="V48" t="inlineStr">
        <is>
          <t>MXN</t>
        </is>
      </c>
      <c r="W48" t="inlineStr">
        <is>
          <t>TN</t>
        </is>
      </c>
      <c r="X48" t="n">
        <v>81</v>
      </c>
      <c r="Y48" t="inlineStr">
        <is>
          <t>MXN</t>
        </is>
      </c>
      <c r="Z48" t="inlineStr">
        <is>
          <t>TN</t>
        </is>
      </c>
      <c r="AA48" t="inlineStr">
        <is>
          <t>67231138</t>
        </is>
      </c>
      <c r="AB48" t="inlineStr">
        <is>
          <t>TMO PARQUE BMW (GBCM)</t>
        </is>
      </c>
      <c r="AC48" t="n">
        <v>56103590</v>
      </c>
      <c r="AD48" t="n">
        <v>6622351540</v>
      </c>
      <c r="AE48" t="n">
        <v>4</v>
      </c>
      <c r="AF48" t="inlineStr">
        <is>
          <t>ENTREGA DIRECTA</t>
        </is>
      </c>
      <c r="AG48" t="n">
        <v>1</v>
      </c>
      <c r="AH48" t="inlineStr">
        <is>
          <t>TO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20240806</v>
      </c>
      <c r="AM48" t="inlineStr">
        <is>
          <t>D845-900006074-67231138-10167749-4</t>
        </is>
      </c>
    </row>
    <row r="49">
      <c r="A49" t="inlineStr">
        <is>
          <t>900006074D8456723113810058501</t>
        </is>
      </c>
      <c r="B49" t="inlineStr">
        <is>
          <t>4600044538-860</t>
        </is>
      </c>
      <c r="C49" t="n">
        <v>4600044538</v>
      </c>
      <c r="D49" t="n">
        <v>860</v>
      </c>
      <c r="E49" t="inlineStr">
        <is>
          <t>MXPO</t>
        </is>
      </c>
      <c r="F49" t="inlineStr">
        <is>
          <t>MXL</t>
        </is>
      </c>
      <c r="G49" t="n">
        <v>900006074</v>
      </c>
      <c r="H49" t="inlineStr">
        <is>
          <t>SF TP-ED- GRAMOL SLP</t>
        </is>
      </c>
      <c r="I49" t="n">
        <v>5005459</v>
      </c>
      <c r="J49" t="inlineStr">
        <is>
          <t>TRITURADOS GRAMOL SA DE CV</t>
        </is>
      </c>
      <c r="K49" t="inlineStr">
        <is>
          <t>Z04</t>
        </is>
      </c>
      <c r="L49" t="inlineStr">
        <is>
          <t>(AP) 30 Dias</t>
        </is>
      </c>
      <c r="M49" t="n">
        <v>10058501</v>
      </c>
      <c r="N49" t="inlineStr">
        <is>
          <t>Base H Triturada Caliza 1 1/2" a Finos</t>
        </is>
      </c>
      <c r="O49" t="inlineStr">
        <is>
          <t>D845</t>
        </is>
      </c>
      <c r="P49" t="inlineStr">
        <is>
          <t>MX-CED. SLP</t>
        </is>
      </c>
      <c r="Q49" t="n">
        <v>20190415</v>
      </c>
      <c r="R49" t="n">
        <v>20291231</v>
      </c>
      <c r="S49" t="n">
        <v>20240624</v>
      </c>
      <c r="T49" t="n">
        <v>20291231</v>
      </c>
      <c r="U49" t="n">
        <v>224</v>
      </c>
      <c r="V49" t="inlineStr">
        <is>
          <t>MXN</t>
        </is>
      </c>
      <c r="W49" t="inlineStr">
        <is>
          <t>TN</t>
        </is>
      </c>
      <c r="X49" t="n">
        <v>81</v>
      </c>
      <c r="Y49" t="inlineStr">
        <is>
          <t>MXN</t>
        </is>
      </c>
      <c r="Z49" t="inlineStr">
        <is>
          <t>TN</t>
        </is>
      </c>
      <c r="AA49" t="inlineStr">
        <is>
          <t>67231138</t>
        </is>
      </c>
      <c r="AB49" t="inlineStr">
        <is>
          <t>TMO PARQUE BMW (GBCM)</t>
        </is>
      </c>
      <c r="AC49" t="n">
        <v>56103590</v>
      </c>
      <c r="AD49" t="n">
        <v>6622351540</v>
      </c>
      <c r="AE49" t="n">
        <v>4</v>
      </c>
      <c r="AF49" t="inlineStr">
        <is>
          <t>ENTREGA DIRECTA</t>
        </is>
      </c>
      <c r="AG49" t="n">
        <v>1</v>
      </c>
      <c r="AH49" t="inlineStr">
        <is>
          <t>TO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20240806</v>
      </c>
      <c r="AM49" t="inlineStr">
        <is>
          <t>D845-900006074-67231138-10058501-4</t>
        </is>
      </c>
    </row>
    <row r="50">
      <c r="A50" t="inlineStr">
        <is>
          <t>900006074D8456723076610058501</t>
        </is>
      </c>
      <c r="B50" t="inlineStr">
        <is>
          <t>4600044538-880</t>
        </is>
      </c>
      <c r="C50" t="n">
        <v>4600044538</v>
      </c>
      <c r="D50" t="n">
        <v>880</v>
      </c>
      <c r="E50" t="inlineStr">
        <is>
          <t>MXPO</t>
        </is>
      </c>
      <c r="F50" t="inlineStr">
        <is>
          <t>MXL</t>
        </is>
      </c>
      <c r="G50" t="n">
        <v>900006074</v>
      </c>
      <c r="H50" t="inlineStr">
        <is>
          <t>SF TP-ED- GRAMOL SLP</t>
        </is>
      </c>
      <c r="I50" t="n">
        <v>5005459</v>
      </c>
      <c r="J50" t="inlineStr">
        <is>
          <t>TRITURADOS GRAMOL SA DE CV</t>
        </is>
      </c>
      <c r="K50" t="inlineStr">
        <is>
          <t>Z04</t>
        </is>
      </c>
      <c r="L50" t="inlineStr">
        <is>
          <t>(AP) 30 Dias</t>
        </is>
      </c>
      <c r="M50" t="n">
        <v>10058501</v>
      </c>
      <c r="N50" t="inlineStr">
        <is>
          <t>Base H Triturada Caliza 1 1/2" a Finos</t>
        </is>
      </c>
      <c r="O50" t="inlineStr">
        <is>
          <t>D845</t>
        </is>
      </c>
      <c r="P50" t="inlineStr">
        <is>
          <t>MX-CED. SLP</t>
        </is>
      </c>
      <c r="Q50" t="n">
        <v>20190415</v>
      </c>
      <c r="R50" t="n">
        <v>20291231</v>
      </c>
      <c r="S50" t="n">
        <v>20240624</v>
      </c>
      <c r="T50" t="n">
        <v>20291231</v>
      </c>
      <c r="U50" t="n">
        <v>224</v>
      </c>
      <c r="V50" t="inlineStr">
        <is>
          <t>MXN</t>
        </is>
      </c>
      <c r="W50" t="inlineStr">
        <is>
          <t>TN</t>
        </is>
      </c>
      <c r="X50" t="n">
        <v>81</v>
      </c>
      <c r="Y50" t="inlineStr">
        <is>
          <t>MXN</t>
        </is>
      </c>
      <c r="Z50" t="inlineStr">
        <is>
          <t>TN</t>
        </is>
      </c>
      <c r="AA50" t="inlineStr">
        <is>
          <t>67230766</t>
        </is>
      </c>
      <c r="AB50" t="inlineStr">
        <is>
          <t>TKB BMW</t>
        </is>
      </c>
      <c r="AC50" t="n">
        <v>56103590</v>
      </c>
      <c r="AD50" t="n">
        <v>6622351540</v>
      </c>
      <c r="AE50" t="n">
        <v>4</v>
      </c>
      <c r="AF50" t="inlineStr">
        <is>
          <t>ENTREGA DIRECTA</t>
        </is>
      </c>
      <c r="AG50" t="n">
        <v>1</v>
      </c>
      <c r="AH50" t="inlineStr">
        <is>
          <t>TO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20240806</v>
      </c>
      <c r="AM50" t="inlineStr">
        <is>
          <t>D845-900006074-67230766-10058501-4</t>
        </is>
      </c>
    </row>
    <row r="51">
      <c r="A51" t="inlineStr">
        <is>
          <t>900006074D8456723076610167749</t>
        </is>
      </c>
      <c r="B51" t="inlineStr">
        <is>
          <t>4600044538-890</t>
        </is>
      </c>
      <c r="C51" t="n">
        <v>4600044538</v>
      </c>
      <c r="D51" t="n">
        <v>890</v>
      </c>
      <c r="E51" t="inlineStr">
        <is>
          <t>MXPO</t>
        </is>
      </c>
      <c r="F51" t="inlineStr">
        <is>
          <t>MXL</t>
        </is>
      </c>
      <c r="G51" t="n">
        <v>900006074</v>
      </c>
      <c r="H51" t="inlineStr">
        <is>
          <t>SF TP-ED- GRAMOL SLP</t>
        </is>
      </c>
      <c r="I51" t="n">
        <v>5005459</v>
      </c>
      <c r="J51" t="inlineStr">
        <is>
          <t>TRITURADOS GRAMOL SA DE CV</t>
        </is>
      </c>
      <c r="K51" t="inlineStr">
        <is>
          <t>Z04</t>
        </is>
      </c>
      <c r="L51" t="inlineStr">
        <is>
          <t>(AP) 30 Dias</t>
        </is>
      </c>
      <c r="M51" t="n">
        <v>10167749</v>
      </c>
      <c r="N51" t="inlineStr">
        <is>
          <t>BASE H CALIZA 1 1/2" A FINOS ESPECIAL</t>
        </is>
      </c>
      <c r="O51" t="inlineStr">
        <is>
          <t>D845</t>
        </is>
      </c>
      <c r="P51" t="inlineStr">
        <is>
          <t>MX-CED. SLP</t>
        </is>
      </c>
      <c r="Q51" t="n">
        <v>20190415</v>
      </c>
      <c r="R51" t="n">
        <v>20291231</v>
      </c>
      <c r="S51" t="n">
        <v>20240624</v>
      </c>
      <c r="T51" t="n">
        <v>20291231</v>
      </c>
      <c r="U51" t="n">
        <v>234</v>
      </c>
      <c r="V51" t="inlineStr">
        <is>
          <t>MXN</t>
        </is>
      </c>
      <c r="W51" t="inlineStr">
        <is>
          <t>TN</t>
        </is>
      </c>
      <c r="X51" t="n">
        <v>81</v>
      </c>
      <c r="Y51" t="inlineStr">
        <is>
          <t>MXN</t>
        </is>
      </c>
      <c r="Z51" t="inlineStr">
        <is>
          <t>TN</t>
        </is>
      </c>
      <c r="AA51" t="inlineStr">
        <is>
          <t>67230766</t>
        </is>
      </c>
      <c r="AB51" t="inlineStr">
        <is>
          <t>TKB BMW</t>
        </is>
      </c>
      <c r="AC51" t="n">
        <v>56103590</v>
      </c>
      <c r="AD51" t="n">
        <v>6622351540</v>
      </c>
      <c r="AE51" t="n">
        <v>4</v>
      </c>
      <c r="AF51" t="inlineStr">
        <is>
          <t>ENTREGA DIRECTA</t>
        </is>
      </c>
      <c r="AG51" t="n">
        <v>1</v>
      </c>
      <c r="AH51" t="inlineStr">
        <is>
          <t>TO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20240806</v>
      </c>
      <c r="AM51" t="inlineStr">
        <is>
          <t>D845-900006074-67230766-10167749-4</t>
        </is>
      </c>
    </row>
    <row r="52">
      <c r="A52" t="inlineStr">
        <is>
          <t>900006074D8456708237910000578</t>
        </is>
      </c>
      <c r="B52" t="inlineStr">
        <is>
          <t>4600044538-600</t>
        </is>
      </c>
      <c r="C52" t="n">
        <v>4600044538</v>
      </c>
      <c r="D52" t="n">
        <v>600</v>
      </c>
      <c r="E52" t="inlineStr">
        <is>
          <t>MXPO</t>
        </is>
      </c>
      <c r="F52" t="inlineStr">
        <is>
          <t>MXL</t>
        </is>
      </c>
      <c r="G52" t="n">
        <v>900006074</v>
      </c>
      <c r="H52" t="inlineStr">
        <is>
          <t>SF TP-ED- GRAMOL SLP</t>
        </is>
      </c>
      <c r="I52" t="n">
        <v>5005459</v>
      </c>
      <c r="J52" t="inlineStr">
        <is>
          <t>TRITURADOS GRAMOL SA DE CV</t>
        </is>
      </c>
      <c r="K52" t="inlineStr">
        <is>
          <t>Z04</t>
        </is>
      </c>
      <c r="L52" t="inlineStr">
        <is>
          <t>(AP) 30 Dias</t>
        </is>
      </c>
      <c r="M52" t="n">
        <v>10000578</v>
      </c>
      <c r="N52" t="inlineStr">
        <is>
          <t>Grava Triturada Caliza 20 mm - 3/4"</t>
        </is>
      </c>
      <c r="O52" t="inlineStr">
        <is>
          <t>D845</t>
        </is>
      </c>
      <c r="P52" t="inlineStr">
        <is>
          <t>MX-CED. SLP</t>
        </is>
      </c>
      <c r="Q52" t="n">
        <v>20190415</v>
      </c>
      <c r="R52" t="n">
        <v>20291231</v>
      </c>
      <c r="S52" t="n">
        <v>20230201</v>
      </c>
      <c r="T52" t="n">
        <v>20281231</v>
      </c>
      <c r="U52" t="n">
        <v>177</v>
      </c>
      <c r="V52" t="inlineStr">
        <is>
          <t>MXN</t>
        </is>
      </c>
      <c r="W52" t="inlineStr">
        <is>
          <t>TN</t>
        </is>
      </c>
      <c r="X52" t="n">
        <v>53</v>
      </c>
      <c r="Y52" t="inlineStr">
        <is>
          <t>MXN</t>
        </is>
      </c>
      <c r="Z52" t="inlineStr">
        <is>
          <t>TN</t>
        </is>
      </c>
      <c r="AA52" t="inlineStr">
        <is>
          <t>67082379</t>
        </is>
      </c>
      <c r="AB52" t="inlineStr">
        <is>
          <t>PLANTA ZONA INDUSTRIAL</t>
        </is>
      </c>
      <c r="AC52" t="n">
        <v>56103637</v>
      </c>
      <c r="AD52" t="n">
        <v>6622351540</v>
      </c>
      <c r="AE52" t="n">
        <v>4</v>
      </c>
      <c r="AF52" t="inlineStr">
        <is>
          <t>ENTREGA DIRECTA</t>
        </is>
      </c>
      <c r="AG52" t="n">
        <v>1</v>
      </c>
      <c r="AH52" t="inlineStr">
        <is>
          <t>TO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20230920</v>
      </c>
      <c r="AM52" t="inlineStr">
        <is>
          <t>D845-900006074-67082379-10000578-4</t>
        </is>
      </c>
    </row>
    <row r="53">
      <c r="A53" t="inlineStr">
        <is>
          <t>900006074D8456652809410000578</t>
        </is>
      </c>
      <c r="B53" t="inlineStr">
        <is>
          <t>4600044538-20</t>
        </is>
      </c>
      <c r="C53" t="n">
        <v>4600044538</v>
      </c>
      <c r="D53" t="n">
        <v>20</v>
      </c>
      <c r="E53" t="inlineStr">
        <is>
          <t>MXPO</t>
        </is>
      </c>
      <c r="F53" t="inlineStr">
        <is>
          <t>MXL</t>
        </is>
      </c>
      <c r="G53" t="n">
        <v>900006074</v>
      </c>
      <c r="H53" t="inlineStr">
        <is>
          <t>SF TP-ED- GRAMOL SLP</t>
        </is>
      </c>
      <c r="I53" t="n">
        <v>5005459</v>
      </c>
      <c r="J53" t="inlineStr">
        <is>
          <t>TRITURADOS GRAMOL SA DE CV</t>
        </is>
      </c>
      <c r="K53" t="inlineStr">
        <is>
          <t>Z04</t>
        </is>
      </c>
      <c r="L53" t="inlineStr">
        <is>
          <t>(AP) 30 Dias</t>
        </is>
      </c>
      <c r="M53" t="n">
        <v>10000578</v>
      </c>
      <c r="N53" t="inlineStr">
        <is>
          <t>Grava Triturada Caliza 20 mm - 3/4"</t>
        </is>
      </c>
      <c r="O53" t="inlineStr">
        <is>
          <t>D845</t>
        </is>
      </c>
      <c r="P53" t="inlineStr">
        <is>
          <t>MX-CED. SLP</t>
        </is>
      </c>
      <c r="Q53" t="n">
        <v>20190415</v>
      </c>
      <c r="R53" t="n">
        <v>20291231</v>
      </c>
      <c r="S53" t="n">
        <v>20190412</v>
      </c>
      <c r="T53" t="n">
        <v>20241231</v>
      </c>
      <c r="U53" t="n">
        <v>122.8</v>
      </c>
      <c r="V53" t="inlineStr">
        <is>
          <t>MXN</t>
        </is>
      </c>
      <c r="W53" t="inlineStr">
        <is>
          <t>TN</t>
        </is>
      </c>
      <c r="X53" t="n">
        <v>52.8</v>
      </c>
      <c r="Y53" t="inlineStr">
        <is>
          <t>MXN</t>
        </is>
      </c>
      <c r="Z53" t="inlineStr">
        <is>
          <t>TN</t>
        </is>
      </c>
      <c r="AA53" t="inlineStr">
        <is>
          <t>66528094</t>
        </is>
      </c>
      <c r="AB53" t="inlineStr">
        <is>
          <t>TRATADORA EL MORRO</t>
        </is>
      </c>
      <c r="AC53" t="n">
        <v>56103637</v>
      </c>
      <c r="AD53" t="n">
        <v>6622351540</v>
      </c>
      <c r="AE53" t="n">
        <v>4</v>
      </c>
      <c r="AF53" t="inlineStr">
        <is>
          <t>ENTREGA DIRECTA</t>
        </is>
      </c>
      <c r="AG53" t="n">
        <v>1</v>
      </c>
      <c r="AH53" t="inlineStr">
        <is>
          <t>TO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20230920</v>
      </c>
      <c r="AM53" t="inlineStr">
        <is>
          <t>D845-900006074-66528094-10000578-4</t>
        </is>
      </c>
    </row>
    <row r="54">
      <c r="A54" t="inlineStr">
        <is>
          <t>900006074D8456708237910000617</t>
        </is>
      </c>
      <c r="B54" t="inlineStr">
        <is>
          <t>4600044538-590</t>
        </is>
      </c>
      <c r="C54" t="n">
        <v>4600044538</v>
      </c>
      <c r="D54" t="n">
        <v>590</v>
      </c>
      <c r="E54" t="inlineStr">
        <is>
          <t>MXPO</t>
        </is>
      </c>
      <c r="F54" t="inlineStr">
        <is>
          <t>MXL</t>
        </is>
      </c>
      <c r="G54" t="n">
        <v>900006074</v>
      </c>
      <c r="H54" t="inlineStr">
        <is>
          <t>SF TP-ED- GRAMOL SLP</t>
        </is>
      </c>
      <c r="I54" t="n">
        <v>5005459</v>
      </c>
      <c r="J54" t="inlineStr">
        <is>
          <t>TRITURADOS GRAMOL SA DE CV</t>
        </is>
      </c>
      <c r="K54" t="inlineStr">
        <is>
          <t>Z04</t>
        </is>
      </c>
      <c r="L54" t="inlineStr">
        <is>
          <t>(AP) 30 Dias</t>
        </is>
      </c>
      <c r="M54" t="n">
        <v>10000617</v>
      </c>
      <c r="N54" t="inlineStr">
        <is>
          <t>Arena Triturada Caliza Malla 5</t>
        </is>
      </c>
      <c r="O54" t="inlineStr">
        <is>
          <t>D845</t>
        </is>
      </c>
      <c r="P54" t="inlineStr">
        <is>
          <t>MX-CED. SLP</t>
        </is>
      </c>
      <c r="Q54" t="n">
        <v>20190415</v>
      </c>
      <c r="R54" t="n">
        <v>20291231</v>
      </c>
      <c r="S54" t="n">
        <v>20230201</v>
      </c>
      <c r="T54" t="n">
        <v>20281231</v>
      </c>
      <c r="U54" t="n">
        <v>187</v>
      </c>
      <c r="V54" t="inlineStr">
        <is>
          <t>MXN</t>
        </is>
      </c>
      <c r="W54" t="inlineStr">
        <is>
          <t>TN</t>
        </is>
      </c>
      <c r="X54" t="n">
        <v>53</v>
      </c>
      <c r="Y54" t="inlineStr">
        <is>
          <t>MXN</t>
        </is>
      </c>
      <c r="Z54" t="inlineStr">
        <is>
          <t>TN</t>
        </is>
      </c>
      <c r="AA54" t="inlineStr">
        <is>
          <t>67082379</t>
        </is>
      </c>
      <c r="AB54" t="inlineStr">
        <is>
          <t>PLANTA ZONA INDUSTRIAL</t>
        </is>
      </c>
      <c r="AC54" t="n">
        <v>56103638</v>
      </c>
      <c r="AD54" t="n">
        <v>6622351540</v>
      </c>
      <c r="AE54" t="n">
        <v>4</v>
      </c>
      <c r="AF54" t="inlineStr">
        <is>
          <t>ENTREGA DIRECTA</t>
        </is>
      </c>
      <c r="AG54" t="n">
        <v>1</v>
      </c>
      <c r="AH54" t="inlineStr">
        <is>
          <t>TO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20230920</v>
      </c>
      <c r="AM54" t="inlineStr">
        <is>
          <t>D845-900006074-67082379-10000617-4</t>
        </is>
      </c>
    </row>
    <row r="55">
      <c r="A55" t="inlineStr">
        <is>
          <t>900006074D8456677912110000617</t>
        </is>
      </c>
      <c r="B55" t="inlineStr">
        <is>
          <t>4600044538-30</t>
        </is>
      </c>
      <c r="C55" t="n">
        <v>4600044538</v>
      </c>
      <c r="D55" t="n">
        <v>30</v>
      </c>
      <c r="E55" t="inlineStr">
        <is>
          <t>MXPO</t>
        </is>
      </c>
      <c r="F55" t="inlineStr">
        <is>
          <t>MXL</t>
        </is>
      </c>
      <c r="G55" t="n">
        <v>900006074</v>
      </c>
      <c r="H55" t="inlineStr">
        <is>
          <t>SF TP-ED- GRAMOL SLP</t>
        </is>
      </c>
      <c r="I55" t="n">
        <v>5005459</v>
      </c>
      <c r="J55" t="inlineStr">
        <is>
          <t>TRITURADOS GRAMOL SA DE CV</t>
        </is>
      </c>
      <c r="K55" t="inlineStr">
        <is>
          <t>Z04</t>
        </is>
      </c>
      <c r="L55" t="inlineStr">
        <is>
          <t>(AP) 30 Dias</t>
        </is>
      </c>
      <c r="M55" t="n">
        <v>10000617</v>
      </c>
      <c r="N55" t="inlineStr">
        <is>
          <t>Arena Triturada Caliza Malla 5</t>
        </is>
      </c>
      <c r="O55" t="inlineStr">
        <is>
          <t>D845</t>
        </is>
      </c>
      <c r="P55" t="inlineStr">
        <is>
          <t>MX-CED. SLP</t>
        </is>
      </c>
      <c r="Q55" t="n">
        <v>20190415</v>
      </c>
      <c r="R55" t="n">
        <v>20291231</v>
      </c>
      <c r="S55" t="n">
        <v>20190612</v>
      </c>
      <c r="T55" t="n">
        <v>20241231</v>
      </c>
      <c r="U55" t="n">
        <v>179.85</v>
      </c>
      <c r="V55" t="inlineStr">
        <is>
          <t>MXN</t>
        </is>
      </c>
      <c r="W55" t="inlineStr">
        <is>
          <t>TN</t>
        </is>
      </c>
      <c r="X55" t="n">
        <v>96.84999999999999</v>
      </c>
      <c r="Y55" t="inlineStr">
        <is>
          <t>MXN</t>
        </is>
      </c>
      <c r="Z55" t="inlineStr">
        <is>
          <t>TN</t>
        </is>
      </c>
      <c r="AA55" t="inlineStr">
        <is>
          <t>66779121</t>
        </is>
      </c>
      <c r="AB55" t="inlineStr">
        <is>
          <t>COCONAL VILLA DE REYES</t>
        </is>
      </c>
      <c r="AC55" t="n">
        <v>56103638</v>
      </c>
      <c r="AD55" t="n">
        <v>6622351540</v>
      </c>
      <c r="AE55" t="n">
        <v>4</v>
      </c>
      <c r="AF55" t="inlineStr">
        <is>
          <t>ENTREGA DIRECTA</t>
        </is>
      </c>
      <c r="AG55" t="n">
        <v>1</v>
      </c>
      <c r="AH55" t="inlineStr">
        <is>
          <t>TO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20230920</v>
      </c>
      <c r="AM55" t="inlineStr">
        <is>
          <t>D845-900006074-66779121-10000617-4</t>
        </is>
      </c>
    </row>
    <row r="56">
      <c r="A56" t="inlineStr">
        <is>
          <t>900006074D8456677912110000656</t>
        </is>
      </c>
      <c r="B56" t="inlineStr">
        <is>
          <t>4600044538-60</t>
        </is>
      </c>
      <c r="C56" t="n">
        <v>4600044538</v>
      </c>
      <c r="D56" t="n">
        <v>60</v>
      </c>
      <c r="E56" t="inlineStr">
        <is>
          <t>MXPO</t>
        </is>
      </c>
      <c r="F56" t="inlineStr">
        <is>
          <t>MXL</t>
        </is>
      </c>
      <c r="G56" t="n">
        <v>900006074</v>
      </c>
      <c r="H56" t="inlineStr">
        <is>
          <t>SF TP-ED- GRAMOL SLP</t>
        </is>
      </c>
      <c r="I56" t="n">
        <v>5005459</v>
      </c>
      <c r="J56" t="inlineStr">
        <is>
          <t>TRITURADOS GRAMOL SA DE CV</t>
        </is>
      </c>
      <c r="K56" t="inlineStr">
        <is>
          <t>Z04</t>
        </is>
      </c>
      <c r="L56" t="inlineStr">
        <is>
          <t>(AP) 30 Dias</t>
        </is>
      </c>
      <c r="M56" t="n">
        <v>10000656</v>
      </c>
      <c r="N56" t="inlineStr">
        <is>
          <t>Grava Triturada Caliza 10 mm - 3/8"</t>
        </is>
      </c>
      <c r="O56" t="inlineStr">
        <is>
          <t>D845</t>
        </is>
      </c>
      <c r="P56" t="inlineStr">
        <is>
          <t>MX-CED. SLP</t>
        </is>
      </c>
      <c r="Q56" t="n">
        <v>20190415</v>
      </c>
      <c r="R56" t="n">
        <v>20291231</v>
      </c>
      <c r="S56" t="n">
        <v>20190612</v>
      </c>
      <c r="T56" t="n">
        <v>20241231</v>
      </c>
      <c r="U56" t="n">
        <v>164.85</v>
      </c>
      <c r="V56" t="inlineStr">
        <is>
          <t>MXN</t>
        </is>
      </c>
      <c r="W56" t="inlineStr">
        <is>
          <t>TN</t>
        </is>
      </c>
      <c r="X56" t="n">
        <v>96.84999999999999</v>
      </c>
      <c r="Y56" t="inlineStr">
        <is>
          <t>MXN</t>
        </is>
      </c>
      <c r="Z56" t="inlineStr">
        <is>
          <t>TN</t>
        </is>
      </c>
      <c r="AA56" t="inlineStr">
        <is>
          <t>66779121</t>
        </is>
      </c>
      <c r="AB56" t="inlineStr">
        <is>
          <t>COCONAL VILLA DE REYES</t>
        </is>
      </c>
      <c r="AC56" t="n">
        <v>56103637</v>
      </c>
      <c r="AD56" t="n">
        <v>6622351540</v>
      </c>
      <c r="AE56" t="n">
        <v>4</v>
      </c>
      <c r="AF56" t="inlineStr">
        <is>
          <t>ENTREGA DIRECTA</t>
        </is>
      </c>
      <c r="AG56" t="n">
        <v>1</v>
      </c>
      <c r="AH56" t="inlineStr">
        <is>
          <t>TO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20230920</v>
      </c>
      <c r="AM56" t="inlineStr">
        <is>
          <t>D845-900006074-66779121-10000656-4</t>
        </is>
      </c>
    </row>
    <row r="57">
      <c r="A57" t="inlineStr">
        <is>
          <t>900006074D8456708237910000536</t>
        </is>
      </c>
      <c r="B57" t="inlineStr">
        <is>
          <t>4600044538-610</t>
        </is>
      </c>
      <c r="C57" t="n">
        <v>4600044538</v>
      </c>
      <c r="D57" t="n">
        <v>610</v>
      </c>
      <c r="E57" t="inlineStr">
        <is>
          <t>MXPO</t>
        </is>
      </c>
      <c r="F57" t="inlineStr">
        <is>
          <t>MXL</t>
        </is>
      </c>
      <c r="G57" t="n">
        <v>900006074</v>
      </c>
      <c r="H57" t="inlineStr">
        <is>
          <t>SF TP-ED- GRAMOL SLP</t>
        </is>
      </c>
      <c r="I57" t="n">
        <v>5005459</v>
      </c>
      <c r="J57" t="inlineStr">
        <is>
          <t>TRITURADOS GRAMOL SA DE CV</t>
        </is>
      </c>
      <c r="K57" t="inlineStr">
        <is>
          <t>Z04</t>
        </is>
      </c>
      <c r="L57" t="inlineStr">
        <is>
          <t>(AP) 30 Dias</t>
        </is>
      </c>
      <c r="M57" t="n">
        <v>10000536</v>
      </c>
      <c r="N57" t="inlineStr">
        <is>
          <t>Grava Triturada Caliza 40 mm - 1 1/2"</t>
        </is>
      </c>
      <c r="O57" t="inlineStr">
        <is>
          <t>D845</t>
        </is>
      </c>
      <c r="P57" t="inlineStr">
        <is>
          <t>MX-CED. SLP</t>
        </is>
      </c>
      <c r="Q57" t="n">
        <v>20190415</v>
      </c>
      <c r="R57" t="n">
        <v>20291231</v>
      </c>
      <c r="S57" t="n">
        <v>20230201</v>
      </c>
      <c r="T57" t="n">
        <v>20281231</v>
      </c>
      <c r="U57" t="n">
        <v>177</v>
      </c>
      <c r="V57" t="inlineStr">
        <is>
          <t>MXN</t>
        </is>
      </c>
      <c r="W57" t="inlineStr">
        <is>
          <t>TN</t>
        </is>
      </c>
      <c r="X57" t="n">
        <v>53</v>
      </c>
      <c r="Y57" t="inlineStr">
        <is>
          <t>MXN</t>
        </is>
      </c>
      <c r="Z57" t="inlineStr">
        <is>
          <t>TN</t>
        </is>
      </c>
      <c r="AA57" t="inlineStr">
        <is>
          <t>67082379</t>
        </is>
      </c>
      <c r="AB57" t="inlineStr">
        <is>
          <t>PLANTA ZONA INDUSTRIAL</t>
        </is>
      </c>
      <c r="AC57" t="n">
        <v>56103637</v>
      </c>
      <c r="AD57" t="n">
        <v>6622351540</v>
      </c>
      <c r="AE57" t="n">
        <v>4</v>
      </c>
      <c r="AF57" t="inlineStr">
        <is>
          <t>ENTREGA DIRECTA</t>
        </is>
      </c>
      <c r="AG57" t="n">
        <v>1</v>
      </c>
      <c r="AH57" t="inlineStr">
        <is>
          <t>TO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20230920</v>
      </c>
      <c r="AM57" t="inlineStr">
        <is>
          <t>D845-900006074-67082379-10000536-4</t>
        </is>
      </c>
    </row>
    <row r="58">
      <c r="A58" t="inlineStr">
        <is>
          <t>900006074D8456708237910000656</t>
        </is>
      </c>
      <c r="B58" t="inlineStr">
        <is>
          <t>4600044538-620</t>
        </is>
      </c>
      <c r="C58" t="n">
        <v>4600044538</v>
      </c>
      <c r="D58" t="n">
        <v>620</v>
      </c>
      <c r="E58" t="inlineStr">
        <is>
          <t>MXPO</t>
        </is>
      </c>
      <c r="F58" t="inlineStr">
        <is>
          <t>MXL</t>
        </is>
      </c>
      <c r="G58" t="n">
        <v>900006074</v>
      </c>
      <c r="H58" t="inlineStr">
        <is>
          <t>SF TP-ED- GRAMOL SLP</t>
        </is>
      </c>
      <c r="I58" t="n">
        <v>5005459</v>
      </c>
      <c r="J58" t="inlineStr">
        <is>
          <t>TRITURADOS GRAMOL SA DE CV</t>
        </is>
      </c>
      <c r="K58" t="inlineStr">
        <is>
          <t>Z04</t>
        </is>
      </c>
      <c r="L58" t="inlineStr">
        <is>
          <t>(AP) 30 Dias</t>
        </is>
      </c>
      <c r="M58" t="n">
        <v>10000656</v>
      </c>
      <c r="N58" t="inlineStr">
        <is>
          <t>Grava Triturada Caliza 10 mm - 3/8"</t>
        </is>
      </c>
      <c r="O58" t="inlineStr">
        <is>
          <t>D845</t>
        </is>
      </c>
      <c r="P58" t="inlineStr">
        <is>
          <t>MX-CED. SLP</t>
        </is>
      </c>
      <c r="Q58" t="n">
        <v>20190415</v>
      </c>
      <c r="R58" t="n">
        <v>20291231</v>
      </c>
      <c r="S58" t="n">
        <v>20230201</v>
      </c>
      <c r="T58" t="n">
        <v>20281231</v>
      </c>
      <c r="U58" t="n">
        <v>185</v>
      </c>
      <c r="V58" t="inlineStr">
        <is>
          <t>MXN</t>
        </is>
      </c>
      <c r="W58" t="inlineStr">
        <is>
          <t>TN</t>
        </is>
      </c>
      <c r="X58" t="n">
        <v>53</v>
      </c>
      <c r="Y58" t="inlineStr">
        <is>
          <t>MXN</t>
        </is>
      </c>
      <c r="Z58" t="inlineStr">
        <is>
          <t>TN</t>
        </is>
      </c>
      <c r="AA58" t="inlineStr">
        <is>
          <t>67082379</t>
        </is>
      </c>
      <c r="AB58" t="inlineStr">
        <is>
          <t>PLANTA ZONA INDUSTRIAL</t>
        </is>
      </c>
      <c r="AC58" t="n">
        <v>56103637</v>
      </c>
      <c r="AD58" t="n">
        <v>6622351540</v>
      </c>
      <c r="AE58" t="n">
        <v>4</v>
      </c>
      <c r="AF58" t="inlineStr">
        <is>
          <t>ENTREGA DIRECTA</t>
        </is>
      </c>
      <c r="AG58" t="n">
        <v>1</v>
      </c>
      <c r="AH58" t="inlineStr">
        <is>
          <t>TO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20230920</v>
      </c>
      <c r="AM58" t="inlineStr">
        <is>
          <t>D845-900006074-67082379-10000656-4</t>
        </is>
      </c>
    </row>
    <row r="59">
      <c r="A59" t="inlineStr">
        <is>
          <t>900006074D8456677912110000536</t>
        </is>
      </c>
      <c r="B59" t="inlineStr">
        <is>
          <t>4600044538-50</t>
        </is>
      </c>
      <c r="C59" t="n">
        <v>4600044538</v>
      </c>
      <c r="D59" t="n">
        <v>50</v>
      </c>
      <c r="E59" t="inlineStr">
        <is>
          <t>MXPO</t>
        </is>
      </c>
      <c r="F59" t="inlineStr">
        <is>
          <t>MXL</t>
        </is>
      </c>
      <c r="G59" t="n">
        <v>900006074</v>
      </c>
      <c r="H59" t="inlineStr">
        <is>
          <t>SF TP-ED- GRAMOL SLP</t>
        </is>
      </c>
      <c r="I59" t="n">
        <v>5005459</v>
      </c>
      <c r="J59" t="inlineStr">
        <is>
          <t>TRITURADOS GRAMOL SA DE CV</t>
        </is>
      </c>
      <c r="K59" t="inlineStr">
        <is>
          <t>Z04</t>
        </is>
      </c>
      <c r="L59" t="inlineStr">
        <is>
          <t>(AP) 30 Dias</t>
        </is>
      </c>
      <c r="M59" t="n">
        <v>10000536</v>
      </c>
      <c r="N59" t="inlineStr">
        <is>
          <t>Grava Triturada Caliza 40 mm - 1 1/2"</t>
        </is>
      </c>
      <c r="O59" t="inlineStr">
        <is>
          <t>D845</t>
        </is>
      </c>
      <c r="P59" t="inlineStr">
        <is>
          <t>MX-CED. SLP</t>
        </is>
      </c>
      <c r="Q59" t="n">
        <v>20190415</v>
      </c>
      <c r="R59" t="n">
        <v>20291231</v>
      </c>
      <c r="S59" t="n">
        <v>20190612</v>
      </c>
      <c r="T59" t="n">
        <v>20241231</v>
      </c>
      <c r="U59" t="n">
        <v>165.85</v>
      </c>
      <c r="V59" t="inlineStr">
        <is>
          <t>MXN</t>
        </is>
      </c>
      <c r="W59" t="inlineStr">
        <is>
          <t>TN</t>
        </is>
      </c>
      <c r="X59" t="n">
        <v>96.84999999999999</v>
      </c>
      <c r="Y59" t="inlineStr">
        <is>
          <t>MXN</t>
        </is>
      </c>
      <c r="Z59" t="inlineStr">
        <is>
          <t>TN</t>
        </is>
      </c>
      <c r="AA59" t="inlineStr">
        <is>
          <t>66779121</t>
        </is>
      </c>
      <c r="AB59" t="inlineStr">
        <is>
          <t>COCONAL VILLA DE REYES</t>
        </is>
      </c>
      <c r="AC59" t="n">
        <v>56103637</v>
      </c>
      <c r="AD59" t="n">
        <v>6622351540</v>
      </c>
      <c r="AE59" t="n">
        <v>4</v>
      </c>
      <c r="AF59" t="inlineStr">
        <is>
          <t>ENTREGA DIRECTA</t>
        </is>
      </c>
      <c r="AG59" t="n">
        <v>1</v>
      </c>
      <c r="AH59" t="inlineStr">
        <is>
          <t>TO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20230920</v>
      </c>
      <c r="AM59" t="inlineStr">
        <is>
          <t>D845-900006074-66779121-10000536-4</t>
        </is>
      </c>
    </row>
    <row r="60">
      <c r="A60" t="inlineStr">
        <is>
          <t>900006074D8456717028210167749</t>
        </is>
      </c>
      <c r="B60" t="inlineStr">
        <is>
          <t>4600044538-740</t>
        </is>
      </c>
      <c r="C60" t="n">
        <v>4600044538</v>
      </c>
      <c r="D60" t="n">
        <v>740</v>
      </c>
      <c r="E60" t="inlineStr">
        <is>
          <t>MXPO</t>
        </is>
      </c>
      <c r="F60" t="inlineStr">
        <is>
          <t>MXL</t>
        </is>
      </c>
      <c r="G60" t="n">
        <v>900006074</v>
      </c>
      <c r="H60" t="inlineStr">
        <is>
          <t>SF TP-ED- GRAMOL SLP</t>
        </is>
      </c>
      <c r="I60" t="n">
        <v>5005459</v>
      </c>
      <c r="J60" t="inlineStr">
        <is>
          <t>TRITURADOS GRAMOL SA DE CV</t>
        </is>
      </c>
      <c r="K60" t="inlineStr">
        <is>
          <t>Z04</t>
        </is>
      </c>
      <c r="L60" t="inlineStr">
        <is>
          <t>(AP) 30 Dias</t>
        </is>
      </c>
      <c r="M60" t="n">
        <v>10167749</v>
      </c>
      <c r="N60" t="inlineStr">
        <is>
          <t>BASE H CALIZA 1 1/2" A FINOS ESPECIAL</t>
        </is>
      </c>
      <c r="O60" t="inlineStr">
        <is>
          <t>D845</t>
        </is>
      </c>
      <c r="P60" t="inlineStr">
        <is>
          <t>MX-CED. SLP</t>
        </is>
      </c>
      <c r="Q60" t="n">
        <v>20190415</v>
      </c>
      <c r="R60" t="n">
        <v>20291231</v>
      </c>
      <c r="S60" t="n">
        <v>20231128</v>
      </c>
      <c r="T60" t="n">
        <v>20281231</v>
      </c>
      <c r="U60" t="n">
        <v>169</v>
      </c>
      <c r="V60" t="inlineStr">
        <is>
          <t>MXN</t>
        </is>
      </c>
      <c r="W60" t="inlineStr">
        <is>
          <t>TN</t>
        </is>
      </c>
      <c r="X60" t="n">
        <v>42</v>
      </c>
      <c r="Y60" t="inlineStr">
        <is>
          <t>MXN</t>
        </is>
      </c>
      <c r="Z60" t="inlineStr">
        <is>
          <t>TN</t>
        </is>
      </c>
      <c r="AA60" t="inlineStr">
        <is>
          <t>67170282</t>
        </is>
      </c>
      <c r="AB60" t="inlineStr">
        <is>
          <t>VILLA DE POZOS ERA</t>
        </is>
      </c>
      <c r="AC60" t="n">
        <v>56103590</v>
      </c>
      <c r="AD60" t="n">
        <v>6622351540</v>
      </c>
      <c r="AE60" t="n">
        <v>4</v>
      </c>
      <c r="AF60" t="inlineStr">
        <is>
          <t>ENTREGA DIRECTA</t>
        </is>
      </c>
      <c r="AG60" t="n">
        <v>1</v>
      </c>
      <c r="AH60" t="inlineStr">
        <is>
          <t>TO</t>
        </is>
      </c>
      <c r="AI60" t="inlineStr">
        <is>
          <t>X</t>
        </is>
      </c>
      <c r="AJ60" t="n">
        <v>4</v>
      </c>
      <c r="AK60" t="inlineStr">
        <is>
          <t>V1</t>
        </is>
      </c>
      <c r="AL60" t="n">
        <v>20240331</v>
      </c>
      <c r="AM60" t="inlineStr">
        <is>
          <t>D845-900006074-67170282-10167749-4</t>
        </is>
      </c>
    </row>
    <row r="61">
      <c r="A61" t="inlineStr">
        <is>
          <t>900006074D8456712807710167749</t>
        </is>
      </c>
      <c r="B61" t="inlineStr">
        <is>
          <t>4600044538-670</t>
        </is>
      </c>
      <c r="C61" t="n">
        <v>4600044538</v>
      </c>
      <c r="D61" t="n">
        <v>670</v>
      </c>
      <c r="E61" t="inlineStr">
        <is>
          <t>MXPO</t>
        </is>
      </c>
      <c r="F61" t="inlineStr">
        <is>
          <t>MXL</t>
        </is>
      </c>
      <c r="G61" t="n">
        <v>900006074</v>
      </c>
      <c r="H61" t="inlineStr">
        <is>
          <t>SF TP-ED- GRAMOL SLP</t>
        </is>
      </c>
      <c r="I61" t="n">
        <v>5005459</v>
      </c>
      <c r="J61" t="inlineStr">
        <is>
          <t>TRITURADOS GRAMOL SA DE CV</t>
        </is>
      </c>
      <c r="K61" t="inlineStr">
        <is>
          <t>Z04</t>
        </is>
      </c>
      <c r="L61" t="inlineStr">
        <is>
          <t>(AP) 30 Dias</t>
        </is>
      </c>
      <c r="M61" t="n">
        <v>10167749</v>
      </c>
      <c r="N61" t="inlineStr">
        <is>
          <t>BASE H CALIZA 1 1/2" A FINOS ESPECIAL</t>
        </is>
      </c>
      <c r="O61" t="inlineStr">
        <is>
          <t>D845</t>
        </is>
      </c>
      <c r="P61" t="inlineStr">
        <is>
          <t>MX-CED. SLP</t>
        </is>
      </c>
      <c r="Q61" t="n">
        <v>20190415</v>
      </c>
      <c r="R61" t="n">
        <v>20291231</v>
      </c>
      <c r="S61" t="n">
        <v>20230210</v>
      </c>
      <c r="T61" t="n">
        <v>20281231</v>
      </c>
      <c r="U61" t="n">
        <v>204</v>
      </c>
      <c r="V61" t="inlineStr">
        <is>
          <t>MXN</t>
        </is>
      </c>
      <c r="W61" t="inlineStr">
        <is>
          <t>TN</t>
        </is>
      </c>
      <c r="X61" t="n">
        <v>77</v>
      </c>
      <c r="Y61" t="inlineStr">
        <is>
          <t>MXN</t>
        </is>
      </c>
      <c r="Z61" t="inlineStr">
        <is>
          <t>TN</t>
        </is>
      </c>
      <c r="AA61" t="inlineStr">
        <is>
          <t>67128077</t>
        </is>
      </c>
      <c r="AB61" t="inlineStr">
        <is>
          <t>CP-I PAVIMENTACIÓN CALLE SAUCE</t>
        </is>
      </c>
      <c r="AC61" t="n">
        <v>56103590</v>
      </c>
      <c r="AD61" t="n">
        <v>6622351540</v>
      </c>
      <c r="AE61" t="n">
        <v>4</v>
      </c>
      <c r="AF61" t="inlineStr">
        <is>
          <t>ENTREGA DIRECTA</t>
        </is>
      </c>
      <c r="AG61" t="n">
        <v>1</v>
      </c>
      <c r="AH61" t="inlineStr">
        <is>
          <t>TO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20230920</v>
      </c>
      <c r="AM61" t="inlineStr">
        <is>
          <t>D845-900006074-67128077-10167749-4</t>
        </is>
      </c>
    </row>
    <row r="62">
      <c r="A62" t="inlineStr">
        <is>
          <t>900006074D8456720610210000536</t>
        </is>
      </c>
      <c r="B62" t="inlineStr">
        <is>
          <t>4600044538-780</t>
        </is>
      </c>
      <c r="C62" t="n">
        <v>4600044538</v>
      </c>
      <c r="D62" t="n">
        <v>780</v>
      </c>
      <c r="E62" t="inlineStr">
        <is>
          <t>MXPO</t>
        </is>
      </c>
      <c r="F62" t="inlineStr">
        <is>
          <t>MXL</t>
        </is>
      </c>
      <c r="G62" t="n">
        <v>900006074</v>
      </c>
      <c r="H62" t="inlineStr">
        <is>
          <t>SF TP-ED- GRAMOL SLP</t>
        </is>
      </c>
      <c r="I62" t="n">
        <v>5005459</v>
      </c>
      <c r="J62" t="inlineStr">
        <is>
          <t>TRITURADOS GRAMOL SA DE CV</t>
        </is>
      </c>
      <c r="K62" t="inlineStr">
        <is>
          <t>Z04</t>
        </is>
      </c>
      <c r="L62" t="inlineStr">
        <is>
          <t>(AP) 30 Dias</t>
        </is>
      </c>
      <c r="M62" t="n">
        <v>10000536</v>
      </c>
      <c r="N62" t="inlineStr">
        <is>
          <t>Grava Triturada Caliza 40 mm - 1 1/2"</t>
        </is>
      </c>
      <c r="O62" t="inlineStr">
        <is>
          <t>D845</t>
        </is>
      </c>
      <c r="P62" t="inlineStr">
        <is>
          <t>MX-CED. SLP</t>
        </is>
      </c>
      <c r="Q62" t="n">
        <v>20190415</v>
      </c>
      <c r="R62" t="n">
        <v>20291231</v>
      </c>
      <c r="S62" t="n">
        <v>20240228</v>
      </c>
      <c r="T62" t="n">
        <v>20291231</v>
      </c>
      <c r="U62" t="n">
        <v>210</v>
      </c>
      <c r="V62" t="inlineStr">
        <is>
          <t>MXN</t>
        </is>
      </c>
      <c r="W62" t="inlineStr">
        <is>
          <t>TN</t>
        </is>
      </c>
      <c r="X62" t="n">
        <v>60</v>
      </c>
      <c r="Y62" t="inlineStr">
        <is>
          <t>MXN</t>
        </is>
      </c>
      <c r="Z62" t="inlineStr">
        <is>
          <t>TN</t>
        </is>
      </c>
      <c r="AA62" t="inlineStr">
        <is>
          <t>67206102</t>
        </is>
      </c>
      <c r="AB62" t="inlineStr">
        <is>
          <t>DICCATSA ANVI SLP</t>
        </is>
      </c>
      <c r="AC62" t="n">
        <v>56103637</v>
      </c>
      <c r="AD62" t="n">
        <v>6622351540</v>
      </c>
      <c r="AE62" t="n">
        <v>4</v>
      </c>
      <c r="AF62" t="inlineStr">
        <is>
          <t>ENTREGA DIRECTA</t>
        </is>
      </c>
      <c r="AG62" t="n">
        <v>1</v>
      </c>
      <c r="AH62" t="inlineStr">
        <is>
          <t>TO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20240307</v>
      </c>
      <c r="AM62" t="inlineStr">
        <is>
          <t>D845-900006074-67206102-10000536-4</t>
        </is>
      </c>
    </row>
    <row r="63">
      <c r="A63" t="inlineStr">
        <is>
          <t>900006074D8456720610210000617</t>
        </is>
      </c>
      <c r="B63" t="inlineStr">
        <is>
          <t>4600044538-760</t>
        </is>
      </c>
      <c r="C63" t="n">
        <v>4600044538</v>
      </c>
      <c r="D63" t="n">
        <v>760</v>
      </c>
      <c r="E63" t="inlineStr">
        <is>
          <t>MXPO</t>
        </is>
      </c>
      <c r="F63" t="inlineStr">
        <is>
          <t>MXL</t>
        </is>
      </c>
      <c r="G63" t="n">
        <v>900006074</v>
      </c>
      <c r="H63" t="inlineStr">
        <is>
          <t>SF TP-ED- GRAMOL SLP</t>
        </is>
      </c>
      <c r="I63" t="n">
        <v>5005459</v>
      </c>
      <c r="J63" t="inlineStr">
        <is>
          <t>TRITURADOS GRAMOL SA DE CV</t>
        </is>
      </c>
      <c r="K63" t="inlineStr">
        <is>
          <t>Z04</t>
        </is>
      </c>
      <c r="L63" t="inlineStr">
        <is>
          <t>(AP) 30 Dias</t>
        </is>
      </c>
      <c r="M63" t="n">
        <v>10000617</v>
      </c>
      <c r="N63" t="inlineStr">
        <is>
          <t>Arena Triturada Caliza Malla 5</t>
        </is>
      </c>
      <c r="O63" t="inlineStr">
        <is>
          <t>D845</t>
        </is>
      </c>
      <c r="P63" t="inlineStr">
        <is>
          <t>MX-CED. SLP</t>
        </is>
      </c>
      <c r="Q63" t="n">
        <v>20190415</v>
      </c>
      <c r="R63" t="n">
        <v>20291231</v>
      </c>
      <c r="S63" t="n">
        <v>20240228</v>
      </c>
      <c r="T63" t="n">
        <v>20291231</v>
      </c>
      <c r="U63" t="n">
        <v>220</v>
      </c>
      <c r="V63" t="inlineStr">
        <is>
          <t>MXN</t>
        </is>
      </c>
      <c r="W63" t="inlineStr">
        <is>
          <t>TN</t>
        </is>
      </c>
      <c r="X63" t="n">
        <v>60</v>
      </c>
      <c r="Y63" t="inlineStr">
        <is>
          <t>MXN</t>
        </is>
      </c>
      <c r="Z63" t="inlineStr">
        <is>
          <t>TN</t>
        </is>
      </c>
      <c r="AA63" t="inlineStr">
        <is>
          <t>67206102</t>
        </is>
      </c>
      <c r="AB63" t="inlineStr">
        <is>
          <t>DICCATSA ANVI SLP</t>
        </is>
      </c>
      <c r="AC63" t="n">
        <v>56103638</v>
      </c>
      <c r="AD63" t="n">
        <v>6622351540</v>
      </c>
      <c r="AE63" t="n">
        <v>4</v>
      </c>
      <c r="AF63" t="inlineStr">
        <is>
          <t>ENTREGA DIRECTA</t>
        </is>
      </c>
      <c r="AG63" t="n">
        <v>1</v>
      </c>
      <c r="AH63" t="inlineStr">
        <is>
          <t>TO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20240307</v>
      </c>
      <c r="AM63" t="inlineStr">
        <is>
          <t>D845-900006074-67206102-10000617-4</t>
        </is>
      </c>
    </row>
    <row r="64">
      <c r="A64" t="inlineStr">
        <is>
          <t>900006074D8456720610210000578</t>
        </is>
      </c>
      <c r="B64" t="inlineStr">
        <is>
          <t>4600044538-770</t>
        </is>
      </c>
      <c r="C64" t="n">
        <v>4600044538</v>
      </c>
      <c r="D64" t="n">
        <v>770</v>
      </c>
      <c r="E64" t="inlineStr">
        <is>
          <t>MXPO</t>
        </is>
      </c>
      <c r="F64" t="inlineStr">
        <is>
          <t>MXL</t>
        </is>
      </c>
      <c r="G64" t="n">
        <v>900006074</v>
      </c>
      <c r="H64" t="inlineStr">
        <is>
          <t>SF TP-ED- GRAMOL SLP</t>
        </is>
      </c>
      <c r="I64" t="n">
        <v>5005459</v>
      </c>
      <c r="J64" t="inlineStr">
        <is>
          <t>TRITURADOS GRAMOL SA DE CV</t>
        </is>
      </c>
      <c r="K64" t="inlineStr">
        <is>
          <t>Z04</t>
        </is>
      </c>
      <c r="L64" t="inlineStr">
        <is>
          <t>(AP) 30 Dias</t>
        </is>
      </c>
      <c r="M64" t="n">
        <v>10000578</v>
      </c>
      <c r="N64" t="inlineStr">
        <is>
          <t>Grava Triturada Caliza 20 mm - 3/4"</t>
        </is>
      </c>
      <c r="O64" t="inlineStr">
        <is>
          <t>D845</t>
        </is>
      </c>
      <c r="P64" t="inlineStr">
        <is>
          <t>MX-CED. SLP</t>
        </is>
      </c>
      <c r="Q64" t="n">
        <v>20190415</v>
      </c>
      <c r="R64" t="n">
        <v>20291231</v>
      </c>
      <c r="S64" t="n">
        <v>20240228</v>
      </c>
      <c r="T64" t="n">
        <v>20291231</v>
      </c>
      <c r="U64" t="n">
        <v>210</v>
      </c>
      <c r="V64" t="inlineStr">
        <is>
          <t>MXN</t>
        </is>
      </c>
      <c r="W64" t="inlineStr">
        <is>
          <t>TN</t>
        </is>
      </c>
      <c r="X64" t="n">
        <v>60</v>
      </c>
      <c r="Y64" t="inlineStr">
        <is>
          <t>MXN</t>
        </is>
      </c>
      <c r="Z64" t="inlineStr">
        <is>
          <t>TN</t>
        </is>
      </c>
      <c r="AA64" t="inlineStr">
        <is>
          <t>67206102</t>
        </is>
      </c>
      <c r="AB64" t="inlineStr">
        <is>
          <t>DICCATSA ANVI SLP</t>
        </is>
      </c>
      <c r="AC64" t="n">
        <v>56103637</v>
      </c>
      <c r="AD64" t="n">
        <v>6622351540</v>
      </c>
      <c r="AE64" t="n">
        <v>4</v>
      </c>
      <c r="AF64" t="inlineStr">
        <is>
          <t>ENTREGA DIRECTA</t>
        </is>
      </c>
      <c r="AG64" t="n">
        <v>1</v>
      </c>
      <c r="AH64" t="inlineStr">
        <is>
          <t>TO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20240307</v>
      </c>
      <c r="AM64" t="inlineStr">
        <is>
          <t>D845-900006074-67206102-10000578-4</t>
        </is>
      </c>
    </row>
    <row r="65">
      <c r="A65" t="inlineStr">
        <is>
          <t>900006074D8456677912110000578</t>
        </is>
      </c>
      <c r="B65" t="inlineStr">
        <is>
          <t>4600044538-40</t>
        </is>
      </c>
      <c r="C65" t="n">
        <v>4600044538</v>
      </c>
      <c r="D65" t="n">
        <v>40</v>
      </c>
      <c r="E65" t="inlineStr">
        <is>
          <t>MXPO</t>
        </is>
      </c>
      <c r="F65" t="inlineStr">
        <is>
          <t>MXL</t>
        </is>
      </c>
      <c r="G65" t="n">
        <v>900006074</v>
      </c>
      <c r="H65" t="inlineStr">
        <is>
          <t>SF TP-ED- GRAMOL SLP</t>
        </is>
      </c>
      <c r="I65" t="n">
        <v>5005459</v>
      </c>
      <c r="J65" t="inlineStr">
        <is>
          <t>TRITURADOS GRAMOL SA DE CV</t>
        </is>
      </c>
      <c r="K65" t="inlineStr">
        <is>
          <t>Z04</t>
        </is>
      </c>
      <c r="L65" t="inlineStr">
        <is>
          <t>(AP) 30 Dias</t>
        </is>
      </c>
      <c r="M65" t="n">
        <v>10000578</v>
      </c>
      <c r="N65" t="inlineStr">
        <is>
          <t>Grava Triturada Caliza 20 mm - 3/4"</t>
        </is>
      </c>
      <c r="O65" t="inlineStr">
        <is>
          <t>D845</t>
        </is>
      </c>
      <c r="P65" t="inlineStr">
        <is>
          <t>MX-CED. SLP</t>
        </is>
      </c>
      <c r="Q65" t="n">
        <v>20190415</v>
      </c>
      <c r="R65" t="n">
        <v>20291231</v>
      </c>
      <c r="S65" t="n">
        <v>20190612</v>
      </c>
      <c r="T65" t="n">
        <v>20241231</v>
      </c>
      <c r="U65" t="n">
        <v>164.85</v>
      </c>
      <c r="V65" t="inlineStr">
        <is>
          <t>MXN</t>
        </is>
      </c>
      <c r="W65" t="inlineStr">
        <is>
          <t>TN</t>
        </is>
      </c>
      <c r="X65" t="n">
        <v>96.84999999999999</v>
      </c>
      <c r="Y65" t="inlineStr">
        <is>
          <t>MXN</t>
        </is>
      </c>
      <c r="Z65" t="inlineStr">
        <is>
          <t>TN</t>
        </is>
      </c>
      <c r="AA65" t="inlineStr">
        <is>
          <t>66779121</t>
        </is>
      </c>
      <c r="AB65" t="inlineStr">
        <is>
          <t>COCONAL VILLA DE REYES</t>
        </is>
      </c>
      <c r="AC65" t="n">
        <v>56103637</v>
      </c>
      <c r="AD65" t="n">
        <v>6622351540</v>
      </c>
      <c r="AE65" t="n">
        <v>4</v>
      </c>
      <c r="AF65" t="inlineStr">
        <is>
          <t>ENTREGA DIRECTA</t>
        </is>
      </c>
      <c r="AG65" t="n">
        <v>1</v>
      </c>
      <c r="AH65" t="inlineStr">
        <is>
          <t>TO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20230920</v>
      </c>
      <c r="AM65" t="inlineStr">
        <is>
          <t>D845-900006074-66779121-10000578-4</t>
        </is>
      </c>
    </row>
    <row r="66">
      <c r="A66" t="inlineStr">
        <is>
          <t>900006074D8456689166310167749</t>
        </is>
      </c>
      <c r="B66" t="inlineStr">
        <is>
          <t>4600044538-210</t>
        </is>
      </c>
      <c r="C66" t="n">
        <v>4600044538</v>
      </c>
      <c r="D66" t="n">
        <v>210</v>
      </c>
      <c r="E66" t="inlineStr">
        <is>
          <t>MXPO</t>
        </is>
      </c>
      <c r="F66" t="inlineStr">
        <is>
          <t>MXL</t>
        </is>
      </c>
      <c r="G66" t="n">
        <v>900006074</v>
      </c>
      <c r="H66" t="inlineStr">
        <is>
          <t>SF TP-ED- GRAMOL SLP</t>
        </is>
      </c>
      <c r="I66" t="n">
        <v>5005459</v>
      </c>
      <c r="J66" t="inlineStr">
        <is>
          <t>TRITURADOS GRAMOL SA DE CV</t>
        </is>
      </c>
      <c r="K66" t="inlineStr">
        <is>
          <t>Z04</t>
        </is>
      </c>
      <c r="L66" t="inlineStr">
        <is>
          <t>(AP) 30 Dias</t>
        </is>
      </c>
      <c r="M66" t="n">
        <v>10167749</v>
      </c>
      <c r="N66" t="inlineStr">
        <is>
          <t>BASE H CALIZA 1 1/2" A FINOS ESPECIAL</t>
        </is>
      </c>
      <c r="O66" t="inlineStr">
        <is>
          <t>D845</t>
        </is>
      </c>
      <c r="P66" t="inlineStr">
        <is>
          <t>MX-CED. SLP</t>
        </is>
      </c>
      <c r="Q66" t="n">
        <v>20190415</v>
      </c>
      <c r="R66" t="n">
        <v>20291231</v>
      </c>
      <c r="S66" t="n">
        <v>20200819</v>
      </c>
      <c r="T66" t="n">
        <v>20291231</v>
      </c>
      <c r="U66" t="n">
        <v>106</v>
      </c>
      <c r="V66" t="inlineStr">
        <is>
          <t>MXN</t>
        </is>
      </c>
      <c r="W66" t="inlineStr">
        <is>
          <t>TN</t>
        </is>
      </c>
      <c r="X66" t="n">
        <v>29</v>
      </c>
      <c r="Y66" t="inlineStr">
        <is>
          <t>MXN</t>
        </is>
      </c>
      <c r="Z66" t="inlineStr">
        <is>
          <t>TN</t>
        </is>
      </c>
      <c r="AA66" t="inlineStr">
        <is>
          <t>66891663</t>
        </is>
      </c>
      <c r="AB66" t="inlineStr">
        <is>
          <t>FRACCIONAMIENTO VALBUENA</t>
        </is>
      </c>
      <c r="AC66" t="n">
        <v>56103590</v>
      </c>
      <c r="AD66" t="n">
        <v>6622351540</v>
      </c>
      <c r="AE66" t="n">
        <v>4</v>
      </c>
      <c r="AF66" t="inlineStr">
        <is>
          <t>ENTREGA DIRECTA</t>
        </is>
      </c>
      <c r="AG66" t="n">
        <v>1</v>
      </c>
      <c r="AH66" t="inlineStr">
        <is>
          <t>TO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20230920</v>
      </c>
      <c r="AM66" t="inlineStr">
        <is>
          <t>D845-900006074-66891663-10167749-4</t>
        </is>
      </c>
    </row>
    <row r="67">
      <c r="A67" t="inlineStr">
        <is>
          <t>900006074D8456689166310000617</t>
        </is>
      </c>
      <c r="B67" t="inlineStr">
        <is>
          <t>4600044538-220</t>
        </is>
      </c>
      <c r="C67" t="n">
        <v>4600044538</v>
      </c>
      <c r="D67" t="n">
        <v>220</v>
      </c>
      <c r="E67" t="inlineStr">
        <is>
          <t>MXPO</t>
        </is>
      </c>
      <c r="F67" t="inlineStr">
        <is>
          <t>MXL</t>
        </is>
      </c>
      <c r="G67" t="n">
        <v>900006074</v>
      </c>
      <c r="H67" t="inlineStr">
        <is>
          <t>SF TP-ED- GRAMOL SLP</t>
        </is>
      </c>
      <c r="I67" t="n">
        <v>5005459</v>
      </c>
      <c r="J67" t="inlineStr">
        <is>
          <t>TRITURADOS GRAMOL SA DE CV</t>
        </is>
      </c>
      <c r="K67" t="inlineStr">
        <is>
          <t>Z04</t>
        </is>
      </c>
      <c r="L67" t="inlineStr">
        <is>
          <t>(AP) 30 Dias</t>
        </is>
      </c>
      <c r="M67" t="n">
        <v>10000617</v>
      </c>
      <c r="N67" t="inlineStr">
        <is>
          <t>Arena Triturada Caliza Malla 5</t>
        </is>
      </c>
      <c r="O67" t="inlineStr">
        <is>
          <t>D845</t>
        </is>
      </c>
      <c r="P67" t="inlineStr">
        <is>
          <t>MX-CED. SLP</t>
        </is>
      </c>
      <c r="Q67" t="n">
        <v>20190415</v>
      </c>
      <c r="R67" t="n">
        <v>20291231</v>
      </c>
      <c r="S67" t="n">
        <v>20200819</v>
      </c>
      <c r="T67" t="n">
        <v>20291231</v>
      </c>
      <c r="U67" t="n">
        <v>120</v>
      </c>
      <c r="V67" t="inlineStr">
        <is>
          <t>MXN</t>
        </is>
      </c>
      <c r="W67" t="inlineStr">
        <is>
          <t>TN</t>
        </is>
      </c>
      <c r="X67" t="n">
        <v>29</v>
      </c>
      <c r="Y67" t="inlineStr">
        <is>
          <t>MXN</t>
        </is>
      </c>
      <c r="Z67" t="inlineStr">
        <is>
          <t>TN</t>
        </is>
      </c>
      <c r="AA67" t="inlineStr">
        <is>
          <t>66891663</t>
        </is>
      </c>
      <c r="AB67" t="inlineStr">
        <is>
          <t>FRACCIONAMIENTO VALBUENA</t>
        </is>
      </c>
      <c r="AC67" t="n">
        <v>56103638</v>
      </c>
      <c r="AD67" t="n">
        <v>6622351540</v>
      </c>
      <c r="AE67" t="n">
        <v>4</v>
      </c>
      <c r="AF67" t="inlineStr">
        <is>
          <t>ENTREGA DIRECTA</t>
        </is>
      </c>
      <c r="AG67" t="n">
        <v>1</v>
      </c>
      <c r="AH67" t="inlineStr">
        <is>
          <t>TO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20230920</v>
      </c>
      <c r="AM67" t="inlineStr">
        <is>
          <t>D845-900006074-66891663-10000617-4</t>
        </is>
      </c>
    </row>
    <row r="68">
      <c r="A68" t="inlineStr">
        <is>
          <t>900006074D8456720610210000656</t>
        </is>
      </c>
      <c r="B68" t="inlineStr">
        <is>
          <t>4600044538-790</t>
        </is>
      </c>
      <c r="C68" t="n">
        <v>4600044538</v>
      </c>
      <c r="D68" t="n">
        <v>790</v>
      </c>
      <c r="E68" t="inlineStr">
        <is>
          <t>MXPO</t>
        </is>
      </c>
      <c r="F68" t="inlineStr">
        <is>
          <t>MXL</t>
        </is>
      </c>
      <c r="G68" t="n">
        <v>900006074</v>
      </c>
      <c r="H68" t="inlineStr">
        <is>
          <t>SF TP-ED- GRAMOL SLP</t>
        </is>
      </c>
      <c r="I68" t="n">
        <v>5005459</v>
      </c>
      <c r="J68" t="inlineStr">
        <is>
          <t>TRITURADOS GRAMOL SA DE CV</t>
        </is>
      </c>
      <c r="K68" t="inlineStr">
        <is>
          <t>Z04</t>
        </is>
      </c>
      <c r="L68" t="inlineStr">
        <is>
          <t>(AP) 30 Dias</t>
        </is>
      </c>
      <c r="M68" t="n">
        <v>10000656</v>
      </c>
      <c r="N68" t="inlineStr">
        <is>
          <t>Grava Triturada Caliza 10 mm - 3/8"</t>
        </is>
      </c>
      <c r="O68" t="inlineStr">
        <is>
          <t>D845</t>
        </is>
      </c>
      <c r="P68" t="inlineStr">
        <is>
          <t>MX-CED. SLP</t>
        </is>
      </c>
      <c r="Q68" t="n">
        <v>20190415</v>
      </c>
      <c r="R68" t="n">
        <v>20291231</v>
      </c>
      <c r="S68" t="n">
        <v>20240228</v>
      </c>
      <c r="T68" t="n">
        <v>20291231</v>
      </c>
      <c r="U68" t="n">
        <v>218</v>
      </c>
      <c r="V68" t="inlineStr">
        <is>
          <t>MXN</t>
        </is>
      </c>
      <c r="W68" t="inlineStr">
        <is>
          <t>TN</t>
        </is>
      </c>
      <c r="X68" t="n">
        <v>60</v>
      </c>
      <c r="Y68" t="inlineStr">
        <is>
          <t>MXN</t>
        </is>
      </c>
      <c r="Z68" t="inlineStr">
        <is>
          <t>TN</t>
        </is>
      </c>
      <c r="AA68" t="inlineStr">
        <is>
          <t>67206102</t>
        </is>
      </c>
      <c r="AB68" t="inlineStr">
        <is>
          <t>DICCATSA ANVI SLP</t>
        </is>
      </c>
      <c r="AC68" t="n">
        <v>56103637</v>
      </c>
      <c r="AD68" t="n">
        <v>6622351540</v>
      </c>
      <c r="AE68" t="n">
        <v>4</v>
      </c>
      <c r="AF68" t="inlineStr">
        <is>
          <t>ENTREGA DIRECTA</t>
        </is>
      </c>
      <c r="AG68" t="n">
        <v>1</v>
      </c>
      <c r="AH68" t="inlineStr">
        <is>
          <t>TO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20240307</v>
      </c>
      <c r="AM68" t="inlineStr">
        <is>
          <t>D845-900006074-67206102-10000656-4</t>
        </is>
      </c>
    </row>
    <row r="69">
      <c r="A69" t="inlineStr">
        <is>
          <t>900006074D8456652809410000617</t>
        </is>
      </c>
      <c r="B69" t="inlineStr">
        <is>
          <t>4600044538-10</t>
        </is>
      </c>
      <c r="C69" t="n">
        <v>4600044538</v>
      </c>
      <c r="D69" t="n">
        <v>10</v>
      </c>
      <c r="E69" t="inlineStr">
        <is>
          <t>MXPO</t>
        </is>
      </c>
      <c r="F69" t="inlineStr">
        <is>
          <t>MXL</t>
        </is>
      </c>
      <c r="G69" t="n">
        <v>900006074</v>
      </c>
      <c r="H69" t="inlineStr">
        <is>
          <t>SF TP-ED- GRAMOL SLP</t>
        </is>
      </c>
      <c r="I69" t="n">
        <v>5005459</v>
      </c>
      <c r="J69" t="inlineStr">
        <is>
          <t>TRITURADOS GRAMOL SA DE CV</t>
        </is>
      </c>
      <c r="K69" t="inlineStr">
        <is>
          <t>Z04</t>
        </is>
      </c>
      <c r="L69" t="inlineStr">
        <is>
          <t>(AP) 30 Dias</t>
        </is>
      </c>
      <c r="M69" t="n">
        <v>10000617</v>
      </c>
      <c r="N69" t="inlineStr">
        <is>
          <t>Arena Triturada Caliza Malla 5</t>
        </is>
      </c>
      <c r="O69" t="inlineStr">
        <is>
          <t>D845</t>
        </is>
      </c>
      <c r="P69" t="inlineStr">
        <is>
          <t>MX-CED. SLP</t>
        </is>
      </c>
      <c r="Q69" t="n">
        <v>20190415</v>
      </c>
      <c r="R69" t="n">
        <v>20291231</v>
      </c>
      <c r="S69" t="n">
        <v>20190412</v>
      </c>
      <c r="T69" t="n">
        <v>20241231</v>
      </c>
      <c r="U69" t="n">
        <v>139.8</v>
      </c>
      <c r="V69" t="inlineStr">
        <is>
          <t>MXN</t>
        </is>
      </c>
      <c r="W69" t="inlineStr">
        <is>
          <t>TN</t>
        </is>
      </c>
      <c r="X69" t="n">
        <v>52.8</v>
      </c>
      <c r="Y69" t="inlineStr">
        <is>
          <t>MXN</t>
        </is>
      </c>
      <c r="Z69" t="inlineStr">
        <is>
          <t>TN</t>
        </is>
      </c>
      <c r="AA69" t="inlineStr">
        <is>
          <t>66528094</t>
        </is>
      </c>
      <c r="AB69" t="inlineStr">
        <is>
          <t>TRATADORA EL MORRO</t>
        </is>
      </c>
      <c r="AC69" t="n">
        <v>56103638</v>
      </c>
      <c r="AD69" t="n">
        <v>6622351540</v>
      </c>
      <c r="AE69" t="n">
        <v>4</v>
      </c>
      <c r="AF69" t="inlineStr">
        <is>
          <t>ENTREGA DIRECTA</t>
        </is>
      </c>
      <c r="AG69" t="n">
        <v>1</v>
      </c>
      <c r="AH69" t="inlineStr">
        <is>
          <t>TO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20230920</v>
      </c>
      <c r="AM69" t="inlineStr">
        <is>
          <t>D845-900006074-66528094-10000617-4</t>
        </is>
      </c>
    </row>
    <row r="70">
      <c r="A70" t="inlineStr">
        <is>
          <t>900006074D8456677912110169508</t>
        </is>
      </c>
      <c r="B70" t="inlineStr">
        <is>
          <t>4600044538-110</t>
        </is>
      </c>
      <c r="C70" t="n">
        <v>4600044538</v>
      </c>
      <c r="D70" t="n">
        <v>110</v>
      </c>
      <c r="E70" t="inlineStr">
        <is>
          <t>MXPO</t>
        </is>
      </c>
      <c r="F70" t="inlineStr">
        <is>
          <t>MXL</t>
        </is>
      </c>
      <c r="G70" t="n">
        <v>900006074</v>
      </c>
      <c r="H70" t="inlineStr">
        <is>
          <t>SF TP-ED- GRAMOL SLP</t>
        </is>
      </c>
      <c r="I70" t="n">
        <v>5005459</v>
      </c>
      <c r="J70" t="inlineStr">
        <is>
          <t>TRITURADOS GRAMOL SA DE CV</t>
        </is>
      </c>
      <c r="K70" t="inlineStr">
        <is>
          <t>Z04</t>
        </is>
      </c>
      <c r="L70" t="inlineStr">
        <is>
          <t>(AP) 30 Dias</t>
        </is>
      </c>
      <c r="M70" t="n">
        <v>10169508</v>
      </c>
      <c r="N70" t="inlineStr">
        <is>
          <t>GRAVA TRITURADA CALIZA 13 MM - 1/2"</t>
        </is>
      </c>
      <c r="O70" t="inlineStr">
        <is>
          <t>D845</t>
        </is>
      </c>
      <c r="P70" t="inlineStr">
        <is>
          <t>MX-CED. SLP</t>
        </is>
      </c>
      <c r="Q70" t="n">
        <v>20190415</v>
      </c>
      <c r="R70" t="n">
        <v>20291231</v>
      </c>
      <c r="S70" t="n">
        <v>20190612</v>
      </c>
      <c r="T70" t="n">
        <v>20241231</v>
      </c>
      <c r="U70" t="n">
        <v>165.85</v>
      </c>
      <c r="V70" t="inlineStr">
        <is>
          <t>MXN</t>
        </is>
      </c>
      <c r="W70" t="inlineStr">
        <is>
          <t>TN</t>
        </is>
      </c>
      <c r="X70" t="n">
        <v>96.84999999999999</v>
      </c>
      <c r="Y70" t="inlineStr">
        <is>
          <t>MXN</t>
        </is>
      </c>
      <c r="Z70" t="inlineStr">
        <is>
          <t>TN</t>
        </is>
      </c>
      <c r="AA70" t="inlineStr">
        <is>
          <t>66779121</t>
        </is>
      </c>
      <c r="AB70" t="inlineStr">
        <is>
          <t>COCONAL VILLA DE REYES</t>
        </is>
      </c>
      <c r="AC70" t="n">
        <v>56103637</v>
      </c>
      <c r="AD70" t="n">
        <v>6622351540</v>
      </c>
      <c r="AE70" t="n">
        <v>4</v>
      </c>
      <c r="AF70" t="inlineStr">
        <is>
          <t>ENTREGA DIRECTA</t>
        </is>
      </c>
      <c r="AG70" t="n">
        <v>1</v>
      </c>
      <c r="AH70" t="inlineStr">
        <is>
          <t>TO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20230920</v>
      </c>
      <c r="AM70" t="inlineStr">
        <is>
          <t>D845-900006074-66779121-10169508-4</t>
        </is>
      </c>
    </row>
    <row r="71">
      <c r="A71" t="inlineStr">
        <is>
          <t>900006074D8456698519010000578</t>
        </is>
      </c>
      <c r="B71" t="inlineStr">
        <is>
          <t>4600044538-390</t>
        </is>
      </c>
      <c r="C71" t="n">
        <v>4600044538</v>
      </c>
      <c r="D71" t="n">
        <v>390</v>
      </c>
      <c r="E71" t="inlineStr">
        <is>
          <t>MXPO</t>
        </is>
      </c>
      <c r="F71" t="inlineStr">
        <is>
          <t>MXL</t>
        </is>
      </c>
      <c r="G71" t="n">
        <v>900006074</v>
      </c>
      <c r="H71" t="inlineStr">
        <is>
          <t>SF TP-ED- GRAMOL SLP</t>
        </is>
      </c>
      <c r="I71" t="n">
        <v>5005459</v>
      </c>
      <c r="J71" t="inlineStr">
        <is>
          <t>TRITURADOS GRAMOL SA DE CV</t>
        </is>
      </c>
      <c r="K71" t="inlineStr">
        <is>
          <t>Z04</t>
        </is>
      </c>
      <c r="L71" t="inlineStr">
        <is>
          <t>(AP) 30 Dias</t>
        </is>
      </c>
      <c r="M71" t="n">
        <v>10000578</v>
      </c>
      <c r="N71" t="inlineStr">
        <is>
          <t>Grava Triturada Caliza 20 mm - 3/4"</t>
        </is>
      </c>
      <c r="O71" t="inlineStr">
        <is>
          <t>D845</t>
        </is>
      </c>
      <c r="P71" t="inlineStr">
        <is>
          <t>MX-CED. SLP</t>
        </is>
      </c>
      <c r="Q71" t="n">
        <v>20190415</v>
      </c>
      <c r="R71" t="n">
        <v>20291231</v>
      </c>
      <c r="S71" t="n">
        <v>20230201</v>
      </c>
      <c r="T71" t="n">
        <v>20281231</v>
      </c>
      <c r="U71" t="n">
        <v>185.5</v>
      </c>
      <c r="V71" t="inlineStr">
        <is>
          <t>MXN</t>
        </is>
      </c>
      <c r="W71" t="inlineStr">
        <is>
          <t>TN</t>
        </is>
      </c>
      <c r="X71" t="n">
        <v>61.5</v>
      </c>
      <c r="Y71" t="inlineStr">
        <is>
          <t>MXN</t>
        </is>
      </c>
      <c r="Z71" t="inlineStr">
        <is>
          <t>TN</t>
        </is>
      </c>
      <c r="AA71" t="inlineStr">
        <is>
          <t>66985190</t>
        </is>
      </c>
      <c r="AB71" t="inlineStr">
        <is>
          <t>LOS PILARES</t>
        </is>
      </c>
      <c r="AC71" t="n">
        <v>56103637</v>
      </c>
      <c r="AD71" t="n">
        <v>6622351540</v>
      </c>
      <c r="AE71" t="n">
        <v>4</v>
      </c>
      <c r="AF71" t="inlineStr">
        <is>
          <t>ENTREGA DIRECTA</t>
        </is>
      </c>
      <c r="AG71" t="n">
        <v>1</v>
      </c>
      <c r="AH71" t="inlineStr">
        <is>
          <t>TO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20230920</v>
      </c>
      <c r="AM71" t="inlineStr">
        <is>
          <t>D845-900006074-66985190-10000578-4</t>
        </is>
      </c>
    </row>
    <row r="72">
      <c r="A72" t="inlineStr">
        <is>
          <t>900006074D8456698519010167749</t>
        </is>
      </c>
      <c r="B72" t="inlineStr">
        <is>
          <t>4600044538-420</t>
        </is>
      </c>
      <c r="C72" t="n">
        <v>4600044538</v>
      </c>
      <c r="D72" t="n">
        <v>420</v>
      </c>
      <c r="E72" t="inlineStr">
        <is>
          <t>MXPO</t>
        </is>
      </c>
      <c r="F72" t="inlineStr">
        <is>
          <t>MXL</t>
        </is>
      </c>
      <c r="G72" t="n">
        <v>900006074</v>
      </c>
      <c r="H72" t="inlineStr">
        <is>
          <t>SF TP-ED- GRAMOL SLP</t>
        </is>
      </c>
      <c r="I72" t="n">
        <v>5005459</v>
      </c>
      <c r="J72" t="inlineStr">
        <is>
          <t>TRITURADOS GRAMOL SA DE CV</t>
        </is>
      </c>
      <c r="K72" t="inlineStr">
        <is>
          <t>Z04</t>
        </is>
      </c>
      <c r="L72" t="inlineStr">
        <is>
          <t>(AP) 30 Dias</t>
        </is>
      </c>
      <c r="M72" t="n">
        <v>10167749</v>
      </c>
      <c r="N72" t="inlineStr">
        <is>
          <t>BASE H CALIZA 1 1/2" A FINOS ESPECIAL</t>
        </is>
      </c>
      <c r="O72" t="inlineStr">
        <is>
          <t>D845</t>
        </is>
      </c>
      <c r="P72" t="inlineStr">
        <is>
          <t>MX-CED. SLP</t>
        </is>
      </c>
      <c r="Q72" t="n">
        <v>20190415</v>
      </c>
      <c r="R72" t="n">
        <v>20291231</v>
      </c>
      <c r="S72" t="n">
        <v>20230201</v>
      </c>
      <c r="T72" t="n">
        <v>20281231</v>
      </c>
      <c r="U72" t="n">
        <v>188.5</v>
      </c>
      <c r="V72" t="inlineStr">
        <is>
          <t>MXN</t>
        </is>
      </c>
      <c r="W72" t="inlineStr">
        <is>
          <t>TN</t>
        </is>
      </c>
      <c r="X72" t="n">
        <v>61.5</v>
      </c>
      <c r="Y72" t="inlineStr">
        <is>
          <t>MXN</t>
        </is>
      </c>
      <c r="Z72" t="inlineStr">
        <is>
          <t>TN</t>
        </is>
      </c>
      <c r="AA72" t="inlineStr">
        <is>
          <t>66985190</t>
        </is>
      </c>
      <c r="AB72" t="inlineStr">
        <is>
          <t>LOS PILARES</t>
        </is>
      </c>
      <c r="AC72" t="n">
        <v>56103590</v>
      </c>
      <c r="AD72" t="n">
        <v>6622351540</v>
      </c>
      <c r="AE72" t="n">
        <v>4</v>
      </c>
      <c r="AF72" t="inlineStr">
        <is>
          <t>ENTREGA DIRECTA</t>
        </is>
      </c>
      <c r="AG72" t="n">
        <v>1</v>
      </c>
      <c r="AH72" t="inlineStr">
        <is>
          <t>TO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20230920</v>
      </c>
      <c r="AM72" t="inlineStr">
        <is>
          <t>D845-900006074-66985190-10167749-4</t>
        </is>
      </c>
    </row>
    <row r="73">
      <c r="A73" t="inlineStr">
        <is>
          <t>900006074D8456565836210000578</t>
        </is>
      </c>
      <c r="B73" t="inlineStr">
        <is>
          <t>4600044538-560</t>
        </is>
      </c>
      <c r="C73" t="n">
        <v>4600044538</v>
      </c>
      <c r="D73" t="n">
        <v>560</v>
      </c>
      <c r="E73" t="inlineStr">
        <is>
          <t>MXPO</t>
        </is>
      </c>
      <c r="F73" t="inlineStr">
        <is>
          <t>MXL</t>
        </is>
      </c>
      <c r="G73" t="n">
        <v>900006074</v>
      </c>
      <c r="H73" t="inlineStr">
        <is>
          <t>SF TP-ED- GRAMOL SLP</t>
        </is>
      </c>
      <c r="I73" t="n">
        <v>5005459</v>
      </c>
      <c r="J73" t="inlineStr">
        <is>
          <t>TRITURADOS GRAMOL SA DE CV</t>
        </is>
      </c>
      <c r="K73" t="inlineStr">
        <is>
          <t>Z04</t>
        </is>
      </c>
      <c r="L73" t="inlineStr">
        <is>
          <t>(AP) 30 Dias</t>
        </is>
      </c>
      <c r="M73" t="n">
        <v>10000578</v>
      </c>
      <c r="N73" t="inlineStr">
        <is>
          <t>Grava Triturada Caliza 20 mm - 3/4"</t>
        </is>
      </c>
      <c r="O73" t="inlineStr">
        <is>
          <t>D845</t>
        </is>
      </c>
      <c r="P73" t="inlineStr">
        <is>
          <t>MX-CED. SLP</t>
        </is>
      </c>
      <c r="Q73" t="n">
        <v>20190415</v>
      </c>
      <c r="R73" t="n">
        <v>20291231</v>
      </c>
      <c r="S73" t="n">
        <v>20230201</v>
      </c>
      <c r="T73" t="n">
        <v>20281231</v>
      </c>
      <c r="U73" t="n">
        <v>162</v>
      </c>
      <c r="V73" t="inlineStr">
        <is>
          <t>MXN</t>
        </is>
      </c>
      <c r="W73" t="inlineStr">
        <is>
          <t>TN</t>
        </is>
      </c>
      <c r="X73" t="n">
        <v>38</v>
      </c>
      <c r="Y73" t="inlineStr">
        <is>
          <t>MXN</t>
        </is>
      </c>
      <c r="Z73" t="inlineStr">
        <is>
          <t>TN</t>
        </is>
      </c>
      <c r="AA73" t="inlineStr">
        <is>
          <t>65658362</t>
        </is>
      </c>
      <c r="AB73" t="inlineStr">
        <is>
          <t>CONCRETEC SLP</t>
        </is>
      </c>
      <c r="AC73" t="n">
        <v>56103637</v>
      </c>
      <c r="AD73" t="n">
        <v>6622351540</v>
      </c>
      <c r="AE73" t="n">
        <v>4</v>
      </c>
      <c r="AF73" t="inlineStr">
        <is>
          <t>ENTREGA DIRECTA</t>
        </is>
      </c>
      <c r="AG73" t="n">
        <v>1</v>
      </c>
      <c r="AH73" t="inlineStr">
        <is>
          <t>TO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20230920</v>
      </c>
      <c r="AM73" t="inlineStr">
        <is>
          <t>D845-900006074-65658362-10000578-4</t>
        </is>
      </c>
    </row>
    <row r="74">
      <c r="A74" t="inlineStr">
        <is>
          <t>900006074D8456689166310000578</t>
        </is>
      </c>
      <c r="B74" t="inlineStr">
        <is>
          <t>4600044538-230</t>
        </is>
      </c>
      <c r="C74" t="n">
        <v>4600044538</v>
      </c>
      <c r="D74" t="n">
        <v>230</v>
      </c>
      <c r="E74" t="inlineStr">
        <is>
          <t>MXPO</t>
        </is>
      </c>
      <c r="F74" t="inlineStr">
        <is>
          <t>MXL</t>
        </is>
      </c>
      <c r="G74" t="n">
        <v>900006074</v>
      </c>
      <c r="H74" t="inlineStr">
        <is>
          <t>SF TP-ED- GRAMOL SLP</t>
        </is>
      </c>
      <c r="I74" t="n">
        <v>5005459</v>
      </c>
      <c r="J74" t="inlineStr">
        <is>
          <t>TRITURADOS GRAMOL SA DE CV</t>
        </is>
      </c>
      <c r="K74" t="inlineStr">
        <is>
          <t>Z04</t>
        </is>
      </c>
      <c r="L74" t="inlineStr">
        <is>
          <t>(AP) 30 Dias</t>
        </is>
      </c>
      <c r="M74" t="n">
        <v>10000578</v>
      </c>
      <c r="N74" t="inlineStr">
        <is>
          <t>Grava Triturada Caliza 20 mm - 3/4"</t>
        </is>
      </c>
      <c r="O74" t="inlineStr">
        <is>
          <t>D845</t>
        </is>
      </c>
      <c r="P74" t="inlineStr">
        <is>
          <t>MX-CED. SLP</t>
        </is>
      </c>
      <c r="Q74" t="n">
        <v>20190415</v>
      </c>
      <c r="R74" t="n">
        <v>20291231</v>
      </c>
      <c r="S74" t="n">
        <v>20200819</v>
      </c>
      <c r="T74" t="n">
        <v>20291231</v>
      </c>
      <c r="U74" t="n">
        <v>107</v>
      </c>
      <c r="V74" t="inlineStr">
        <is>
          <t>MXN</t>
        </is>
      </c>
      <c r="W74" t="inlineStr">
        <is>
          <t>TN</t>
        </is>
      </c>
      <c r="X74" t="n">
        <v>29</v>
      </c>
      <c r="Y74" t="inlineStr">
        <is>
          <t>MXN</t>
        </is>
      </c>
      <c r="Z74" t="inlineStr">
        <is>
          <t>TN</t>
        </is>
      </c>
      <c r="AA74" t="inlineStr">
        <is>
          <t>66891663</t>
        </is>
      </c>
      <c r="AB74" t="inlineStr">
        <is>
          <t>FRACCIONAMIENTO VALBUENA</t>
        </is>
      </c>
      <c r="AC74" t="n">
        <v>56103637</v>
      </c>
      <c r="AD74" t="n">
        <v>6622351540</v>
      </c>
      <c r="AE74" t="n">
        <v>4</v>
      </c>
      <c r="AF74" t="inlineStr">
        <is>
          <t>ENTREGA DIRECTA</t>
        </is>
      </c>
      <c r="AG74" t="n">
        <v>1</v>
      </c>
      <c r="AH74" t="inlineStr">
        <is>
          <t>TO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20230920</v>
      </c>
      <c r="AM74" t="inlineStr">
        <is>
          <t>D845-900006074-66891663-10000578-4</t>
        </is>
      </c>
    </row>
    <row r="75">
      <c r="A75" t="inlineStr">
        <is>
          <t>900006074D8456689166310000656</t>
        </is>
      </c>
      <c r="B75" t="inlineStr">
        <is>
          <t>4600044538-240</t>
        </is>
      </c>
      <c r="C75" t="n">
        <v>4600044538</v>
      </c>
      <c r="D75" t="n">
        <v>240</v>
      </c>
      <c r="E75" t="inlineStr">
        <is>
          <t>MXPO</t>
        </is>
      </c>
      <c r="F75" t="inlineStr">
        <is>
          <t>MXL</t>
        </is>
      </c>
      <c r="G75" t="n">
        <v>900006074</v>
      </c>
      <c r="H75" t="inlineStr">
        <is>
          <t>SF TP-ED- GRAMOL SLP</t>
        </is>
      </c>
      <c r="I75" t="n">
        <v>5005459</v>
      </c>
      <c r="J75" t="inlineStr">
        <is>
          <t>TRITURADOS GRAMOL SA DE CV</t>
        </is>
      </c>
      <c r="K75" t="inlineStr">
        <is>
          <t>Z04</t>
        </is>
      </c>
      <c r="L75" t="inlineStr">
        <is>
          <t>(AP) 30 Dias</t>
        </is>
      </c>
      <c r="M75" t="n">
        <v>10000656</v>
      </c>
      <c r="N75" t="inlineStr">
        <is>
          <t>Grava Triturada Caliza 10 mm - 3/8"</t>
        </is>
      </c>
      <c r="O75" t="inlineStr">
        <is>
          <t>D845</t>
        </is>
      </c>
      <c r="P75" t="inlineStr">
        <is>
          <t>MX-CED. SLP</t>
        </is>
      </c>
      <c r="Q75" t="n">
        <v>20190415</v>
      </c>
      <c r="R75" t="n">
        <v>20291231</v>
      </c>
      <c r="S75" t="n">
        <v>20200819</v>
      </c>
      <c r="T75" t="n">
        <v>20291231</v>
      </c>
      <c r="U75" t="n">
        <v>98</v>
      </c>
      <c r="V75" t="inlineStr">
        <is>
          <t>MXN</t>
        </is>
      </c>
      <c r="W75" t="inlineStr">
        <is>
          <t>TN</t>
        </is>
      </c>
      <c r="X75" t="n">
        <v>29</v>
      </c>
      <c r="Y75" t="inlineStr">
        <is>
          <t>MXN</t>
        </is>
      </c>
      <c r="Z75" t="inlineStr">
        <is>
          <t>TN</t>
        </is>
      </c>
      <c r="AA75" t="inlineStr">
        <is>
          <t>66891663</t>
        </is>
      </c>
      <c r="AB75" t="inlineStr">
        <is>
          <t>FRACCIONAMIENTO VALBUENA</t>
        </is>
      </c>
      <c r="AC75" t="n">
        <v>56103637</v>
      </c>
      <c r="AD75" t="n">
        <v>6622351540</v>
      </c>
      <c r="AE75" t="n">
        <v>4</v>
      </c>
      <c r="AF75" t="inlineStr">
        <is>
          <t>ENTREGA DIRECTA</t>
        </is>
      </c>
      <c r="AG75" t="n">
        <v>1</v>
      </c>
      <c r="AH75" t="inlineStr">
        <is>
          <t>TO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20230920</v>
      </c>
      <c r="AM75" t="inlineStr">
        <is>
          <t>D845-900006074-66891663-10000656-4</t>
        </is>
      </c>
    </row>
    <row r="76">
      <c r="A76" t="inlineStr">
        <is>
          <t>900006074D8456698519010000617</t>
        </is>
      </c>
      <c r="B76" t="inlineStr">
        <is>
          <t>4600044538-370</t>
        </is>
      </c>
      <c r="C76" t="n">
        <v>4600044538</v>
      </c>
      <c r="D76" t="n">
        <v>370</v>
      </c>
      <c r="E76" t="inlineStr">
        <is>
          <t>MXPO</t>
        </is>
      </c>
      <c r="F76" t="inlineStr">
        <is>
          <t>MXL</t>
        </is>
      </c>
      <c r="G76" t="n">
        <v>900006074</v>
      </c>
      <c r="H76" t="inlineStr">
        <is>
          <t>SF TP-ED- GRAMOL SLP</t>
        </is>
      </c>
      <c r="I76" t="n">
        <v>5005459</v>
      </c>
      <c r="J76" t="inlineStr">
        <is>
          <t>TRITURADOS GRAMOL SA DE CV</t>
        </is>
      </c>
      <c r="K76" t="inlineStr">
        <is>
          <t>Z04</t>
        </is>
      </c>
      <c r="L76" t="inlineStr">
        <is>
          <t>(AP) 30 Dias</t>
        </is>
      </c>
      <c r="M76" t="n">
        <v>10000617</v>
      </c>
      <c r="N76" t="inlineStr">
        <is>
          <t>Arena Triturada Caliza Malla 5</t>
        </is>
      </c>
      <c r="O76" t="inlineStr">
        <is>
          <t>D845</t>
        </is>
      </c>
      <c r="P76" t="inlineStr">
        <is>
          <t>MX-CED. SLP</t>
        </is>
      </c>
      <c r="Q76" t="n">
        <v>20190415</v>
      </c>
      <c r="R76" t="n">
        <v>20291231</v>
      </c>
      <c r="S76" t="n">
        <v>20230201</v>
      </c>
      <c r="T76" t="n">
        <v>20281231</v>
      </c>
      <c r="U76" t="n">
        <v>195.5</v>
      </c>
      <c r="V76" t="inlineStr">
        <is>
          <t>MXN</t>
        </is>
      </c>
      <c r="W76" t="inlineStr">
        <is>
          <t>TN</t>
        </is>
      </c>
      <c r="X76" t="n">
        <v>61.5</v>
      </c>
      <c r="Y76" t="inlineStr">
        <is>
          <t>MXN</t>
        </is>
      </c>
      <c r="Z76" t="inlineStr">
        <is>
          <t>TN</t>
        </is>
      </c>
      <c r="AA76" t="inlineStr">
        <is>
          <t>66985190</t>
        </is>
      </c>
      <c r="AB76" t="inlineStr">
        <is>
          <t>LOS PILARES</t>
        </is>
      </c>
      <c r="AC76" t="n">
        <v>56103638</v>
      </c>
      <c r="AD76" t="n">
        <v>6622351540</v>
      </c>
      <c r="AE76" t="n">
        <v>4</v>
      </c>
      <c r="AF76" t="inlineStr">
        <is>
          <t>ENTREGA DIRECTA</t>
        </is>
      </c>
      <c r="AG76" t="n">
        <v>1</v>
      </c>
      <c r="AH76" t="inlineStr">
        <is>
          <t>TO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20230920</v>
      </c>
      <c r="AM76" t="inlineStr">
        <is>
          <t>D845-900006074-66985190-10000617-4</t>
        </is>
      </c>
    </row>
    <row r="77">
      <c r="A77" t="inlineStr">
        <is>
          <t>900006074D8456698519010000656</t>
        </is>
      </c>
      <c r="B77" t="inlineStr">
        <is>
          <t>4600044538-410</t>
        </is>
      </c>
      <c r="C77" t="n">
        <v>4600044538</v>
      </c>
      <c r="D77" t="n">
        <v>410</v>
      </c>
      <c r="E77" t="inlineStr">
        <is>
          <t>MXPO</t>
        </is>
      </c>
      <c r="F77" t="inlineStr">
        <is>
          <t>MXL</t>
        </is>
      </c>
      <c r="G77" t="n">
        <v>900006074</v>
      </c>
      <c r="H77" t="inlineStr">
        <is>
          <t>SF TP-ED- GRAMOL SLP</t>
        </is>
      </c>
      <c r="I77" t="n">
        <v>5005459</v>
      </c>
      <c r="J77" t="inlineStr">
        <is>
          <t>TRITURADOS GRAMOL SA DE CV</t>
        </is>
      </c>
      <c r="K77" t="inlineStr">
        <is>
          <t>Z04</t>
        </is>
      </c>
      <c r="L77" t="inlineStr">
        <is>
          <t>(AP) 30 Dias</t>
        </is>
      </c>
      <c r="M77" t="n">
        <v>10000656</v>
      </c>
      <c r="N77" t="inlineStr">
        <is>
          <t>Grava Triturada Caliza 10 mm - 3/8"</t>
        </is>
      </c>
      <c r="O77" t="inlineStr">
        <is>
          <t>D845</t>
        </is>
      </c>
      <c r="P77" t="inlineStr">
        <is>
          <t>MX-CED. SLP</t>
        </is>
      </c>
      <c r="Q77" t="n">
        <v>20190415</v>
      </c>
      <c r="R77" t="n">
        <v>20291231</v>
      </c>
      <c r="S77" t="n">
        <v>20230201</v>
      </c>
      <c r="T77" t="n">
        <v>20281231</v>
      </c>
      <c r="U77" t="n">
        <v>193.5</v>
      </c>
      <c r="V77" t="inlineStr">
        <is>
          <t>MXN</t>
        </is>
      </c>
      <c r="W77" t="inlineStr">
        <is>
          <t>TN</t>
        </is>
      </c>
      <c r="X77" t="n">
        <v>61.5</v>
      </c>
      <c r="Y77" t="inlineStr">
        <is>
          <t>MXN</t>
        </is>
      </c>
      <c r="Z77" t="inlineStr">
        <is>
          <t>TN</t>
        </is>
      </c>
      <c r="AA77" t="inlineStr">
        <is>
          <t>66985190</t>
        </is>
      </c>
      <c r="AB77" t="inlineStr">
        <is>
          <t>LOS PILARES</t>
        </is>
      </c>
      <c r="AC77" t="n">
        <v>56103637</v>
      </c>
      <c r="AD77" t="n">
        <v>6622351540</v>
      </c>
      <c r="AE77" t="n">
        <v>4</v>
      </c>
      <c r="AF77" t="inlineStr">
        <is>
          <t>ENTREGA DIRECTA</t>
        </is>
      </c>
      <c r="AG77" t="n">
        <v>1</v>
      </c>
      <c r="AH77" t="inlineStr">
        <is>
          <t>TO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20230920</v>
      </c>
      <c r="AM77" t="inlineStr">
        <is>
          <t>D845-900006074-66985190-10000656-4</t>
        </is>
      </c>
    </row>
    <row r="78">
      <c r="A78" t="inlineStr">
        <is>
          <t>900006074D8456698519010000403</t>
        </is>
      </c>
      <c r="B78" t="inlineStr">
        <is>
          <t>4600044538-380</t>
        </is>
      </c>
      <c r="C78" t="n">
        <v>4600044538</v>
      </c>
      <c r="D78" t="n">
        <v>380</v>
      </c>
      <c r="E78" t="inlineStr">
        <is>
          <t>MXPO</t>
        </is>
      </c>
      <c r="F78" t="inlineStr">
        <is>
          <t>MXL</t>
        </is>
      </c>
      <c r="G78" t="n">
        <v>900006074</v>
      </c>
      <c r="H78" t="inlineStr">
        <is>
          <t>SF TP-ED- GRAMOL SLP</t>
        </is>
      </c>
      <c r="I78" t="n">
        <v>5005459</v>
      </c>
      <c r="J78" t="inlineStr">
        <is>
          <t>TRITURADOS GRAMOL SA DE CV</t>
        </is>
      </c>
      <c r="K78" t="inlineStr">
        <is>
          <t>Z04</t>
        </is>
      </c>
      <c r="L78" t="inlineStr">
        <is>
          <t>(AP) 30 Dias</t>
        </is>
      </c>
      <c r="M78" t="n">
        <v>10000403</v>
      </c>
      <c r="N78" t="inlineStr">
        <is>
          <t>Arena Triturada Caliza Malla 4</t>
        </is>
      </c>
      <c r="O78" t="inlineStr">
        <is>
          <t>D845</t>
        </is>
      </c>
      <c r="P78" t="inlineStr">
        <is>
          <t>MX-CED. SLP</t>
        </is>
      </c>
      <c r="Q78" t="n">
        <v>20190415</v>
      </c>
      <c r="R78" t="n">
        <v>20291231</v>
      </c>
      <c r="S78" t="n">
        <v>20230201</v>
      </c>
      <c r="T78" t="n">
        <v>20281231</v>
      </c>
      <c r="U78" t="n">
        <v>185.5</v>
      </c>
      <c r="V78" t="inlineStr">
        <is>
          <t>MXN</t>
        </is>
      </c>
      <c r="W78" t="inlineStr">
        <is>
          <t>TN</t>
        </is>
      </c>
      <c r="X78" t="n">
        <v>61.5</v>
      </c>
      <c r="Y78" t="inlineStr">
        <is>
          <t>MXN</t>
        </is>
      </c>
      <c r="Z78" t="inlineStr">
        <is>
          <t>TN</t>
        </is>
      </c>
      <c r="AA78" t="inlineStr">
        <is>
          <t>66985190</t>
        </is>
      </c>
      <c r="AB78" t="inlineStr">
        <is>
          <t>LOS PILARES</t>
        </is>
      </c>
      <c r="AC78" t="n">
        <v>56103638</v>
      </c>
      <c r="AD78" t="n">
        <v>6622351540</v>
      </c>
      <c r="AE78" t="n">
        <v>4</v>
      </c>
      <c r="AF78" t="inlineStr">
        <is>
          <t>ENTREGA DIRECTA</t>
        </is>
      </c>
      <c r="AG78" t="n">
        <v>1</v>
      </c>
      <c r="AH78" t="inlineStr">
        <is>
          <t>TO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20230920</v>
      </c>
      <c r="AM78" t="inlineStr">
        <is>
          <t>D845-900006074-66985190-10000403-4</t>
        </is>
      </c>
    </row>
    <row r="79">
      <c r="A79" t="inlineStr">
        <is>
          <t>900006074D8456698519010000536</t>
        </is>
      </c>
      <c r="B79" t="inlineStr">
        <is>
          <t>4600044538-400</t>
        </is>
      </c>
      <c r="C79" t="n">
        <v>4600044538</v>
      </c>
      <c r="D79" t="n">
        <v>400</v>
      </c>
      <c r="E79" t="inlineStr">
        <is>
          <t>MXPO</t>
        </is>
      </c>
      <c r="F79" t="inlineStr">
        <is>
          <t>MXL</t>
        </is>
      </c>
      <c r="G79" t="n">
        <v>900006074</v>
      </c>
      <c r="H79" t="inlineStr">
        <is>
          <t>SF TP-ED- GRAMOL SLP</t>
        </is>
      </c>
      <c r="I79" t="n">
        <v>5005459</v>
      </c>
      <c r="J79" t="inlineStr">
        <is>
          <t>TRITURADOS GRAMOL SA DE CV</t>
        </is>
      </c>
      <c r="K79" t="inlineStr">
        <is>
          <t>Z04</t>
        </is>
      </c>
      <c r="L79" t="inlineStr">
        <is>
          <t>(AP) 30 Dias</t>
        </is>
      </c>
      <c r="M79" t="n">
        <v>10000536</v>
      </c>
      <c r="N79" t="inlineStr">
        <is>
          <t>Grava Triturada Caliza 40 mm - 1 1/2"</t>
        </is>
      </c>
      <c r="O79" t="inlineStr">
        <is>
          <t>D845</t>
        </is>
      </c>
      <c r="P79" t="inlineStr">
        <is>
          <t>MX-CED. SLP</t>
        </is>
      </c>
      <c r="Q79" t="n">
        <v>20190415</v>
      </c>
      <c r="R79" t="n">
        <v>20291231</v>
      </c>
      <c r="S79" t="n">
        <v>20230201</v>
      </c>
      <c r="T79" t="n">
        <v>20281231</v>
      </c>
      <c r="U79" t="n">
        <v>185.5</v>
      </c>
      <c r="V79" t="inlineStr">
        <is>
          <t>MXN</t>
        </is>
      </c>
      <c r="W79" t="inlineStr">
        <is>
          <t>TN</t>
        </is>
      </c>
      <c r="X79" t="n">
        <v>61.5</v>
      </c>
      <c r="Y79" t="inlineStr">
        <is>
          <t>MXN</t>
        </is>
      </c>
      <c r="Z79" t="inlineStr">
        <is>
          <t>TN</t>
        </is>
      </c>
      <c r="AA79" t="inlineStr">
        <is>
          <t>66985190</t>
        </is>
      </c>
      <c r="AB79" t="inlineStr">
        <is>
          <t>LOS PILARES</t>
        </is>
      </c>
      <c r="AC79" t="n">
        <v>56103637</v>
      </c>
      <c r="AD79" t="n">
        <v>6622351540</v>
      </c>
      <c r="AE79" t="n">
        <v>4</v>
      </c>
      <c r="AF79" t="inlineStr">
        <is>
          <t>ENTREGA DIRECTA</t>
        </is>
      </c>
      <c r="AG79" t="n">
        <v>1</v>
      </c>
      <c r="AH79" t="inlineStr">
        <is>
          <t>TO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20230920</v>
      </c>
      <c r="AM79" t="inlineStr">
        <is>
          <t>D845-900006074-66985190-10000536-4</t>
        </is>
      </c>
    </row>
    <row r="80">
      <c r="A80" t="inlineStr">
        <is>
          <t>900006074D8456565836210000536</t>
        </is>
      </c>
      <c r="B80" t="inlineStr">
        <is>
          <t>4600044538-570</t>
        </is>
      </c>
      <c r="C80" t="n">
        <v>4600044538</v>
      </c>
      <c r="D80" t="n">
        <v>570</v>
      </c>
      <c r="E80" t="inlineStr">
        <is>
          <t>MXPO</t>
        </is>
      </c>
      <c r="F80" t="inlineStr">
        <is>
          <t>MXL</t>
        </is>
      </c>
      <c r="G80" t="n">
        <v>900006074</v>
      </c>
      <c r="H80" t="inlineStr">
        <is>
          <t>SF TP-ED- GRAMOL SLP</t>
        </is>
      </c>
      <c r="I80" t="n">
        <v>5005459</v>
      </c>
      <c r="J80" t="inlineStr">
        <is>
          <t>TRITURADOS GRAMOL SA DE CV</t>
        </is>
      </c>
      <c r="K80" t="inlineStr">
        <is>
          <t>Z04</t>
        </is>
      </c>
      <c r="L80" t="inlineStr">
        <is>
          <t>(AP) 30 Dias</t>
        </is>
      </c>
      <c r="M80" t="n">
        <v>10000536</v>
      </c>
      <c r="N80" t="inlineStr">
        <is>
          <t>Grava Triturada Caliza 40 mm - 1 1/2"</t>
        </is>
      </c>
      <c r="O80" t="inlineStr">
        <is>
          <t>D845</t>
        </is>
      </c>
      <c r="P80" t="inlineStr">
        <is>
          <t>MX-CED. SLP</t>
        </is>
      </c>
      <c r="Q80" t="n">
        <v>20190415</v>
      </c>
      <c r="R80" t="n">
        <v>20291231</v>
      </c>
      <c r="S80" t="n">
        <v>20230201</v>
      </c>
      <c r="T80" t="n">
        <v>20281231</v>
      </c>
      <c r="U80" t="n">
        <v>162</v>
      </c>
      <c r="V80" t="inlineStr">
        <is>
          <t>MXN</t>
        </is>
      </c>
      <c r="W80" t="inlineStr">
        <is>
          <t>TN</t>
        </is>
      </c>
      <c r="X80" t="n">
        <v>38</v>
      </c>
      <c r="Y80" t="inlineStr">
        <is>
          <t>MXN</t>
        </is>
      </c>
      <c r="Z80" t="inlineStr">
        <is>
          <t>TN</t>
        </is>
      </c>
      <c r="AA80" t="inlineStr">
        <is>
          <t>65658362</t>
        </is>
      </c>
      <c r="AB80" t="inlineStr">
        <is>
          <t>CONCRETEC SLP</t>
        </is>
      </c>
      <c r="AC80" t="n">
        <v>56103637</v>
      </c>
      <c r="AD80" t="n">
        <v>6622351540</v>
      </c>
      <c r="AE80" t="n">
        <v>4</v>
      </c>
      <c r="AF80" t="inlineStr">
        <is>
          <t>ENTREGA DIRECTA</t>
        </is>
      </c>
      <c r="AG80" t="n">
        <v>1</v>
      </c>
      <c r="AH80" t="inlineStr">
        <is>
          <t>TO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20230920</v>
      </c>
      <c r="AM80" t="inlineStr">
        <is>
          <t>D845-900006074-65658362-10000536-4</t>
        </is>
      </c>
    </row>
    <row r="81">
      <c r="A81" t="inlineStr">
        <is>
          <t>900006074D8456565836210000656</t>
        </is>
      </c>
      <c r="B81" t="inlineStr">
        <is>
          <t>4600044538-580</t>
        </is>
      </c>
      <c r="C81" t="n">
        <v>4600044538</v>
      </c>
      <c r="D81" t="n">
        <v>580</v>
      </c>
      <c r="E81" t="inlineStr">
        <is>
          <t>MXPO</t>
        </is>
      </c>
      <c r="F81" t="inlineStr">
        <is>
          <t>MXL</t>
        </is>
      </c>
      <c r="G81" t="n">
        <v>900006074</v>
      </c>
      <c r="H81" t="inlineStr">
        <is>
          <t>SF TP-ED- GRAMOL SLP</t>
        </is>
      </c>
      <c r="I81" t="n">
        <v>5005459</v>
      </c>
      <c r="J81" t="inlineStr">
        <is>
          <t>TRITURADOS GRAMOL SA DE CV</t>
        </is>
      </c>
      <c r="K81" t="inlineStr">
        <is>
          <t>Z04</t>
        </is>
      </c>
      <c r="L81" t="inlineStr">
        <is>
          <t>(AP) 30 Dias</t>
        </is>
      </c>
      <c r="M81" t="n">
        <v>10000656</v>
      </c>
      <c r="N81" t="inlineStr">
        <is>
          <t>Grava Triturada Caliza 10 mm - 3/8"</t>
        </is>
      </c>
      <c r="O81" t="inlineStr">
        <is>
          <t>D845</t>
        </is>
      </c>
      <c r="P81" t="inlineStr">
        <is>
          <t>MX-CED. SLP</t>
        </is>
      </c>
      <c r="Q81" t="n">
        <v>20190415</v>
      </c>
      <c r="R81" t="n">
        <v>20291231</v>
      </c>
      <c r="S81" t="n">
        <v>20230201</v>
      </c>
      <c r="T81" t="n">
        <v>20281231</v>
      </c>
      <c r="U81" t="n">
        <v>170</v>
      </c>
      <c r="V81" t="inlineStr">
        <is>
          <t>MXN</t>
        </is>
      </c>
      <c r="W81" t="inlineStr">
        <is>
          <t>TN</t>
        </is>
      </c>
      <c r="X81" t="n">
        <v>38</v>
      </c>
      <c r="Y81" t="inlineStr">
        <is>
          <t>MXN</t>
        </is>
      </c>
      <c r="Z81" t="inlineStr">
        <is>
          <t>TN</t>
        </is>
      </c>
      <c r="AA81" t="inlineStr">
        <is>
          <t>65658362</t>
        </is>
      </c>
      <c r="AB81" t="inlineStr">
        <is>
          <t>CONCRETEC SLP</t>
        </is>
      </c>
      <c r="AC81" t="n">
        <v>56103637</v>
      </c>
      <c r="AD81" t="n">
        <v>6622351540</v>
      </c>
      <c r="AE81" t="n">
        <v>4</v>
      </c>
      <c r="AF81" t="inlineStr">
        <is>
          <t>ENTREGA DIRECTA</t>
        </is>
      </c>
      <c r="AG81" t="n">
        <v>1</v>
      </c>
      <c r="AH81" t="inlineStr">
        <is>
          <t>TO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20230920</v>
      </c>
      <c r="AM81" t="inlineStr">
        <is>
          <t>D845-900006074-65658362-10000656-4</t>
        </is>
      </c>
    </row>
    <row r="82">
      <c r="A82" t="inlineStr">
        <is>
          <t>900006074D8456705950510000656</t>
        </is>
      </c>
      <c r="B82" t="inlineStr">
        <is>
          <t>4600044538-540</t>
        </is>
      </c>
      <c r="C82" t="n">
        <v>4600044538</v>
      </c>
      <c r="D82" t="n">
        <v>540</v>
      </c>
      <c r="E82" t="inlineStr">
        <is>
          <t>MXPO</t>
        </is>
      </c>
      <c r="F82" t="inlineStr">
        <is>
          <t>MXL</t>
        </is>
      </c>
      <c r="G82" t="n">
        <v>900006074</v>
      </c>
      <c r="H82" t="inlineStr">
        <is>
          <t>SF TP-ED- GRAMOL SLP</t>
        </is>
      </c>
      <c r="I82" t="n">
        <v>5005459</v>
      </c>
      <c r="J82" t="inlineStr">
        <is>
          <t>TRITURADOS GRAMOL SA DE CV</t>
        </is>
      </c>
      <c r="K82" t="inlineStr">
        <is>
          <t>Z04</t>
        </is>
      </c>
      <c r="L82" t="inlineStr">
        <is>
          <t>(AP) 30 Dias</t>
        </is>
      </c>
      <c r="M82" t="n">
        <v>10000656</v>
      </c>
      <c r="N82" t="inlineStr">
        <is>
          <t>Grava Triturada Caliza 10 mm - 3/8"</t>
        </is>
      </c>
      <c r="O82" t="inlineStr">
        <is>
          <t>D845</t>
        </is>
      </c>
      <c r="P82" t="inlineStr">
        <is>
          <t>MX-CED. SLP</t>
        </is>
      </c>
      <c r="Q82" t="n">
        <v>20190415</v>
      </c>
      <c r="R82" t="n">
        <v>20291231</v>
      </c>
      <c r="S82" t="n">
        <v>20240227</v>
      </c>
      <c r="T82" t="n">
        <v>20291231</v>
      </c>
      <c r="U82" t="n">
        <v>217</v>
      </c>
      <c r="V82" t="inlineStr">
        <is>
          <t>MXN</t>
        </is>
      </c>
      <c r="W82" t="inlineStr">
        <is>
          <t>TN</t>
        </is>
      </c>
      <c r="X82" t="n">
        <v>59</v>
      </c>
      <c r="Y82" t="inlineStr">
        <is>
          <t>MXN</t>
        </is>
      </c>
      <c r="Z82" t="inlineStr">
        <is>
          <t>TN</t>
        </is>
      </c>
      <c r="AA82" t="inlineStr">
        <is>
          <t>67059505</t>
        </is>
      </c>
      <c r="AB82" t="inlineStr">
        <is>
          <t>PLANTA SAN LUIS POTOSI</t>
        </is>
      </c>
      <c r="AC82" t="n">
        <v>56103637</v>
      </c>
      <c r="AD82" t="n">
        <v>6622351540</v>
      </c>
      <c r="AE82" t="n">
        <v>4</v>
      </c>
      <c r="AF82" t="inlineStr">
        <is>
          <t>ENTREGA DIRECTA</t>
        </is>
      </c>
      <c r="AG82" t="n">
        <v>1</v>
      </c>
      <c r="AH82" t="inlineStr">
        <is>
          <t>TO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20240229</v>
      </c>
      <c r="AM82" t="inlineStr">
        <is>
          <t>D845-900006074-67059505-10000656-4</t>
        </is>
      </c>
    </row>
    <row r="83">
      <c r="A83" t="inlineStr">
        <is>
          <t>900006074D8456705950510000617</t>
        </is>
      </c>
      <c r="B83" t="inlineStr">
        <is>
          <t>4600044538-550</t>
        </is>
      </c>
      <c r="C83" t="n">
        <v>4600044538</v>
      </c>
      <c r="D83" t="n">
        <v>550</v>
      </c>
      <c r="E83" t="inlineStr">
        <is>
          <t>MXPO</t>
        </is>
      </c>
      <c r="F83" t="inlineStr">
        <is>
          <t>MXL</t>
        </is>
      </c>
      <c r="G83" t="n">
        <v>900006074</v>
      </c>
      <c r="H83" t="inlineStr">
        <is>
          <t>SF TP-ED- GRAMOL SLP</t>
        </is>
      </c>
      <c r="I83" t="n">
        <v>5005459</v>
      </c>
      <c r="J83" t="inlineStr">
        <is>
          <t>TRITURADOS GRAMOL SA DE CV</t>
        </is>
      </c>
      <c r="K83" t="inlineStr">
        <is>
          <t>Z04</t>
        </is>
      </c>
      <c r="L83" t="inlineStr">
        <is>
          <t>(AP) 30 Dias</t>
        </is>
      </c>
      <c r="M83" t="n">
        <v>10000617</v>
      </c>
      <c r="N83" t="inlineStr">
        <is>
          <t>Arena Triturada Caliza Malla 5</t>
        </is>
      </c>
      <c r="O83" t="inlineStr">
        <is>
          <t>D845</t>
        </is>
      </c>
      <c r="P83" t="inlineStr">
        <is>
          <t>MX-CED. SLP</t>
        </is>
      </c>
      <c r="Q83" t="n">
        <v>20190415</v>
      </c>
      <c r="R83" t="n">
        <v>20291231</v>
      </c>
      <c r="S83" t="n">
        <v>20240227</v>
      </c>
      <c r="T83" t="n">
        <v>20291231</v>
      </c>
      <c r="U83" t="n">
        <v>209</v>
      </c>
      <c r="V83" t="inlineStr">
        <is>
          <t>MXN</t>
        </is>
      </c>
      <c r="W83" t="inlineStr">
        <is>
          <t>TN</t>
        </is>
      </c>
      <c r="X83" t="n">
        <v>59</v>
      </c>
      <c r="Y83" t="inlineStr">
        <is>
          <t>MXN</t>
        </is>
      </c>
      <c r="Z83" t="inlineStr">
        <is>
          <t>TN</t>
        </is>
      </c>
      <c r="AA83" t="inlineStr">
        <is>
          <t>67059505</t>
        </is>
      </c>
      <c r="AB83" t="inlineStr">
        <is>
          <t>PLANTA SAN LUIS POTOSI</t>
        </is>
      </c>
      <c r="AC83" t="n">
        <v>56103638</v>
      </c>
      <c r="AD83" t="n">
        <v>6622351540</v>
      </c>
      <c r="AE83" t="n">
        <v>4</v>
      </c>
      <c r="AF83" t="inlineStr">
        <is>
          <t>ENTREGA DIRECTA</t>
        </is>
      </c>
      <c r="AG83" t="n">
        <v>1</v>
      </c>
      <c r="AH83" t="inlineStr">
        <is>
          <t>TO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20240229</v>
      </c>
      <c r="AM83" t="inlineStr">
        <is>
          <t>D845-900006074-67059505-10000617-4</t>
        </is>
      </c>
    </row>
    <row r="84">
      <c r="A84" t="inlineStr">
        <is>
          <t>900006074D8456500513910058501</t>
        </is>
      </c>
      <c r="B84" t="inlineStr">
        <is>
          <t>4600044538-910</t>
        </is>
      </c>
      <c r="C84" t="n">
        <v>4600044538</v>
      </c>
      <c r="D84" t="n">
        <v>910</v>
      </c>
      <c r="E84" t="inlineStr">
        <is>
          <t>MXPO</t>
        </is>
      </c>
      <c r="F84" t="inlineStr">
        <is>
          <t>MXL</t>
        </is>
      </c>
      <c r="G84" t="n">
        <v>900006074</v>
      </c>
      <c r="H84" t="inlineStr">
        <is>
          <t>SF TP-ED- GRAMOL SLP</t>
        </is>
      </c>
      <c r="I84" t="n">
        <v>5005459</v>
      </c>
      <c r="J84" t="inlineStr">
        <is>
          <t>TRITURADOS GRAMOL SA DE CV</t>
        </is>
      </c>
      <c r="K84" t="inlineStr">
        <is>
          <t>Z04</t>
        </is>
      </c>
      <c r="L84" t="inlineStr">
        <is>
          <t>(AP) 30 Dias</t>
        </is>
      </c>
      <c r="M84" t="n">
        <v>10058501</v>
      </c>
      <c r="N84" t="inlineStr">
        <is>
          <t>Base H Triturada Caliza 1 1/2" a Finos</t>
        </is>
      </c>
      <c r="O84" t="inlineStr">
        <is>
          <t>D845</t>
        </is>
      </c>
      <c r="P84" t="inlineStr">
        <is>
          <t>MX-CED. SLP</t>
        </is>
      </c>
      <c r="Q84" t="n">
        <v>20190415</v>
      </c>
      <c r="R84" t="n">
        <v>20291231</v>
      </c>
      <c r="S84" t="n">
        <v>20240730</v>
      </c>
      <c r="T84" t="n">
        <v>20291231</v>
      </c>
      <c r="U84" t="n">
        <v>205</v>
      </c>
      <c r="V84" t="inlineStr">
        <is>
          <t>MXN</t>
        </is>
      </c>
      <c r="W84" t="inlineStr">
        <is>
          <t>TN</t>
        </is>
      </c>
      <c r="X84" t="n">
        <v>62</v>
      </c>
      <c r="Y84" t="inlineStr">
        <is>
          <t>MXN</t>
        </is>
      </c>
      <c r="Z84" t="inlineStr">
        <is>
          <t>TN</t>
        </is>
      </c>
      <c r="AA84" t="inlineStr">
        <is>
          <t>65005139</t>
        </is>
      </c>
      <c r="AB84" t="inlineStr">
        <is>
          <t>CONSTRUCTORA QUID S.A. DE C.V.</t>
        </is>
      </c>
      <c r="AC84" t="n">
        <v>56103590</v>
      </c>
      <c r="AD84" t="n">
        <v>6622351540</v>
      </c>
      <c r="AE84" t="n">
        <v>4</v>
      </c>
      <c r="AF84" t="inlineStr">
        <is>
          <t>ENTREGA DIRECTA</t>
        </is>
      </c>
      <c r="AG84" t="n">
        <v>1</v>
      </c>
      <c r="AH84" t="inlineStr">
        <is>
          <t>TO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20240806</v>
      </c>
      <c r="AM84" t="inlineStr">
        <is>
          <t>D845-900006074-65005139-10058501-4</t>
        </is>
      </c>
    </row>
    <row r="85">
      <c r="A85" t="inlineStr">
        <is>
          <t>900006074D8456705950510000536</t>
        </is>
      </c>
      <c r="B85" t="inlineStr">
        <is>
          <t>4600044538-530</t>
        </is>
      </c>
      <c r="C85" t="n">
        <v>4600044538</v>
      </c>
      <c r="D85" t="n">
        <v>530</v>
      </c>
      <c r="E85" t="inlineStr">
        <is>
          <t>MXPO</t>
        </is>
      </c>
      <c r="F85" t="inlineStr">
        <is>
          <t>MXL</t>
        </is>
      </c>
      <c r="G85" t="n">
        <v>900006074</v>
      </c>
      <c r="H85" t="inlineStr">
        <is>
          <t>SF TP-ED- GRAMOL SLP</t>
        </is>
      </c>
      <c r="I85" t="n">
        <v>5005459</v>
      </c>
      <c r="J85" t="inlineStr">
        <is>
          <t>TRITURADOS GRAMOL SA DE CV</t>
        </is>
      </c>
      <c r="K85" t="inlineStr">
        <is>
          <t>Z04</t>
        </is>
      </c>
      <c r="L85" t="inlineStr">
        <is>
          <t>(AP) 30 Dias</t>
        </is>
      </c>
      <c r="M85" t="n">
        <v>10000536</v>
      </c>
      <c r="N85" t="inlineStr">
        <is>
          <t>Grava Triturada Caliza 40 mm - 1 1/2"</t>
        </is>
      </c>
      <c r="O85" t="inlineStr">
        <is>
          <t>D845</t>
        </is>
      </c>
      <c r="P85" t="inlineStr">
        <is>
          <t>MX-CED. SLP</t>
        </is>
      </c>
      <c r="Q85" t="n">
        <v>20190415</v>
      </c>
      <c r="R85" t="n">
        <v>20291231</v>
      </c>
      <c r="S85" t="n">
        <v>20240227</v>
      </c>
      <c r="T85" t="n">
        <v>20291231</v>
      </c>
      <c r="U85" t="n">
        <v>209</v>
      </c>
      <c r="V85" t="inlineStr">
        <is>
          <t>MXN</t>
        </is>
      </c>
      <c r="W85" t="inlineStr">
        <is>
          <t>TN</t>
        </is>
      </c>
      <c r="X85" t="n">
        <v>59</v>
      </c>
      <c r="Y85" t="inlineStr">
        <is>
          <t>MXN</t>
        </is>
      </c>
      <c r="Z85" t="inlineStr">
        <is>
          <t>TN</t>
        </is>
      </c>
      <c r="AA85" t="inlineStr">
        <is>
          <t>67059505</t>
        </is>
      </c>
      <c r="AB85" t="inlineStr">
        <is>
          <t>PLANTA SAN LUIS POTOSI</t>
        </is>
      </c>
      <c r="AC85" t="n">
        <v>56103637</v>
      </c>
      <c r="AD85" t="n">
        <v>6622351540</v>
      </c>
      <c r="AE85" t="n">
        <v>4</v>
      </c>
      <c r="AF85" t="inlineStr">
        <is>
          <t>ENTREGA DIRECTA</t>
        </is>
      </c>
      <c r="AG85" t="n">
        <v>1</v>
      </c>
      <c r="AH85" t="inlineStr">
        <is>
          <t>TO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20240229</v>
      </c>
      <c r="AM85" t="inlineStr">
        <is>
          <t>D845-900006074-67059505-10000536-4</t>
        </is>
      </c>
    </row>
    <row r="86">
      <c r="A86" t="inlineStr">
        <is>
          <t>900006074D8456731836310167749</t>
        </is>
      </c>
      <c r="B86" t="inlineStr">
        <is>
          <t>4600044538-1040</t>
        </is>
      </c>
      <c r="C86" t="n">
        <v>4600044538</v>
      </c>
      <c r="D86" t="n">
        <v>1040</v>
      </c>
      <c r="E86" t="inlineStr">
        <is>
          <t>MXPO</t>
        </is>
      </c>
      <c r="F86" t="inlineStr">
        <is>
          <t>MXL</t>
        </is>
      </c>
      <c r="G86" t="n">
        <v>900006074</v>
      </c>
      <c r="H86" t="inlineStr">
        <is>
          <t>SF TP-ED- GRAMOL SLP</t>
        </is>
      </c>
      <c r="I86" t="n">
        <v>5005459</v>
      </c>
      <c r="J86" t="inlineStr">
        <is>
          <t>TRITURADOS GRAMOL SA DE CV</t>
        </is>
      </c>
      <c r="K86" t="inlineStr">
        <is>
          <t>Z04</t>
        </is>
      </c>
      <c r="L86" t="inlineStr">
        <is>
          <t>(AP) 30 Dias</t>
        </is>
      </c>
      <c r="M86" t="n">
        <v>10167749</v>
      </c>
      <c r="N86" t="inlineStr">
        <is>
          <t>BASE H CALIZA 1 1/2" A FINOS ESPECIAL</t>
        </is>
      </c>
      <c r="O86" t="inlineStr">
        <is>
          <t>D845</t>
        </is>
      </c>
      <c r="P86" t="inlineStr">
        <is>
          <t>MX-CED. SLP</t>
        </is>
      </c>
      <c r="Q86" t="n">
        <v>20190415</v>
      </c>
      <c r="R86" t="n">
        <v>20291231</v>
      </c>
      <c r="S86" t="n">
        <v>20250425</v>
      </c>
      <c r="T86" t="n">
        <v>20301231</v>
      </c>
      <c r="U86" t="n">
        <v>255</v>
      </c>
      <c r="V86" t="inlineStr">
        <is>
          <t>MXN</t>
        </is>
      </c>
      <c r="W86" t="inlineStr">
        <is>
          <t>TN</t>
        </is>
      </c>
      <c r="X86" t="n">
        <v>72</v>
      </c>
      <c r="Y86" t="inlineStr">
        <is>
          <t>MXN</t>
        </is>
      </c>
      <c r="Z86" t="inlineStr">
        <is>
          <t>TN</t>
        </is>
      </c>
      <c r="AA86" t="inlineStr">
        <is>
          <t>67318363</t>
        </is>
      </c>
      <c r="AB86" t="inlineStr">
        <is>
          <t>AV. LOS TOVARES/LAJA</t>
        </is>
      </c>
      <c r="AC86" t="n">
        <v>56103590</v>
      </c>
      <c r="AD86" t="n">
        <v>6622351540</v>
      </c>
      <c r="AE86" t="n">
        <v>4</v>
      </c>
      <c r="AF86" t="inlineStr">
        <is>
          <t>ENTREGA DIRECTA</t>
        </is>
      </c>
      <c r="AG86" t="n">
        <v>1</v>
      </c>
      <c r="AH86" t="inlineStr">
        <is>
          <t>TO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20250429</v>
      </c>
      <c r="AM86" t="inlineStr">
        <is>
          <t>D845-900006074-67318363-10167749-4</t>
        </is>
      </c>
    </row>
    <row r="87">
      <c r="A87" t="inlineStr">
        <is>
          <t>900006074D8456729851810167749</t>
        </is>
      </c>
      <c r="B87" t="inlineStr">
        <is>
          <t>4600044538-1020</t>
        </is>
      </c>
      <c r="C87" t="n">
        <v>4600044538</v>
      </c>
      <c r="D87" t="n">
        <v>1020</v>
      </c>
      <c r="E87" t="inlineStr">
        <is>
          <t>MXPO</t>
        </is>
      </c>
      <c r="F87" t="inlineStr">
        <is>
          <t>MXL</t>
        </is>
      </c>
      <c r="G87" t="n">
        <v>900006074</v>
      </c>
      <c r="H87" t="inlineStr">
        <is>
          <t>SF TP-ED- GRAMOL SLP</t>
        </is>
      </c>
      <c r="I87" t="n">
        <v>5005459</v>
      </c>
      <c r="J87" t="inlineStr">
        <is>
          <t>TRITURADOS GRAMOL SA DE CV</t>
        </is>
      </c>
      <c r="K87" t="inlineStr">
        <is>
          <t>Z04</t>
        </is>
      </c>
      <c r="L87" t="inlineStr">
        <is>
          <t>(AP) 30 Dias</t>
        </is>
      </c>
      <c r="M87" t="n">
        <v>10167749</v>
      </c>
      <c r="N87" t="inlineStr">
        <is>
          <t>BASE H CALIZA 1 1/2" A FINOS ESPECIAL</t>
        </is>
      </c>
      <c r="O87" t="inlineStr">
        <is>
          <t>D845</t>
        </is>
      </c>
      <c r="P87" t="inlineStr">
        <is>
          <t>MX-CED. SLP</t>
        </is>
      </c>
      <c r="Q87" t="n">
        <v>20190415</v>
      </c>
      <c r="R87" t="n">
        <v>20291231</v>
      </c>
      <c r="S87" t="n">
        <v>20250425</v>
      </c>
      <c r="T87" t="n">
        <v>20301231</v>
      </c>
      <c r="U87" t="n">
        <v>253</v>
      </c>
      <c r="V87" t="inlineStr">
        <is>
          <t>MXN</t>
        </is>
      </c>
      <c r="W87" t="inlineStr">
        <is>
          <t>TN</t>
        </is>
      </c>
      <c r="X87" t="n">
        <v>70</v>
      </c>
      <c r="Y87" t="inlineStr">
        <is>
          <t>MXN</t>
        </is>
      </c>
      <c r="Z87" t="inlineStr">
        <is>
          <t>TN</t>
        </is>
      </c>
      <c r="AA87" t="inlineStr">
        <is>
          <t>67298518</t>
        </is>
      </c>
      <c r="AB87" t="inlineStr">
        <is>
          <t>OYAMEL RANCHO ZAMORA 3ERA ETAPA</t>
        </is>
      </c>
      <c r="AC87" t="n">
        <v>56103590</v>
      </c>
      <c r="AD87" t="n">
        <v>6622351540</v>
      </c>
      <c r="AE87" t="n">
        <v>4</v>
      </c>
      <c r="AF87" t="inlineStr">
        <is>
          <t>ENTREGA DIRECTA</t>
        </is>
      </c>
      <c r="AG87" t="n">
        <v>1</v>
      </c>
      <c r="AH87" t="inlineStr">
        <is>
          <t>TO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20250429</v>
      </c>
      <c r="AM87" t="inlineStr">
        <is>
          <t>D845-900006074-67298518-10167749-4</t>
        </is>
      </c>
    </row>
    <row r="88">
      <c r="A88" t="inlineStr">
        <is>
          <t>900006074D8456705950510000617</t>
        </is>
      </c>
      <c r="B88" t="inlineStr">
        <is>
          <t>4600044538-510</t>
        </is>
      </c>
      <c r="C88" t="n">
        <v>4600044538</v>
      </c>
      <c r="D88" t="n">
        <v>510</v>
      </c>
      <c r="E88" t="inlineStr">
        <is>
          <t>MXPO</t>
        </is>
      </c>
      <c r="F88" t="inlineStr">
        <is>
          <t>MXL</t>
        </is>
      </c>
      <c r="G88" t="n">
        <v>900006074</v>
      </c>
      <c r="H88" t="inlineStr">
        <is>
          <t>SF TP-ED- GRAMOL SLP</t>
        </is>
      </c>
      <c r="I88" t="n">
        <v>5005459</v>
      </c>
      <c r="J88" t="inlineStr">
        <is>
          <t>TRITURADOS GRAMOL SA DE CV</t>
        </is>
      </c>
      <c r="K88" t="inlineStr">
        <is>
          <t>Z04</t>
        </is>
      </c>
      <c r="L88" t="inlineStr">
        <is>
          <t>(AP) 30 Dias</t>
        </is>
      </c>
      <c r="M88" t="n">
        <v>10000617</v>
      </c>
      <c r="N88" t="inlineStr">
        <is>
          <t>Arena Triturada Caliza Malla 5</t>
        </is>
      </c>
      <c r="O88" t="inlineStr">
        <is>
          <t>D845</t>
        </is>
      </c>
      <c r="P88" t="inlineStr">
        <is>
          <t>MX-CED. SLP</t>
        </is>
      </c>
      <c r="Q88" t="n">
        <v>20190415</v>
      </c>
      <c r="R88" t="n">
        <v>20291231</v>
      </c>
      <c r="S88" t="n">
        <v>20240227</v>
      </c>
      <c r="T88" t="n">
        <v>20291231</v>
      </c>
      <c r="U88" t="n">
        <v>219</v>
      </c>
      <c r="V88" t="inlineStr">
        <is>
          <t>MXN</t>
        </is>
      </c>
      <c r="W88" t="inlineStr">
        <is>
          <t>TN</t>
        </is>
      </c>
      <c r="X88" t="n">
        <v>59</v>
      </c>
      <c r="Y88" t="inlineStr">
        <is>
          <t>MXN</t>
        </is>
      </c>
      <c r="Z88" t="inlineStr">
        <is>
          <t>TN</t>
        </is>
      </c>
      <c r="AA88" t="inlineStr">
        <is>
          <t>67059505</t>
        </is>
      </c>
      <c r="AB88" t="inlineStr">
        <is>
          <t>PLANTA SAN LUIS POTOSI</t>
        </is>
      </c>
      <c r="AC88" t="n">
        <v>56103638</v>
      </c>
      <c r="AD88" t="n">
        <v>6622351540</v>
      </c>
      <c r="AE88" t="n">
        <v>4</v>
      </c>
      <c r="AF88" t="inlineStr">
        <is>
          <t>ENTREGA DIRECTA</t>
        </is>
      </c>
      <c r="AG88" t="n">
        <v>1</v>
      </c>
      <c r="AH88" t="inlineStr">
        <is>
          <t>TO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20240229</v>
      </c>
      <c r="AM88" t="inlineStr">
        <is>
          <t>D845-900006074-67059505-10000617-4</t>
        </is>
      </c>
    </row>
    <row r="89">
      <c r="A89" t="inlineStr">
        <is>
          <t>900006074D8456729261710167749</t>
        </is>
      </c>
      <c r="B89" t="inlineStr">
        <is>
          <t>4600044538-1010</t>
        </is>
      </c>
      <c r="C89" t="n">
        <v>4600044538</v>
      </c>
      <c r="D89" t="n">
        <v>1010</v>
      </c>
      <c r="E89" t="inlineStr">
        <is>
          <t>MXPO</t>
        </is>
      </c>
      <c r="F89" t="inlineStr">
        <is>
          <t>MXL</t>
        </is>
      </c>
      <c r="G89" t="n">
        <v>900006074</v>
      </c>
      <c r="H89" t="inlineStr">
        <is>
          <t>SF TP-ED- GRAMOL SLP</t>
        </is>
      </c>
      <c r="I89" t="n">
        <v>5005459</v>
      </c>
      <c r="J89" t="inlineStr">
        <is>
          <t>TRITURADOS GRAMOL SA DE CV</t>
        </is>
      </c>
      <c r="K89" t="inlineStr">
        <is>
          <t>Z04</t>
        </is>
      </c>
      <c r="L89" t="inlineStr">
        <is>
          <t>(AP) 30 Dias</t>
        </is>
      </c>
      <c r="M89" t="n">
        <v>10167749</v>
      </c>
      <c r="N89" t="inlineStr">
        <is>
          <t>BASE H CALIZA 1 1/2" A FINOS ESPECIAL</t>
        </is>
      </c>
      <c r="O89" t="inlineStr">
        <is>
          <t>D845</t>
        </is>
      </c>
      <c r="P89" t="inlineStr">
        <is>
          <t>MX-CED. SLP</t>
        </is>
      </c>
      <c r="Q89" t="n">
        <v>20190415</v>
      </c>
      <c r="R89" t="n">
        <v>20291231</v>
      </c>
      <c r="S89" t="n">
        <v>20241210</v>
      </c>
      <c r="T89" t="n">
        <v>20291231</v>
      </c>
      <c r="U89" t="n">
        <v>225</v>
      </c>
      <c r="V89" t="inlineStr">
        <is>
          <t>MXN</t>
        </is>
      </c>
      <c r="W89" t="inlineStr">
        <is>
          <t>TN</t>
        </is>
      </c>
      <c r="X89" t="n">
        <v>72</v>
      </c>
      <c r="Y89" t="inlineStr">
        <is>
          <t>MXN</t>
        </is>
      </c>
      <c r="Z89" t="inlineStr">
        <is>
          <t>TN</t>
        </is>
      </c>
      <c r="AA89" t="inlineStr">
        <is>
          <t>67292617</t>
        </is>
      </c>
      <c r="AB89" t="inlineStr">
        <is>
          <t>PUENTE CANAL MAGNOLIA</t>
        </is>
      </c>
      <c r="AC89" t="n">
        <v>56103590</v>
      </c>
      <c r="AD89" t="n">
        <v>6622351540</v>
      </c>
      <c r="AE89" t="n">
        <v>4</v>
      </c>
      <c r="AF89" t="inlineStr">
        <is>
          <t>ENTREGA DIRECTA</t>
        </is>
      </c>
      <c r="AG89" t="n">
        <v>1</v>
      </c>
      <c r="AH89" t="inlineStr">
        <is>
          <t>TO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20250104</v>
      </c>
      <c r="AM89" t="inlineStr">
        <is>
          <t>D845-900006074-67292617-10167749-4</t>
        </is>
      </c>
    </row>
    <row r="90">
      <c r="A90" t="inlineStr">
        <is>
          <t>900006124D84510000673</t>
        </is>
      </c>
      <c r="B90" t="inlineStr">
        <is>
          <t>4600044703-40</t>
        </is>
      </c>
      <c r="C90" t="n">
        <v>4600044703</v>
      </c>
      <c r="D90" t="n">
        <v>40</v>
      </c>
      <c r="E90" t="inlineStr">
        <is>
          <t>MXPO</t>
        </is>
      </c>
      <c r="F90" t="inlineStr">
        <is>
          <t>MXL</t>
        </is>
      </c>
      <c r="G90" t="n">
        <v>900006124</v>
      </c>
      <c r="H90" t="inlineStr">
        <is>
          <t>SF TP- INCASA</t>
        </is>
      </c>
      <c r="I90" t="n">
        <v>5001208</v>
      </c>
      <c r="J90" t="inlineStr">
        <is>
          <t>INDUSTRIALIZADORA DE CALIZA SA DE</t>
        </is>
      </c>
      <c r="K90" t="inlineStr">
        <is>
          <t>Z04</t>
        </is>
      </c>
      <c r="L90" t="inlineStr">
        <is>
          <t>(AP) 30 Dias</t>
        </is>
      </c>
      <c r="M90" t="n">
        <v>10000673</v>
      </c>
      <c r="N90" t="inlineStr">
        <is>
          <t>Grava Triturada Caliza 10 mm - 3/8"</t>
        </is>
      </c>
      <c r="O90" t="inlineStr">
        <is>
          <t>D845</t>
        </is>
      </c>
      <c r="P90" t="inlineStr">
        <is>
          <t>MX-CED. SLP</t>
        </is>
      </c>
      <c r="Q90" t="n">
        <v>20190501</v>
      </c>
      <c r="R90" t="n">
        <v>20291231</v>
      </c>
      <c r="S90" t="n">
        <v>20210308</v>
      </c>
      <c r="T90" t="n">
        <v>20291231</v>
      </c>
      <c r="U90" t="n">
        <v>95</v>
      </c>
      <c r="V90" t="inlineStr">
        <is>
          <t>MXN</t>
        </is>
      </c>
      <c r="W90" t="inlineStr">
        <is>
          <t>TN</t>
        </is>
      </c>
      <c r="AC90" t="n">
        <v>56103637</v>
      </c>
      <c r="AD90" t="n">
        <v>6622351540</v>
      </c>
      <c r="AE90" t="n">
        <v>1</v>
      </c>
      <c r="AF90" t="inlineStr">
        <is>
          <t>ENTREGADO</t>
        </is>
      </c>
      <c r="AG90" t="n">
        <v>1</v>
      </c>
      <c r="AH90" t="inlineStr">
        <is>
          <t>TO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20230920</v>
      </c>
      <c r="AM90" t="inlineStr">
        <is>
          <t>D845-900006124-10000673</t>
        </is>
      </c>
    </row>
    <row r="91">
      <c r="A91" t="inlineStr">
        <is>
          <t>900006074D8456734147210000617</t>
        </is>
      </c>
      <c r="B91" t="inlineStr">
        <is>
          <t>4600044538-1160</t>
        </is>
      </c>
      <c r="C91" t="n">
        <v>4600044538</v>
      </c>
      <c r="D91" t="n">
        <v>1160</v>
      </c>
      <c r="E91" t="inlineStr">
        <is>
          <t>MXPO</t>
        </is>
      </c>
      <c r="F91" t="inlineStr">
        <is>
          <t>MXL</t>
        </is>
      </c>
      <c r="G91" t="n">
        <v>900006074</v>
      </c>
      <c r="H91" t="inlineStr">
        <is>
          <t>SF TP-ED- GRAMOL SLP</t>
        </is>
      </c>
      <c r="I91" t="n">
        <v>5005459</v>
      </c>
      <c r="J91" t="inlineStr">
        <is>
          <t>TRITURADOS GRAMOL SA DE CV</t>
        </is>
      </c>
      <c r="K91" t="inlineStr">
        <is>
          <t>Z04</t>
        </is>
      </c>
      <c r="L91" t="inlineStr">
        <is>
          <t>(AP) 30 Dias</t>
        </is>
      </c>
      <c r="M91" t="n">
        <v>10000617</v>
      </c>
      <c r="N91" t="inlineStr">
        <is>
          <t>Arena Triturada Caliza Malla 5</t>
        </is>
      </c>
      <c r="O91" t="inlineStr">
        <is>
          <t>D845</t>
        </is>
      </c>
      <c r="P91" t="inlineStr">
        <is>
          <t>MX-CED. SLP</t>
        </is>
      </c>
      <c r="Q91" t="n">
        <v>20190415</v>
      </c>
      <c r="R91" t="n">
        <v>20291231</v>
      </c>
      <c r="S91" t="n">
        <v>20251015</v>
      </c>
      <c r="T91" t="n">
        <v>20301231</v>
      </c>
      <c r="U91" t="n">
        <v>268</v>
      </c>
      <c r="V91" t="inlineStr">
        <is>
          <t>MXN</t>
        </is>
      </c>
      <c r="W91" t="inlineStr">
        <is>
          <t>TN</t>
        </is>
      </c>
      <c r="X91" t="n">
        <v>78</v>
      </c>
      <c r="Y91" t="inlineStr">
        <is>
          <t>MXN</t>
        </is>
      </c>
      <c r="Z91" t="inlineStr">
        <is>
          <t>TN</t>
        </is>
      </c>
      <c r="AA91" t="inlineStr">
        <is>
          <t>67341472</t>
        </is>
      </c>
      <c r="AB91" t="inlineStr">
        <is>
          <t>URBANIZACIÓN CAM. A MEZQUITAL</t>
        </is>
      </c>
      <c r="AC91" t="n">
        <v>56103638</v>
      </c>
      <c r="AD91" t="n">
        <v>6622351540</v>
      </c>
      <c r="AE91" t="n">
        <v>4</v>
      </c>
      <c r="AF91" t="inlineStr">
        <is>
          <t>ENTREGA DIRECTA</t>
        </is>
      </c>
      <c r="AG91" t="n">
        <v>1</v>
      </c>
      <c r="AH91" t="inlineStr">
        <is>
          <t>TO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20251016</v>
      </c>
      <c r="AM91" t="inlineStr">
        <is>
          <t>D845-900006074-67341472-10000617-4</t>
        </is>
      </c>
    </row>
    <row r="92">
      <c r="A92" t="inlineStr">
        <is>
          <t>900006074D8456734147210167749</t>
        </is>
      </c>
      <c r="B92" t="inlineStr">
        <is>
          <t>4600044538-1190</t>
        </is>
      </c>
      <c r="C92" t="n">
        <v>4600044538</v>
      </c>
      <c r="D92" t="n">
        <v>1190</v>
      </c>
      <c r="E92" t="inlineStr">
        <is>
          <t>MXPO</t>
        </is>
      </c>
      <c r="F92" t="inlineStr">
        <is>
          <t>MXL</t>
        </is>
      </c>
      <c r="G92" t="n">
        <v>900006074</v>
      </c>
      <c r="H92" t="inlineStr">
        <is>
          <t>SF TP-ED- GRAMOL SLP</t>
        </is>
      </c>
      <c r="I92" t="n">
        <v>5005459</v>
      </c>
      <c r="J92" t="inlineStr">
        <is>
          <t>TRITURADOS GRAMOL SA DE CV</t>
        </is>
      </c>
      <c r="K92" t="inlineStr">
        <is>
          <t>Z04</t>
        </is>
      </c>
      <c r="L92" t="inlineStr">
        <is>
          <t>(AP) 30 Dias</t>
        </is>
      </c>
      <c r="M92" t="n">
        <v>10167749</v>
      </c>
      <c r="N92" t="inlineStr">
        <is>
          <t>BASE H CALIZA 1 1/2" A FINOS ESPECIAL</t>
        </is>
      </c>
      <c r="O92" t="inlineStr">
        <is>
          <t>D845</t>
        </is>
      </c>
      <c r="P92" t="inlineStr">
        <is>
          <t>MX-CED. SLP</t>
        </is>
      </c>
      <c r="Q92" t="n">
        <v>20190415</v>
      </c>
      <c r="R92" t="n">
        <v>20291231</v>
      </c>
      <c r="S92" t="n">
        <v>20251015</v>
      </c>
      <c r="T92" t="n">
        <v>20301231</v>
      </c>
      <c r="U92" t="n">
        <v>261</v>
      </c>
      <c r="V92" t="inlineStr">
        <is>
          <t>MXN</t>
        </is>
      </c>
      <c r="W92" t="inlineStr">
        <is>
          <t>TN</t>
        </is>
      </c>
      <c r="X92" t="n">
        <v>78</v>
      </c>
      <c r="Y92" t="inlineStr">
        <is>
          <t>MXN</t>
        </is>
      </c>
      <c r="Z92" t="inlineStr">
        <is>
          <t>TN</t>
        </is>
      </c>
      <c r="AA92" t="inlineStr">
        <is>
          <t>67341472</t>
        </is>
      </c>
      <c r="AB92" t="inlineStr">
        <is>
          <t>URBANIZACIÓN CAM. A MEZQUITAL</t>
        </is>
      </c>
      <c r="AC92" t="n">
        <v>56103590</v>
      </c>
      <c r="AD92" t="n">
        <v>6622351540</v>
      </c>
      <c r="AE92" t="n">
        <v>4</v>
      </c>
      <c r="AF92" t="inlineStr">
        <is>
          <t>ENTREGA DIRECTA</t>
        </is>
      </c>
      <c r="AG92" t="n">
        <v>1</v>
      </c>
      <c r="AH92" t="inlineStr">
        <is>
          <t>TO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20251016</v>
      </c>
      <c r="AM92" t="inlineStr">
        <is>
          <t>D845-900006074-67341472-10167749-4</t>
        </is>
      </c>
    </row>
    <row r="93">
      <c r="A93" t="inlineStr">
        <is>
          <t>900006074D8456734147210000536</t>
        </is>
      </c>
      <c r="B93" t="inlineStr">
        <is>
          <t>4600044538-1180</t>
        </is>
      </c>
      <c r="C93" t="n">
        <v>4600044538</v>
      </c>
      <c r="D93" t="n">
        <v>1180</v>
      </c>
      <c r="E93" t="inlineStr">
        <is>
          <t>MXPO</t>
        </is>
      </c>
      <c r="F93" t="inlineStr">
        <is>
          <t>MXL</t>
        </is>
      </c>
      <c r="G93" t="n">
        <v>900006074</v>
      </c>
      <c r="H93" t="inlineStr">
        <is>
          <t>SF TP-ED- GRAMOL SLP</t>
        </is>
      </c>
      <c r="I93" t="n">
        <v>5005459</v>
      </c>
      <c r="J93" t="inlineStr">
        <is>
          <t>TRITURADOS GRAMOL SA DE CV</t>
        </is>
      </c>
      <c r="K93" t="inlineStr">
        <is>
          <t>Z04</t>
        </is>
      </c>
      <c r="L93" t="inlineStr">
        <is>
          <t>(AP) 30 Dias</t>
        </is>
      </c>
      <c r="M93" t="n">
        <v>10000536</v>
      </c>
      <c r="N93" t="inlineStr">
        <is>
          <t>Grava Triturada Caliza 40 mm - 1 1/2"</t>
        </is>
      </c>
      <c r="O93" t="inlineStr">
        <is>
          <t>D845</t>
        </is>
      </c>
      <c r="P93" t="inlineStr">
        <is>
          <t>MX-CED. SLP</t>
        </is>
      </c>
      <c r="Q93" t="n">
        <v>20190415</v>
      </c>
      <c r="R93" t="n">
        <v>20291231</v>
      </c>
      <c r="S93" t="n">
        <v>20251015</v>
      </c>
      <c r="T93" t="n">
        <v>20301231</v>
      </c>
      <c r="U93" t="n">
        <v>259</v>
      </c>
      <c r="V93" t="inlineStr">
        <is>
          <t>MXN</t>
        </is>
      </c>
      <c r="W93" t="inlineStr">
        <is>
          <t>TN</t>
        </is>
      </c>
      <c r="X93" t="n">
        <v>78</v>
      </c>
      <c r="Y93" t="inlineStr">
        <is>
          <t>MXN</t>
        </is>
      </c>
      <c r="Z93" t="inlineStr">
        <is>
          <t>TN</t>
        </is>
      </c>
      <c r="AA93" t="inlineStr">
        <is>
          <t>67341472</t>
        </is>
      </c>
      <c r="AB93" t="inlineStr">
        <is>
          <t>URBANIZACIÓN CAM. A MEZQUITAL</t>
        </is>
      </c>
      <c r="AC93" t="n">
        <v>56103637</v>
      </c>
      <c r="AD93" t="n">
        <v>6622351540</v>
      </c>
      <c r="AE93" t="n">
        <v>4</v>
      </c>
      <c r="AF93" t="inlineStr">
        <is>
          <t>ENTREGA DIRECTA</t>
        </is>
      </c>
      <c r="AG93" t="n">
        <v>1</v>
      </c>
      <c r="AH93" t="inlineStr">
        <is>
          <t>TO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20251016</v>
      </c>
      <c r="AM93" t="inlineStr">
        <is>
          <t>D845-900006074-67341472-10000536-4</t>
        </is>
      </c>
    </row>
    <row r="94">
      <c r="A94" t="inlineStr">
        <is>
          <t>900006074D8456734147210000578</t>
        </is>
      </c>
      <c r="B94" t="inlineStr">
        <is>
          <t>4600044538-1170</t>
        </is>
      </c>
      <c r="C94" t="n">
        <v>4600044538</v>
      </c>
      <c r="D94" t="n">
        <v>1170</v>
      </c>
      <c r="E94" t="inlineStr">
        <is>
          <t>MXPO</t>
        </is>
      </c>
      <c r="F94" t="inlineStr">
        <is>
          <t>MXL</t>
        </is>
      </c>
      <c r="G94" t="n">
        <v>900006074</v>
      </c>
      <c r="H94" t="inlineStr">
        <is>
          <t>SF TP-ED- GRAMOL SLP</t>
        </is>
      </c>
      <c r="I94" t="n">
        <v>5005459</v>
      </c>
      <c r="J94" t="inlineStr">
        <is>
          <t>TRITURADOS GRAMOL SA DE CV</t>
        </is>
      </c>
      <c r="K94" t="inlineStr">
        <is>
          <t>Z04</t>
        </is>
      </c>
      <c r="L94" t="inlineStr">
        <is>
          <t>(AP) 30 Dias</t>
        </is>
      </c>
      <c r="M94" t="n">
        <v>10000578</v>
      </c>
      <c r="N94" t="inlineStr">
        <is>
          <t>GRAVA TRITURADA CALIZA 20 MM - 3/4"</t>
        </is>
      </c>
      <c r="O94" t="inlineStr">
        <is>
          <t>D845</t>
        </is>
      </c>
      <c r="P94" t="inlineStr">
        <is>
          <t>MX-CED. SLP</t>
        </is>
      </c>
      <c r="Q94" t="n">
        <v>20190415</v>
      </c>
      <c r="R94" t="n">
        <v>20291231</v>
      </c>
      <c r="S94" t="n">
        <v>20251015</v>
      </c>
      <c r="T94" t="n">
        <v>20301231</v>
      </c>
      <c r="U94" t="n">
        <v>259</v>
      </c>
      <c r="V94" t="inlineStr">
        <is>
          <t>MXN</t>
        </is>
      </c>
      <c r="W94" t="inlineStr">
        <is>
          <t>TN</t>
        </is>
      </c>
      <c r="X94" t="n">
        <v>78</v>
      </c>
      <c r="Y94" t="inlineStr">
        <is>
          <t>MXN</t>
        </is>
      </c>
      <c r="Z94" t="inlineStr">
        <is>
          <t>TN</t>
        </is>
      </c>
      <c r="AA94" t="inlineStr">
        <is>
          <t>67341472</t>
        </is>
      </c>
      <c r="AB94" t="inlineStr">
        <is>
          <t>URBANIZACIÓN CAM. A MEZQUITAL</t>
        </is>
      </c>
      <c r="AC94" t="n">
        <v>56103637</v>
      </c>
      <c r="AD94" t="n">
        <v>6622351540</v>
      </c>
      <c r="AE94" t="n">
        <v>4</v>
      </c>
      <c r="AF94" t="inlineStr">
        <is>
          <t>ENTREGA DIRECTA</t>
        </is>
      </c>
      <c r="AG94" t="n">
        <v>1</v>
      </c>
      <c r="AH94" t="inlineStr">
        <is>
          <t>TO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20251016</v>
      </c>
      <c r="AM94" t="inlineStr">
        <is>
          <t>D845-900006074-67341472-10000578-4</t>
        </is>
      </c>
    </row>
    <row r="95">
      <c r="A95" t="inlineStr">
        <is>
          <t>900006074D8456720390510000578</t>
        </is>
      </c>
      <c r="B95" t="inlineStr">
        <is>
          <t>4600044538-810</t>
        </is>
      </c>
      <c r="C95" t="n">
        <v>4600044538</v>
      </c>
      <c r="D95" t="n">
        <v>810</v>
      </c>
      <c r="E95" t="inlineStr">
        <is>
          <t>MXPO</t>
        </is>
      </c>
      <c r="F95" t="inlineStr">
        <is>
          <t>MXL</t>
        </is>
      </c>
      <c r="G95" t="n">
        <v>900006074</v>
      </c>
      <c r="H95" t="inlineStr">
        <is>
          <t>SF TP-ED- GRAMOL SLP</t>
        </is>
      </c>
      <c r="I95" t="n">
        <v>5005459</v>
      </c>
      <c r="J95" t="inlineStr">
        <is>
          <t>TRITURADOS GRAMOL SA DE CV</t>
        </is>
      </c>
      <c r="K95" t="inlineStr">
        <is>
          <t>Z04</t>
        </is>
      </c>
      <c r="L95" t="inlineStr">
        <is>
          <t>(AP) 30 Dias</t>
        </is>
      </c>
      <c r="M95" t="n">
        <v>10000578</v>
      </c>
      <c r="N95" t="inlineStr">
        <is>
          <t>Grava Triturada Caliza 20 mm - 3/4"</t>
        </is>
      </c>
      <c r="O95" t="inlineStr">
        <is>
          <t>D845</t>
        </is>
      </c>
      <c r="P95" t="inlineStr">
        <is>
          <t>MX-CED. SLP</t>
        </is>
      </c>
      <c r="Q95" t="n">
        <v>20190415</v>
      </c>
      <c r="R95" t="n">
        <v>20291231</v>
      </c>
      <c r="S95" t="n">
        <v>20231228</v>
      </c>
      <c r="T95" t="n">
        <v>20281231</v>
      </c>
      <c r="U95" t="n">
        <v>188</v>
      </c>
      <c r="V95" t="inlineStr">
        <is>
          <t>MXN</t>
        </is>
      </c>
      <c r="W95" t="inlineStr">
        <is>
          <t>TN</t>
        </is>
      </c>
      <c r="X95" t="n">
        <v>64</v>
      </c>
      <c r="Y95" t="inlineStr">
        <is>
          <t>MXN</t>
        </is>
      </c>
      <c r="Z95" t="inlineStr">
        <is>
          <t>TN</t>
        </is>
      </c>
      <c r="AA95" t="inlineStr">
        <is>
          <t>67203905</t>
        </is>
      </c>
      <c r="AB95" t="inlineStr">
        <is>
          <t>VP-SLPI-04 ERD</t>
        </is>
      </c>
      <c r="AC95" t="n">
        <v>56103637</v>
      </c>
      <c r="AD95" t="n">
        <v>6622351540</v>
      </c>
      <c r="AE95" t="n">
        <v>4</v>
      </c>
      <c r="AF95" t="inlineStr">
        <is>
          <t>ENTREGA DIRECTA</t>
        </is>
      </c>
      <c r="AG95" t="n">
        <v>1</v>
      </c>
      <c r="AH95" t="inlineStr">
        <is>
          <t>TO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20231230</v>
      </c>
      <c r="AM95" t="inlineStr">
        <is>
          <t>D845-900006074-67203905-10000578-4</t>
        </is>
      </c>
    </row>
    <row r="96">
      <c r="A96" t="inlineStr">
        <is>
          <t>900006074D8456731824610000656</t>
        </is>
      </c>
      <c r="B96" t="inlineStr">
        <is>
          <t>4600044538-1080</t>
        </is>
      </c>
      <c r="C96" t="n">
        <v>4600044538</v>
      </c>
      <c r="D96" t="n">
        <v>1080</v>
      </c>
      <c r="E96" t="inlineStr">
        <is>
          <t>MXPO</t>
        </is>
      </c>
      <c r="F96" t="inlineStr">
        <is>
          <t>MXL</t>
        </is>
      </c>
      <c r="G96" t="n">
        <v>900006074</v>
      </c>
      <c r="H96" t="inlineStr">
        <is>
          <t>SF TP-ED- GRAMOL SLP</t>
        </is>
      </c>
      <c r="I96" t="n">
        <v>5005459</v>
      </c>
      <c r="J96" t="inlineStr">
        <is>
          <t>TRITURADOS GRAMOL SA DE CV</t>
        </is>
      </c>
      <c r="K96" t="inlineStr">
        <is>
          <t>Z04</t>
        </is>
      </c>
      <c r="L96" t="inlineStr">
        <is>
          <t>(AP) 30 Dias</t>
        </is>
      </c>
      <c r="M96" t="n">
        <v>10000656</v>
      </c>
      <c r="N96" t="inlineStr">
        <is>
          <t>Grava Triturada Caliza 10 mm - 3/8"</t>
        </is>
      </c>
      <c r="O96" t="inlineStr">
        <is>
          <t>D845</t>
        </is>
      </c>
      <c r="P96" t="inlineStr">
        <is>
          <t>MX-CED. SLP</t>
        </is>
      </c>
      <c r="Q96" t="n">
        <v>20190415</v>
      </c>
      <c r="R96" t="n">
        <v>20291231</v>
      </c>
      <c r="S96" t="n">
        <v>20260122</v>
      </c>
      <c r="T96" t="n">
        <v>20301231</v>
      </c>
      <c r="U96" t="n">
        <v>301</v>
      </c>
      <c r="V96" t="inlineStr">
        <is>
          <t>MXN</t>
        </is>
      </c>
      <c r="W96" t="inlineStr">
        <is>
          <t>TN</t>
        </is>
      </c>
      <c r="X96" t="n">
        <v>141</v>
      </c>
      <c r="Y96" t="inlineStr">
        <is>
          <t>MXN</t>
        </is>
      </c>
      <c r="Z96" t="inlineStr">
        <is>
          <t>TN</t>
        </is>
      </c>
      <c r="AA96" t="inlineStr">
        <is>
          <t>67318246</t>
        </is>
      </c>
      <c r="AB96" t="inlineStr">
        <is>
          <t>DC CONCRETOS EL FUERTE</t>
        </is>
      </c>
      <c r="AC96" t="n">
        <v>56103637</v>
      </c>
      <c r="AD96" t="n">
        <v>6622351540</v>
      </c>
      <c r="AE96" t="n">
        <v>4</v>
      </c>
      <c r="AF96" t="inlineStr">
        <is>
          <t>ENTREGA DIRECTA</t>
        </is>
      </c>
      <c r="AG96" t="n">
        <v>1</v>
      </c>
      <c r="AH96" t="inlineStr">
        <is>
          <t>TO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20260123</v>
      </c>
      <c r="AM96" t="inlineStr">
        <is>
          <t>D845-900006074-67318246-10000656-4</t>
        </is>
      </c>
    </row>
    <row r="97">
      <c r="A97" t="inlineStr">
        <is>
          <t>900006074D8456731824610000536</t>
        </is>
      </c>
      <c r="B97" t="inlineStr">
        <is>
          <t>4600044538-1110</t>
        </is>
      </c>
      <c r="C97" t="n">
        <v>4600044538</v>
      </c>
      <c r="D97" t="n">
        <v>1110</v>
      </c>
      <c r="E97" t="inlineStr">
        <is>
          <t>MXPO</t>
        </is>
      </c>
      <c r="F97" t="inlineStr">
        <is>
          <t>MXL</t>
        </is>
      </c>
      <c r="G97" t="n">
        <v>900006074</v>
      </c>
      <c r="H97" t="inlineStr">
        <is>
          <t>SF TP-ED- GRAMOL SLP</t>
        </is>
      </c>
      <c r="I97" t="n">
        <v>5005459</v>
      </c>
      <c r="J97" t="inlineStr">
        <is>
          <t>TRITURADOS GRAMOL SA DE CV</t>
        </is>
      </c>
      <c r="K97" t="inlineStr">
        <is>
          <t>Z04</t>
        </is>
      </c>
      <c r="L97" t="inlineStr">
        <is>
          <t>(AP) 30 Dias</t>
        </is>
      </c>
      <c r="M97" t="n">
        <v>10000536</v>
      </c>
      <c r="N97" t="inlineStr">
        <is>
          <t>Grava Triturada Caliza 40 mm - 1 1/2"</t>
        </is>
      </c>
      <c r="O97" t="inlineStr">
        <is>
          <t>D845</t>
        </is>
      </c>
      <c r="P97" t="inlineStr">
        <is>
          <t>MX-CED. SLP</t>
        </is>
      </c>
      <c r="Q97" t="n">
        <v>20190415</v>
      </c>
      <c r="R97" t="n">
        <v>20291231</v>
      </c>
      <c r="S97" t="n">
        <v>20260122</v>
      </c>
      <c r="T97" t="n">
        <v>20301231</v>
      </c>
      <c r="U97" t="n">
        <v>291</v>
      </c>
      <c r="V97" t="inlineStr">
        <is>
          <t>MXN</t>
        </is>
      </c>
      <c r="W97" t="inlineStr">
        <is>
          <t>TN</t>
        </is>
      </c>
      <c r="X97" t="n">
        <v>141</v>
      </c>
      <c r="Y97" t="inlineStr">
        <is>
          <t>MXN</t>
        </is>
      </c>
      <c r="Z97" t="inlineStr">
        <is>
          <t>TN</t>
        </is>
      </c>
      <c r="AA97" t="inlineStr">
        <is>
          <t>67318246</t>
        </is>
      </c>
      <c r="AB97" t="inlineStr">
        <is>
          <t>DC CONCRETOS EL FUERTE</t>
        </is>
      </c>
      <c r="AC97" t="n">
        <v>56103637</v>
      </c>
      <c r="AD97" t="n">
        <v>6622351540</v>
      </c>
      <c r="AE97" t="n">
        <v>4</v>
      </c>
      <c r="AF97" t="inlineStr">
        <is>
          <t>ENTREGA DIRECTA</t>
        </is>
      </c>
      <c r="AG97" t="n">
        <v>1</v>
      </c>
      <c r="AH97" t="inlineStr">
        <is>
          <t>TO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20260123</v>
      </c>
      <c r="AM97" t="inlineStr">
        <is>
          <t>D845-900006074-67318246-10000536-4</t>
        </is>
      </c>
    </row>
    <row r="98">
      <c r="A98" t="inlineStr">
        <is>
          <t>900006074D8456731824610000617</t>
        </is>
      </c>
      <c r="B98" t="inlineStr">
        <is>
          <t>4600044538-1070</t>
        </is>
      </c>
      <c r="C98" t="n">
        <v>4600044538</v>
      </c>
      <c r="D98" t="n">
        <v>1070</v>
      </c>
      <c r="E98" t="inlineStr">
        <is>
          <t>MXPO</t>
        </is>
      </c>
      <c r="F98" t="inlineStr">
        <is>
          <t>MXL</t>
        </is>
      </c>
      <c r="G98" t="n">
        <v>900006074</v>
      </c>
      <c r="H98" t="inlineStr">
        <is>
          <t>SF TP-ED- GRAMOL SLP</t>
        </is>
      </c>
      <c r="I98" t="n">
        <v>5005459</v>
      </c>
      <c r="J98" t="inlineStr">
        <is>
          <t>TRITURADOS GRAMOL SA DE CV</t>
        </is>
      </c>
      <c r="K98" t="inlineStr">
        <is>
          <t>Z04</t>
        </is>
      </c>
      <c r="L98" t="inlineStr">
        <is>
          <t>(AP) 30 Dias</t>
        </is>
      </c>
      <c r="M98" t="n">
        <v>10000617</v>
      </c>
      <c r="N98" t="inlineStr">
        <is>
          <t>Arena Triturada Caliza Malla 5</t>
        </is>
      </c>
      <c r="O98" t="inlineStr">
        <is>
          <t>D845</t>
        </is>
      </c>
      <c r="P98" t="inlineStr">
        <is>
          <t>MX-CED. SLP</t>
        </is>
      </c>
      <c r="Q98" t="n">
        <v>20190415</v>
      </c>
      <c r="R98" t="n">
        <v>20291231</v>
      </c>
      <c r="S98" t="n">
        <v>20260122</v>
      </c>
      <c r="T98" t="n">
        <v>20301231</v>
      </c>
      <c r="U98" t="n">
        <v>304</v>
      </c>
      <c r="V98" t="inlineStr">
        <is>
          <t>MXN</t>
        </is>
      </c>
      <c r="W98" t="inlineStr">
        <is>
          <t>TN</t>
        </is>
      </c>
      <c r="X98" t="n">
        <v>141</v>
      </c>
      <c r="Y98" t="inlineStr">
        <is>
          <t>MXN</t>
        </is>
      </c>
      <c r="Z98" t="inlineStr">
        <is>
          <t>TN</t>
        </is>
      </c>
      <c r="AA98" t="inlineStr">
        <is>
          <t>67318246</t>
        </is>
      </c>
      <c r="AB98" t="inlineStr">
        <is>
          <t>DC CONCRETOS EL FUERTE</t>
        </is>
      </c>
      <c r="AC98" t="n">
        <v>56103638</v>
      </c>
      <c r="AD98" t="n">
        <v>6622351540</v>
      </c>
      <c r="AE98" t="n">
        <v>4</v>
      </c>
      <c r="AF98" t="inlineStr">
        <is>
          <t>ENTREGA DIRECTA</t>
        </is>
      </c>
      <c r="AG98" t="n">
        <v>1</v>
      </c>
      <c r="AH98" t="inlineStr">
        <is>
          <t>TO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20260123</v>
      </c>
      <c r="AM98" t="inlineStr">
        <is>
          <t>D845-900006074-67318246-10000617-4</t>
        </is>
      </c>
    </row>
    <row r="99">
      <c r="A99" t="inlineStr">
        <is>
          <t>900006074D8456731824610000578</t>
        </is>
      </c>
      <c r="B99" t="inlineStr">
        <is>
          <t>4600044538-1100</t>
        </is>
      </c>
      <c r="C99" t="n">
        <v>4600044538</v>
      </c>
      <c r="D99" t="n">
        <v>1100</v>
      </c>
      <c r="E99" t="inlineStr">
        <is>
          <t>MXPO</t>
        </is>
      </c>
      <c r="F99" t="inlineStr">
        <is>
          <t>MXL</t>
        </is>
      </c>
      <c r="G99" t="n">
        <v>900006074</v>
      </c>
      <c r="H99" t="inlineStr">
        <is>
          <t>SF TP-ED- GRAMOL SLP</t>
        </is>
      </c>
      <c r="I99" t="n">
        <v>5005459</v>
      </c>
      <c r="J99" t="inlineStr">
        <is>
          <t>TRITURADOS GRAMOL SA DE CV</t>
        </is>
      </c>
      <c r="K99" t="inlineStr">
        <is>
          <t>Z04</t>
        </is>
      </c>
      <c r="L99" t="inlineStr">
        <is>
          <t>(AP) 30 Dias</t>
        </is>
      </c>
      <c r="M99" t="n">
        <v>10000578</v>
      </c>
      <c r="N99" t="inlineStr">
        <is>
          <t>Grava Triturada Caliza 20 mm - 3/4"</t>
        </is>
      </c>
      <c r="O99" t="inlineStr">
        <is>
          <t>D845</t>
        </is>
      </c>
      <c r="P99" t="inlineStr">
        <is>
          <t>MX-CED. SLP</t>
        </is>
      </c>
      <c r="Q99" t="n">
        <v>20190415</v>
      </c>
      <c r="R99" t="n">
        <v>20291231</v>
      </c>
      <c r="S99" t="n">
        <v>20260122</v>
      </c>
      <c r="T99" t="n">
        <v>20301231</v>
      </c>
      <c r="U99" t="n">
        <v>291</v>
      </c>
      <c r="V99" t="inlineStr">
        <is>
          <t>MXN</t>
        </is>
      </c>
      <c r="W99" t="inlineStr">
        <is>
          <t>TN</t>
        </is>
      </c>
      <c r="X99" t="n">
        <v>141</v>
      </c>
      <c r="Y99" t="inlineStr">
        <is>
          <t>MXN</t>
        </is>
      </c>
      <c r="Z99" t="inlineStr">
        <is>
          <t>TN</t>
        </is>
      </c>
      <c r="AA99" t="inlineStr">
        <is>
          <t>67318246</t>
        </is>
      </c>
      <c r="AB99" t="inlineStr">
        <is>
          <t>DC CONCRETOS EL FUERTE</t>
        </is>
      </c>
      <c r="AC99" t="n">
        <v>56103637</v>
      </c>
      <c r="AD99" t="n">
        <v>6622351540</v>
      </c>
      <c r="AE99" t="n">
        <v>4</v>
      </c>
      <c r="AF99" t="inlineStr">
        <is>
          <t>ENTREGA DIRECTA</t>
        </is>
      </c>
      <c r="AG99" t="n">
        <v>1</v>
      </c>
      <c r="AH99" t="inlineStr">
        <is>
          <t>TO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20260123</v>
      </c>
      <c r="AM99" t="inlineStr">
        <is>
          <t>D845-900006074-67318246-10000578-4</t>
        </is>
      </c>
    </row>
    <row r="100">
      <c r="A100" t="inlineStr">
        <is>
          <t>900006074D8456720390510167749</t>
        </is>
      </c>
      <c r="B100" t="inlineStr">
        <is>
          <t>4600044538-820</t>
        </is>
      </c>
      <c r="C100" t="n">
        <v>4600044538</v>
      </c>
      <c r="D100" t="n">
        <v>820</v>
      </c>
      <c r="E100" t="inlineStr">
        <is>
          <t>MXPO</t>
        </is>
      </c>
      <c r="F100" t="inlineStr">
        <is>
          <t>MXL</t>
        </is>
      </c>
      <c r="G100" t="n">
        <v>900006074</v>
      </c>
      <c r="H100" t="inlineStr">
        <is>
          <t>SF TP-ED- GRAMOL SLP</t>
        </is>
      </c>
      <c r="I100" t="n">
        <v>5005459</v>
      </c>
      <c r="J100" t="inlineStr">
        <is>
          <t>TRITURADOS GRAMOL SA DE CV</t>
        </is>
      </c>
      <c r="K100" t="inlineStr">
        <is>
          <t>Z04</t>
        </is>
      </c>
      <c r="L100" t="inlineStr">
        <is>
          <t>(AP) 30 Dias</t>
        </is>
      </c>
      <c r="M100" t="n">
        <v>10167749</v>
      </c>
      <c r="N100" t="inlineStr">
        <is>
          <t>BASE H CALIZA 1 1/2" A FINOS ESPECIAL</t>
        </is>
      </c>
      <c r="O100" t="inlineStr">
        <is>
          <t>D845</t>
        </is>
      </c>
      <c r="P100" t="inlineStr">
        <is>
          <t>MX-CED. SLP</t>
        </is>
      </c>
      <c r="Q100" t="n">
        <v>20190415</v>
      </c>
      <c r="R100" t="n">
        <v>20291231</v>
      </c>
      <c r="S100" t="n">
        <v>20231228</v>
      </c>
      <c r="T100" t="n">
        <v>20281231</v>
      </c>
      <c r="U100" t="n">
        <v>191</v>
      </c>
      <c r="V100" t="inlineStr">
        <is>
          <t>MXN</t>
        </is>
      </c>
      <c r="W100" t="inlineStr">
        <is>
          <t>TN</t>
        </is>
      </c>
      <c r="X100" t="n">
        <v>64</v>
      </c>
      <c r="Y100" t="inlineStr">
        <is>
          <t>MXN</t>
        </is>
      </c>
      <c r="Z100" t="inlineStr">
        <is>
          <t>TN</t>
        </is>
      </c>
      <c r="AA100" t="inlineStr">
        <is>
          <t>67203905</t>
        </is>
      </c>
      <c r="AB100" t="inlineStr">
        <is>
          <t>VP-SLPI-04 ERD</t>
        </is>
      </c>
      <c r="AC100" t="n">
        <v>56103590</v>
      </c>
      <c r="AD100" t="n">
        <v>6622351540</v>
      </c>
      <c r="AE100" t="n">
        <v>4</v>
      </c>
      <c r="AF100" t="inlineStr">
        <is>
          <t>ENTREGA DIRECTA</t>
        </is>
      </c>
      <c r="AG100" t="n">
        <v>1</v>
      </c>
      <c r="AH100" t="inlineStr">
        <is>
          <t>TO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20240331</v>
      </c>
      <c r="AM100" t="inlineStr">
        <is>
          <t>D845-900006074-67203905-10167749-4</t>
        </is>
      </c>
    </row>
    <row r="101">
      <c r="A101" t="inlineStr">
        <is>
          <t>900006074D8456720390510000617</t>
        </is>
      </c>
      <c r="B101" t="inlineStr">
        <is>
          <t>4600044538-800</t>
        </is>
      </c>
      <c r="C101" t="n">
        <v>4600044538</v>
      </c>
      <c r="D101" t="n">
        <v>800</v>
      </c>
      <c r="E101" t="inlineStr">
        <is>
          <t>MXPO</t>
        </is>
      </c>
      <c r="F101" t="inlineStr">
        <is>
          <t>MXL</t>
        </is>
      </c>
      <c r="G101" t="n">
        <v>900006074</v>
      </c>
      <c r="H101" t="inlineStr">
        <is>
          <t>SF TP-ED- GRAMOL SLP</t>
        </is>
      </c>
      <c r="I101" t="n">
        <v>5005459</v>
      </c>
      <c r="J101" t="inlineStr">
        <is>
          <t>TRITURADOS GRAMOL SA DE CV</t>
        </is>
      </c>
      <c r="K101" t="inlineStr">
        <is>
          <t>Z04</t>
        </is>
      </c>
      <c r="L101" t="inlineStr">
        <is>
          <t>(AP) 30 Dias</t>
        </is>
      </c>
      <c r="M101" t="n">
        <v>10000617</v>
      </c>
      <c r="N101" t="inlineStr">
        <is>
          <t>Arena Triturada Caliza Malla 5</t>
        </is>
      </c>
      <c r="O101" t="inlineStr">
        <is>
          <t>D845</t>
        </is>
      </c>
      <c r="P101" t="inlineStr">
        <is>
          <t>MX-CED. SLP</t>
        </is>
      </c>
      <c r="Q101" t="n">
        <v>20190415</v>
      </c>
      <c r="R101" t="n">
        <v>20291231</v>
      </c>
      <c r="S101" t="n">
        <v>20231228</v>
      </c>
      <c r="T101" t="n">
        <v>20281231</v>
      </c>
      <c r="U101" t="n">
        <v>198</v>
      </c>
      <c r="V101" t="inlineStr">
        <is>
          <t>MXN</t>
        </is>
      </c>
      <c r="W101" t="inlineStr">
        <is>
          <t>TN</t>
        </is>
      </c>
      <c r="X101" t="n">
        <v>64</v>
      </c>
      <c r="Y101" t="inlineStr">
        <is>
          <t>MXN</t>
        </is>
      </c>
      <c r="Z101" t="inlineStr">
        <is>
          <t>TN</t>
        </is>
      </c>
      <c r="AA101" t="inlineStr">
        <is>
          <t>67203905</t>
        </is>
      </c>
      <c r="AB101" t="inlineStr">
        <is>
          <t>VP-SLPI-04 ERD</t>
        </is>
      </c>
      <c r="AC101" t="n">
        <v>56103638</v>
      </c>
      <c r="AD101" t="n">
        <v>6622351540</v>
      </c>
      <c r="AE101" t="n">
        <v>4</v>
      </c>
      <c r="AF101" t="inlineStr">
        <is>
          <t>ENTREGA DIRECTA</t>
        </is>
      </c>
      <c r="AG101" t="n">
        <v>1</v>
      </c>
      <c r="AH101" t="inlineStr">
        <is>
          <t>TO</t>
        </is>
      </c>
      <c r="AI101" t="inlineStr">
        <is>
          <t>X</t>
        </is>
      </c>
      <c r="AJ101" t="n">
        <v>4</v>
      </c>
      <c r="AK101" t="inlineStr">
        <is>
          <t>V4</t>
        </is>
      </c>
      <c r="AL101" t="n">
        <v>20231230</v>
      </c>
      <c r="AM101" t="inlineStr">
        <is>
          <t>D845-900006074-67203905-10000617-4</t>
        </is>
      </c>
    </row>
    <row r="102">
      <c r="A102" t="inlineStr">
        <is>
          <t>900006074D8456728339310058501</t>
        </is>
      </c>
      <c r="B102" t="inlineStr">
        <is>
          <t>4600044538-990</t>
        </is>
      </c>
      <c r="C102" t="n">
        <v>4600044538</v>
      </c>
      <c r="D102" t="n">
        <v>990</v>
      </c>
      <c r="E102" t="inlineStr">
        <is>
          <t>MXPO</t>
        </is>
      </c>
      <c r="F102" t="inlineStr">
        <is>
          <t>MXL</t>
        </is>
      </c>
      <c r="G102" t="n">
        <v>900006074</v>
      </c>
      <c r="H102" t="inlineStr">
        <is>
          <t>SF TP-ED- GRAMOL SLP</t>
        </is>
      </c>
      <c r="I102" t="n">
        <v>5005459</v>
      </c>
      <c r="J102" t="inlineStr">
        <is>
          <t>TRITURADOS GRAMOL SA DE CV</t>
        </is>
      </c>
      <c r="K102" t="inlineStr">
        <is>
          <t>Z04</t>
        </is>
      </c>
      <c r="L102" t="inlineStr">
        <is>
          <t>(AP) 30 Dias</t>
        </is>
      </c>
      <c r="M102" t="n">
        <v>10058501</v>
      </c>
      <c r="N102" t="inlineStr">
        <is>
          <t>Base H Triturada Caliza 1 1/2" a Finos</t>
        </is>
      </c>
      <c r="O102" t="inlineStr">
        <is>
          <t>D845</t>
        </is>
      </c>
      <c r="P102" t="inlineStr">
        <is>
          <t>MX-CED. SLP</t>
        </is>
      </c>
      <c r="Q102" t="n">
        <v>20190415</v>
      </c>
      <c r="R102" t="n">
        <v>20291231</v>
      </c>
      <c r="S102" t="n">
        <v>20240924</v>
      </c>
      <c r="T102" t="n">
        <v>20291231</v>
      </c>
      <c r="U102" t="n">
        <v>184</v>
      </c>
      <c r="V102" t="inlineStr">
        <is>
          <t>MXN</t>
        </is>
      </c>
      <c r="W102" t="inlineStr">
        <is>
          <t>TN</t>
        </is>
      </c>
      <c r="X102" t="n">
        <v>41</v>
      </c>
      <c r="Y102" t="inlineStr">
        <is>
          <t>MXN</t>
        </is>
      </c>
      <c r="Z102" t="inlineStr">
        <is>
          <t>TN</t>
        </is>
      </c>
      <c r="AA102" t="inlineStr">
        <is>
          <t>67283393</t>
        </is>
      </c>
      <c r="AB102" t="inlineStr">
        <is>
          <t>ACCESO CEDIS COPPEL</t>
        </is>
      </c>
      <c r="AC102" t="n">
        <v>56103590</v>
      </c>
      <c r="AD102" t="n">
        <v>6622351540</v>
      </c>
      <c r="AE102" t="n">
        <v>4</v>
      </c>
      <c r="AF102" t="inlineStr">
        <is>
          <t>ENTREGA DIRECTA</t>
        </is>
      </c>
      <c r="AG102" t="n">
        <v>1</v>
      </c>
      <c r="AH102" t="inlineStr">
        <is>
          <t>TO</t>
        </is>
      </c>
      <c r="AI102" t="inlineStr">
        <is>
          <t>X</t>
        </is>
      </c>
      <c r="AJ102" t="n">
        <v>4</v>
      </c>
      <c r="AK102" t="inlineStr">
        <is>
          <t>V4</t>
        </is>
      </c>
      <c r="AL102" t="n">
        <v>20241004</v>
      </c>
      <c r="AM102" t="inlineStr">
        <is>
          <t>D845-900006074-67283393-10058501-4</t>
        </is>
      </c>
    </row>
    <row r="103">
      <c r="A103" t="inlineStr">
        <is>
          <t>900006074D8456720008610000536</t>
        </is>
      </c>
      <c r="B103" t="inlineStr">
        <is>
          <t>4600044538-840</t>
        </is>
      </c>
      <c r="C103" t="n">
        <v>4600044538</v>
      </c>
      <c r="D103" t="n">
        <v>840</v>
      </c>
      <c r="E103" t="inlineStr">
        <is>
          <t>MXPO</t>
        </is>
      </c>
      <c r="F103" t="inlineStr">
        <is>
          <t>MXL</t>
        </is>
      </c>
      <c r="G103" t="n">
        <v>900006074</v>
      </c>
      <c r="H103" t="inlineStr">
        <is>
          <t>SF TP-ED- GRAMOL SLP</t>
        </is>
      </c>
      <c r="I103" t="n">
        <v>5005459</v>
      </c>
      <c r="J103" t="inlineStr">
        <is>
          <t>TRITURADOS GRAMOL SA DE CV</t>
        </is>
      </c>
      <c r="K103" t="inlineStr">
        <is>
          <t>Z04</t>
        </is>
      </c>
      <c r="L103" t="inlineStr">
        <is>
          <t>(AP) 30 Dias</t>
        </is>
      </c>
      <c r="M103" t="n">
        <v>10000536</v>
      </c>
      <c r="N103" t="inlineStr">
        <is>
          <t>Grava Triturada Caliza 40 mm - 1 1/2"</t>
        </is>
      </c>
      <c r="O103" t="inlineStr">
        <is>
          <t>D845</t>
        </is>
      </c>
      <c r="P103" t="inlineStr">
        <is>
          <t>MX-CED. SLP</t>
        </is>
      </c>
      <c r="Q103" t="n">
        <v>20190415</v>
      </c>
      <c r="R103" t="n">
        <v>20291231</v>
      </c>
      <c r="S103" t="n">
        <v>20240404</v>
      </c>
      <c r="T103" t="n">
        <v>20291231</v>
      </c>
      <c r="U103" t="n">
        <v>215</v>
      </c>
      <c r="V103" t="inlineStr">
        <is>
          <t>MXN</t>
        </is>
      </c>
      <c r="W103" t="inlineStr">
        <is>
          <t>TN</t>
        </is>
      </c>
      <c r="X103" t="n">
        <v>65</v>
      </c>
      <c r="Y103" t="inlineStr">
        <is>
          <t>MXN</t>
        </is>
      </c>
      <c r="Z103" t="inlineStr">
        <is>
          <t>TN</t>
        </is>
      </c>
      <c r="AA103" t="inlineStr">
        <is>
          <t>67200086</t>
        </is>
      </c>
      <c r="AB103" t="inlineStr">
        <is>
          <t>MABE AGREGADOS (ERA)</t>
        </is>
      </c>
      <c r="AC103" t="n">
        <v>56103637</v>
      </c>
      <c r="AD103" t="n">
        <v>6622351540</v>
      </c>
      <c r="AE103" t="n">
        <v>4</v>
      </c>
      <c r="AF103" t="inlineStr">
        <is>
          <t>ENTREGA DIRECTA</t>
        </is>
      </c>
      <c r="AG103" t="n">
        <v>1</v>
      </c>
      <c r="AH103" t="inlineStr">
        <is>
          <t>TO</t>
        </is>
      </c>
      <c r="AI103" t="inlineStr">
        <is>
          <t>X</t>
        </is>
      </c>
      <c r="AJ103" t="n">
        <v>4</v>
      </c>
      <c r="AK103" t="inlineStr">
        <is>
          <t>V4</t>
        </is>
      </c>
      <c r="AL103" t="n">
        <v>20240405</v>
      </c>
      <c r="AM103" t="inlineStr">
        <is>
          <t>D845-900006074-67200086-10000536-4</t>
        </is>
      </c>
    </row>
    <row r="104">
      <c r="A104" t="inlineStr">
        <is>
          <t>900006074D8456728339310167749</t>
        </is>
      </c>
      <c r="B104" t="inlineStr">
        <is>
          <t>4600044538-970</t>
        </is>
      </c>
      <c r="C104" t="n">
        <v>4600044538</v>
      </c>
      <c r="D104" t="n">
        <v>970</v>
      </c>
      <c r="E104" t="inlineStr">
        <is>
          <t>MXPO</t>
        </is>
      </c>
      <c r="F104" t="inlineStr">
        <is>
          <t>MXL</t>
        </is>
      </c>
      <c r="G104" t="n">
        <v>900006074</v>
      </c>
      <c r="H104" t="inlineStr">
        <is>
          <t>SF TP-ED- GRAMOL SLP</t>
        </is>
      </c>
      <c r="I104" t="n">
        <v>5005459</v>
      </c>
      <c r="J104" t="inlineStr">
        <is>
          <t>TRITURADOS GRAMOL SA DE CV</t>
        </is>
      </c>
      <c r="K104" t="inlineStr">
        <is>
          <t>Z04</t>
        </is>
      </c>
      <c r="L104" t="inlineStr">
        <is>
          <t>(AP) 30 Dias</t>
        </is>
      </c>
      <c r="M104" t="n">
        <v>10167749</v>
      </c>
      <c r="N104" t="inlineStr">
        <is>
          <t>BASE H CALIZA 1 1/2" A FINOS ESPECIAL</t>
        </is>
      </c>
      <c r="O104" t="inlineStr">
        <is>
          <t>D845</t>
        </is>
      </c>
      <c r="P104" t="inlineStr">
        <is>
          <t>MX-CED. SLP</t>
        </is>
      </c>
      <c r="Q104" t="n">
        <v>20190415</v>
      </c>
      <c r="R104" t="n">
        <v>20291231</v>
      </c>
      <c r="S104" t="n">
        <v>20250408</v>
      </c>
      <c r="T104" t="n">
        <v>20301231</v>
      </c>
      <c r="U104" t="n">
        <v>226</v>
      </c>
      <c r="V104" t="inlineStr">
        <is>
          <t>MXN</t>
        </is>
      </c>
      <c r="W104" t="inlineStr">
        <is>
          <t>TN</t>
        </is>
      </c>
      <c r="X104" t="n">
        <v>43</v>
      </c>
      <c r="Y104" t="inlineStr">
        <is>
          <t>MXN</t>
        </is>
      </c>
      <c r="Z104" t="inlineStr">
        <is>
          <t>TN</t>
        </is>
      </c>
      <c r="AA104" t="inlineStr">
        <is>
          <t>67283393</t>
        </is>
      </c>
      <c r="AB104" t="inlineStr">
        <is>
          <t>ACCESO CEDIS COPPEL</t>
        </is>
      </c>
      <c r="AC104" t="n">
        <v>56103590</v>
      </c>
      <c r="AD104" t="n">
        <v>6622351540</v>
      </c>
      <c r="AE104" t="n">
        <v>4</v>
      </c>
      <c r="AF104" t="inlineStr">
        <is>
          <t>ENTREGA DIRECTA</t>
        </is>
      </c>
      <c r="AG104" t="n">
        <v>1</v>
      </c>
      <c r="AH104" t="inlineStr">
        <is>
          <t>TO</t>
        </is>
      </c>
      <c r="AI104" t="inlineStr">
        <is>
          <t>X</t>
        </is>
      </c>
      <c r="AJ104" t="n">
        <v>4</v>
      </c>
      <c r="AK104" t="inlineStr">
        <is>
          <t>V4</t>
        </is>
      </c>
      <c r="AL104" t="n">
        <v>20250410</v>
      </c>
      <c r="AM104" t="inlineStr">
        <is>
          <t>D845-900006074-67283393-10167749-4</t>
        </is>
      </c>
    </row>
    <row r="105">
      <c r="A105" t="inlineStr">
        <is>
          <t>900006074D8456724768110167749</t>
        </is>
      </c>
      <c r="B105" t="inlineStr">
        <is>
          <t>4600044538-950</t>
        </is>
      </c>
      <c r="C105" t="n">
        <v>4600044538</v>
      </c>
      <c r="D105" t="n">
        <v>950</v>
      </c>
      <c r="E105" t="inlineStr">
        <is>
          <t>MXPO</t>
        </is>
      </c>
      <c r="F105" t="inlineStr">
        <is>
          <t>MXL</t>
        </is>
      </c>
      <c r="G105" t="n">
        <v>900006074</v>
      </c>
      <c r="H105" t="inlineStr">
        <is>
          <t>SF TP-ED- GRAMOL SLP</t>
        </is>
      </c>
      <c r="I105" t="n">
        <v>5005459</v>
      </c>
      <c r="J105" t="inlineStr">
        <is>
          <t>TRITURADOS GRAMOL SA DE CV</t>
        </is>
      </c>
      <c r="K105" t="inlineStr">
        <is>
          <t>Z04</t>
        </is>
      </c>
      <c r="L105" t="inlineStr">
        <is>
          <t>(AP) 30 Dias</t>
        </is>
      </c>
      <c r="M105" t="n">
        <v>10167749</v>
      </c>
      <c r="N105" t="inlineStr">
        <is>
          <t>BASE H CALIZA 1 1/2" A FINOS ESPECIAL</t>
        </is>
      </c>
      <c r="O105" t="inlineStr">
        <is>
          <t>D845</t>
        </is>
      </c>
      <c r="P105" t="inlineStr">
        <is>
          <t>MX-CED. SLP</t>
        </is>
      </c>
      <c r="Q105" t="n">
        <v>20190415</v>
      </c>
      <c r="R105" t="n">
        <v>20291231</v>
      </c>
      <c r="S105" t="n">
        <v>20260203</v>
      </c>
      <c r="T105" t="n">
        <v>20301231</v>
      </c>
      <c r="U105" t="n">
        <v>283</v>
      </c>
      <c r="V105" t="inlineStr">
        <is>
          <t>MXN</t>
        </is>
      </c>
      <c r="W105" t="inlineStr">
        <is>
          <t>TN</t>
        </is>
      </c>
      <c r="X105" t="n">
        <v>63</v>
      </c>
      <c r="Y105" t="inlineStr">
        <is>
          <t>MXN</t>
        </is>
      </c>
      <c r="Z105" t="inlineStr">
        <is>
          <t>TN</t>
        </is>
      </c>
      <c r="AA105" t="inlineStr">
        <is>
          <t>67247681</t>
        </is>
      </c>
      <c r="AB105" t="inlineStr">
        <is>
          <t>C2402 URBANIZACIÓN ARTEZANNA 2DA. E</t>
        </is>
      </c>
      <c r="AC105" t="n">
        <v>56103590</v>
      </c>
      <c r="AD105" t="n">
        <v>6622351540</v>
      </c>
      <c r="AE105" t="n">
        <v>4</v>
      </c>
      <c r="AF105" t="inlineStr">
        <is>
          <t>ENTREGA DIRECTA</t>
        </is>
      </c>
      <c r="AG105" t="n">
        <v>1</v>
      </c>
      <c r="AH105" t="inlineStr">
        <is>
          <t>TO</t>
        </is>
      </c>
      <c r="AI105" t="inlineStr">
        <is>
          <t>X</t>
        </is>
      </c>
      <c r="AJ105" t="n">
        <v>4</v>
      </c>
      <c r="AK105" t="inlineStr">
        <is>
          <t>V4</t>
        </is>
      </c>
      <c r="AL105" t="n">
        <v>20260205</v>
      </c>
      <c r="AM105" t="inlineStr">
        <is>
          <t>D845-900006074-67247681-10167749-4</t>
        </is>
      </c>
    </row>
    <row r="106">
      <c r="A106" t="inlineStr">
        <is>
          <t>900006074D8456734609410167749</t>
        </is>
      </c>
      <c r="B106" t="inlineStr">
        <is>
          <t>4600044538-1200</t>
        </is>
      </c>
      <c r="C106" t="n">
        <v>4600044538</v>
      </c>
      <c r="D106" t="n">
        <v>1200</v>
      </c>
      <c r="E106" t="inlineStr">
        <is>
          <t>MXPO</t>
        </is>
      </c>
      <c r="F106" t="inlineStr">
        <is>
          <t>MXL</t>
        </is>
      </c>
      <c r="G106" t="n">
        <v>900006074</v>
      </c>
      <c r="H106" t="inlineStr">
        <is>
          <t>SF TP-ED- GRAMOL SLP</t>
        </is>
      </c>
      <c r="I106" t="n">
        <v>5005459</v>
      </c>
      <c r="J106" t="inlineStr">
        <is>
          <t>TRITURADOS GRAMOL SA DE CV</t>
        </is>
      </c>
      <c r="K106" t="inlineStr">
        <is>
          <t>Z04</t>
        </is>
      </c>
      <c r="L106" t="inlineStr">
        <is>
          <t>(AP) 30 Dias</t>
        </is>
      </c>
      <c r="M106" t="n">
        <v>10167749</v>
      </c>
      <c r="N106" t="inlineStr">
        <is>
          <t>BASE H CALIZA 1 1/2" A FINOS ESPECIAL</t>
        </is>
      </c>
      <c r="O106" t="inlineStr">
        <is>
          <t>D845</t>
        </is>
      </c>
      <c r="P106" t="inlineStr">
        <is>
          <t>MX-CED. SLP</t>
        </is>
      </c>
      <c r="Q106" t="n">
        <v>20190415</v>
      </c>
      <c r="R106" t="n">
        <v>20291231</v>
      </c>
      <c r="S106" t="n">
        <v>20251031</v>
      </c>
      <c r="T106" t="n">
        <v>20301231</v>
      </c>
      <c r="U106" t="n">
        <v>260</v>
      </c>
      <c r="V106" t="inlineStr">
        <is>
          <t>MXN</t>
        </is>
      </c>
      <c r="W106" t="inlineStr">
        <is>
          <t>TN</t>
        </is>
      </c>
      <c r="X106" t="n">
        <v>77</v>
      </c>
      <c r="Y106" t="inlineStr">
        <is>
          <t>MXN</t>
        </is>
      </c>
      <c r="Z106" t="inlineStr">
        <is>
          <t>TN</t>
        </is>
      </c>
      <c r="AA106" t="inlineStr">
        <is>
          <t>67346094</t>
        </is>
      </c>
      <c r="AB106" t="inlineStr">
        <is>
          <t>ANDENES FILTRUM WTC GLL</t>
        </is>
      </c>
      <c r="AC106" t="n">
        <v>56103590</v>
      </c>
      <c r="AD106" t="n">
        <v>6622351540</v>
      </c>
      <c r="AE106" t="n">
        <v>4</v>
      </c>
      <c r="AF106" t="inlineStr">
        <is>
          <t>ENTREGA DIRECTA</t>
        </is>
      </c>
      <c r="AG106" t="n">
        <v>1</v>
      </c>
      <c r="AH106" t="inlineStr">
        <is>
          <t>TO</t>
        </is>
      </c>
      <c r="AI106" t="inlineStr">
        <is>
          <t>X</t>
        </is>
      </c>
      <c r="AJ106" t="n">
        <v>4</v>
      </c>
      <c r="AK106" t="inlineStr">
        <is>
          <t>V4</t>
        </is>
      </c>
      <c r="AL106" t="n">
        <v>20251104</v>
      </c>
      <c r="AM106" t="inlineStr">
        <is>
          <t>D845-900006074-67346094-10167749-4</t>
        </is>
      </c>
    </row>
    <row r="107">
      <c r="A107" t="inlineStr">
        <is>
          <t>900006074D8456734609410058501</t>
        </is>
      </c>
      <c r="B107" t="inlineStr">
        <is>
          <t>4600044538-1210</t>
        </is>
      </c>
      <c r="C107" t="n">
        <v>4600044538</v>
      </c>
      <c r="D107" t="n">
        <v>1210</v>
      </c>
      <c r="E107" t="inlineStr">
        <is>
          <t>MXPO</t>
        </is>
      </c>
      <c r="F107" t="inlineStr">
        <is>
          <t>MXL</t>
        </is>
      </c>
      <c r="G107" t="n">
        <v>900006074</v>
      </c>
      <c r="H107" t="inlineStr">
        <is>
          <t>SF TP-ED- GRAMOL SLP</t>
        </is>
      </c>
      <c r="I107" t="n">
        <v>5005459</v>
      </c>
      <c r="J107" t="inlineStr">
        <is>
          <t>TRITURADOS GRAMOL SA DE CV</t>
        </is>
      </c>
      <c r="K107" t="inlineStr">
        <is>
          <t>Z04</t>
        </is>
      </c>
      <c r="L107" t="inlineStr">
        <is>
          <t>(AP) 30 Dias</t>
        </is>
      </c>
      <c r="M107" t="n">
        <v>10058501</v>
      </c>
      <c r="N107" t="inlineStr">
        <is>
          <t>Base H Triturada Caliza 1 1/2" a Finos</t>
        </is>
      </c>
      <c r="O107" t="inlineStr">
        <is>
          <t>D845</t>
        </is>
      </c>
      <c r="P107" t="inlineStr">
        <is>
          <t>MX-CED. SLP</t>
        </is>
      </c>
      <c r="Q107" t="n">
        <v>20190415</v>
      </c>
      <c r="R107" t="n">
        <v>20291231</v>
      </c>
      <c r="S107" t="n">
        <v>20251031</v>
      </c>
      <c r="T107" t="n">
        <v>20301231</v>
      </c>
      <c r="U107" t="n">
        <v>249</v>
      </c>
      <c r="V107" t="inlineStr">
        <is>
          <t>MXN</t>
        </is>
      </c>
      <c r="W107" t="inlineStr">
        <is>
          <t>TN</t>
        </is>
      </c>
      <c r="X107" t="n">
        <v>77</v>
      </c>
      <c r="Y107" t="inlineStr">
        <is>
          <t>MXN</t>
        </is>
      </c>
      <c r="Z107" t="inlineStr">
        <is>
          <t>TN</t>
        </is>
      </c>
      <c r="AA107" t="inlineStr">
        <is>
          <t>67346094</t>
        </is>
      </c>
      <c r="AB107" t="inlineStr">
        <is>
          <t>ANDENES FILTRUM WTC GLL</t>
        </is>
      </c>
      <c r="AC107" t="n">
        <v>56103590</v>
      </c>
      <c r="AD107" t="n">
        <v>6622351540</v>
      </c>
      <c r="AE107" t="n">
        <v>4</v>
      </c>
      <c r="AF107" t="inlineStr">
        <is>
          <t>ENTREGA DIRECTA</t>
        </is>
      </c>
      <c r="AG107" t="n">
        <v>1</v>
      </c>
      <c r="AH107" t="inlineStr">
        <is>
          <t>TO</t>
        </is>
      </c>
      <c r="AI107" t="inlineStr">
        <is>
          <t>X</t>
        </is>
      </c>
      <c r="AJ107" t="n">
        <v>4</v>
      </c>
      <c r="AK107" t="inlineStr">
        <is>
          <t>V4</t>
        </is>
      </c>
      <c r="AL107" t="n">
        <v>20251104</v>
      </c>
      <c r="AM107" t="inlineStr">
        <is>
          <t>D845-900006074-67346094-10058501-4</t>
        </is>
      </c>
    </row>
    <row r="108">
      <c r="A108" t="inlineStr">
        <is>
          <t>900006074D8456719754310167749</t>
        </is>
      </c>
      <c r="B108" t="inlineStr">
        <is>
          <t>4600044538-850</t>
        </is>
      </c>
      <c r="C108" t="n">
        <v>4600044538</v>
      </c>
      <c r="D108" t="n">
        <v>850</v>
      </c>
      <c r="E108" t="inlineStr">
        <is>
          <t>MXPO</t>
        </is>
      </c>
      <c r="F108" t="inlineStr">
        <is>
          <t>MXL</t>
        </is>
      </c>
      <c r="G108" t="n">
        <v>900006074</v>
      </c>
      <c r="H108" t="inlineStr">
        <is>
          <t>SF TP-ED- GRAMOL SLP</t>
        </is>
      </c>
      <c r="I108" t="n">
        <v>5005459</v>
      </c>
      <c r="J108" t="inlineStr">
        <is>
          <t>TRITURADOS GRAMOL SA DE CV</t>
        </is>
      </c>
      <c r="K108" t="inlineStr">
        <is>
          <t>Z04</t>
        </is>
      </c>
      <c r="L108" t="inlineStr">
        <is>
          <t>(AP) 30 Dias</t>
        </is>
      </c>
      <c r="M108" t="n">
        <v>10167749</v>
      </c>
      <c r="N108" t="inlineStr">
        <is>
          <t>BASE H CALIZA 1 1/2" A FINOS ESPECIAL</t>
        </is>
      </c>
      <c r="O108" t="inlineStr">
        <is>
          <t>D845</t>
        </is>
      </c>
      <c r="P108" t="inlineStr">
        <is>
          <t>MX-CED. SLP</t>
        </is>
      </c>
      <c r="Q108" t="n">
        <v>20190415</v>
      </c>
      <c r="R108" t="n">
        <v>20291231</v>
      </c>
      <c r="S108" t="n">
        <v>20240613</v>
      </c>
      <c r="T108" t="n">
        <v>20291231</v>
      </c>
      <c r="U108" t="n">
        <v>227</v>
      </c>
      <c r="V108" t="inlineStr">
        <is>
          <t>MXN</t>
        </is>
      </c>
      <c r="W108" t="inlineStr">
        <is>
          <t>TN</t>
        </is>
      </c>
      <c r="X108" t="n">
        <v>74</v>
      </c>
      <c r="Y108" t="inlineStr">
        <is>
          <t>MXN</t>
        </is>
      </c>
      <c r="Z108" t="inlineStr">
        <is>
          <t>TN</t>
        </is>
      </c>
      <c r="AA108" t="inlineStr">
        <is>
          <t>67197543</t>
        </is>
      </c>
      <c r="AB108" t="inlineStr">
        <is>
          <t>PARQUE INDUSTRIAL WTC (ERA)</t>
        </is>
      </c>
      <c r="AC108" t="n">
        <v>56103590</v>
      </c>
      <c r="AD108" t="n">
        <v>6622351540</v>
      </c>
      <c r="AE108" t="n">
        <v>4</v>
      </c>
      <c r="AF108" t="inlineStr">
        <is>
          <t>ENTREGA DIRECTA</t>
        </is>
      </c>
      <c r="AG108" t="n">
        <v>1</v>
      </c>
      <c r="AH108" t="inlineStr">
        <is>
          <t>TO</t>
        </is>
      </c>
      <c r="AI108" t="inlineStr">
        <is>
          <t>X</t>
        </is>
      </c>
      <c r="AJ108" t="n">
        <v>4</v>
      </c>
      <c r="AK108" t="inlineStr">
        <is>
          <t>V4</t>
        </is>
      </c>
      <c r="AL108" t="n">
        <v>20240806</v>
      </c>
      <c r="AM108" t="inlineStr">
        <is>
          <t>D845-900006074-67197543-10167749-4</t>
        </is>
      </c>
    </row>
    <row r="109">
      <c r="A109" t="inlineStr">
        <is>
          <t>900006124D84510000337</t>
        </is>
      </c>
      <c r="B109" t="inlineStr">
        <is>
          <t>4600044703-30</t>
        </is>
      </c>
      <c r="C109" t="n">
        <v>4600044703</v>
      </c>
      <c r="D109" t="n">
        <v>30</v>
      </c>
      <c r="E109" t="inlineStr">
        <is>
          <t>MXPO</t>
        </is>
      </c>
      <c r="F109" t="inlineStr">
        <is>
          <t>MXL</t>
        </is>
      </c>
      <c r="G109" t="n">
        <v>900006124</v>
      </c>
      <c r="H109" t="inlineStr">
        <is>
          <t>SF TP- INCASA</t>
        </is>
      </c>
      <c r="I109" t="n">
        <v>5001208</v>
      </c>
      <c r="J109" t="inlineStr">
        <is>
          <t>INDUSTRIALIZADORA DE CALIZA SA DE</t>
        </is>
      </c>
      <c r="K109" t="inlineStr">
        <is>
          <t>Z04</t>
        </is>
      </c>
      <c r="L109" t="inlineStr">
        <is>
          <t>(AP) 30 Dias</t>
        </is>
      </c>
      <c r="M109" t="n">
        <v>10000337</v>
      </c>
      <c r="N109" t="inlineStr">
        <is>
          <t>Arena Triturada Caliza Malla 5</t>
        </is>
      </c>
      <c r="O109" t="inlineStr">
        <is>
          <t>D845</t>
        </is>
      </c>
      <c r="P109" t="inlineStr">
        <is>
          <t>MX-CED. SLP</t>
        </is>
      </c>
      <c r="Q109" t="n">
        <v>20190501</v>
      </c>
      <c r="R109" t="n">
        <v>20291231</v>
      </c>
      <c r="S109" t="n">
        <v>20210308</v>
      </c>
      <c r="T109" t="n">
        <v>20291231</v>
      </c>
      <c r="U109" t="n">
        <v>100</v>
      </c>
      <c r="V109" t="inlineStr">
        <is>
          <t>MXN</t>
        </is>
      </c>
      <c r="W109" t="inlineStr">
        <is>
          <t>TN</t>
        </is>
      </c>
      <c r="AC109" t="n">
        <v>56103638</v>
      </c>
      <c r="AD109" t="n">
        <v>6622351540</v>
      </c>
      <c r="AE109" t="n">
        <v>1</v>
      </c>
      <c r="AF109" t="inlineStr">
        <is>
          <t>ENTREGADO</t>
        </is>
      </c>
      <c r="AG109" t="n">
        <v>1</v>
      </c>
      <c r="AH109" t="inlineStr">
        <is>
          <t>TO</t>
        </is>
      </c>
      <c r="AI109" t="inlineStr">
        <is>
          <t>X</t>
        </is>
      </c>
      <c r="AJ109" t="n">
        <v>4</v>
      </c>
      <c r="AK109" t="inlineStr">
        <is>
          <t>V4</t>
        </is>
      </c>
      <c r="AL109" t="n">
        <v>20230920</v>
      </c>
      <c r="AM109" t="inlineStr">
        <is>
          <t>D845-900006124-10000337</t>
        </is>
      </c>
    </row>
    <row r="110">
      <c r="A110" t="inlineStr">
        <is>
          <t>900006074D8456735495710167749</t>
        </is>
      </c>
      <c r="B110" t="inlineStr">
        <is>
          <t>4600044538-1240</t>
        </is>
      </c>
      <c r="C110" t="n">
        <v>4600044538</v>
      </c>
      <c r="D110" t="n">
        <v>1240</v>
      </c>
      <c r="E110" t="inlineStr">
        <is>
          <t>MXPO</t>
        </is>
      </c>
      <c r="F110" t="inlineStr">
        <is>
          <t>MXL</t>
        </is>
      </c>
      <c r="G110" t="n">
        <v>900006074</v>
      </c>
      <c r="H110" t="inlineStr">
        <is>
          <t>SF TP-ED- GRAMOL SLP</t>
        </is>
      </c>
      <c r="I110" t="n">
        <v>5005459</v>
      </c>
      <c r="J110" t="inlineStr">
        <is>
          <t>TRITURADOS GRAMOL SA DE CV</t>
        </is>
      </c>
      <c r="K110" t="inlineStr">
        <is>
          <t>Z04</t>
        </is>
      </c>
      <c r="L110" t="inlineStr">
        <is>
          <t>(AP) 30 Dias</t>
        </is>
      </c>
      <c r="M110" t="n">
        <v>10167749</v>
      </c>
      <c r="N110" t="inlineStr">
        <is>
          <t>BASE H CALIZA 1 1/2" A FINOS ESPECIAL</t>
        </is>
      </c>
      <c r="O110" t="inlineStr">
        <is>
          <t>D845</t>
        </is>
      </c>
      <c r="P110" t="inlineStr">
        <is>
          <t>MX-CED. SLP</t>
        </is>
      </c>
      <c r="Q110" t="n">
        <v>20190415</v>
      </c>
      <c r="R110" t="n">
        <v>20291231</v>
      </c>
      <c r="S110" t="n">
        <v>20251128</v>
      </c>
      <c r="T110" t="n">
        <v>20301231</v>
      </c>
      <c r="U110" t="n">
        <v>263</v>
      </c>
      <c r="V110" t="inlineStr">
        <is>
          <t>MXN</t>
        </is>
      </c>
      <c r="W110" t="inlineStr">
        <is>
          <t>TN</t>
        </is>
      </c>
      <c r="X110" t="n">
        <v>80</v>
      </c>
      <c r="Y110" t="inlineStr">
        <is>
          <t>MXN</t>
        </is>
      </c>
      <c r="Z110" t="inlineStr">
        <is>
          <t>TN</t>
        </is>
      </c>
      <c r="AA110" t="inlineStr">
        <is>
          <t>67354957</t>
        </is>
      </c>
      <c r="AB110" t="inlineStr">
        <is>
          <t>CALLE LUIS BOTELLO</t>
        </is>
      </c>
      <c r="AC110" t="n">
        <v>56103590</v>
      </c>
      <c r="AD110" t="n">
        <v>6622351540</v>
      </c>
      <c r="AE110" t="n">
        <v>4</v>
      </c>
      <c r="AF110" t="inlineStr">
        <is>
          <t>ENTREGA DIRECTA</t>
        </is>
      </c>
      <c r="AG110" t="n">
        <v>1</v>
      </c>
      <c r="AH110" t="inlineStr">
        <is>
          <t>TO</t>
        </is>
      </c>
      <c r="AI110" t="inlineStr">
        <is>
          <t>X</t>
        </is>
      </c>
      <c r="AJ110" t="n">
        <v>4</v>
      </c>
      <c r="AK110" t="inlineStr">
        <is>
          <t>V4</t>
        </is>
      </c>
      <c r="AL110" t="n">
        <v>20251202</v>
      </c>
      <c r="AM110" t="inlineStr">
        <is>
          <t>D845-900006074-67354957-10167749-4</t>
        </is>
      </c>
    </row>
    <row r="111">
      <c r="A111" t="inlineStr">
        <is>
          <t>900006074D8456725700110167749</t>
        </is>
      </c>
      <c r="B111" t="inlineStr">
        <is>
          <t>4600044538-930</t>
        </is>
      </c>
      <c r="C111" t="n">
        <v>4600044538</v>
      </c>
      <c r="D111" t="n">
        <v>930</v>
      </c>
      <c r="E111" t="inlineStr">
        <is>
          <t>MXPO</t>
        </is>
      </c>
      <c r="F111" t="inlineStr">
        <is>
          <t>MXL</t>
        </is>
      </c>
      <c r="G111" t="n">
        <v>900006074</v>
      </c>
      <c r="H111" t="inlineStr">
        <is>
          <t>SF TP-ED- GRAMOL SLP</t>
        </is>
      </c>
      <c r="I111" t="n">
        <v>5005459</v>
      </c>
      <c r="J111" t="inlineStr">
        <is>
          <t>TRITURADOS GRAMOL SA DE CV</t>
        </is>
      </c>
      <c r="K111" t="inlineStr">
        <is>
          <t>Z04</t>
        </is>
      </c>
      <c r="L111" t="inlineStr">
        <is>
          <t>(AP) 30 Dias</t>
        </is>
      </c>
      <c r="M111" t="n">
        <v>10167749</v>
      </c>
      <c r="N111" t="inlineStr">
        <is>
          <t>BASE H CALIZA 1 1/2" A FINOS ESPECIAL</t>
        </is>
      </c>
      <c r="O111" t="inlineStr">
        <is>
          <t>D845</t>
        </is>
      </c>
      <c r="P111" t="inlineStr">
        <is>
          <t>MX-CED. SLP</t>
        </is>
      </c>
      <c r="Q111" t="n">
        <v>20190415</v>
      </c>
      <c r="R111" t="n">
        <v>20291231</v>
      </c>
      <c r="S111" t="n">
        <v>20250508</v>
      </c>
      <c r="T111" t="n">
        <v>20301231</v>
      </c>
      <c r="U111" t="n">
        <v>272</v>
      </c>
      <c r="V111" t="inlineStr">
        <is>
          <t>MXN</t>
        </is>
      </c>
      <c r="W111" t="inlineStr">
        <is>
          <t>TN</t>
        </is>
      </c>
      <c r="X111" t="n">
        <v>89</v>
      </c>
      <c r="Y111" t="inlineStr">
        <is>
          <t>MXN</t>
        </is>
      </c>
      <c r="Z111" t="inlineStr">
        <is>
          <t>TN</t>
        </is>
      </c>
      <c r="AA111" t="inlineStr">
        <is>
          <t>67257001</t>
        </is>
      </c>
      <c r="AB111" t="inlineStr">
        <is>
          <t>KANSAS TERCERA GRANDE (ERA)</t>
        </is>
      </c>
      <c r="AC111" t="n">
        <v>56103590</v>
      </c>
      <c r="AD111" t="n">
        <v>6622351540</v>
      </c>
      <c r="AE111" t="n">
        <v>4</v>
      </c>
      <c r="AF111" t="inlineStr">
        <is>
          <t>ENTREGA DIRECTA</t>
        </is>
      </c>
      <c r="AG111" t="n">
        <v>1</v>
      </c>
      <c r="AH111" t="inlineStr">
        <is>
          <t>TO</t>
        </is>
      </c>
      <c r="AI111" t="inlineStr">
        <is>
          <t>X</t>
        </is>
      </c>
      <c r="AJ111" t="n">
        <v>4</v>
      </c>
      <c r="AK111" t="inlineStr">
        <is>
          <t>V4</t>
        </is>
      </c>
      <c r="AL111" t="n">
        <v>20250513</v>
      </c>
      <c r="AM111" t="inlineStr">
        <is>
          <t>D845-900006074-67257001-10167749-4</t>
        </is>
      </c>
    </row>
    <row r="112">
      <c r="A112" t="inlineStr">
        <is>
          <t>900003510D84510058501</t>
        </is>
      </c>
      <c r="B112" t="inlineStr">
        <is>
          <t>4600027443-20</t>
        </is>
      </c>
      <c r="C112" t="n">
        <v>4600027443</v>
      </c>
      <c r="D112" t="n">
        <v>20</v>
      </c>
      <c r="E112" t="inlineStr">
        <is>
          <t>MXPO</t>
        </is>
      </c>
      <c r="F112" t="inlineStr">
        <is>
          <t>M02</t>
        </is>
      </c>
      <c r="G112" t="n">
        <v>900003510</v>
      </c>
      <c r="H112" t="inlineStr">
        <is>
          <t>TP-TRISEGO</t>
        </is>
      </c>
      <c r="I112" t="n">
        <v>5041773</v>
      </c>
      <c r="J112" t="inlineStr">
        <is>
          <t>TRISEGO SA DE CV</t>
        </is>
      </c>
      <c r="K112" t="inlineStr">
        <is>
          <t>N90</t>
        </is>
      </c>
      <c r="L112" t="inlineStr">
        <is>
          <t>(AP) NAFIN 90 Dias</t>
        </is>
      </c>
      <c r="M112" t="n">
        <v>10058501</v>
      </c>
      <c r="N112" t="inlineStr">
        <is>
          <t>Base H Triturada Caliza 1 1/2" a Finos</t>
        </is>
      </c>
      <c r="O112" t="inlineStr">
        <is>
          <t>D845</t>
        </is>
      </c>
      <c r="P112" t="inlineStr">
        <is>
          <t>MX-CED. SLP</t>
        </is>
      </c>
      <c r="Q112" t="n">
        <v>20141106</v>
      </c>
      <c r="R112" t="n">
        <v>20241231</v>
      </c>
      <c r="S112" t="n">
        <v>20141106</v>
      </c>
      <c r="T112" t="n">
        <v>20241231</v>
      </c>
      <c r="U112" t="n">
        <v>100</v>
      </c>
      <c r="V112" t="inlineStr">
        <is>
          <t>MXN</t>
        </is>
      </c>
      <c r="W112" t="inlineStr">
        <is>
          <t>M3</t>
        </is>
      </c>
      <c r="X112" t="n">
        <v>0</v>
      </c>
      <c r="Y112" t="inlineStr">
        <is>
          <t>MXN</t>
        </is>
      </c>
      <c r="Z112" t="inlineStr">
        <is>
          <t>M3</t>
        </is>
      </c>
      <c r="AC112" t="n">
        <v>56103590</v>
      </c>
      <c r="AD112" t="n">
        <v>6622351540</v>
      </c>
      <c r="AE112" t="n">
        <v>1</v>
      </c>
      <c r="AF112" t="inlineStr">
        <is>
          <t>ENTREGADO</t>
        </is>
      </c>
      <c r="AG112" t="n">
        <v>1.63</v>
      </c>
      <c r="AH112" t="inlineStr">
        <is>
          <t>M3</t>
        </is>
      </c>
      <c r="AI112" t="inlineStr">
        <is>
          <t>X</t>
        </is>
      </c>
      <c r="AJ112" t="n">
        <v>4</v>
      </c>
      <c r="AK112" t="inlineStr">
        <is>
          <t>V4</t>
        </is>
      </c>
      <c r="AL112" t="n">
        <v>20230920</v>
      </c>
      <c r="AM112" t="inlineStr">
        <is>
          <t>D845-900003510-10058501</t>
        </is>
      </c>
    </row>
    <row r="113">
      <c r="A113" t="inlineStr">
        <is>
          <t>900006074D8456731981710167749</t>
        </is>
      </c>
      <c r="B113" t="inlineStr">
        <is>
          <t>4600044538-1050</t>
        </is>
      </c>
      <c r="C113" t="n">
        <v>4600044538</v>
      </c>
      <c r="D113" t="n">
        <v>1050</v>
      </c>
      <c r="E113" t="inlineStr">
        <is>
          <t>MXPO</t>
        </is>
      </c>
      <c r="F113" t="inlineStr">
        <is>
          <t>MXL</t>
        </is>
      </c>
      <c r="G113" t="n">
        <v>900006074</v>
      </c>
      <c r="H113" t="inlineStr">
        <is>
          <t>SF TP-ED- GRAMOL SLP</t>
        </is>
      </c>
      <c r="I113" t="n">
        <v>5005459</v>
      </c>
      <c r="J113" t="inlineStr">
        <is>
          <t>TRITURADOS GRAMOL SA DE CV</t>
        </is>
      </c>
      <c r="K113" t="inlineStr">
        <is>
          <t>Z04</t>
        </is>
      </c>
      <c r="L113" t="inlineStr">
        <is>
          <t>(AP) 30 Dias</t>
        </is>
      </c>
      <c r="M113" t="n">
        <v>10167749</v>
      </c>
      <c r="N113" t="inlineStr">
        <is>
          <t>BASE H CALIZA 1 1/2" A FINOS ESPECIAL</t>
        </is>
      </c>
      <c r="O113" t="inlineStr">
        <is>
          <t>D845</t>
        </is>
      </c>
      <c r="P113" t="inlineStr">
        <is>
          <t>MX-CED. SLP</t>
        </is>
      </c>
      <c r="Q113" t="n">
        <v>20190415</v>
      </c>
      <c r="R113" t="n">
        <v>20291231</v>
      </c>
      <c r="S113" t="n">
        <v>20250509</v>
      </c>
      <c r="T113" t="n">
        <v>20301231</v>
      </c>
      <c r="U113" t="n">
        <v>253</v>
      </c>
      <c r="V113" t="inlineStr">
        <is>
          <t>MXN</t>
        </is>
      </c>
      <c r="W113" t="inlineStr">
        <is>
          <t>TN</t>
        </is>
      </c>
      <c r="X113" t="n">
        <v>70</v>
      </c>
      <c r="Y113" t="inlineStr">
        <is>
          <t>MXN</t>
        </is>
      </c>
      <c r="Z113" t="inlineStr">
        <is>
          <t>TN</t>
        </is>
      </c>
      <c r="AA113" t="inlineStr">
        <is>
          <t>67319817</t>
        </is>
      </c>
      <c r="AB113" t="inlineStr">
        <is>
          <t>EXTRAS RANCHO ZAMORA/LAJA</t>
        </is>
      </c>
      <c r="AC113" t="n">
        <v>56103590</v>
      </c>
      <c r="AD113" t="n">
        <v>6622351540</v>
      </c>
      <c r="AE113" t="n">
        <v>4</v>
      </c>
      <c r="AF113" t="inlineStr">
        <is>
          <t>ENTREGA DIRECTA</t>
        </is>
      </c>
      <c r="AG113" t="n">
        <v>1</v>
      </c>
      <c r="AH113" t="inlineStr">
        <is>
          <t>TO</t>
        </is>
      </c>
      <c r="AI113" t="inlineStr">
        <is>
          <t>X</t>
        </is>
      </c>
      <c r="AJ113" t="n">
        <v>4</v>
      </c>
      <c r="AK113" t="inlineStr">
        <is>
          <t>V4</t>
        </is>
      </c>
      <c r="AL113" t="n">
        <v>20250513</v>
      </c>
      <c r="AM113" t="inlineStr">
        <is>
          <t>D845-900006074-67319817-10167749-4</t>
        </is>
      </c>
    </row>
    <row r="114">
      <c r="A114" t="inlineStr">
        <is>
          <t>900009255D84510000536</t>
        </is>
      </c>
      <c r="B114" t="inlineStr">
        <is>
          <t>4600071321-50</t>
        </is>
      </c>
      <c r="C114" t="n">
        <v>4600071321</v>
      </c>
      <c r="D114" t="n">
        <v>50</v>
      </c>
      <c r="E114" t="inlineStr">
        <is>
          <t>MXPO</t>
        </is>
      </c>
      <c r="F114" t="inlineStr">
        <is>
          <t>MXL</t>
        </is>
      </c>
      <c r="G114" t="n">
        <v>900009255</v>
      </c>
      <c r="H114" t="inlineStr">
        <is>
          <t>SF TP-GRAMOL CLIENTES FORANEOS</t>
        </is>
      </c>
      <c r="I114" t="n">
        <v>5005459</v>
      </c>
      <c r="J114" t="inlineStr">
        <is>
          <t>TRITURADOS GRAMOL SA DE CV</t>
        </is>
      </c>
      <c r="K114" t="inlineStr">
        <is>
          <t>Z04</t>
        </is>
      </c>
      <c r="L114" t="inlineStr">
        <is>
          <t>(AP) 30 Dias</t>
        </is>
      </c>
      <c r="M114" t="n">
        <v>10000536</v>
      </c>
      <c r="N114" t="inlineStr">
        <is>
          <t>Grava Triturada Caliza 40 mm - 1 1/2"</t>
        </is>
      </c>
      <c r="O114" t="inlineStr">
        <is>
          <t>D845</t>
        </is>
      </c>
      <c r="P114" t="inlineStr">
        <is>
          <t>MX-CED. SLP</t>
        </is>
      </c>
      <c r="Q114" t="n">
        <v>20250604</v>
      </c>
      <c r="R114" t="n">
        <v>20301231</v>
      </c>
      <c r="S114" t="n">
        <v>20260217</v>
      </c>
      <c r="T114" t="n">
        <v>20301231</v>
      </c>
      <c r="U114" t="n">
        <v>165</v>
      </c>
      <c r="V114" t="inlineStr">
        <is>
          <t>MXN</t>
        </is>
      </c>
      <c r="W114" t="inlineStr">
        <is>
          <t>TN</t>
        </is>
      </c>
      <c r="X114" t="n">
        <v>0</v>
      </c>
      <c r="Y114" t="inlineStr">
        <is>
          <t>MXN</t>
        </is>
      </c>
      <c r="Z114" t="inlineStr">
        <is>
          <t>TN</t>
        </is>
      </c>
      <c r="AC114" t="n">
        <v>56103637</v>
      </c>
      <c r="AD114" t="n">
        <v>6622351540</v>
      </c>
      <c r="AE114" t="n">
        <v>1</v>
      </c>
      <c r="AF114" t="inlineStr">
        <is>
          <t>ENTREGADO</t>
        </is>
      </c>
      <c r="AG114" t="n">
        <v>1</v>
      </c>
      <c r="AH114" t="inlineStr">
        <is>
          <t>TO</t>
        </is>
      </c>
      <c r="AI114" t="inlineStr">
        <is>
          <t>X</t>
        </is>
      </c>
      <c r="AJ114" t="n">
        <v>4</v>
      </c>
      <c r="AK114" t="inlineStr">
        <is>
          <t>V4</t>
        </is>
      </c>
      <c r="AL114" t="n">
        <v>20260218</v>
      </c>
      <c r="AM114" t="inlineStr">
        <is>
          <t>D845-900009255-10000536</t>
        </is>
      </c>
    </row>
    <row r="115">
      <c r="A115" t="inlineStr">
        <is>
          <t>900006074D8456500698910000536</t>
        </is>
      </c>
      <c r="B115" t="inlineStr">
        <is>
          <t>4600044538-1280</t>
        </is>
      </c>
      <c r="C115" t="n">
        <v>4600044538</v>
      </c>
      <c r="D115" t="n">
        <v>1280</v>
      </c>
      <c r="E115" t="inlineStr">
        <is>
          <t>MXPO</t>
        </is>
      </c>
      <c r="F115" t="inlineStr">
        <is>
          <t>MXL</t>
        </is>
      </c>
      <c r="G115" t="n">
        <v>900006074</v>
      </c>
      <c r="H115" t="inlineStr">
        <is>
          <t>SF TP-ED- GRAMOL SLP</t>
        </is>
      </c>
      <c r="I115" t="n">
        <v>5005459</v>
      </c>
      <c r="J115" t="inlineStr">
        <is>
          <t>TRITURADOS GRAMOL SA DE CV</t>
        </is>
      </c>
      <c r="K115" t="inlineStr">
        <is>
          <t>Z04</t>
        </is>
      </c>
      <c r="L115" t="inlineStr">
        <is>
          <t>(AP) 30 Dias</t>
        </is>
      </c>
      <c r="M115" t="n">
        <v>10000536</v>
      </c>
      <c r="N115" t="inlineStr">
        <is>
          <t>Grava Triturada Caliza 40 mm - 1 1/2"</t>
        </is>
      </c>
      <c r="O115" t="inlineStr">
        <is>
          <t>D845</t>
        </is>
      </c>
      <c r="P115" t="inlineStr">
        <is>
          <t>MX-CED. SLP</t>
        </is>
      </c>
      <c r="Q115" t="n">
        <v>20190415</v>
      </c>
      <c r="R115" t="n">
        <v>20291231</v>
      </c>
      <c r="S115" t="n">
        <v>20251230</v>
      </c>
      <c r="T115" t="n">
        <v>20301231</v>
      </c>
      <c r="U115" t="n">
        <v>473</v>
      </c>
      <c r="V115" t="inlineStr">
        <is>
          <t>MXN</t>
        </is>
      </c>
      <c r="W115" t="inlineStr">
        <is>
          <t>TN</t>
        </is>
      </c>
      <c r="X115" t="n">
        <v>323</v>
      </c>
      <c r="Y115" t="inlineStr">
        <is>
          <t>MXN</t>
        </is>
      </c>
      <c r="Z115" t="inlineStr">
        <is>
          <t>TN</t>
        </is>
      </c>
      <c r="AA115" t="inlineStr">
        <is>
          <t>65006989</t>
        </is>
      </c>
      <c r="AB115" t="inlineStr">
        <is>
          <t>(P) PREMEZCLADOS CONCRECO S.A. DE C</t>
        </is>
      </c>
      <c r="AC115" t="n">
        <v>56103637</v>
      </c>
      <c r="AD115" t="n">
        <v>6622351540</v>
      </c>
      <c r="AE115" t="n">
        <v>4</v>
      </c>
      <c r="AF115" t="inlineStr">
        <is>
          <t>ENTREGA DIRECTA</t>
        </is>
      </c>
      <c r="AG115" t="n">
        <v>1</v>
      </c>
      <c r="AH115" t="inlineStr">
        <is>
          <t>TO</t>
        </is>
      </c>
      <c r="AI115" t="inlineStr">
        <is>
          <t>X</t>
        </is>
      </c>
      <c r="AJ115" t="n">
        <v>4</v>
      </c>
      <c r="AK115" t="inlineStr">
        <is>
          <t>V4</t>
        </is>
      </c>
      <c r="AL115" t="n">
        <v>20251230</v>
      </c>
      <c r="AM115" t="inlineStr">
        <is>
          <t>D845-900006074-65006989-10000536-4</t>
        </is>
      </c>
    </row>
    <row r="116">
      <c r="A116" t="inlineStr">
        <is>
          <t>900006074D8456500698910000578</t>
        </is>
      </c>
      <c r="B116" t="inlineStr">
        <is>
          <t>4600044538-1270</t>
        </is>
      </c>
      <c r="C116" t="n">
        <v>4600044538</v>
      </c>
      <c r="D116" t="n">
        <v>1270</v>
      </c>
      <c r="E116" t="inlineStr">
        <is>
          <t>MXPO</t>
        </is>
      </c>
      <c r="F116" t="inlineStr">
        <is>
          <t>MXL</t>
        </is>
      </c>
      <c r="G116" t="n">
        <v>900006074</v>
      </c>
      <c r="H116" t="inlineStr">
        <is>
          <t>SF TP-ED- GRAMOL SLP</t>
        </is>
      </c>
      <c r="I116" t="n">
        <v>5005459</v>
      </c>
      <c r="J116" t="inlineStr">
        <is>
          <t>TRITURADOS GRAMOL SA DE CV</t>
        </is>
      </c>
      <c r="K116" t="inlineStr">
        <is>
          <t>Z04</t>
        </is>
      </c>
      <c r="L116" t="inlineStr">
        <is>
          <t>(AP) 30 Dias</t>
        </is>
      </c>
      <c r="M116" t="n">
        <v>10000578</v>
      </c>
      <c r="N116" t="inlineStr">
        <is>
          <t>GRAVA TRITURADA CALIZA 20 MM - 3/4"</t>
        </is>
      </c>
      <c r="O116" t="inlineStr">
        <is>
          <t>D845</t>
        </is>
      </c>
      <c r="P116" t="inlineStr">
        <is>
          <t>MX-CED. SLP</t>
        </is>
      </c>
      <c r="Q116" t="n">
        <v>20190415</v>
      </c>
      <c r="R116" t="n">
        <v>20291231</v>
      </c>
      <c r="S116" t="n">
        <v>20251230</v>
      </c>
      <c r="T116" t="n">
        <v>20301231</v>
      </c>
      <c r="U116" t="n">
        <v>473</v>
      </c>
      <c r="V116" t="inlineStr">
        <is>
          <t>MXN</t>
        </is>
      </c>
      <c r="W116" t="inlineStr">
        <is>
          <t>TN</t>
        </is>
      </c>
      <c r="X116" t="n">
        <v>323</v>
      </c>
      <c r="Y116" t="inlineStr">
        <is>
          <t>MXN</t>
        </is>
      </c>
      <c r="Z116" t="inlineStr">
        <is>
          <t>TN</t>
        </is>
      </c>
      <c r="AA116" t="inlineStr">
        <is>
          <t>65006989</t>
        </is>
      </c>
      <c r="AB116" t="inlineStr">
        <is>
          <t>(P) PREMEZCLADOS CONCRECO S.A. DE C</t>
        </is>
      </c>
      <c r="AC116" t="n">
        <v>56103637</v>
      </c>
      <c r="AD116" t="n">
        <v>6622351540</v>
      </c>
      <c r="AE116" t="n">
        <v>4</v>
      </c>
      <c r="AF116" t="inlineStr">
        <is>
          <t>ENTREGA DIRECTA</t>
        </is>
      </c>
      <c r="AG116" t="n">
        <v>1</v>
      </c>
      <c r="AH116" t="inlineStr">
        <is>
          <t>TO</t>
        </is>
      </c>
      <c r="AI116" t="inlineStr">
        <is>
          <t>X</t>
        </is>
      </c>
      <c r="AJ116" t="n">
        <v>4</v>
      </c>
      <c r="AK116" t="inlineStr">
        <is>
          <t>V4</t>
        </is>
      </c>
      <c r="AL116" t="n">
        <v>20251230</v>
      </c>
      <c r="AM116" t="inlineStr">
        <is>
          <t>D845-900006074-65006989-10000578-4</t>
        </is>
      </c>
    </row>
    <row r="117">
      <c r="A117" t="inlineStr">
        <is>
          <t>900009255D84510169508</t>
        </is>
      </c>
      <c r="B117" t="inlineStr">
        <is>
          <t>4600071321-30</t>
        </is>
      </c>
      <c r="C117" t="n">
        <v>4600071321</v>
      </c>
      <c r="D117" t="n">
        <v>30</v>
      </c>
      <c r="E117" t="inlineStr">
        <is>
          <t>MXPO</t>
        </is>
      </c>
      <c r="F117" t="inlineStr">
        <is>
          <t>MXL</t>
        </is>
      </c>
      <c r="G117" t="n">
        <v>900009255</v>
      </c>
      <c r="H117" t="inlineStr">
        <is>
          <t>SF TP-GRAMOL CLIENTES FORANEOS</t>
        </is>
      </c>
      <c r="I117" t="n">
        <v>5005459</v>
      </c>
      <c r="J117" t="inlineStr">
        <is>
          <t>TRITURADOS GRAMOL SA DE CV</t>
        </is>
      </c>
      <c r="K117" t="inlineStr">
        <is>
          <t>Z04</t>
        </is>
      </c>
      <c r="L117" t="inlineStr">
        <is>
          <t>(AP) 30 Dias</t>
        </is>
      </c>
      <c r="M117" t="n">
        <v>10169508</v>
      </c>
      <c r="N117" t="inlineStr">
        <is>
          <t>GRAVA TRITURADA CALIZA 13 MM - 1/2"</t>
        </is>
      </c>
      <c r="O117" t="inlineStr">
        <is>
          <t>D845</t>
        </is>
      </c>
      <c r="P117" t="inlineStr">
        <is>
          <t>MX-CED. SLP</t>
        </is>
      </c>
      <c r="Q117" t="n">
        <v>20250604</v>
      </c>
      <c r="R117" t="n">
        <v>20301231</v>
      </c>
      <c r="S117" t="n">
        <v>20260217</v>
      </c>
      <c r="T117" t="n">
        <v>20301231</v>
      </c>
      <c r="U117" t="n">
        <v>190</v>
      </c>
      <c r="V117" t="inlineStr">
        <is>
          <t>MXN</t>
        </is>
      </c>
      <c r="W117" t="inlineStr">
        <is>
          <t>TN</t>
        </is>
      </c>
      <c r="X117" t="n">
        <v>0</v>
      </c>
      <c r="Y117" t="inlineStr">
        <is>
          <t>MXN</t>
        </is>
      </c>
      <c r="Z117" t="inlineStr">
        <is>
          <t>TN</t>
        </is>
      </c>
      <c r="AC117" t="n">
        <v>56103637</v>
      </c>
      <c r="AD117" t="n">
        <v>6622351540</v>
      </c>
      <c r="AE117" t="n">
        <v>1</v>
      </c>
      <c r="AF117" t="inlineStr">
        <is>
          <t>ENTREGADO</t>
        </is>
      </c>
      <c r="AG117" t="n">
        <v>1</v>
      </c>
      <c r="AH117" t="inlineStr">
        <is>
          <t>TO</t>
        </is>
      </c>
      <c r="AI117" t="inlineStr">
        <is>
          <t>X</t>
        </is>
      </c>
      <c r="AJ117" t="n">
        <v>4</v>
      </c>
      <c r="AK117" t="inlineStr">
        <is>
          <t>V4</t>
        </is>
      </c>
      <c r="AL117" t="n">
        <v>20260218</v>
      </c>
      <c r="AM117" t="inlineStr">
        <is>
          <t>D845-900009255-10169508</t>
        </is>
      </c>
    </row>
    <row r="118">
      <c r="A118" t="inlineStr">
        <is>
          <t>900006074D8456724110210167749</t>
        </is>
      </c>
      <c r="B118" t="inlineStr">
        <is>
          <t>4600044538-900</t>
        </is>
      </c>
      <c r="C118" t="n">
        <v>4600044538</v>
      </c>
      <c r="D118" t="n">
        <v>900</v>
      </c>
      <c r="E118" t="inlineStr">
        <is>
          <t>MXPO</t>
        </is>
      </c>
      <c r="F118" t="inlineStr">
        <is>
          <t>MXL</t>
        </is>
      </c>
      <c r="G118" t="n">
        <v>900006074</v>
      </c>
      <c r="H118" t="inlineStr">
        <is>
          <t>SF TP-ED- GRAMOL SLP</t>
        </is>
      </c>
      <c r="I118" t="n">
        <v>5005459</v>
      </c>
      <c r="J118" t="inlineStr">
        <is>
          <t>TRITURADOS GRAMOL SA DE CV</t>
        </is>
      </c>
      <c r="K118" t="inlineStr">
        <is>
          <t>Z04</t>
        </is>
      </c>
      <c r="L118" t="inlineStr">
        <is>
          <t>(AP) 30 Dias</t>
        </is>
      </c>
      <c r="M118" t="n">
        <v>10167749</v>
      </c>
      <c r="N118" t="inlineStr">
        <is>
          <t>BASE H CALIZA 1 1/2" A FINOS ESPECIAL</t>
        </is>
      </c>
      <c r="O118" t="inlineStr">
        <is>
          <t>D845</t>
        </is>
      </c>
      <c r="P118" t="inlineStr">
        <is>
          <t>MX-CED. SLP</t>
        </is>
      </c>
      <c r="Q118" t="n">
        <v>20190415</v>
      </c>
      <c r="R118" t="n">
        <v>20291231</v>
      </c>
      <c r="S118" t="n">
        <v>20240715</v>
      </c>
      <c r="T118" t="n">
        <v>20291231</v>
      </c>
      <c r="U118" t="n">
        <v>361</v>
      </c>
      <c r="V118" t="inlineStr">
        <is>
          <t>MXN</t>
        </is>
      </c>
      <c r="W118" t="inlineStr">
        <is>
          <t>TN</t>
        </is>
      </c>
      <c r="X118" t="n">
        <v>208</v>
      </c>
      <c r="Y118" t="inlineStr">
        <is>
          <t>MXN</t>
        </is>
      </c>
      <c r="Z118" t="inlineStr">
        <is>
          <t>TN</t>
        </is>
      </c>
      <c r="AA118" t="inlineStr">
        <is>
          <t>67241102</t>
        </is>
      </c>
      <c r="AB118" t="inlineStr">
        <is>
          <t>Estación Moctezuma Lmr</t>
        </is>
      </c>
      <c r="AC118" t="n">
        <v>56103590</v>
      </c>
      <c r="AD118" t="n">
        <v>6622351540</v>
      </c>
      <c r="AE118" t="n">
        <v>4</v>
      </c>
      <c r="AF118" t="inlineStr">
        <is>
          <t>ENTREGA DIRECTA</t>
        </is>
      </c>
      <c r="AG118" t="n">
        <v>1</v>
      </c>
      <c r="AH118" t="inlineStr">
        <is>
          <t>TO</t>
        </is>
      </c>
      <c r="AI118" t="inlineStr">
        <is>
          <t>X</t>
        </is>
      </c>
      <c r="AJ118" t="n">
        <v>4</v>
      </c>
      <c r="AK118" t="inlineStr">
        <is>
          <t>V4</t>
        </is>
      </c>
      <c r="AL118" t="n">
        <v>20240806</v>
      </c>
      <c r="AM118" t="inlineStr">
        <is>
          <t>D845-900006074-67241102-10167749-4</t>
        </is>
      </c>
    </row>
    <row r="119">
      <c r="A119" t="inlineStr">
        <is>
          <t>900006074D8456500698910000617</t>
        </is>
      </c>
      <c r="B119" t="inlineStr">
        <is>
          <t>4600044538-1250</t>
        </is>
      </c>
      <c r="C119" t="n">
        <v>4600044538</v>
      </c>
      <c r="D119" t="n">
        <v>1250</v>
      </c>
      <c r="E119" t="inlineStr">
        <is>
          <t>MXPO</t>
        </is>
      </c>
      <c r="F119" t="inlineStr">
        <is>
          <t>MXL</t>
        </is>
      </c>
      <c r="G119" t="n">
        <v>900006074</v>
      </c>
      <c r="H119" t="inlineStr">
        <is>
          <t>SF TP-ED- GRAMOL SLP</t>
        </is>
      </c>
      <c r="I119" t="n">
        <v>5005459</v>
      </c>
      <c r="J119" t="inlineStr">
        <is>
          <t>TRITURADOS GRAMOL SA DE CV</t>
        </is>
      </c>
      <c r="K119" t="inlineStr">
        <is>
          <t>Z04</t>
        </is>
      </c>
      <c r="L119" t="inlineStr">
        <is>
          <t>(AP) 30 Dias</t>
        </is>
      </c>
      <c r="M119" t="n">
        <v>10000617</v>
      </c>
      <c r="N119" t="inlineStr">
        <is>
          <t>Arena Triturada Caliza Malla 5</t>
        </is>
      </c>
      <c r="O119" t="inlineStr">
        <is>
          <t>D845</t>
        </is>
      </c>
      <c r="P119" t="inlineStr">
        <is>
          <t>MX-CED. SLP</t>
        </is>
      </c>
      <c r="Q119" t="n">
        <v>20190415</v>
      </c>
      <c r="R119" t="n">
        <v>20291231</v>
      </c>
      <c r="S119" t="n">
        <v>20251230</v>
      </c>
      <c r="T119" t="n">
        <v>20301231</v>
      </c>
      <c r="U119" t="n">
        <v>486</v>
      </c>
      <c r="V119" t="inlineStr">
        <is>
          <t>MXN</t>
        </is>
      </c>
      <c r="W119" t="inlineStr">
        <is>
          <t>TN</t>
        </is>
      </c>
      <c r="X119" t="n">
        <v>323</v>
      </c>
      <c r="Y119" t="inlineStr">
        <is>
          <t>MXN</t>
        </is>
      </c>
      <c r="Z119" t="inlineStr">
        <is>
          <t>TN</t>
        </is>
      </c>
      <c r="AA119" t="inlineStr">
        <is>
          <t>65006989</t>
        </is>
      </c>
      <c r="AB119" t="inlineStr">
        <is>
          <t>(P) PREMEZCLADOS CONCRECO S.A. DE C</t>
        </is>
      </c>
      <c r="AC119" t="n">
        <v>56103638</v>
      </c>
      <c r="AD119" t="n">
        <v>6622351540</v>
      </c>
      <c r="AE119" t="n">
        <v>4</v>
      </c>
      <c r="AF119" t="inlineStr">
        <is>
          <t>ENTREGA DIRECTA</t>
        </is>
      </c>
      <c r="AG119" t="n">
        <v>1</v>
      </c>
      <c r="AH119" t="inlineStr">
        <is>
          <t>TO</t>
        </is>
      </c>
      <c r="AI119" t="inlineStr">
        <is>
          <t>X</t>
        </is>
      </c>
      <c r="AJ119" t="n">
        <v>4</v>
      </c>
      <c r="AK119" t="inlineStr">
        <is>
          <t>V4</t>
        </is>
      </c>
      <c r="AL119" t="n">
        <v>20251230</v>
      </c>
      <c r="AM119" t="inlineStr">
        <is>
          <t>D845-900006074-65006989-10000617-4</t>
        </is>
      </c>
    </row>
    <row r="120">
      <c r="A120" t="inlineStr">
        <is>
          <t>900006074D8456500698910000656</t>
        </is>
      </c>
      <c r="B120" t="inlineStr">
        <is>
          <t>4600044538-1260</t>
        </is>
      </c>
      <c r="C120" t="n">
        <v>4600044538</v>
      </c>
      <c r="D120" t="n">
        <v>1260</v>
      </c>
      <c r="E120" t="inlineStr">
        <is>
          <t>MXPO</t>
        </is>
      </c>
      <c r="F120" t="inlineStr">
        <is>
          <t>MXL</t>
        </is>
      </c>
      <c r="G120" t="n">
        <v>900006074</v>
      </c>
      <c r="H120" t="inlineStr">
        <is>
          <t>SF TP-ED- GRAMOL SLP</t>
        </is>
      </c>
      <c r="I120" t="n">
        <v>5005459</v>
      </c>
      <c r="J120" t="inlineStr">
        <is>
          <t>TRITURADOS GRAMOL SA DE CV</t>
        </is>
      </c>
      <c r="K120" t="inlineStr">
        <is>
          <t>Z04</t>
        </is>
      </c>
      <c r="L120" t="inlineStr">
        <is>
          <t>(AP) 30 Dias</t>
        </is>
      </c>
      <c r="M120" t="n">
        <v>10000656</v>
      </c>
      <c r="N120" t="inlineStr">
        <is>
          <t>Grava Triturada Caliza 10 mm - 3/8"</t>
        </is>
      </c>
      <c r="O120" t="inlineStr">
        <is>
          <t>D845</t>
        </is>
      </c>
      <c r="P120" t="inlineStr">
        <is>
          <t>MX-CED. SLP</t>
        </is>
      </c>
      <c r="Q120" t="n">
        <v>20190415</v>
      </c>
      <c r="R120" t="n">
        <v>20291231</v>
      </c>
      <c r="S120" t="n">
        <v>20251230</v>
      </c>
      <c r="T120" t="n">
        <v>20301231</v>
      </c>
      <c r="U120" t="n">
        <v>486</v>
      </c>
      <c r="V120" t="inlineStr">
        <is>
          <t>MXN</t>
        </is>
      </c>
      <c r="W120" t="inlineStr">
        <is>
          <t>TN</t>
        </is>
      </c>
      <c r="X120" t="n">
        <v>323</v>
      </c>
      <c r="Y120" t="inlineStr">
        <is>
          <t>MXN</t>
        </is>
      </c>
      <c r="Z120" t="inlineStr">
        <is>
          <t>TN</t>
        </is>
      </c>
      <c r="AA120" t="inlineStr">
        <is>
          <t>65006989</t>
        </is>
      </c>
      <c r="AB120" t="inlineStr">
        <is>
          <t>(P) PREMEZCLADOS CONCRECO S.A. DE C</t>
        </is>
      </c>
      <c r="AC120" t="n">
        <v>56103637</v>
      </c>
      <c r="AD120" t="n">
        <v>6622351540</v>
      </c>
      <c r="AE120" t="n">
        <v>4</v>
      </c>
      <c r="AF120" t="inlineStr">
        <is>
          <t>ENTREGA DIRECTA</t>
        </is>
      </c>
      <c r="AG120" t="n">
        <v>1</v>
      </c>
      <c r="AH120" t="inlineStr">
        <is>
          <t>TO</t>
        </is>
      </c>
      <c r="AI120" t="inlineStr">
        <is>
          <t>X</t>
        </is>
      </c>
      <c r="AJ120" t="n">
        <v>4</v>
      </c>
      <c r="AK120" t="inlineStr">
        <is>
          <t>V4</t>
        </is>
      </c>
      <c r="AL120" t="n">
        <v>20251230</v>
      </c>
      <c r="AM120" t="inlineStr">
        <is>
          <t>D845-900006074-65006989-10000656-4</t>
        </is>
      </c>
    </row>
    <row r="121">
      <c r="A121" t="inlineStr">
        <is>
          <t>900009255D84510000617</t>
        </is>
      </c>
      <c r="B121" t="inlineStr">
        <is>
          <t>4600071321-10</t>
        </is>
      </c>
      <c r="C121" t="n">
        <v>4600071321</v>
      </c>
      <c r="D121" t="n">
        <v>10</v>
      </c>
      <c r="E121" t="inlineStr">
        <is>
          <t>MXPO</t>
        </is>
      </c>
      <c r="F121" t="inlineStr">
        <is>
          <t>MXL</t>
        </is>
      </c>
      <c r="G121" t="n">
        <v>900009255</v>
      </c>
      <c r="H121" t="inlineStr">
        <is>
          <t>SF TP-GRAMOL CLIENTES FORANEOS</t>
        </is>
      </c>
      <c r="I121" t="n">
        <v>5005459</v>
      </c>
      <c r="J121" t="inlineStr">
        <is>
          <t>TRITURADOS GRAMOL SA DE CV</t>
        </is>
      </c>
      <c r="K121" t="inlineStr">
        <is>
          <t>Z04</t>
        </is>
      </c>
      <c r="L121" t="inlineStr">
        <is>
          <t>(AP) 30 Dias</t>
        </is>
      </c>
      <c r="M121" t="n">
        <v>10000617</v>
      </c>
      <c r="N121" t="inlineStr">
        <is>
          <t>Arena Triturada Caliza Malla 5</t>
        </is>
      </c>
      <c r="O121" t="inlineStr">
        <is>
          <t>D845</t>
        </is>
      </c>
      <c r="P121" t="inlineStr">
        <is>
          <t>MX-CED. SLP</t>
        </is>
      </c>
      <c r="Q121" t="n">
        <v>20250604</v>
      </c>
      <c r="R121" t="n">
        <v>20301231</v>
      </c>
      <c r="S121" t="n">
        <v>20260211</v>
      </c>
      <c r="T121" t="n">
        <v>20301231</v>
      </c>
      <c r="U121" t="n">
        <v>179</v>
      </c>
      <c r="V121" t="inlineStr">
        <is>
          <t>MXN</t>
        </is>
      </c>
      <c r="W121" t="inlineStr">
        <is>
          <t>TN</t>
        </is>
      </c>
      <c r="X121" t="n">
        <v>0</v>
      </c>
      <c r="Y121" t="inlineStr">
        <is>
          <t>MXN</t>
        </is>
      </c>
      <c r="Z121" t="inlineStr">
        <is>
          <t>TN</t>
        </is>
      </c>
      <c r="AC121" t="n">
        <v>56103638</v>
      </c>
      <c r="AD121" t="n">
        <v>6622351540</v>
      </c>
      <c r="AE121" t="n">
        <v>1</v>
      </c>
      <c r="AF121" t="inlineStr">
        <is>
          <t>ENTREGADO</t>
        </is>
      </c>
      <c r="AG121" t="n">
        <v>1</v>
      </c>
      <c r="AH121" t="inlineStr">
        <is>
          <t>TO</t>
        </is>
      </c>
      <c r="AI121" t="inlineStr">
        <is>
          <t>X</t>
        </is>
      </c>
      <c r="AJ121" t="n">
        <v>4</v>
      </c>
      <c r="AK121" t="inlineStr">
        <is>
          <t>V4</t>
        </is>
      </c>
      <c r="AL121" t="n">
        <v>20260219</v>
      </c>
      <c r="AM121" t="inlineStr">
        <is>
          <t>D845-900009255-10000617</t>
        </is>
      </c>
    </row>
    <row r="122">
      <c r="A122" t="inlineStr">
        <is>
          <t>900009255D84510000578</t>
        </is>
      </c>
      <c r="B122" t="inlineStr">
        <is>
          <t>4600071321-40</t>
        </is>
      </c>
      <c r="C122" t="n">
        <v>4600071321</v>
      </c>
      <c r="D122" t="n">
        <v>40</v>
      </c>
      <c r="E122" t="inlineStr">
        <is>
          <t>MXPO</t>
        </is>
      </c>
      <c r="F122" t="inlineStr">
        <is>
          <t>MXL</t>
        </is>
      </c>
      <c r="G122" t="n">
        <v>900009255</v>
      </c>
      <c r="H122" t="inlineStr">
        <is>
          <t>SF TP-GRAMOL CLIENTES FORANEOS</t>
        </is>
      </c>
      <c r="I122" t="n">
        <v>5005459</v>
      </c>
      <c r="J122" t="inlineStr">
        <is>
          <t>TRITURADOS GRAMOL SA DE CV</t>
        </is>
      </c>
      <c r="K122" t="inlineStr">
        <is>
          <t>Z04</t>
        </is>
      </c>
      <c r="L122" t="inlineStr">
        <is>
          <t>(AP) 30 Dias</t>
        </is>
      </c>
      <c r="M122" t="n">
        <v>10000578</v>
      </c>
      <c r="N122" t="inlineStr">
        <is>
          <t>Grava Triturada Caliza 20 mm - 3/4"</t>
        </is>
      </c>
      <c r="O122" t="inlineStr">
        <is>
          <t>D845</t>
        </is>
      </c>
      <c r="P122" t="inlineStr">
        <is>
          <t>MX-CED. SLP</t>
        </is>
      </c>
      <c r="Q122" t="n">
        <v>20250604</v>
      </c>
      <c r="R122" t="n">
        <v>20301231</v>
      </c>
      <c r="S122" t="n">
        <v>20260211</v>
      </c>
      <c r="T122" t="n">
        <v>20301231</v>
      </c>
      <c r="U122" t="n">
        <v>165</v>
      </c>
      <c r="V122" t="inlineStr">
        <is>
          <t>MXN</t>
        </is>
      </c>
      <c r="W122" t="inlineStr">
        <is>
          <t>TN</t>
        </is>
      </c>
      <c r="X122" t="n">
        <v>0</v>
      </c>
      <c r="Y122" t="inlineStr">
        <is>
          <t>MXN</t>
        </is>
      </c>
      <c r="Z122" t="inlineStr">
        <is>
          <t>TN</t>
        </is>
      </c>
      <c r="AC122" t="n">
        <v>56103637</v>
      </c>
      <c r="AD122" t="n">
        <v>6622351540</v>
      </c>
      <c r="AE122" t="n">
        <v>1</v>
      </c>
      <c r="AF122" t="inlineStr">
        <is>
          <t>ENTREGADO</t>
        </is>
      </c>
      <c r="AG122" t="n">
        <v>1</v>
      </c>
      <c r="AH122" t="inlineStr">
        <is>
          <t>TO</t>
        </is>
      </c>
      <c r="AI122" t="inlineStr">
        <is>
          <t>X</t>
        </is>
      </c>
      <c r="AJ122" t="n">
        <v>4</v>
      </c>
      <c r="AK122" t="inlineStr">
        <is>
          <t>V4</t>
        </is>
      </c>
      <c r="AL122" t="n">
        <v>20260219</v>
      </c>
      <c r="AM122" t="inlineStr">
        <is>
          <t>D845-900009255-10000578</t>
        </is>
      </c>
    </row>
    <row r="123">
      <c r="A123" t="inlineStr">
        <is>
          <t>900006074D8456714159410167749</t>
        </is>
      </c>
      <c r="B123" t="inlineStr">
        <is>
          <t>4600044538-720</t>
        </is>
      </c>
      <c r="C123" t="n">
        <v>4600044538</v>
      </c>
      <c r="D123" t="n">
        <v>720</v>
      </c>
      <c r="E123" t="inlineStr">
        <is>
          <t>MXPO</t>
        </is>
      </c>
      <c r="F123" t="inlineStr">
        <is>
          <t>MXL</t>
        </is>
      </c>
      <c r="G123" t="n">
        <v>900006074</v>
      </c>
      <c r="H123" t="inlineStr">
        <is>
          <t>SF TP-ED- GRAMOL SLP</t>
        </is>
      </c>
      <c r="I123" t="n">
        <v>5005459</v>
      </c>
      <c r="J123" t="inlineStr">
        <is>
          <t>TRITURADOS GRAMOL SA DE CV</t>
        </is>
      </c>
      <c r="K123" t="inlineStr">
        <is>
          <t>Z04</t>
        </is>
      </c>
      <c r="L123" t="inlineStr">
        <is>
          <t>(AP) 30 Dias</t>
        </is>
      </c>
      <c r="M123" t="n">
        <v>10167749</v>
      </c>
      <c r="N123" t="inlineStr">
        <is>
          <t>BASE H CALIZA 1 1/2" A FINOS ESPECIAL</t>
        </is>
      </c>
      <c r="O123" t="inlineStr">
        <is>
          <t>D845</t>
        </is>
      </c>
      <c r="P123" t="inlineStr">
        <is>
          <t>MX-CED. SLP</t>
        </is>
      </c>
      <c r="Q123" t="n">
        <v>20190415</v>
      </c>
      <c r="R123" t="n">
        <v>20291231</v>
      </c>
      <c r="S123" t="n">
        <v>20230418</v>
      </c>
      <c r="T123" t="n">
        <v>20281231</v>
      </c>
      <c r="U123" t="n">
        <v>192</v>
      </c>
      <c r="V123" t="inlineStr">
        <is>
          <t>MXN</t>
        </is>
      </c>
      <c r="W123" t="inlineStr">
        <is>
          <t>TN</t>
        </is>
      </c>
      <c r="X123" t="n">
        <v>70</v>
      </c>
      <c r="Y123" t="inlineStr">
        <is>
          <t>MXN</t>
        </is>
      </c>
      <c r="Z123" t="inlineStr">
        <is>
          <t>TN</t>
        </is>
      </c>
      <c r="AA123" t="inlineStr">
        <is>
          <t>67141594</t>
        </is>
      </c>
      <c r="AB123" t="inlineStr">
        <is>
          <t>SUBESTACIÓN CFE</t>
        </is>
      </c>
      <c r="AC123" t="n">
        <v>56103590</v>
      </c>
      <c r="AD123" t="n">
        <v>6622351540</v>
      </c>
      <c r="AE123" t="n">
        <v>4</v>
      </c>
      <c r="AF123" t="inlineStr">
        <is>
          <t>ENTREGA DIRECTA</t>
        </is>
      </c>
      <c r="AG123" t="n">
        <v>1</v>
      </c>
      <c r="AH123" t="inlineStr">
        <is>
          <t>TO</t>
        </is>
      </c>
      <c r="AI123" t="inlineStr">
        <is>
          <t>X</t>
        </is>
      </c>
      <c r="AJ123" t="n">
        <v>4</v>
      </c>
      <c r="AK123" t="inlineStr">
        <is>
          <t>V4</t>
        </is>
      </c>
      <c r="AL123" t="n">
        <v>20230920</v>
      </c>
      <c r="AM123" t="inlineStr">
        <is>
          <t>D845-900006074-67141594-10167749-4</t>
        </is>
      </c>
    </row>
    <row r="124">
      <c r="A124" t="inlineStr">
        <is>
          <t>900009256D8456736750610000656</t>
        </is>
      </c>
      <c r="B124" t="inlineStr">
        <is>
          <t>4600072103-20</t>
        </is>
      </c>
      <c r="C124" t="n">
        <v>4600072103</v>
      </c>
      <c r="D124" t="n">
        <v>20</v>
      </c>
      <c r="E124" t="inlineStr">
        <is>
          <t>MXPO</t>
        </is>
      </c>
      <c r="F124" t="inlineStr">
        <is>
          <t>MXL</t>
        </is>
      </c>
      <c r="G124" t="n">
        <v>900009256</v>
      </c>
      <c r="H124" t="inlineStr">
        <is>
          <t>SF TP-ED GRAMOL CLIENTES FORANEOS</t>
        </is>
      </c>
      <c r="I124" t="n">
        <v>5005459</v>
      </c>
      <c r="J124" t="inlineStr">
        <is>
          <t>TRITURADOS GRAMOL SA DE CV</t>
        </is>
      </c>
      <c r="K124" t="inlineStr">
        <is>
          <t>Z04</t>
        </is>
      </c>
      <c r="L124" t="inlineStr">
        <is>
          <t>(AP) 30 Dias</t>
        </is>
      </c>
      <c r="M124" t="n">
        <v>10000656</v>
      </c>
      <c r="N124" t="inlineStr">
        <is>
          <t>Grava Triturada Caliza 10 mm - 3/8"</t>
        </is>
      </c>
      <c r="O124" t="inlineStr">
        <is>
          <t>D845</t>
        </is>
      </c>
      <c r="P124" t="inlineStr">
        <is>
          <t>MX-CED. SLP</t>
        </is>
      </c>
      <c r="Q124" t="n">
        <v>20260320</v>
      </c>
      <c r="R124" t="n">
        <v>20301231</v>
      </c>
      <c r="S124" t="n">
        <v>20260320</v>
      </c>
      <c r="T124" t="n">
        <v>20301231</v>
      </c>
      <c r="U124" t="n">
        <v>291</v>
      </c>
      <c r="V124" t="inlineStr">
        <is>
          <t>MXN</t>
        </is>
      </c>
      <c r="W124" t="inlineStr">
        <is>
          <t>TN</t>
        </is>
      </c>
      <c r="X124" t="n">
        <v>115</v>
      </c>
      <c r="Y124" t="inlineStr">
        <is>
          <t>MXN</t>
        </is>
      </c>
      <c r="Z124" t="inlineStr">
        <is>
          <t>TN</t>
        </is>
      </c>
      <c r="AA124" t="inlineStr">
        <is>
          <t>67367506</t>
        </is>
      </c>
      <c r="AB124" t="inlineStr">
        <is>
          <t>P5 VILLA DE REYES</t>
        </is>
      </c>
      <c r="AC124" t="n">
        <v>56103637</v>
      </c>
      <c r="AD124" t="n">
        <v>6622351540</v>
      </c>
      <c r="AE124" t="n">
        <v>4</v>
      </c>
      <c r="AF124" t="inlineStr">
        <is>
          <t>ENTREGA DIRECTA</t>
        </is>
      </c>
      <c r="AG124" t="n">
        <v>1</v>
      </c>
      <c r="AH124" t="inlineStr">
        <is>
          <t>TO</t>
        </is>
      </c>
      <c r="AI124" t="inlineStr">
        <is>
          <t>X</t>
        </is>
      </c>
      <c r="AJ124" t="n">
        <v>4</v>
      </c>
      <c r="AK124" t="inlineStr">
        <is>
          <t>V4</t>
        </is>
      </c>
      <c r="AL124" t="n">
        <v>20260320</v>
      </c>
      <c r="AM124" t="inlineStr">
        <is>
          <t>D845-900009256-67367506-10000656-4</t>
        </is>
      </c>
    </row>
    <row r="125">
      <c r="A125" t="inlineStr">
        <is>
          <t>900009256D8456736750610000536</t>
        </is>
      </c>
      <c r="B125" t="inlineStr">
        <is>
          <t>4600072103-40</t>
        </is>
      </c>
      <c r="C125" t="n">
        <v>4600072103</v>
      </c>
      <c r="D125" t="n">
        <v>40</v>
      </c>
      <c r="E125" t="inlineStr">
        <is>
          <t>MXPO</t>
        </is>
      </c>
      <c r="F125" t="inlineStr">
        <is>
          <t>MXL</t>
        </is>
      </c>
      <c r="G125" t="n">
        <v>900009256</v>
      </c>
      <c r="H125" t="inlineStr">
        <is>
          <t>SF TP-ED GRAMOL CLIENTES FORANEOS</t>
        </is>
      </c>
      <c r="I125" t="n">
        <v>5005459</v>
      </c>
      <c r="J125" t="inlineStr">
        <is>
          <t>TRITURADOS GRAMOL SA DE CV</t>
        </is>
      </c>
      <c r="K125" t="inlineStr">
        <is>
          <t>Z04</t>
        </is>
      </c>
      <c r="L125" t="inlineStr">
        <is>
          <t>(AP) 30 Dias</t>
        </is>
      </c>
      <c r="M125" t="n">
        <v>10000536</v>
      </c>
      <c r="N125" t="inlineStr">
        <is>
          <t>Grava Triturada Caliza 40 mm - 1 1/2"</t>
        </is>
      </c>
      <c r="O125" t="inlineStr">
        <is>
          <t>D845</t>
        </is>
      </c>
      <c r="P125" t="inlineStr">
        <is>
          <t>MX-CED. SLP</t>
        </is>
      </c>
      <c r="Q125" t="n">
        <v>20260320</v>
      </c>
      <c r="R125" t="n">
        <v>20301231</v>
      </c>
      <c r="S125" t="n">
        <v>20260320</v>
      </c>
      <c r="T125" t="n">
        <v>20301231</v>
      </c>
      <c r="U125" t="n">
        <v>280</v>
      </c>
      <c r="V125" t="inlineStr">
        <is>
          <t>MXN</t>
        </is>
      </c>
      <c r="W125" t="inlineStr">
        <is>
          <t>TN</t>
        </is>
      </c>
      <c r="X125" t="n">
        <v>115</v>
      </c>
      <c r="Y125" t="inlineStr">
        <is>
          <t>MXN</t>
        </is>
      </c>
      <c r="Z125" t="inlineStr">
        <is>
          <t>TN</t>
        </is>
      </c>
      <c r="AA125" t="inlineStr">
        <is>
          <t>67367506</t>
        </is>
      </c>
      <c r="AB125" t="inlineStr">
        <is>
          <t>P5 VILLA DE REYES</t>
        </is>
      </c>
      <c r="AC125" t="n">
        <v>56103637</v>
      </c>
      <c r="AD125" t="n">
        <v>6622351540</v>
      </c>
      <c r="AE125" t="n">
        <v>4</v>
      </c>
      <c r="AF125" t="inlineStr">
        <is>
          <t>ENTREGA DIRECTA</t>
        </is>
      </c>
      <c r="AG125" t="n">
        <v>1</v>
      </c>
      <c r="AH125" t="inlineStr">
        <is>
          <t>TO</t>
        </is>
      </c>
      <c r="AI125" t="inlineStr">
        <is>
          <t>X</t>
        </is>
      </c>
      <c r="AJ125" t="n">
        <v>4</v>
      </c>
      <c r="AK125" t="inlineStr">
        <is>
          <t>V4</t>
        </is>
      </c>
      <c r="AL125" t="n">
        <v>20260320</v>
      </c>
      <c r="AM125" t="inlineStr">
        <is>
          <t>D845-900009256-67367506-10000536-4</t>
        </is>
      </c>
    </row>
    <row r="126">
      <c r="A126" t="inlineStr">
        <is>
          <t>900009255D84510058507</t>
        </is>
      </c>
      <c r="B126" t="inlineStr">
        <is>
          <t>4600071321-60</t>
        </is>
      </c>
      <c r="C126" t="n">
        <v>4600071321</v>
      </c>
      <c r="D126" t="n">
        <v>60</v>
      </c>
      <c r="E126" t="inlineStr">
        <is>
          <t>MXPO</t>
        </is>
      </c>
      <c r="F126" t="inlineStr">
        <is>
          <t>MXL</t>
        </is>
      </c>
      <c r="G126" t="n">
        <v>900009255</v>
      </c>
      <c r="H126" t="inlineStr">
        <is>
          <t>SF TP-GRAMOL CLIENTES FORANEOS</t>
        </is>
      </c>
      <c r="I126" t="n">
        <v>5005459</v>
      </c>
      <c r="J126" t="inlineStr">
        <is>
          <t>TRITURADOS GRAMOL SA DE CV</t>
        </is>
      </c>
      <c r="K126" t="inlineStr">
        <is>
          <t>Z04</t>
        </is>
      </c>
      <c r="L126" t="inlineStr">
        <is>
          <t>(AP) 30 Dias</t>
        </is>
      </c>
      <c r="M126" t="n">
        <v>10058507</v>
      </c>
      <c r="N126" t="inlineStr">
        <is>
          <t>Base H Triturada Basalto 1 1/2" a Finos</t>
        </is>
      </c>
      <c r="O126" t="inlineStr">
        <is>
          <t>D845</t>
        </is>
      </c>
      <c r="P126" t="inlineStr">
        <is>
          <t>MX-CED. SLP</t>
        </is>
      </c>
      <c r="Q126" t="n">
        <v>20250604</v>
      </c>
      <c r="R126" t="n">
        <v>20301231</v>
      </c>
      <c r="S126" t="n">
        <v>20251209</v>
      </c>
      <c r="T126" t="n">
        <v>20301231</v>
      </c>
      <c r="U126" t="n">
        <v>160</v>
      </c>
      <c r="V126" t="inlineStr">
        <is>
          <t>MXN</t>
        </is>
      </c>
      <c r="W126" t="inlineStr">
        <is>
          <t>TN</t>
        </is>
      </c>
      <c r="X126" t="n">
        <v>0</v>
      </c>
      <c r="Y126" t="inlineStr">
        <is>
          <t>MXN</t>
        </is>
      </c>
      <c r="Z126" t="inlineStr">
        <is>
          <t>TN</t>
        </is>
      </c>
      <c r="AC126" t="n">
        <v>56103590</v>
      </c>
      <c r="AD126" t="n">
        <v>6622351540</v>
      </c>
      <c r="AE126" t="n">
        <v>1</v>
      </c>
      <c r="AF126" t="inlineStr">
        <is>
          <t>ENTREGADO</t>
        </is>
      </c>
      <c r="AG126" t="n">
        <v>1</v>
      </c>
      <c r="AH126" t="inlineStr">
        <is>
          <t>TO</t>
        </is>
      </c>
      <c r="AI126" t="inlineStr">
        <is>
          <t>X</t>
        </is>
      </c>
      <c r="AJ126" t="n">
        <v>4</v>
      </c>
      <c r="AK126" t="inlineStr">
        <is>
          <t>V4</t>
        </is>
      </c>
      <c r="AL126" t="n">
        <v>20251219</v>
      </c>
      <c r="AM126" t="inlineStr">
        <is>
          <t>D845-900009255-10058507</t>
        </is>
      </c>
    </row>
    <row r="127">
      <c r="A127" t="inlineStr">
        <is>
          <t>900009256D8456736750610000578</t>
        </is>
      </c>
      <c r="B127" t="inlineStr">
        <is>
          <t>4600072103-30</t>
        </is>
      </c>
      <c r="C127" t="n">
        <v>4600072103</v>
      </c>
      <c r="D127" t="n">
        <v>30</v>
      </c>
      <c r="E127" t="inlineStr">
        <is>
          <t>MXPO</t>
        </is>
      </c>
      <c r="F127" t="inlineStr">
        <is>
          <t>MXL</t>
        </is>
      </c>
      <c r="G127" t="n">
        <v>900009256</v>
      </c>
      <c r="H127" t="inlineStr">
        <is>
          <t>SF TP-ED GRAMOL CLIENTES FORANEOS</t>
        </is>
      </c>
      <c r="I127" t="n">
        <v>5005459</v>
      </c>
      <c r="J127" t="inlineStr">
        <is>
          <t>TRITURADOS GRAMOL SA DE CV</t>
        </is>
      </c>
      <c r="K127" t="inlineStr">
        <is>
          <t>Z04</t>
        </is>
      </c>
      <c r="L127" t="inlineStr">
        <is>
          <t>(AP) 30 Dias</t>
        </is>
      </c>
      <c r="M127" t="n">
        <v>10000578</v>
      </c>
      <c r="N127" t="inlineStr">
        <is>
          <t>GRAVA TRITURADA CALIZA 20 MM - 3/4"</t>
        </is>
      </c>
      <c r="O127" t="inlineStr">
        <is>
          <t>D845</t>
        </is>
      </c>
      <c r="P127" t="inlineStr">
        <is>
          <t>MX-CED. SLP</t>
        </is>
      </c>
      <c r="Q127" t="n">
        <v>20260320</v>
      </c>
      <c r="R127" t="n">
        <v>20301231</v>
      </c>
      <c r="S127" t="n">
        <v>20260320</v>
      </c>
      <c r="T127" t="n">
        <v>20301231</v>
      </c>
      <c r="U127" t="n">
        <v>280</v>
      </c>
      <c r="V127" t="inlineStr">
        <is>
          <t>MXN</t>
        </is>
      </c>
      <c r="W127" t="inlineStr">
        <is>
          <t>TN</t>
        </is>
      </c>
      <c r="X127" t="n">
        <v>115</v>
      </c>
      <c r="Y127" t="inlineStr">
        <is>
          <t>MXN</t>
        </is>
      </c>
      <c r="Z127" t="inlineStr">
        <is>
          <t>TN</t>
        </is>
      </c>
      <c r="AA127" t="inlineStr">
        <is>
          <t>67367506</t>
        </is>
      </c>
      <c r="AB127" t="inlineStr">
        <is>
          <t>P5 VILLA DE REYES</t>
        </is>
      </c>
      <c r="AC127" t="n">
        <v>56103637</v>
      </c>
      <c r="AD127" t="n">
        <v>6622351540</v>
      </c>
      <c r="AE127" t="n">
        <v>4</v>
      </c>
      <c r="AF127" t="inlineStr">
        <is>
          <t>ENTREGA DIRECTA</t>
        </is>
      </c>
      <c r="AG127" t="n">
        <v>1</v>
      </c>
      <c r="AH127" t="inlineStr">
        <is>
          <t>TO</t>
        </is>
      </c>
      <c r="AI127" t="inlineStr">
        <is>
          <t>X</t>
        </is>
      </c>
      <c r="AJ127" t="n">
        <v>4</v>
      </c>
      <c r="AK127" t="inlineStr">
        <is>
          <t>V4</t>
        </is>
      </c>
      <c r="AL127" t="n">
        <v>20260320</v>
      </c>
      <c r="AM127" t="inlineStr">
        <is>
          <t>D845-900009256-67367506-10000578-4</t>
        </is>
      </c>
    </row>
    <row r="128">
      <c r="A128" t="inlineStr">
        <is>
          <t>900009256D8456736750610000617</t>
        </is>
      </c>
      <c r="B128" t="inlineStr">
        <is>
          <t>4600072103-10</t>
        </is>
      </c>
      <c r="C128" t="n">
        <v>4600072103</v>
      </c>
      <c r="D128" t="n">
        <v>10</v>
      </c>
      <c r="E128" t="inlineStr">
        <is>
          <t>MXPO</t>
        </is>
      </c>
      <c r="F128" t="inlineStr">
        <is>
          <t>MXL</t>
        </is>
      </c>
      <c r="G128" t="n">
        <v>900009256</v>
      </c>
      <c r="H128" t="inlineStr">
        <is>
          <t>SF TP-ED GRAMOL CLIENTES FORANEOS</t>
        </is>
      </c>
      <c r="I128" t="n">
        <v>5005459</v>
      </c>
      <c r="J128" t="inlineStr">
        <is>
          <t>TRITURADOS GRAMOL SA DE CV</t>
        </is>
      </c>
      <c r="K128" t="inlineStr">
        <is>
          <t>Z04</t>
        </is>
      </c>
      <c r="L128" t="inlineStr">
        <is>
          <t>(AP) 30 Dias</t>
        </is>
      </c>
      <c r="M128" t="n">
        <v>10000617</v>
      </c>
      <c r="N128" t="inlineStr">
        <is>
          <t>Arena Triturada Caliza Malla 5</t>
        </is>
      </c>
      <c r="O128" t="inlineStr">
        <is>
          <t>D845</t>
        </is>
      </c>
      <c r="P128" t="inlineStr">
        <is>
          <t>MX-CED. SLP</t>
        </is>
      </c>
      <c r="Q128" t="n">
        <v>20260320</v>
      </c>
      <c r="R128" t="n">
        <v>20301231</v>
      </c>
      <c r="S128" t="n">
        <v>20260320</v>
      </c>
      <c r="T128" t="n">
        <v>20301231</v>
      </c>
      <c r="U128" t="n">
        <v>294</v>
      </c>
      <c r="V128" t="inlineStr">
        <is>
          <t>MXN</t>
        </is>
      </c>
      <c r="W128" t="inlineStr">
        <is>
          <t>TN</t>
        </is>
      </c>
      <c r="X128" t="n">
        <v>115</v>
      </c>
      <c r="Y128" t="inlineStr">
        <is>
          <t>MXN</t>
        </is>
      </c>
      <c r="Z128" t="inlineStr">
        <is>
          <t>TN</t>
        </is>
      </c>
      <c r="AA128" t="inlineStr">
        <is>
          <t>67367506</t>
        </is>
      </c>
      <c r="AB128" t="inlineStr">
        <is>
          <t>P5 VILLA DE REYES</t>
        </is>
      </c>
      <c r="AC128" t="n">
        <v>56103638</v>
      </c>
      <c r="AD128" t="n">
        <v>6622351540</v>
      </c>
      <c r="AE128" t="n">
        <v>4</v>
      </c>
      <c r="AF128" t="inlineStr">
        <is>
          <t>ENTREGA DIRECTA</t>
        </is>
      </c>
      <c r="AG128" t="n">
        <v>1</v>
      </c>
      <c r="AH128" t="inlineStr">
        <is>
          <t>TO</t>
        </is>
      </c>
      <c r="AI128" t="inlineStr">
        <is>
          <t>X</t>
        </is>
      </c>
      <c r="AJ128" t="n">
        <v>4</v>
      </c>
      <c r="AK128" t="inlineStr">
        <is>
          <t>V4</t>
        </is>
      </c>
      <c r="AL128" t="n">
        <v>20260320</v>
      </c>
      <c r="AM128" t="inlineStr">
        <is>
          <t>D845-900009256-67367506-10000617-4</t>
        </is>
      </c>
    </row>
    <row r="129">
      <c r="A129" t="inlineStr">
        <is>
          <t>900006074D8456727749410000617</t>
        </is>
      </c>
      <c r="B129" t="inlineStr">
        <is>
          <t>4600044538-980</t>
        </is>
      </c>
      <c r="C129" t="n">
        <v>4600044538</v>
      </c>
      <c r="D129" t="n">
        <v>980</v>
      </c>
      <c r="E129" t="inlineStr">
        <is>
          <t>MXPO</t>
        </is>
      </c>
      <c r="F129" t="inlineStr">
        <is>
          <t>MXL</t>
        </is>
      </c>
      <c r="G129" t="n">
        <v>900006074</v>
      </c>
      <c r="H129" t="inlineStr">
        <is>
          <t>SF TP-ED- GRAMOL SLP</t>
        </is>
      </c>
      <c r="I129" t="n">
        <v>5005459</v>
      </c>
      <c r="J129" t="inlineStr">
        <is>
          <t>TRITURADOS GRAMOL SA DE CV</t>
        </is>
      </c>
      <c r="K129" t="inlineStr">
        <is>
          <t>Z04</t>
        </is>
      </c>
      <c r="L129" t="inlineStr">
        <is>
          <t>(AP) 30 Dias</t>
        </is>
      </c>
      <c r="M129" t="n">
        <v>10000617</v>
      </c>
      <c r="N129" t="inlineStr">
        <is>
          <t>Arena Triturada Caliza Malla 5</t>
        </is>
      </c>
      <c r="O129" t="inlineStr">
        <is>
          <t>D845</t>
        </is>
      </c>
      <c r="P129" t="inlineStr">
        <is>
          <t>MX-CED. SLP</t>
        </is>
      </c>
      <c r="Q129" t="n">
        <v>20190415</v>
      </c>
      <c r="R129" t="n">
        <v>20291231</v>
      </c>
      <c r="S129" t="n">
        <v>20240923</v>
      </c>
      <c r="T129" t="n">
        <v>20291231</v>
      </c>
      <c r="U129" t="n">
        <v>262</v>
      </c>
      <c r="V129" t="inlineStr">
        <is>
          <t>MXN</t>
        </is>
      </c>
      <c r="W129" t="inlineStr">
        <is>
          <t>TN</t>
        </is>
      </c>
      <c r="X129" t="n">
        <v>102</v>
      </c>
      <c r="Y129" t="inlineStr">
        <is>
          <t>MXN</t>
        </is>
      </c>
      <c r="Z129" t="inlineStr">
        <is>
          <t>TN</t>
        </is>
      </c>
      <c r="AA129" t="inlineStr">
        <is>
          <t>67277494</t>
        </is>
      </c>
      <c r="AB129" t="inlineStr">
        <is>
          <t>C1502 PRIVADA LA JOYA EV</t>
        </is>
      </c>
      <c r="AC129" t="n">
        <v>56103638</v>
      </c>
      <c r="AD129" t="n">
        <v>6622351540</v>
      </c>
      <c r="AE129" t="n">
        <v>4</v>
      </c>
      <c r="AF129" t="inlineStr">
        <is>
          <t>ENTREGA DIRECTA</t>
        </is>
      </c>
      <c r="AG129" t="n">
        <v>1</v>
      </c>
      <c r="AH129" t="inlineStr">
        <is>
          <t>TO</t>
        </is>
      </c>
      <c r="AI129" t="inlineStr">
        <is>
          <t>X</t>
        </is>
      </c>
      <c r="AJ129" t="n">
        <v>4</v>
      </c>
      <c r="AK129" t="inlineStr">
        <is>
          <t>V4</t>
        </is>
      </c>
      <c r="AL129" t="n">
        <v>20240930</v>
      </c>
      <c r="AM129" t="inlineStr">
        <is>
          <t>D845-900006074-67277494-10000617-4</t>
        </is>
      </c>
    </row>
    <row r="130">
      <c r="A130" t="inlineStr">
        <is>
          <t>900006074D8456731378310167749</t>
        </is>
      </c>
      <c r="B130" t="inlineStr">
        <is>
          <t>4600044538-1030</t>
        </is>
      </c>
      <c r="C130" t="n">
        <v>4600044538</v>
      </c>
      <c r="D130" t="n">
        <v>1030</v>
      </c>
      <c r="E130" t="inlineStr">
        <is>
          <t>MXPO</t>
        </is>
      </c>
      <c r="F130" t="inlineStr">
        <is>
          <t>MXL</t>
        </is>
      </c>
      <c r="G130" t="n">
        <v>900006074</v>
      </c>
      <c r="H130" t="inlineStr">
        <is>
          <t>SF TP-ED- GRAMOL SLP</t>
        </is>
      </c>
      <c r="I130" t="n">
        <v>5005459</v>
      </c>
      <c r="J130" t="inlineStr">
        <is>
          <t>TRITURADOS GRAMOL SA DE CV</t>
        </is>
      </c>
      <c r="K130" t="inlineStr">
        <is>
          <t>Z04</t>
        </is>
      </c>
      <c r="L130" t="inlineStr">
        <is>
          <t>(AP) 30 Dias</t>
        </is>
      </c>
      <c r="M130" t="n">
        <v>10167749</v>
      </c>
      <c r="N130" t="inlineStr">
        <is>
          <t>BASE H CALIZA 1 1/2" A FINOS ESPECIAL</t>
        </is>
      </c>
      <c r="O130" t="inlineStr">
        <is>
          <t>D845</t>
        </is>
      </c>
      <c r="P130" t="inlineStr">
        <is>
          <t>MX-CED. SLP</t>
        </is>
      </c>
      <c r="Q130" t="n">
        <v>20190415</v>
      </c>
      <c r="R130" t="n">
        <v>20291231</v>
      </c>
      <c r="S130" t="n">
        <v>20250325</v>
      </c>
      <c r="T130" t="n">
        <v>20301231</v>
      </c>
      <c r="U130" t="n">
        <v>250</v>
      </c>
      <c r="V130" t="inlineStr">
        <is>
          <t>MXN</t>
        </is>
      </c>
      <c r="W130" t="inlineStr">
        <is>
          <t>TN</t>
        </is>
      </c>
      <c r="X130" t="n">
        <v>67</v>
      </c>
      <c r="Y130" t="inlineStr">
        <is>
          <t>MXN</t>
        </is>
      </c>
      <c r="Z130" t="inlineStr">
        <is>
          <t>TN</t>
        </is>
      </c>
      <c r="AA130" t="inlineStr">
        <is>
          <t>67313783</t>
        </is>
      </c>
      <c r="AB130" t="inlineStr">
        <is>
          <t>ACCESO GASOLINERA EJE 140 WTC/LAJA</t>
        </is>
      </c>
      <c r="AC130" t="n">
        <v>56103590</v>
      </c>
      <c r="AD130" t="n">
        <v>6622351540</v>
      </c>
      <c r="AE130" t="n">
        <v>4</v>
      </c>
      <c r="AF130" t="inlineStr">
        <is>
          <t>ENTREGA DIRECTA</t>
        </is>
      </c>
      <c r="AG130" t="n">
        <v>1</v>
      </c>
      <c r="AH130" t="inlineStr">
        <is>
          <t>TO</t>
        </is>
      </c>
      <c r="AI130" t="inlineStr">
        <is>
          <t>X</t>
        </is>
      </c>
      <c r="AJ130" t="n">
        <v>4</v>
      </c>
      <c r="AK130" t="inlineStr">
        <is>
          <t>V4</t>
        </is>
      </c>
      <c r="AL130" t="n">
        <v>20250326</v>
      </c>
      <c r="AM130" t="inlineStr">
        <is>
          <t>D845-900006074-67313783-10167749-4</t>
        </is>
      </c>
    </row>
    <row r="131">
      <c r="A131" t="inlineStr">
        <is>
          <t>900006074D8456727749410167749</t>
        </is>
      </c>
      <c r="B131" t="inlineStr">
        <is>
          <t>4600044538-940</t>
        </is>
      </c>
      <c r="C131" t="n">
        <v>4600044538</v>
      </c>
      <c r="D131" t="n">
        <v>940</v>
      </c>
      <c r="E131" t="inlineStr">
        <is>
          <t>MXPO</t>
        </is>
      </c>
      <c r="F131" t="inlineStr">
        <is>
          <t>MXL</t>
        </is>
      </c>
      <c r="G131" t="n">
        <v>900006074</v>
      </c>
      <c r="H131" t="inlineStr">
        <is>
          <t>SF TP-ED- GRAMOL SLP</t>
        </is>
      </c>
      <c r="I131" t="n">
        <v>5005459</v>
      </c>
      <c r="J131" t="inlineStr">
        <is>
          <t>TRITURADOS GRAMOL SA DE CV</t>
        </is>
      </c>
      <c r="K131" t="inlineStr">
        <is>
          <t>Z04</t>
        </is>
      </c>
      <c r="L131" t="inlineStr">
        <is>
          <t>(AP) 30 Dias</t>
        </is>
      </c>
      <c r="M131" t="n">
        <v>10167749</v>
      </c>
      <c r="N131" t="inlineStr">
        <is>
          <t>BASE H CALIZA 1 1/2" A FINOS ESPECIAL</t>
        </is>
      </c>
      <c r="O131" t="inlineStr">
        <is>
          <t>D845</t>
        </is>
      </c>
      <c r="P131" t="inlineStr">
        <is>
          <t>MX-CED. SLP</t>
        </is>
      </c>
      <c r="Q131" t="n">
        <v>20190415</v>
      </c>
      <c r="R131" t="n">
        <v>20291231</v>
      </c>
      <c r="S131" t="n">
        <v>20240813</v>
      </c>
      <c r="T131" t="n">
        <v>20291231</v>
      </c>
      <c r="U131" t="n">
        <v>255</v>
      </c>
      <c r="V131" t="inlineStr">
        <is>
          <t>MXN</t>
        </is>
      </c>
      <c r="W131" t="inlineStr">
        <is>
          <t>TN</t>
        </is>
      </c>
      <c r="X131" t="n">
        <v>102</v>
      </c>
      <c r="Y131" t="inlineStr">
        <is>
          <t>MXN</t>
        </is>
      </c>
      <c r="Z131" t="inlineStr">
        <is>
          <t>TN</t>
        </is>
      </c>
      <c r="AA131" t="inlineStr">
        <is>
          <t>67277494</t>
        </is>
      </c>
      <c r="AB131" t="inlineStr">
        <is>
          <t>C1502 PRIVADA LA JOYA EV</t>
        </is>
      </c>
      <c r="AC131" t="n">
        <v>56103590</v>
      </c>
      <c r="AD131" t="n">
        <v>6622351540</v>
      </c>
      <c r="AE131" t="n">
        <v>4</v>
      </c>
      <c r="AF131" t="inlineStr">
        <is>
          <t>ENTREGA DIRECTA</t>
        </is>
      </c>
      <c r="AG131" t="n">
        <v>1</v>
      </c>
      <c r="AH131" t="inlineStr">
        <is>
          <t>TO</t>
        </is>
      </c>
      <c r="AI131" t="inlineStr">
        <is>
          <t>X</t>
        </is>
      </c>
      <c r="AJ131" t="n">
        <v>4</v>
      </c>
      <c r="AK131" t="inlineStr">
        <is>
          <t>V4</t>
        </is>
      </c>
      <c r="AL131" t="n">
        <v>20240910</v>
      </c>
      <c r="AM131" t="inlineStr">
        <is>
          <t>D845-900006074-67277494-10167749-4</t>
        </is>
      </c>
    </row>
    <row r="132">
      <c r="A132" t="inlineStr">
        <is>
          <t>900006124D84510000774</t>
        </is>
      </c>
      <c r="B132" t="inlineStr">
        <is>
          <t>4600044703-20</t>
        </is>
      </c>
      <c r="C132" t="n">
        <v>4600044703</v>
      </c>
      <c r="D132" t="n">
        <v>20</v>
      </c>
      <c r="E132" t="inlineStr">
        <is>
          <t>MXPO</t>
        </is>
      </c>
      <c r="F132" t="inlineStr">
        <is>
          <t>MXL</t>
        </is>
      </c>
      <c r="G132" t="n">
        <v>900006124</v>
      </c>
      <c r="H132" t="inlineStr">
        <is>
          <t>SF TP- INCASA</t>
        </is>
      </c>
      <c r="I132" t="n">
        <v>5001208</v>
      </c>
      <c r="J132" t="inlineStr">
        <is>
          <t>INDUSTRIALIZADORA DE CALIZA SA DE</t>
        </is>
      </c>
      <c r="K132" t="inlineStr">
        <is>
          <t>Z04</t>
        </is>
      </c>
      <c r="L132" t="inlineStr">
        <is>
          <t>(AP) 30 Dias</t>
        </is>
      </c>
      <c r="M132" t="n">
        <v>10000774</v>
      </c>
      <c r="N132" t="inlineStr">
        <is>
          <t>Grava Triturada Caliza 40 mm - 1 1/2"</t>
        </is>
      </c>
      <c r="O132" t="inlineStr">
        <is>
          <t>D845</t>
        </is>
      </c>
      <c r="P132" t="inlineStr">
        <is>
          <t>MX-CED. SLP</t>
        </is>
      </c>
      <c r="Q132" t="n">
        <v>20190501</v>
      </c>
      <c r="R132" t="n">
        <v>20291231</v>
      </c>
      <c r="S132" t="n">
        <v>20210308</v>
      </c>
      <c r="T132" t="n">
        <v>20291231</v>
      </c>
      <c r="U132" t="n">
        <v>87</v>
      </c>
      <c r="V132" t="inlineStr">
        <is>
          <t>MXN</t>
        </is>
      </c>
      <c r="W132" t="inlineStr">
        <is>
          <t>TN</t>
        </is>
      </c>
      <c r="AC132" t="n">
        <v>56103637</v>
      </c>
      <c r="AD132" t="n">
        <v>6622351540</v>
      </c>
      <c r="AE132" t="n">
        <v>1</v>
      </c>
      <c r="AF132" t="inlineStr">
        <is>
          <t>ENTREGADO</t>
        </is>
      </c>
      <c r="AG132" t="n">
        <v>1</v>
      </c>
      <c r="AH132" t="inlineStr">
        <is>
          <t>TO</t>
        </is>
      </c>
      <c r="AI132" t="inlineStr">
        <is>
          <t>X</t>
        </is>
      </c>
      <c r="AJ132" t="n">
        <v>4</v>
      </c>
      <c r="AK132" t="inlineStr">
        <is>
          <t>V4</t>
        </is>
      </c>
      <c r="AL132" t="n">
        <v>20230920</v>
      </c>
      <c r="AM132" t="inlineStr">
        <is>
          <t>D845-900006124-10000774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2026-09-14T14:20:13Z</dcterms:created>
  <dcterms:modified xsi:type="dcterms:W3CDTF">2026-09-14T14:20:13Z</dcterms:modified>
</cp:coreProperties>
</file>